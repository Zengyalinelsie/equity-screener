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tech100/templates/"/>
    </mc:Choice>
  </mc:AlternateContent>
  <xr:revisionPtr revIDLastSave="0" documentId="8_{51333956-7C96-8A4B-8DE6-8B7B56CE2158}" xr6:coauthVersionLast="47" xr6:coauthVersionMax="47" xr10:uidLastSave="{00000000-0000-0000-0000-000000000000}"/>
  <bookViews>
    <workbookView xWindow="1460" yWindow="1320" windowWidth="27700" windowHeight="16860" activeTab="1" xr2:uid="{5ED163C3-B405-CF44-BEF5-19ADDC514701}"/>
  </bookViews>
  <sheets>
    <sheet name="a" sheetId="1" r:id="rId1"/>
    <sheet name="hk" sheetId="2" r:id="rId2"/>
  </sheets>
  <externalReferences>
    <externalReference r:id="rId3"/>
  </externalReferences>
  <calcPr calcId="18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" i="2" l="1"/>
  <c r="P13" i="2"/>
  <c r="P23" i="2"/>
  <c r="P33" i="2"/>
  <c r="P43" i="2"/>
  <c r="P53" i="2"/>
  <c r="P63" i="2"/>
  <c r="P73" i="2"/>
  <c r="P83" i="2"/>
  <c r="P93" i="2"/>
  <c r="P103" i="2"/>
  <c r="O5" i="2"/>
  <c r="O15" i="2"/>
  <c r="O25" i="2"/>
  <c r="O35" i="2"/>
  <c r="O45" i="2"/>
  <c r="O55" i="2"/>
  <c r="O65" i="2"/>
  <c r="O75" i="2"/>
  <c r="O85" i="2"/>
  <c r="O95" i="2"/>
  <c r="O105" i="2"/>
  <c r="N7" i="2"/>
  <c r="N17" i="2"/>
  <c r="N27" i="2"/>
  <c r="N37" i="2"/>
  <c r="N47" i="2"/>
  <c r="N57" i="2"/>
  <c r="N67" i="2"/>
  <c r="N77" i="2"/>
  <c r="N87" i="2"/>
  <c r="N97" i="2"/>
  <c r="N107" i="2"/>
  <c r="M9" i="2"/>
  <c r="M19" i="2"/>
  <c r="M29" i="2"/>
  <c r="M39" i="2"/>
  <c r="M49" i="2"/>
  <c r="M59" i="2"/>
  <c r="M69" i="2"/>
  <c r="M79" i="2"/>
  <c r="M89" i="2"/>
  <c r="M99" i="2"/>
  <c r="M109" i="2"/>
  <c r="L11" i="2"/>
  <c r="L21" i="2"/>
  <c r="L31" i="2"/>
  <c r="L41" i="2"/>
  <c r="L51" i="2"/>
  <c r="L61" i="2"/>
  <c r="L71" i="2"/>
  <c r="L81" i="2"/>
  <c r="L91" i="2"/>
  <c r="L101" i="2"/>
  <c r="K3" i="2"/>
  <c r="K13" i="2"/>
  <c r="K23" i="2"/>
  <c r="K33" i="2"/>
  <c r="K43" i="2"/>
  <c r="K53" i="2"/>
  <c r="K63" i="2"/>
  <c r="K73" i="2"/>
  <c r="K83" i="2"/>
  <c r="K93" i="2"/>
  <c r="K103" i="2"/>
  <c r="J5" i="2"/>
  <c r="J15" i="2"/>
  <c r="J25" i="2"/>
  <c r="J35" i="2"/>
  <c r="J45" i="2"/>
  <c r="J55" i="2"/>
  <c r="J65" i="2"/>
  <c r="J75" i="2"/>
  <c r="J85" i="2"/>
  <c r="J95" i="2"/>
  <c r="J105" i="2"/>
  <c r="I7" i="2"/>
  <c r="I17" i="2"/>
  <c r="I27" i="2"/>
  <c r="I37" i="2"/>
  <c r="I47" i="2"/>
  <c r="I57" i="2"/>
  <c r="I67" i="2"/>
  <c r="I77" i="2"/>
  <c r="I87" i="2"/>
  <c r="I97" i="2"/>
  <c r="I107" i="2"/>
  <c r="H9" i="2"/>
  <c r="H19" i="2"/>
  <c r="H29" i="2"/>
  <c r="H39" i="2"/>
  <c r="H49" i="2"/>
  <c r="H59" i="2"/>
  <c r="H69" i="2"/>
  <c r="H79" i="2"/>
  <c r="H89" i="2"/>
  <c r="H99" i="2"/>
  <c r="P4" i="2"/>
  <c r="P14" i="2"/>
  <c r="P24" i="2"/>
  <c r="P34" i="2"/>
  <c r="P44" i="2"/>
  <c r="P54" i="2"/>
  <c r="P64" i="2"/>
  <c r="P74" i="2"/>
  <c r="P84" i="2"/>
  <c r="P94" i="2"/>
  <c r="P104" i="2"/>
  <c r="O6" i="2"/>
  <c r="O16" i="2"/>
  <c r="O26" i="2"/>
  <c r="O36" i="2"/>
  <c r="O46" i="2"/>
  <c r="O56" i="2"/>
  <c r="O66" i="2"/>
  <c r="O76" i="2"/>
  <c r="O86" i="2"/>
  <c r="O96" i="2"/>
  <c r="O106" i="2"/>
  <c r="N8" i="2"/>
  <c r="N18" i="2"/>
  <c r="N28" i="2"/>
  <c r="N38" i="2"/>
  <c r="N48" i="2"/>
  <c r="N58" i="2"/>
  <c r="N68" i="2"/>
  <c r="N78" i="2"/>
  <c r="N88" i="2"/>
  <c r="N98" i="2"/>
  <c r="N108" i="2"/>
  <c r="M10" i="2"/>
  <c r="M20" i="2"/>
  <c r="M30" i="2"/>
  <c r="M40" i="2"/>
  <c r="M50" i="2"/>
  <c r="M60" i="2"/>
  <c r="M70" i="2"/>
  <c r="M80" i="2"/>
  <c r="M90" i="2"/>
  <c r="M100" i="2"/>
  <c r="M110" i="2"/>
  <c r="L12" i="2"/>
  <c r="L22" i="2"/>
  <c r="L32" i="2"/>
  <c r="L42" i="2"/>
  <c r="L52" i="2"/>
  <c r="L62" i="2"/>
  <c r="L72" i="2"/>
  <c r="L82" i="2"/>
  <c r="L92" i="2"/>
  <c r="L102" i="2"/>
  <c r="K4" i="2"/>
  <c r="K14" i="2"/>
  <c r="K24" i="2"/>
  <c r="K34" i="2"/>
  <c r="K44" i="2"/>
  <c r="K54" i="2"/>
  <c r="K64" i="2"/>
  <c r="K74" i="2"/>
  <c r="K84" i="2"/>
  <c r="K94" i="2"/>
  <c r="K104" i="2"/>
  <c r="J6" i="2"/>
  <c r="J16" i="2"/>
  <c r="J26" i="2"/>
  <c r="J36" i="2"/>
  <c r="J46" i="2"/>
  <c r="J56" i="2"/>
  <c r="J66" i="2"/>
  <c r="J76" i="2"/>
  <c r="J86" i="2"/>
  <c r="J96" i="2"/>
  <c r="J106" i="2"/>
  <c r="I8" i="2"/>
  <c r="I18" i="2"/>
  <c r="I28" i="2"/>
  <c r="I38" i="2"/>
  <c r="I48" i="2"/>
  <c r="I58" i="2"/>
  <c r="I68" i="2"/>
  <c r="I78" i="2"/>
  <c r="I88" i="2"/>
  <c r="I98" i="2"/>
  <c r="I108" i="2"/>
  <c r="H10" i="2"/>
  <c r="H20" i="2"/>
  <c r="H30" i="2"/>
  <c r="H40" i="2"/>
  <c r="H50" i="2"/>
  <c r="H60" i="2"/>
  <c r="H70" i="2"/>
  <c r="H80" i="2"/>
  <c r="H90" i="2"/>
  <c r="H100" i="2"/>
  <c r="H110" i="2"/>
  <c r="G12" i="2"/>
  <c r="G22" i="2"/>
  <c r="G32" i="2"/>
  <c r="G42" i="2"/>
  <c r="G52" i="2"/>
  <c r="G62" i="2"/>
  <c r="G72" i="2"/>
  <c r="G82" i="2"/>
  <c r="G92" i="2"/>
  <c r="G102" i="2"/>
  <c r="P5" i="2"/>
  <c r="P15" i="2"/>
  <c r="P25" i="2"/>
  <c r="P35" i="2"/>
  <c r="P45" i="2"/>
  <c r="P55" i="2"/>
  <c r="P65" i="2"/>
  <c r="P75" i="2"/>
  <c r="P85" i="2"/>
  <c r="P95" i="2"/>
  <c r="P105" i="2"/>
  <c r="O7" i="2"/>
  <c r="O17" i="2"/>
  <c r="O27" i="2"/>
  <c r="O37" i="2"/>
  <c r="O47" i="2"/>
  <c r="O57" i="2"/>
  <c r="O67" i="2"/>
  <c r="O77" i="2"/>
  <c r="O87" i="2"/>
  <c r="O97" i="2"/>
  <c r="O107" i="2"/>
  <c r="N9" i="2"/>
  <c r="N19" i="2"/>
  <c r="N29" i="2"/>
  <c r="N39" i="2"/>
  <c r="N49" i="2"/>
  <c r="N59" i="2"/>
  <c r="N69" i="2"/>
  <c r="N79" i="2"/>
  <c r="N89" i="2"/>
  <c r="N99" i="2"/>
  <c r="N109" i="2"/>
  <c r="M11" i="2"/>
  <c r="M21" i="2"/>
  <c r="M31" i="2"/>
  <c r="M41" i="2"/>
  <c r="M51" i="2"/>
  <c r="M61" i="2"/>
  <c r="M71" i="2"/>
  <c r="M81" i="2"/>
  <c r="M91" i="2"/>
  <c r="M101" i="2"/>
  <c r="L3" i="2"/>
  <c r="L13" i="2"/>
  <c r="L23" i="2"/>
  <c r="L33" i="2"/>
  <c r="L43" i="2"/>
  <c r="L53" i="2"/>
  <c r="L63" i="2"/>
  <c r="L73" i="2"/>
  <c r="L83" i="2"/>
  <c r="L93" i="2"/>
  <c r="L103" i="2"/>
  <c r="K5" i="2"/>
  <c r="K15" i="2"/>
  <c r="K25" i="2"/>
  <c r="K35" i="2"/>
  <c r="K45" i="2"/>
  <c r="K55" i="2"/>
  <c r="K65" i="2"/>
  <c r="K75" i="2"/>
  <c r="K85" i="2"/>
  <c r="K95" i="2"/>
  <c r="K105" i="2"/>
  <c r="J7" i="2"/>
  <c r="J17" i="2"/>
  <c r="J27" i="2"/>
  <c r="J37" i="2"/>
  <c r="J47" i="2"/>
  <c r="J57" i="2"/>
  <c r="J67" i="2"/>
  <c r="J77" i="2"/>
  <c r="J87" i="2"/>
  <c r="J97" i="2"/>
  <c r="J107" i="2"/>
  <c r="I9" i="2"/>
  <c r="I19" i="2"/>
  <c r="I29" i="2"/>
  <c r="I39" i="2"/>
  <c r="I49" i="2"/>
  <c r="I59" i="2"/>
  <c r="I69" i="2"/>
  <c r="I79" i="2"/>
  <c r="I89" i="2"/>
  <c r="I99" i="2"/>
  <c r="I109" i="2"/>
  <c r="H11" i="2"/>
  <c r="H21" i="2"/>
  <c r="H31" i="2"/>
  <c r="H41" i="2"/>
  <c r="H51" i="2"/>
  <c r="H61" i="2"/>
  <c r="H71" i="2"/>
  <c r="H81" i="2"/>
  <c r="H91" i="2"/>
  <c r="H101" i="2"/>
  <c r="G3" i="2"/>
  <c r="G13" i="2"/>
  <c r="G23" i="2"/>
  <c r="G33" i="2"/>
  <c r="G43" i="2"/>
  <c r="G53" i="2"/>
  <c r="G63" i="2"/>
  <c r="G73" i="2"/>
  <c r="G83" i="2"/>
  <c r="G93" i="2"/>
  <c r="G103" i="2"/>
  <c r="F5" i="2"/>
  <c r="F15" i="2"/>
  <c r="F25" i="2"/>
  <c r="F35" i="2"/>
  <c r="F45" i="2"/>
  <c r="F55" i="2"/>
  <c r="F65" i="2"/>
  <c r="F75" i="2"/>
  <c r="F85" i="2"/>
  <c r="F95" i="2"/>
  <c r="F105" i="2"/>
  <c r="E7" i="2"/>
  <c r="E17" i="2"/>
  <c r="E27" i="2"/>
  <c r="E37" i="2"/>
  <c r="E47" i="2"/>
  <c r="E57" i="2"/>
  <c r="E67" i="2"/>
  <c r="E77" i="2"/>
  <c r="P6" i="2"/>
  <c r="P16" i="2"/>
  <c r="P26" i="2"/>
  <c r="P36" i="2"/>
  <c r="P46" i="2"/>
  <c r="P56" i="2"/>
  <c r="P66" i="2"/>
  <c r="P76" i="2"/>
  <c r="P86" i="2"/>
  <c r="P96" i="2"/>
  <c r="P106" i="2"/>
  <c r="O8" i="2"/>
  <c r="O18" i="2"/>
  <c r="O28" i="2"/>
  <c r="O38" i="2"/>
  <c r="O48" i="2"/>
  <c r="O58" i="2"/>
  <c r="O68" i="2"/>
  <c r="O78" i="2"/>
  <c r="O88" i="2"/>
  <c r="O98" i="2"/>
  <c r="O108" i="2"/>
  <c r="N10" i="2"/>
  <c r="N20" i="2"/>
  <c r="N30" i="2"/>
  <c r="N40" i="2"/>
  <c r="N50" i="2"/>
  <c r="N60" i="2"/>
  <c r="N70" i="2"/>
  <c r="N80" i="2"/>
  <c r="N90" i="2"/>
  <c r="N100" i="2"/>
  <c r="N110" i="2"/>
  <c r="M12" i="2"/>
  <c r="M22" i="2"/>
  <c r="M32" i="2"/>
  <c r="M42" i="2"/>
  <c r="M52" i="2"/>
  <c r="M62" i="2"/>
  <c r="M72" i="2"/>
  <c r="M82" i="2"/>
  <c r="M92" i="2"/>
  <c r="M102" i="2"/>
  <c r="L4" i="2"/>
  <c r="L14" i="2"/>
  <c r="L24" i="2"/>
  <c r="L34" i="2"/>
  <c r="L44" i="2"/>
  <c r="L54" i="2"/>
  <c r="L64" i="2"/>
  <c r="L74" i="2"/>
  <c r="L84" i="2"/>
  <c r="L94" i="2"/>
  <c r="L104" i="2"/>
  <c r="K6" i="2"/>
  <c r="K16" i="2"/>
  <c r="K26" i="2"/>
  <c r="K36" i="2"/>
  <c r="K46" i="2"/>
  <c r="K56" i="2"/>
  <c r="K66" i="2"/>
  <c r="K76" i="2"/>
  <c r="K86" i="2"/>
  <c r="K96" i="2"/>
  <c r="K106" i="2"/>
  <c r="J8" i="2"/>
  <c r="J18" i="2"/>
  <c r="J28" i="2"/>
  <c r="J38" i="2"/>
  <c r="J48" i="2"/>
  <c r="J58" i="2"/>
  <c r="J68" i="2"/>
  <c r="J78" i="2"/>
  <c r="J88" i="2"/>
  <c r="J98" i="2"/>
  <c r="J108" i="2"/>
  <c r="I10" i="2"/>
  <c r="I20" i="2"/>
  <c r="P7" i="2"/>
  <c r="P17" i="2"/>
  <c r="P27" i="2"/>
  <c r="P37" i="2"/>
  <c r="P47" i="2"/>
  <c r="P57" i="2"/>
  <c r="P67" i="2"/>
  <c r="P77" i="2"/>
  <c r="P87" i="2"/>
  <c r="P97" i="2"/>
  <c r="P107" i="2"/>
  <c r="O9" i="2"/>
  <c r="O19" i="2"/>
  <c r="O29" i="2"/>
  <c r="O39" i="2"/>
  <c r="O49" i="2"/>
  <c r="O59" i="2"/>
  <c r="O69" i="2"/>
  <c r="O79" i="2"/>
  <c r="O89" i="2"/>
  <c r="O99" i="2"/>
  <c r="O109" i="2"/>
  <c r="N11" i="2"/>
  <c r="N21" i="2"/>
  <c r="N31" i="2"/>
  <c r="N41" i="2"/>
  <c r="N51" i="2"/>
  <c r="N61" i="2"/>
  <c r="N71" i="2"/>
  <c r="N81" i="2"/>
  <c r="N91" i="2"/>
  <c r="N101" i="2"/>
  <c r="M3" i="2"/>
  <c r="M13" i="2"/>
  <c r="M23" i="2"/>
  <c r="M33" i="2"/>
  <c r="M43" i="2"/>
  <c r="M53" i="2"/>
  <c r="M63" i="2"/>
  <c r="M73" i="2"/>
  <c r="M83" i="2"/>
  <c r="M93" i="2"/>
  <c r="M103" i="2"/>
  <c r="L5" i="2"/>
  <c r="L15" i="2"/>
  <c r="L25" i="2"/>
  <c r="L35" i="2"/>
  <c r="L45" i="2"/>
  <c r="L55" i="2"/>
  <c r="L65" i="2"/>
  <c r="L75" i="2"/>
  <c r="L85" i="2"/>
  <c r="L95" i="2"/>
  <c r="L105" i="2"/>
  <c r="K7" i="2"/>
  <c r="K17" i="2"/>
  <c r="K27" i="2"/>
  <c r="K37" i="2"/>
  <c r="K47" i="2"/>
  <c r="K57" i="2"/>
  <c r="K67" i="2"/>
  <c r="K77" i="2"/>
  <c r="K87" i="2"/>
  <c r="K97" i="2"/>
  <c r="K107" i="2"/>
  <c r="J9" i="2"/>
  <c r="J19" i="2"/>
  <c r="J29" i="2"/>
  <c r="J39" i="2"/>
  <c r="J49" i="2"/>
  <c r="J59" i="2"/>
  <c r="J69" i="2"/>
  <c r="J79" i="2"/>
  <c r="J89" i="2"/>
  <c r="J99" i="2"/>
  <c r="J109" i="2"/>
  <c r="I11" i="2"/>
  <c r="I21" i="2"/>
  <c r="I31" i="2"/>
  <c r="I41" i="2"/>
  <c r="I51" i="2"/>
  <c r="I61" i="2"/>
  <c r="I71" i="2"/>
  <c r="I81" i="2"/>
  <c r="I91" i="2"/>
  <c r="I101" i="2"/>
  <c r="H3" i="2"/>
  <c r="H13" i="2"/>
  <c r="H23" i="2"/>
  <c r="H33" i="2"/>
  <c r="H43" i="2"/>
  <c r="H53" i="2"/>
  <c r="H63" i="2"/>
  <c r="H73" i="2"/>
  <c r="H83" i="2"/>
  <c r="H93" i="2"/>
  <c r="H103" i="2"/>
  <c r="G5" i="2"/>
  <c r="G15" i="2"/>
  <c r="G25" i="2"/>
  <c r="G35" i="2"/>
  <c r="G45" i="2"/>
  <c r="G55" i="2"/>
  <c r="G65" i="2"/>
  <c r="G75" i="2"/>
  <c r="G85" i="2"/>
  <c r="G95" i="2"/>
  <c r="G105" i="2"/>
  <c r="F7" i="2"/>
  <c r="F17" i="2"/>
  <c r="F27" i="2"/>
  <c r="P8" i="2"/>
  <c r="P18" i="2"/>
  <c r="P28" i="2"/>
  <c r="P38" i="2"/>
  <c r="P48" i="2"/>
  <c r="P58" i="2"/>
  <c r="P68" i="2"/>
  <c r="P78" i="2"/>
  <c r="P88" i="2"/>
  <c r="P98" i="2"/>
  <c r="P108" i="2"/>
  <c r="O10" i="2"/>
  <c r="O20" i="2"/>
  <c r="O30" i="2"/>
  <c r="O40" i="2"/>
  <c r="O50" i="2"/>
  <c r="O60" i="2"/>
  <c r="O70" i="2"/>
  <c r="O80" i="2"/>
  <c r="O90" i="2"/>
  <c r="O100" i="2"/>
  <c r="O110" i="2"/>
  <c r="N12" i="2"/>
  <c r="N22" i="2"/>
  <c r="N32" i="2"/>
  <c r="N42" i="2"/>
  <c r="N52" i="2"/>
  <c r="N62" i="2"/>
  <c r="N72" i="2"/>
  <c r="N82" i="2"/>
  <c r="N92" i="2"/>
  <c r="N102" i="2"/>
  <c r="M4" i="2"/>
  <c r="M14" i="2"/>
  <c r="M24" i="2"/>
  <c r="M34" i="2"/>
  <c r="M44" i="2"/>
  <c r="M54" i="2"/>
  <c r="M64" i="2"/>
  <c r="M74" i="2"/>
  <c r="M84" i="2"/>
  <c r="M94" i="2"/>
  <c r="M104" i="2"/>
  <c r="L6" i="2"/>
  <c r="L16" i="2"/>
  <c r="L26" i="2"/>
  <c r="L36" i="2"/>
  <c r="L46" i="2"/>
  <c r="L56" i="2"/>
  <c r="L66" i="2"/>
  <c r="L76" i="2"/>
  <c r="L86" i="2"/>
  <c r="L96" i="2"/>
  <c r="L106" i="2"/>
  <c r="K8" i="2"/>
  <c r="K18" i="2"/>
  <c r="K28" i="2"/>
  <c r="K38" i="2"/>
  <c r="K48" i="2"/>
  <c r="K58" i="2"/>
  <c r="K68" i="2"/>
  <c r="K78" i="2"/>
  <c r="K88" i="2"/>
  <c r="K98" i="2"/>
  <c r="K108" i="2"/>
  <c r="J10" i="2"/>
  <c r="J20" i="2"/>
  <c r="J30" i="2"/>
  <c r="J40" i="2"/>
  <c r="J50" i="2"/>
  <c r="J60" i="2"/>
  <c r="J70" i="2"/>
  <c r="J80" i="2"/>
  <c r="J90" i="2"/>
  <c r="J100" i="2"/>
  <c r="J110" i="2"/>
  <c r="I12" i="2"/>
  <c r="I22" i="2"/>
  <c r="I32" i="2"/>
  <c r="I42" i="2"/>
  <c r="I52" i="2"/>
  <c r="I62" i="2"/>
  <c r="I72" i="2"/>
  <c r="I82" i="2"/>
  <c r="I92" i="2"/>
  <c r="I102" i="2"/>
  <c r="H4" i="2"/>
  <c r="H14" i="2"/>
  <c r="H24" i="2"/>
  <c r="H34" i="2"/>
  <c r="H44" i="2"/>
  <c r="H54" i="2"/>
  <c r="H64" i="2"/>
  <c r="H74" i="2"/>
  <c r="H84" i="2"/>
  <c r="H94" i="2"/>
  <c r="P9" i="2"/>
  <c r="P19" i="2"/>
  <c r="P29" i="2"/>
  <c r="P39" i="2"/>
  <c r="P49" i="2"/>
  <c r="P59" i="2"/>
  <c r="P69" i="2"/>
  <c r="P79" i="2"/>
  <c r="P89" i="2"/>
  <c r="P99" i="2"/>
  <c r="P109" i="2"/>
  <c r="O11" i="2"/>
  <c r="O21" i="2"/>
  <c r="O31" i="2"/>
  <c r="O41" i="2"/>
  <c r="O51" i="2"/>
  <c r="O61" i="2"/>
  <c r="O71" i="2"/>
  <c r="O81" i="2"/>
  <c r="O91" i="2"/>
  <c r="O101" i="2"/>
  <c r="N3" i="2"/>
  <c r="N13" i="2"/>
  <c r="N23" i="2"/>
  <c r="N33" i="2"/>
  <c r="N43" i="2"/>
  <c r="N53" i="2"/>
  <c r="N63" i="2"/>
  <c r="N73" i="2"/>
  <c r="N83" i="2"/>
  <c r="N93" i="2"/>
  <c r="N103" i="2"/>
  <c r="M5" i="2"/>
  <c r="M15" i="2"/>
  <c r="M25" i="2"/>
  <c r="M35" i="2"/>
  <c r="M45" i="2"/>
  <c r="M55" i="2"/>
  <c r="M65" i="2"/>
  <c r="M75" i="2"/>
  <c r="M85" i="2"/>
  <c r="M95" i="2"/>
  <c r="M105" i="2"/>
  <c r="L7" i="2"/>
  <c r="L17" i="2"/>
  <c r="L27" i="2"/>
  <c r="L37" i="2"/>
  <c r="L47" i="2"/>
  <c r="L57" i="2"/>
  <c r="L67" i="2"/>
  <c r="L77" i="2"/>
  <c r="L87" i="2"/>
  <c r="L97" i="2"/>
  <c r="L107" i="2"/>
  <c r="K9" i="2"/>
  <c r="K19" i="2"/>
  <c r="K29" i="2"/>
  <c r="K39" i="2"/>
  <c r="K49" i="2"/>
  <c r="K59" i="2"/>
  <c r="K69" i="2"/>
  <c r="K79" i="2"/>
  <c r="K89" i="2"/>
  <c r="K99" i="2"/>
  <c r="K109" i="2"/>
  <c r="J11" i="2"/>
  <c r="J21" i="2"/>
  <c r="J31" i="2"/>
  <c r="J41" i="2"/>
  <c r="J51" i="2"/>
  <c r="J61" i="2"/>
  <c r="J71" i="2"/>
  <c r="J81" i="2"/>
  <c r="J91" i="2"/>
  <c r="J101" i="2"/>
  <c r="I3" i="2"/>
  <c r="I13" i="2"/>
  <c r="I23" i="2"/>
  <c r="I33" i="2"/>
  <c r="I43" i="2"/>
  <c r="I53" i="2"/>
  <c r="I63" i="2"/>
  <c r="I73" i="2"/>
  <c r="I83" i="2"/>
  <c r="I93" i="2"/>
  <c r="I103" i="2"/>
  <c r="H5" i="2"/>
  <c r="H15" i="2"/>
  <c r="H25" i="2"/>
  <c r="H35" i="2"/>
  <c r="H45" i="2"/>
  <c r="H55" i="2"/>
  <c r="H65" i="2"/>
  <c r="H75" i="2"/>
  <c r="H85" i="2"/>
  <c r="H95" i="2"/>
  <c r="H105" i="2"/>
  <c r="G7" i="2"/>
  <c r="G17" i="2"/>
  <c r="G27" i="2"/>
  <c r="G37" i="2"/>
  <c r="G47" i="2"/>
  <c r="G57" i="2"/>
  <c r="G67" i="2"/>
  <c r="G77" i="2"/>
  <c r="G87" i="2"/>
  <c r="G97" i="2"/>
  <c r="P10" i="2"/>
  <c r="P20" i="2"/>
  <c r="P30" i="2"/>
  <c r="P40" i="2"/>
  <c r="P50" i="2"/>
  <c r="P60" i="2"/>
  <c r="P70" i="2"/>
  <c r="P80" i="2"/>
  <c r="P90" i="2"/>
  <c r="P100" i="2"/>
  <c r="P110" i="2"/>
  <c r="O12" i="2"/>
  <c r="O22" i="2"/>
  <c r="O32" i="2"/>
  <c r="O42" i="2"/>
  <c r="O52" i="2"/>
  <c r="O62" i="2"/>
  <c r="O72" i="2"/>
  <c r="O82" i="2"/>
  <c r="O92" i="2"/>
  <c r="O102" i="2"/>
  <c r="N4" i="2"/>
  <c r="N14" i="2"/>
  <c r="N24" i="2"/>
  <c r="N34" i="2"/>
  <c r="N44" i="2"/>
  <c r="N54" i="2"/>
  <c r="N64" i="2"/>
  <c r="N74" i="2"/>
  <c r="N84" i="2"/>
  <c r="N94" i="2"/>
  <c r="N104" i="2"/>
  <c r="M6" i="2"/>
  <c r="M16" i="2"/>
  <c r="M26" i="2"/>
  <c r="M36" i="2"/>
  <c r="M46" i="2"/>
  <c r="M56" i="2"/>
  <c r="M66" i="2"/>
  <c r="M76" i="2"/>
  <c r="M86" i="2"/>
  <c r="M96" i="2"/>
  <c r="M106" i="2"/>
  <c r="L8" i="2"/>
  <c r="L18" i="2"/>
  <c r="L28" i="2"/>
  <c r="L38" i="2"/>
  <c r="L48" i="2"/>
  <c r="L58" i="2"/>
  <c r="L68" i="2"/>
  <c r="L78" i="2"/>
  <c r="L88" i="2"/>
  <c r="L98" i="2"/>
  <c r="L108" i="2"/>
  <c r="K10" i="2"/>
  <c r="K20" i="2"/>
  <c r="K30" i="2"/>
  <c r="K40" i="2"/>
  <c r="K50" i="2"/>
  <c r="K60" i="2"/>
  <c r="K70" i="2"/>
  <c r="K80" i="2"/>
  <c r="K90" i="2"/>
  <c r="K100" i="2"/>
  <c r="K110" i="2"/>
  <c r="J12" i="2"/>
  <c r="J22" i="2"/>
  <c r="J32" i="2"/>
  <c r="J42" i="2"/>
  <c r="J52" i="2"/>
  <c r="J62" i="2"/>
  <c r="J72" i="2"/>
  <c r="J82" i="2"/>
  <c r="J92" i="2"/>
  <c r="J102" i="2"/>
  <c r="I4" i="2"/>
  <c r="I14" i="2"/>
  <c r="I24" i="2"/>
  <c r="I34" i="2"/>
  <c r="I44" i="2"/>
  <c r="I54" i="2"/>
  <c r="I64" i="2"/>
  <c r="I74" i="2"/>
  <c r="I84" i="2"/>
  <c r="I94" i="2"/>
  <c r="I104" i="2"/>
  <c r="H6" i="2"/>
  <c r="H16" i="2"/>
  <c r="H26" i="2"/>
  <c r="H36" i="2"/>
  <c r="H46" i="2"/>
  <c r="H56" i="2"/>
  <c r="H66" i="2"/>
  <c r="H76" i="2"/>
  <c r="H86" i="2"/>
  <c r="H96" i="2"/>
  <c r="H106" i="2"/>
  <c r="G8" i="2"/>
  <c r="G18" i="2"/>
  <c r="G28" i="2"/>
  <c r="G38" i="2"/>
  <c r="G48" i="2"/>
  <c r="G58" i="2"/>
  <c r="G68" i="2"/>
  <c r="G78" i="2"/>
  <c r="G88" i="2"/>
  <c r="G98" i="2"/>
  <c r="G108" i="2"/>
  <c r="F10" i="2"/>
  <c r="F20" i="2"/>
  <c r="F30" i="2"/>
  <c r="F40" i="2"/>
  <c r="F50" i="2"/>
  <c r="F60" i="2"/>
  <c r="F70" i="2"/>
  <c r="F80" i="2"/>
  <c r="F90" i="2"/>
  <c r="F100" i="2"/>
  <c r="F110" i="2"/>
  <c r="E12" i="2"/>
  <c r="P11" i="2"/>
  <c r="P21" i="2"/>
  <c r="P31" i="2"/>
  <c r="P41" i="2"/>
  <c r="P51" i="2"/>
  <c r="P61" i="2"/>
  <c r="P71" i="2"/>
  <c r="P81" i="2"/>
  <c r="P91" i="2"/>
  <c r="P101" i="2"/>
  <c r="O3" i="2"/>
  <c r="O13" i="2"/>
  <c r="O23" i="2"/>
  <c r="O33" i="2"/>
  <c r="O43" i="2"/>
  <c r="O53" i="2"/>
  <c r="O63" i="2"/>
  <c r="O73" i="2"/>
  <c r="O83" i="2"/>
  <c r="O93" i="2"/>
  <c r="O103" i="2"/>
  <c r="N5" i="2"/>
  <c r="N15" i="2"/>
  <c r="N25" i="2"/>
  <c r="N35" i="2"/>
  <c r="N45" i="2"/>
  <c r="N55" i="2"/>
  <c r="N65" i="2"/>
  <c r="N75" i="2"/>
  <c r="N85" i="2"/>
  <c r="N95" i="2"/>
  <c r="N105" i="2"/>
  <c r="M7" i="2"/>
  <c r="M17" i="2"/>
  <c r="M27" i="2"/>
  <c r="M37" i="2"/>
  <c r="M47" i="2"/>
  <c r="M57" i="2"/>
  <c r="M67" i="2"/>
  <c r="M77" i="2"/>
  <c r="M87" i="2"/>
  <c r="M97" i="2"/>
  <c r="M107" i="2"/>
  <c r="L9" i="2"/>
  <c r="L19" i="2"/>
  <c r="L29" i="2"/>
  <c r="L39" i="2"/>
  <c r="L49" i="2"/>
  <c r="L59" i="2"/>
  <c r="L69" i="2"/>
  <c r="L79" i="2"/>
  <c r="L89" i="2"/>
  <c r="L99" i="2"/>
  <c r="L109" i="2"/>
  <c r="K11" i="2"/>
  <c r="K21" i="2"/>
  <c r="K31" i="2"/>
  <c r="K41" i="2"/>
  <c r="K51" i="2"/>
  <c r="K61" i="2"/>
  <c r="K71" i="2"/>
  <c r="K81" i="2"/>
  <c r="K91" i="2"/>
  <c r="K101" i="2"/>
  <c r="J3" i="2"/>
  <c r="J13" i="2"/>
  <c r="J23" i="2"/>
  <c r="J33" i="2"/>
  <c r="J43" i="2"/>
  <c r="J53" i="2"/>
  <c r="J63" i="2"/>
  <c r="J73" i="2"/>
  <c r="J83" i="2"/>
  <c r="J93" i="2"/>
  <c r="J103" i="2"/>
  <c r="I5" i="2"/>
  <c r="I15" i="2"/>
  <c r="I25" i="2"/>
  <c r="I35" i="2"/>
  <c r="I45" i="2"/>
  <c r="I55" i="2"/>
  <c r="I65" i="2"/>
  <c r="I75" i="2"/>
  <c r="I85" i="2"/>
  <c r="I95" i="2"/>
  <c r="I105" i="2"/>
  <c r="H7" i="2"/>
  <c r="H17" i="2"/>
  <c r="H27" i="2"/>
  <c r="H37" i="2"/>
  <c r="H47" i="2"/>
  <c r="H57" i="2"/>
  <c r="H67" i="2"/>
  <c r="H77" i="2"/>
  <c r="H87" i="2"/>
  <c r="H97" i="2"/>
  <c r="H107" i="2"/>
  <c r="G9" i="2"/>
  <c r="G19" i="2"/>
  <c r="G29" i="2"/>
  <c r="G39" i="2"/>
  <c r="G49" i="2"/>
  <c r="G59" i="2"/>
  <c r="G69" i="2"/>
  <c r="P12" i="2"/>
  <c r="P22" i="2"/>
  <c r="P32" i="2"/>
  <c r="P42" i="2"/>
  <c r="P52" i="2"/>
  <c r="P62" i="2"/>
  <c r="P72" i="2"/>
  <c r="P82" i="2"/>
  <c r="P92" i="2"/>
  <c r="P102" i="2"/>
  <c r="O4" i="2"/>
  <c r="O14" i="2"/>
  <c r="O24" i="2"/>
  <c r="O34" i="2"/>
  <c r="O44" i="2"/>
  <c r="O54" i="2"/>
  <c r="O64" i="2"/>
  <c r="O74" i="2"/>
  <c r="O84" i="2"/>
  <c r="O94" i="2"/>
  <c r="O104" i="2"/>
  <c r="N6" i="2"/>
  <c r="N16" i="2"/>
  <c r="N26" i="2"/>
  <c r="N36" i="2"/>
  <c r="N46" i="2"/>
  <c r="N56" i="2"/>
  <c r="N66" i="2"/>
  <c r="N76" i="2"/>
  <c r="N86" i="2"/>
  <c r="N96" i="2"/>
  <c r="N106" i="2"/>
  <c r="M8" i="2"/>
  <c r="M18" i="2"/>
  <c r="M28" i="2"/>
  <c r="M38" i="2"/>
  <c r="M48" i="2"/>
  <c r="M58" i="2"/>
  <c r="M68" i="2"/>
  <c r="M78" i="2"/>
  <c r="M88" i="2"/>
  <c r="M98" i="2"/>
  <c r="M108" i="2"/>
  <c r="L10" i="2"/>
  <c r="L20" i="2"/>
  <c r="L30" i="2"/>
  <c r="L40" i="2"/>
  <c r="L50" i="2"/>
  <c r="L60" i="2"/>
  <c r="L70" i="2"/>
  <c r="L80" i="2"/>
  <c r="L90" i="2"/>
  <c r="L100" i="2"/>
  <c r="L110" i="2"/>
  <c r="K12" i="2"/>
  <c r="K22" i="2"/>
  <c r="K32" i="2"/>
  <c r="K42" i="2"/>
  <c r="K52" i="2"/>
  <c r="K62" i="2"/>
  <c r="K72" i="2"/>
  <c r="K82" i="2"/>
  <c r="K92" i="2"/>
  <c r="K102" i="2"/>
  <c r="J4" i="2"/>
  <c r="J14" i="2"/>
  <c r="J24" i="2"/>
  <c r="J34" i="2"/>
  <c r="J44" i="2"/>
  <c r="J54" i="2"/>
  <c r="J64" i="2"/>
  <c r="J74" i="2"/>
  <c r="J84" i="2"/>
  <c r="J94" i="2"/>
  <c r="J104" i="2"/>
  <c r="I6" i="2"/>
  <c r="I16" i="2"/>
  <c r="I26" i="2"/>
  <c r="I36" i="2"/>
  <c r="I46" i="2"/>
  <c r="I56" i="2"/>
  <c r="I66" i="2"/>
  <c r="I76" i="2"/>
  <c r="I86" i="2"/>
  <c r="I96" i="2"/>
  <c r="I106" i="2"/>
  <c r="H8" i="2"/>
  <c r="H18" i="2"/>
  <c r="H28" i="2"/>
  <c r="H38" i="2"/>
  <c r="H48" i="2"/>
  <c r="H58" i="2"/>
  <c r="H68" i="2"/>
  <c r="H78" i="2"/>
  <c r="H88" i="2"/>
  <c r="H98" i="2"/>
  <c r="H108" i="2"/>
  <c r="G10" i="2"/>
  <c r="G20" i="2"/>
  <c r="G30" i="2"/>
  <c r="G40" i="2"/>
  <c r="G50" i="2"/>
  <c r="G60" i="2"/>
  <c r="G70" i="2"/>
  <c r="G80" i="2"/>
  <c r="G90" i="2"/>
  <c r="G100" i="2"/>
  <c r="I30" i="2"/>
  <c r="H22" i="2"/>
  <c r="H109" i="2"/>
  <c r="G34" i="2"/>
  <c r="G66" i="2"/>
  <c r="G94" i="2"/>
  <c r="F4" i="2"/>
  <c r="F19" i="2"/>
  <c r="F33" i="2"/>
  <c r="F46" i="2"/>
  <c r="F58" i="2"/>
  <c r="F71" i="2"/>
  <c r="F83" i="2"/>
  <c r="F96" i="2"/>
  <c r="F108" i="2"/>
  <c r="E13" i="2"/>
  <c r="E24" i="2"/>
  <c r="E35" i="2"/>
  <c r="E46" i="2"/>
  <c r="E58" i="2"/>
  <c r="E69" i="2"/>
  <c r="E80" i="2"/>
  <c r="E90" i="2"/>
  <c r="E100" i="2"/>
  <c r="E110" i="2"/>
  <c r="D12" i="2"/>
  <c r="D22" i="2"/>
  <c r="D32" i="2"/>
  <c r="D42" i="2"/>
  <c r="D52" i="2"/>
  <c r="D62" i="2"/>
  <c r="D72" i="2"/>
  <c r="D82" i="2"/>
  <c r="D92" i="2"/>
  <c r="D102" i="2"/>
  <c r="C4" i="2"/>
  <c r="C14" i="2"/>
  <c r="C24" i="2"/>
  <c r="C34" i="2"/>
  <c r="C44" i="2"/>
  <c r="C54" i="2"/>
  <c r="C64" i="2"/>
  <c r="C74" i="2"/>
  <c r="C84" i="2"/>
  <c r="C94" i="2"/>
  <c r="C104" i="2"/>
  <c r="B6" i="2"/>
  <c r="B16" i="2"/>
  <c r="B26" i="2"/>
  <c r="B36" i="2"/>
  <c r="B46" i="2"/>
  <c r="B56" i="2"/>
  <c r="B66" i="2"/>
  <c r="B76" i="2"/>
  <c r="B86" i="2"/>
  <c r="B96" i="2"/>
  <c r="B106" i="2"/>
  <c r="P8" i="1"/>
  <c r="P18" i="1"/>
  <c r="P28" i="1"/>
  <c r="P38" i="1"/>
  <c r="P48" i="1"/>
  <c r="P58" i="1"/>
  <c r="P68" i="1"/>
  <c r="P78" i="1"/>
  <c r="P88" i="1"/>
  <c r="P98" i="1"/>
  <c r="P108" i="1"/>
  <c r="P118" i="1"/>
  <c r="P128" i="1"/>
  <c r="P138" i="1"/>
  <c r="P148" i="1"/>
  <c r="P158" i="1"/>
  <c r="P168" i="1"/>
  <c r="P178" i="1"/>
  <c r="P188" i="1"/>
  <c r="P198" i="1"/>
  <c r="P208" i="1"/>
  <c r="P218" i="1"/>
  <c r="P228" i="1"/>
  <c r="P238" i="1"/>
  <c r="P248" i="1"/>
  <c r="P258" i="1"/>
  <c r="P268" i="1"/>
  <c r="P278" i="1"/>
  <c r="P288" i="1"/>
  <c r="P298" i="1"/>
  <c r="P308" i="1"/>
  <c r="P318" i="1"/>
  <c r="P328" i="1"/>
  <c r="P338" i="1"/>
  <c r="P348" i="1"/>
  <c r="P358" i="1"/>
  <c r="P368" i="1"/>
  <c r="P378" i="1"/>
  <c r="P388" i="1"/>
  <c r="P398" i="1"/>
  <c r="P408" i="1"/>
  <c r="P418" i="1"/>
  <c r="P428" i="1"/>
  <c r="P438" i="1"/>
  <c r="P448" i="1"/>
  <c r="P458" i="1"/>
  <c r="P468" i="1"/>
  <c r="P478" i="1"/>
  <c r="I40" i="2"/>
  <c r="H32" i="2"/>
  <c r="G4" i="2"/>
  <c r="G36" i="2"/>
  <c r="G71" i="2"/>
  <c r="G96" i="2"/>
  <c r="F6" i="2"/>
  <c r="F21" i="2"/>
  <c r="F34" i="2"/>
  <c r="F47" i="2"/>
  <c r="F59" i="2"/>
  <c r="F72" i="2"/>
  <c r="F84" i="2"/>
  <c r="F97" i="2"/>
  <c r="F109" i="2"/>
  <c r="E14" i="2"/>
  <c r="E25" i="2"/>
  <c r="E36" i="2"/>
  <c r="E48" i="2"/>
  <c r="E59" i="2"/>
  <c r="E70" i="2"/>
  <c r="E81" i="2"/>
  <c r="E91" i="2"/>
  <c r="E101" i="2"/>
  <c r="D3" i="2"/>
  <c r="D13" i="2"/>
  <c r="D23" i="2"/>
  <c r="D33" i="2"/>
  <c r="D43" i="2"/>
  <c r="D53" i="2"/>
  <c r="D63" i="2"/>
  <c r="D73" i="2"/>
  <c r="D83" i="2"/>
  <c r="D93" i="2"/>
  <c r="D103" i="2"/>
  <c r="C5" i="2"/>
  <c r="C15" i="2"/>
  <c r="C25" i="2"/>
  <c r="C35" i="2"/>
  <c r="C45" i="2"/>
  <c r="C55" i="2"/>
  <c r="C65" i="2"/>
  <c r="C75" i="2"/>
  <c r="C85" i="2"/>
  <c r="C95" i="2"/>
  <c r="C105" i="2"/>
  <c r="B7" i="2"/>
  <c r="B17" i="2"/>
  <c r="B27" i="2"/>
  <c r="B37" i="2"/>
  <c r="B47" i="2"/>
  <c r="B57" i="2"/>
  <c r="B67" i="2"/>
  <c r="B77" i="2"/>
  <c r="B87" i="2"/>
  <c r="B97" i="2"/>
  <c r="B107" i="2"/>
  <c r="P9" i="1"/>
  <c r="P19" i="1"/>
  <c r="P29" i="1"/>
  <c r="P39" i="1"/>
  <c r="P49" i="1"/>
  <c r="P59" i="1"/>
  <c r="P69" i="1"/>
  <c r="P79" i="1"/>
  <c r="P89" i="1"/>
  <c r="P99" i="1"/>
  <c r="P109" i="1"/>
  <c r="P119" i="1"/>
  <c r="P129" i="1"/>
  <c r="P139" i="1"/>
  <c r="P149" i="1"/>
  <c r="P159" i="1"/>
  <c r="P169" i="1"/>
  <c r="P179" i="1"/>
  <c r="P189" i="1"/>
  <c r="P199" i="1"/>
  <c r="P209" i="1"/>
  <c r="P219" i="1"/>
  <c r="P229" i="1"/>
  <c r="P239" i="1"/>
  <c r="P249" i="1"/>
  <c r="P259" i="1"/>
  <c r="P269" i="1"/>
  <c r="P279" i="1"/>
  <c r="P289" i="1"/>
  <c r="P299" i="1"/>
  <c r="P309" i="1"/>
  <c r="P319" i="1"/>
  <c r="P329" i="1"/>
  <c r="P339" i="1"/>
  <c r="P349" i="1"/>
  <c r="P359" i="1"/>
  <c r="P369" i="1"/>
  <c r="P379" i="1"/>
  <c r="P389" i="1"/>
  <c r="P399" i="1"/>
  <c r="P409" i="1"/>
  <c r="I50" i="2"/>
  <c r="H42" i="2"/>
  <c r="G6" i="2"/>
  <c r="G41" i="2"/>
  <c r="G74" i="2"/>
  <c r="G99" i="2"/>
  <c r="F8" i="2"/>
  <c r="F22" i="2"/>
  <c r="F36" i="2"/>
  <c r="F48" i="2"/>
  <c r="F61" i="2"/>
  <c r="F73" i="2"/>
  <c r="F86" i="2"/>
  <c r="F98" i="2"/>
  <c r="E3" i="2"/>
  <c r="E15" i="2"/>
  <c r="E26" i="2"/>
  <c r="E38" i="2"/>
  <c r="E49" i="2"/>
  <c r="E60" i="2"/>
  <c r="E71" i="2"/>
  <c r="E82" i="2"/>
  <c r="E92" i="2"/>
  <c r="E102" i="2"/>
  <c r="D4" i="2"/>
  <c r="D14" i="2"/>
  <c r="D24" i="2"/>
  <c r="D34" i="2"/>
  <c r="D44" i="2"/>
  <c r="D54" i="2"/>
  <c r="D64" i="2"/>
  <c r="D74" i="2"/>
  <c r="D84" i="2"/>
  <c r="D94" i="2"/>
  <c r="D104" i="2"/>
  <c r="C6" i="2"/>
  <c r="C16" i="2"/>
  <c r="C26" i="2"/>
  <c r="C36" i="2"/>
  <c r="C46" i="2"/>
  <c r="C56" i="2"/>
  <c r="C66" i="2"/>
  <c r="C76" i="2"/>
  <c r="C86" i="2"/>
  <c r="C96" i="2"/>
  <c r="C106" i="2"/>
  <c r="B8" i="2"/>
  <c r="B18" i="2"/>
  <c r="B28" i="2"/>
  <c r="B38" i="2"/>
  <c r="B48" i="2"/>
  <c r="B58" i="2"/>
  <c r="B68" i="2"/>
  <c r="B78" i="2"/>
  <c r="B88" i="2"/>
  <c r="B98" i="2"/>
  <c r="B108" i="2"/>
  <c r="P10" i="1"/>
  <c r="P20" i="1"/>
  <c r="P30" i="1"/>
  <c r="P40" i="1"/>
  <c r="P50" i="1"/>
  <c r="P60" i="1"/>
  <c r="P70" i="1"/>
  <c r="P80" i="1"/>
  <c r="P90" i="1"/>
  <c r="P100" i="1"/>
  <c r="P110" i="1"/>
  <c r="P120" i="1"/>
  <c r="P130" i="1"/>
  <c r="P140" i="1"/>
  <c r="P150" i="1"/>
  <c r="P160" i="1"/>
  <c r="P170" i="1"/>
  <c r="P180" i="1"/>
  <c r="P190" i="1"/>
  <c r="P200" i="1"/>
  <c r="P210" i="1"/>
  <c r="P220" i="1"/>
  <c r="P230" i="1"/>
  <c r="P240" i="1"/>
  <c r="P250" i="1"/>
  <c r="P260" i="1"/>
  <c r="P270" i="1"/>
  <c r="P280" i="1"/>
  <c r="P290" i="1"/>
  <c r="P300" i="1"/>
  <c r="P310" i="1"/>
  <c r="P320" i="1"/>
  <c r="P330" i="1"/>
  <c r="P340" i="1"/>
  <c r="P350" i="1"/>
  <c r="P360" i="1"/>
  <c r="P370" i="1"/>
  <c r="P380" i="1"/>
  <c r="P390" i="1"/>
  <c r="P400" i="1"/>
  <c r="P410" i="1"/>
  <c r="I60" i="2"/>
  <c r="H52" i="2"/>
  <c r="G11" i="2"/>
  <c r="G44" i="2"/>
  <c r="G76" i="2"/>
  <c r="G101" i="2"/>
  <c r="F9" i="2"/>
  <c r="F23" i="2"/>
  <c r="F37" i="2"/>
  <c r="F49" i="2"/>
  <c r="F62" i="2"/>
  <c r="F74" i="2"/>
  <c r="F87" i="2"/>
  <c r="F99" i="2"/>
  <c r="E4" i="2"/>
  <c r="E16" i="2"/>
  <c r="E28" i="2"/>
  <c r="E39" i="2"/>
  <c r="E50" i="2"/>
  <c r="E61" i="2"/>
  <c r="E72" i="2"/>
  <c r="E83" i="2"/>
  <c r="E93" i="2"/>
  <c r="E103" i="2"/>
  <c r="D5" i="2"/>
  <c r="D15" i="2"/>
  <c r="D25" i="2"/>
  <c r="D35" i="2"/>
  <c r="D45" i="2"/>
  <c r="D55" i="2"/>
  <c r="D65" i="2"/>
  <c r="D75" i="2"/>
  <c r="D85" i="2"/>
  <c r="D95" i="2"/>
  <c r="D105" i="2"/>
  <c r="C7" i="2"/>
  <c r="C17" i="2"/>
  <c r="C27" i="2"/>
  <c r="C37" i="2"/>
  <c r="C47" i="2"/>
  <c r="C57" i="2"/>
  <c r="C67" i="2"/>
  <c r="C77" i="2"/>
  <c r="C87" i="2"/>
  <c r="C97" i="2"/>
  <c r="C107" i="2"/>
  <c r="B9" i="2"/>
  <c r="B19" i="2"/>
  <c r="B29" i="2"/>
  <c r="B39" i="2"/>
  <c r="B49" i="2"/>
  <c r="B59" i="2"/>
  <c r="B69" i="2"/>
  <c r="B79" i="2"/>
  <c r="B89" i="2"/>
  <c r="B99" i="2"/>
  <c r="B109" i="2"/>
  <c r="P11" i="1"/>
  <c r="P21" i="1"/>
  <c r="P31" i="1"/>
  <c r="P41" i="1"/>
  <c r="P51" i="1"/>
  <c r="P61" i="1"/>
  <c r="P71" i="1"/>
  <c r="P81" i="1"/>
  <c r="P91" i="1"/>
  <c r="P101" i="1"/>
  <c r="P111" i="1"/>
  <c r="P121" i="1"/>
  <c r="P131" i="1"/>
  <c r="P141" i="1"/>
  <c r="P151" i="1"/>
  <c r="P161" i="1"/>
  <c r="P171" i="1"/>
  <c r="P181" i="1"/>
  <c r="P191" i="1"/>
  <c r="P201" i="1"/>
  <c r="P211" i="1"/>
  <c r="P221" i="1"/>
  <c r="P231" i="1"/>
  <c r="P241" i="1"/>
  <c r="P251" i="1"/>
  <c r="P261" i="1"/>
  <c r="P271" i="1"/>
  <c r="P281" i="1"/>
  <c r="P291" i="1"/>
  <c r="P301" i="1"/>
  <c r="P311" i="1"/>
  <c r="P321" i="1"/>
  <c r="P331" i="1"/>
  <c r="P341" i="1"/>
  <c r="I70" i="2"/>
  <c r="H62" i="2"/>
  <c r="G14" i="2"/>
  <c r="G46" i="2"/>
  <c r="G79" i="2"/>
  <c r="G104" i="2"/>
  <c r="F11" i="2"/>
  <c r="F24" i="2"/>
  <c r="F38" i="2"/>
  <c r="F51" i="2"/>
  <c r="F63" i="2"/>
  <c r="F76" i="2"/>
  <c r="F88" i="2"/>
  <c r="F101" i="2"/>
  <c r="E5" i="2"/>
  <c r="E18" i="2"/>
  <c r="E29" i="2"/>
  <c r="E40" i="2"/>
  <c r="E51" i="2"/>
  <c r="E62" i="2"/>
  <c r="E73" i="2"/>
  <c r="E84" i="2"/>
  <c r="E94" i="2"/>
  <c r="E104" i="2"/>
  <c r="D6" i="2"/>
  <c r="D16" i="2"/>
  <c r="D26" i="2"/>
  <c r="D36" i="2"/>
  <c r="D46" i="2"/>
  <c r="D56" i="2"/>
  <c r="D66" i="2"/>
  <c r="D76" i="2"/>
  <c r="D86" i="2"/>
  <c r="D96" i="2"/>
  <c r="D106" i="2"/>
  <c r="C8" i="2"/>
  <c r="C18" i="2"/>
  <c r="C28" i="2"/>
  <c r="C38" i="2"/>
  <c r="C48" i="2"/>
  <c r="C58" i="2"/>
  <c r="C68" i="2"/>
  <c r="C78" i="2"/>
  <c r="C88" i="2"/>
  <c r="C98" i="2"/>
  <c r="C108" i="2"/>
  <c r="B10" i="2"/>
  <c r="B20" i="2"/>
  <c r="B30" i="2"/>
  <c r="B40" i="2"/>
  <c r="B50" i="2"/>
  <c r="B60" i="2"/>
  <c r="B70" i="2"/>
  <c r="B80" i="2"/>
  <c r="B90" i="2"/>
  <c r="B100" i="2"/>
  <c r="B110" i="2"/>
  <c r="P12" i="1"/>
  <c r="P22" i="1"/>
  <c r="P32" i="1"/>
  <c r="P42" i="1"/>
  <c r="P52" i="1"/>
  <c r="P62" i="1"/>
  <c r="P72" i="1"/>
  <c r="P82" i="1"/>
  <c r="P92" i="1"/>
  <c r="P102" i="1"/>
  <c r="P112" i="1"/>
  <c r="P122" i="1"/>
  <c r="P132" i="1"/>
  <c r="P142" i="1"/>
  <c r="P152" i="1"/>
  <c r="P162" i="1"/>
  <c r="P172" i="1"/>
  <c r="P182" i="1"/>
  <c r="P192" i="1"/>
  <c r="P202" i="1"/>
  <c r="P212" i="1"/>
  <c r="P222" i="1"/>
  <c r="P232" i="1"/>
  <c r="P242" i="1"/>
  <c r="P252" i="1"/>
  <c r="P262" i="1"/>
  <c r="P272" i="1"/>
  <c r="P282" i="1"/>
  <c r="P292" i="1"/>
  <c r="P302" i="1"/>
  <c r="P312" i="1"/>
  <c r="P322" i="1"/>
  <c r="P332" i="1"/>
  <c r="P342" i="1"/>
  <c r="P352" i="1"/>
  <c r="P362" i="1"/>
  <c r="P372" i="1"/>
  <c r="P382" i="1"/>
  <c r="P392" i="1"/>
  <c r="P402" i="1"/>
  <c r="P412" i="1"/>
  <c r="P422" i="1"/>
  <c r="P432" i="1"/>
  <c r="P442" i="1"/>
  <c r="P452" i="1"/>
  <c r="P462" i="1"/>
  <c r="P472" i="1"/>
  <c r="P482" i="1"/>
  <c r="P492" i="1"/>
  <c r="P502" i="1"/>
  <c r="P512" i="1"/>
  <c r="P522" i="1"/>
  <c r="P532" i="1"/>
  <c r="P542" i="1"/>
  <c r="P552" i="1"/>
  <c r="P562" i="1"/>
  <c r="P572" i="1"/>
  <c r="P582" i="1"/>
  <c r="P592" i="1"/>
  <c r="P602" i="1"/>
  <c r="P612" i="1"/>
  <c r="P622" i="1"/>
  <c r="P632" i="1"/>
  <c r="P642" i="1"/>
  <c r="P652" i="1"/>
  <c r="P662" i="1"/>
  <c r="P672" i="1"/>
  <c r="P682" i="1"/>
  <c r="P692" i="1"/>
  <c r="P702" i="1"/>
  <c r="I80" i="2"/>
  <c r="H72" i="2"/>
  <c r="G16" i="2"/>
  <c r="G51" i="2"/>
  <c r="G81" i="2"/>
  <c r="G106" i="2"/>
  <c r="F12" i="2"/>
  <c r="F26" i="2"/>
  <c r="F39" i="2"/>
  <c r="F52" i="2"/>
  <c r="F64" i="2"/>
  <c r="F77" i="2"/>
  <c r="F89" i="2"/>
  <c r="F102" i="2"/>
  <c r="E6" i="2"/>
  <c r="E19" i="2"/>
  <c r="E30" i="2"/>
  <c r="E41" i="2"/>
  <c r="E52" i="2"/>
  <c r="E63" i="2"/>
  <c r="E74" i="2"/>
  <c r="E85" i="2"/>
  <c r="E95" i="2"/>
  <c r="E105" i="2"/>
  <c r="D7" i="2"/>
  <c r="D17" i="2"/>
  <c r="D27" i="2"/>
  <c r="D37" i="2"/>
  <c r="D47" i="2"/>
  <c r="D57" i="2"/>
  <c r="D67" i="2"/>
  <c r="D77" i="2"/>
  <c r="D87" i="2"/>
  <c r="D97" i="2"/>
  <c r="D107" i="2"/>
  <c r="C9" i="2"/>
  <c r="C19" i="2"/>
  <c r="C29" i="2"/>
  <c r="C39" i="2"/>
  <c r="C49" i="2"/>
  <c r="C59" i="2"/>
  <c r="C69" i="2"/>
  <c r="C79" i="2"/>
  <c r="C89" i="2"/>
  <c r="C99" i="2"/>
  <c r="C109" i="2"/>
  <c r="B11" i="2"/>
  <c r="B21" i="2"/>
  <c r="B31" i="2"/>
  <c r="B41" i="2"/>
  <c r="B51" i="2"/>
  <c r="B61" i="2"/>
  <c r="B71" i="2"/>
  <c r="B81" i="2"/>
  <c r="B91" i="2"/>
  <c r="B101" i="2"/>
  <c r="P3" i="1"/>
  <c r="P13" i="1"/>
  <c r="P23" i="1"/>
  <c r="P33" i="1"/>
  <c r="P43" i="1"/>
  <c r="P53" i="1"/>
  <c r="P63" i="1"/>
  <c r="P73" i="1"/>
  <c r="P83" i="1"/>
  <c r="P93" i="1"/>
  <c r="P103" i="1"/>
  <c r="P113" i="1"/>
  <c r="P123" i="1"/>
  <c r="P133" i="1"/>
  <c r="P143" i="1"/>
  <c r="P153" i="1"/>
  <c r="P163" i="1"/>
  <c r="P173" i="1"/>
  <c r="P183" i="1"/>
  <c r="P193" i="1"/>
  <c r="P203" i="1"/>
  <c r="P213" i="1"/>
  <c r="P223" i="1"/>
  <c r="P233" i="1"/>
  <c r="P243" i="1"/>
  <c r="P253" i="1"/>
  <c r="P263" i="1"/>
  <c r="P273" i="1"/>
  <c r="P283" i="1"/>
  <c r="P293" i="1"/>
  <c r="P303" i="1"/>
  <c r="P313" i="1"/>
  <c r="P323" i="1"/>
  <c r="P333" i="1"/>
  <c r="P343" i="1"/>
  <c r="P353" i="1"/>
  <c r="P363" i="1"/>
  <c r="P373" i="1"/>
  <c r="P383" i="1"/>
  <c r="P393" i="1"/>
  <c r="P403" i="1"/>
  <c r="P413" i="1"/>
  <c r="P423" i="1"/>
  <c r="P433" i="1"/>
  <c r="P443" i="1"/>
  <c r="P453" i="1"/>
  <c r="P463" i="1"/>
  <c r="P473" i="1"/>
  <c r="P483" i="1"/>
  <c r="P493" i="1"/>
  <c r="P503" i="1"/>
  <c r="P513" i="1"/>
  <c r="I90" i="2"/>
  <c r="H82" i="2"/>
  <c r="G21" i="2"/>
  <c r="G54" i="2"/>
  <c r="G84" i="2"/>
  <c r="G107" i="2"/>
  <c r="F13" i="2"/>
  <c r="F28" i="2"/>
  <c r="F41" i="2"/>
  <c r="F53" i="2"/>
  <c r="F66" i="2"/>
  <c r="F78" i="2"/>
  <c r="F91" i="2"/>
  <c r="F103" i="2"/>
  <c r="E8" i="2"/>
  <c r="E20" i="2"/>
  <c r="E31" i="2"/>
  <c r="E42" i="2"/>
  <c r="E53" i="2"/>
  <c r="E64" i="2"/>
  <c r="E75" i="2"/>
  <c r="E86" i="2"/>
  <c r="E96" i="2"/>
  <c r="E106" i="2"/>
  <c r="D8" i="2"/>
  <c r="D18" i="2"/>
  <c r="D28" i="2"/>
  <c r="D38" i="2"/>
  <c r="D48" i="2"/>
  <c r="D58" i="2"/>
  <c r="D68" i="2"/>
  <c r="D78" i="2"/>
  <c r="D88" i="2"/>
  <c r="D98" i="2"/>
  <c r="D108" i="2"/>
  <c r="C10" i="2"/>
  <c r="C20" i="2"/>
  <c r="C30" i="2"/>
  <c r="C40" i="2"/>
  <c r="C50" i="2"/>
  <c r="C60" i="2"/>
  <c r="C70" i="2"/>
  <c r="C80" i="2"/>
  <c r="C90" i="2"/>
  <c r="C100" i="2"/>
  <c r="C110" i="2"/>
  <c r="B12" i="2"/>
  <c r="B22" i="2"/>
  <c r="B32" i="2"/>
  <c r="B42" i="2"/>
  <c r="B52" i="2"/>
  <c r="B62" i="2"/>
  <c r="B72" i="2"/>
  <c r="B82" i="2"/>
  <c r="B92" i="2"/>
  <c r="B102" i="2"/>
  <c r="P4" i="1"/>
  <c r="P14" i="1"/>
  <c r="P24" i="1"/>
  <c r="P34" i="1"/>
  <c r="P44" i="1"/>
  <c r="P54" i="1"/>
  <c r="P64" i="1"/>
  <c r="P74" i="1"/>
  <c r="P84" i="1"/>
  <c r="P94" i="1"/>
  <c r="P104" i="1"/>
  <c r="P114" i="1"/>
  <c r="P124" i="1"/>
  <c r="P134" i="1"/>
  <c r="P144" i="1"/>
  <c r="P154" i="1"/>
  <c r="P164" i="1"/>
  <c r="P174" i="1"/>
  <c r="P184" i="1"/>
  <c r="P194" i="1"/>
  <c r="P204" i="1"/>
  <c r="P214" i="1"/>
  <c r="P224" i="1"/>
  <c r="P234" i="1"/>
  <c r="P244" i="1"/>
  <c r="P254" i="1"/>
  <c r="P264" i="1"/>
  <c r="P274" i="1"/>
  <c r="P284" i="1"/>
  <c r="P294" i="1"/>
  <c r="P304" i="1"/>
  <c r="P314" i="1"/>
  <c r="P324" i="1"/>
  <c r="P334" i="1"/>
  <c r="P344" i="1"/>
  <c r="P354" i="1"/>
  <c r="I100" i="2"/>
  <c r="H92" i="2"/>
  <c r="G24" i="2"/>
  <c r="G56" i="2"/>
  <c r="G86" i="2"/>
  <c r="G109" i="2"/>
  <c r="F14" i="2"/>
  <c r="F29" i="2"/>
  <c r="F42" i="2"/>
  <c r="F54" i="2"/>
  <c r="F67" i="2"/>
  <c r="F79" i="2"/>
  <c r="F92" i="2"/>
  <c r="F104" i="2"/>
  <c r="E9" i="2"/>
  <c r="E21" i="2"/>
  <c r="E32" i="2"/>
  <c r="E43" i="2"/>
  <c r="E54" i="2"/>
  <c r="E65" i="2"/>
  <c r="E76" i="2"/>
  <c r="E87" i="2"/>
  <c r="E97" i="2"/>
  <c r="E107" i="2"/>
  <c r="D9" i="2"/>
  <c r="D19" i="2"/>
  <c r="D29" i="2"/>
  <c r="D39" i="2"/>
  <c r="D49" i="2"/>
  <c r="D59" i="2"/>
  <c r="D69" i="2"/>
  <c r="D79" i="2"/>
  <c r="D89" i="2"/>
  <c r="D99" i="2"/>
  <c r="D109" i="2"/>
  <c r="C11" i="2"/>
  <c r="C21" i="2"/>
  <c r="C31" i="2"/>
  <c r="C41" i="2"/>
  <c r="C51" i="2"/>
  <c r="C61" i="2"/>
  <c r="C71" i="2"/>
  <c r="C81" i="2"/>
  <c r="C91" i="2"/>
  <c r="C101" i="2"/>
  <c r="B3" i="2"/>
  <c r="B13" i="2"/>
  <c r="B23" i="2"/>
  <c r="B33" i="2"/>
  <c r="B43" i="2"/>
  <c r="B53" i="2"/>
  <c r="B63" i="2"/>
  <c r="B73" i="2"/>
  <c r="B83" i="2"/>
  <c r="B93" i="2"/>
  <c r="B103" i="2"/>
  <c r="P5" i="1"/>
  <c r="P15" i="1"/>
  <c r="P25" i="1"/>
  <c r="P35" i="1"/>
  <c r="P45" i="1"/>
  <c r="P55" i="1"/>
  <c r="P65" i="1"/>
  <c r="P75" i="1"/>
  <c r="P85" i="1"/>
  <c r="P95" i="1"/>
  <c r="P105" i="1"/>
  <c r="P115" i="1"/>
  <c r="P125" i="1"/>
  <c r="P135" i="1"/>
  <c r="P145" i="1"/>
  <c r="P155" i="1"/>
  <c r="P165" i="1"/>
  <c r="P175" i="1"/>
  <c r="P185" i="1"/>
  <c r="P195" i="1"/>
  <c r="P205" i="1"/>
  <c r="P215" i="1"/>
  <c r="P225" i="1"/>
  <c r="P235" i="1"/>
  <c r="P245" i="1"/>
  <c r="P255" i="1"/>
  <c r="P265" i="1"/>
  <c r="P275" i="1"/>
  <c r="P285" i="1"/>
  <c r="P295" i="1"/>
  <c r="P305" i="1"/>
  <c r="P315" i="1"/>
  <c r="P325" i="1"/>
  <c r="P335" i="1"/>
  <c r="P345" i="1"/>
  <c r="P355" i="1"/>
  <c r="P365" i="1"/>
  <c r="P375" i="1"/>
  <c r="P385" i="1"/>
  <c r="P395" i="1"/>
  <c r="I110" i="2"/>
  <c r="H102" i="2"/>
  <c r="G26" i="2"/>
  <c r="G61" i="2"/>
  <c r="G89" i="2"/>
  <c r="G110" i="2"/>
  <c r="F16" i="2"/>
  <c r="F31" i="2"/>
  <c r="F43" i="2"/>
  <c r="F56" i="2"/>
  <c r="F68" i="2"/>
  <c r="F81" i="2"/>
  <c r="F93" i="2"/>
  <c r="F106" i="2"/>
  <c r="E10" i="2"/>
  <c r="E22" i="2"/>
  <c r="E33" i="2"/>
  <c r="E44" i="2"/>
  <c r="E55" i="2"/>
  <c r="E66" i="2"/>
  <c r="E78" i="2"/>
  <c r="E88" i="2"/>
  <c r="E98" i="2"/>
  <c r="E108" i="2"/>
  <c r="D10" i="2"/>
  <c r="D20" i="2"/>
  <c r="D30" i="2"/>
  <c r="D40" i="2"/>
  <c r="D50" i="2"/>
  <c r="D60" i="2"/>
  <c r="D70" i="2"/>
  <c r="D80" i="2"/>
  <c r="D90" i="2"/>
  <c r="D100" i="2"/>
  <c r="D110" i="2"/>
  <c r="C12" i="2"/>
  <c r="C22" i="2"/>
  <c r="C32" i="2"/>
  <c r="C42" i="2"/>
  <c r="C52" i="2"/>
  <c r="C62" i="2"/>
  <c r="C72" i="2"/>
  <c r="C82" i="2"/>
  <c r="C92" i="2"/>
  <c r="C102" i="2"/>
  <c r="B4" i="2"/>
  <c r="B14" i="2"/>
  <c r="B24" i="2"/>
  <c r="B34" i="2"/>
  <c r="B44" i="2"/>
  <c r="B54" i="2"/>
  <c r="B64" i="2"/>
  <c r="B74" i="2"/>
  <c r="B84" i="2"/>
  <c r="B94" i="2"/>
  <c r="B104" i="2"/>
  <c r="P6" i="1"/>
  <c r="P16" i="1"/>
  <c r="P26" i="1"/>
  <c r="P36" i="1"/>
  <c r="P46" i="1"/>
  <c r="P56" i="1"/>
  <c r="P66" i="1"/>
  <c r="P76" i="1"/>
  <c r="P86" i="1"/>
  <c r="P96" i="1"/>
  <c r="P106" i="1"/>
  <c r="P116" i="1"/>
  <c r="P126" i="1"/>
  <c r="P136" i="1"/>
  <c r="P146" i="1"/>
  <c r="P156" i="1"/>
  <c r="P166" i="1"/>
  <c r="P176" i="1"/>
  <c r="P186" i="1"/>
  <c r="P196" i="1"/>
  <c r="P206" i="1"/>
  <c r="P216" i="1"/>
  <c r="P226" i="1"/>
  <c r="P236" i="1"/>
  <c r="P246" i="1"/>
  <c r="P256" i="1"/>
  <c r="H12" i="2"/>
  <c r="H104" i="2"/>
  <c r="G31" i="2"/>
  <c r="G64" i="2"/>
  <c r="G91" i="2"/>
  <c r="F3" i="2"/>
  <c r="F18" i="2"/>
  <c r="F32" i="2"/>
  <c r="F44" i="2"/>
  <c r="F57" i="2"/>
  <c r="F69" i="2"/>
  <c r="F82" i="2"/>
  <c r="F94" i="2"/>
  <c r="F107" i="2"/>
  <c r="E11" i="2"/>
  <c r="E23" i="2"/>
  <c r="E34" i="2"/>
  <c r="E45" i="2"/>
  <c r="E56" i="2"/>
  <c r="E68" i="2"/>
  <c r="E79" i="2"/>
  <c r="E89" i="2"/>
  <c r="E99" i="2"/>
  <c r="E109" i="2"/>
  <c r="D11" i="2"/>
  <c r="D21" i="2"/>
  <c r="D31" i="2"/>
  <c r="D41" i="2"/>
  <c r="D51" i="2"/>
  <c r="D61" i="2"/>
  <c r="D71" i="2"/>
  <c r="D81" i="2"/>
  <c r="D91" i="2"/>
  <c r="D101" i="2"/>
  <c r="C3" i="2"/>
  <c r="C13" i="2"/>
  <c r="C23" i="2"/>
  <c r="C33" i="2"/>
  <c r="C43" i="2"/>
  <c r="C53" i="2"/>
  <c r="C63" i="2"/>
  <c r="C73" i="2"/>
  <c r="C83" i="2"/>
  <c r="C93" i="2"/>
  <c r="C103" i="2"/>
  <c r="B5" i="2"/>
  <c r="B15" i="2"/>
  <c r="B25" i="2"/>
  <c r="B35" i="2"/>
  <c r="B45" i="2"/>
  <c r="B55" i="2"/>
  <c r="B65" i="2"/>
  <c r="B75" i="2"/>
  <c r="B85" i="2"/>
  <c r="B95" i="2"/>
  <c r="B105" i="2"/>
  <c r="P7" i="1"/>
  <c r="P17" i="1"/>
  <c r="P27" i="1"/>
  <c r="P37" i="1"/>
  <c r="P47" i="1"/>
  <c r="P57" i="1"/>
  <c r="P67" i="1"/>
  <c r="P77" i="1"/>
  <c r="P87" i="1"/>
  <c r="P97" i="1"/>
  <c r="P107" i="1"/>
  <c r="P117" i="1"/>
  <c r="P127" i="1"/>
  <c r="P137" i="1"/>
  <c r="P147" i="1"/>
  <c r="P157" i="1"/>
  <c r="P167" i="1"/>
  <c r="P177" i="1"/>
  <c r="P187" i="1"/>
  <c r="P197" i="1"/>
  <c r="P207" i="1"/>
  <c r="P217" i="1"/>
  <c r="P227" i="1"/>
  <c r="P237" i="1"/>
  <c r="P247" i="1"/>
  <c r="P257" i="1"/>
  <c r="P267" i="1"/>
  <c r="P277" i="1"/>
  <c r="P287" i="1"/>
  <c r="P297" i="1"/>
  <c r="P307" i="1"/>
  <c r="P317" i="1"/>
  <c r="P327" i="1"/>
  <c r="P337" i="1"/>
  <c r="P266" i="1"/>
  <c r="P351" i="1"/>
  <c r="P377" i="1"/>
  <c r="P404" i="1"/>
  <c r="P420" i="1"/>
  <c r="P435" i="1"/>
  <c r="P449" i="1"/>
  <c r="P464" i="1"/>
  <c r="P477" i="1"/>
  <c r="P490" i="1"/>
  <c r="P504" i="1"/>
  <c r="P516" i="1"/>
  <c r="P527" i="1"/>
  <c r="P538" i="1"/>
  <c r="P549" i="1"/>
  <c r="P560" i="1"/>
  <c r="P571" i="1"/>
  <c r="P583" i="1"/>
  <c r="P594" i="1"/>
  <c r="P605" i="1"/>
  <c r="P616" i="1"/>
  <c r="P627" i="1"/>
  <c r="P638" i="1"/>
  <c r="P649" i="1"/>
  <c r="P660" i="1"/>
  <c r="P671" i="1"/>
  <c r="P683" i="1"/>
  <c r="P694" i="1"/>
  <c r="P705" i="1"/>
  <c r="P715" i="1"/>
  <c r="P725" i="1"/>
  <c r="P735" i="1"/>
  <c r="P745" i="1"/>
  <c r="P755" i="1"/>
  <c r="P765" i="1"/>
  <c r="P775" i="1"/>
  <c r="P785" i="1"/>
  <c r="P795" i="1"/>
  <c r="P805" i="1"/>
  <c r="P815" i="1"/>
  <c r="P825" i="1"/>
  <c r="P835" i="1"/>
  <c r="P845" i="1"/>
  <c r="P855" i="1"/>
  <c r="P865" i="1"/>
  <c r="P875" i="1"/>
  <c r="P885" i="1"/>
  <c r="P895" i="1"/>
  <c r="P905" i="1"/>
  <c r="P915" i="1"/>
  <c r="P925" i="1"/>
  <c r="P935" i="1"/>
  <c r="P945" i="1"/>
  <c r="P955" i="1"/>
  <c r="P965" i="1"/>
  <c r="P975" i="1"/>
  <c r="P985" i="1"/>
  <c r="P995" i="1"/>
  <c r="P1005" i="1"/>
  <c r="P1015" i="1"/>
  <c r="P1025" i="1"/>
  <c r="P1035" i="1"/>
  <c r="P1045" i="1"/>
  <c r="P1055" i="1"/>
  <c r="P1065" i="1"/>
  <c r="P1075" i="1"/>
  <c r="P1085" i="1"/>
  <c r="P1095" i="1"/>
  <c r="P1105" i="1"/>
  <c r="P1115" i="1"/>
  <c r="P1125" i="1"/>
  <c r="P1135" i="1"/>
  <c r="P1145" i="1"/>
  <c r="P1155" i="1"/>
  <c r="P1165" i="1"/>
  <c r="P1175" i="1"/>
  <c r="P1185" i="1"/>
  <c r="P1195" i="1"/>
  <c r="P1205" i="1"/>
  <c r="P1215" i="1"/>
  <c r="P1225" i="1"/>
  <c r="P1235" i="1"/>
  <c r="P1245" i="1"/>
  <c r="P1255" i="1"/>
  <c r="P1265" i="1"/>
  <c r="P1275" i="1"/>
  <c r="P1285" i="1"/>
  <c r="P1295" i="1"/>
  <c r="P1305" i="1"/>
  <c r="P1315" i="1"/>
  <c r="P1325" i="1"/>
  <c r="P1335" i="1"/>
  <c r="P1345" i="1"/>
  <c r="P1355" i="1"/>
  <c r="P1365" i="1"/>
  <c r="P1375" i="1"/>
  <c r="P1385" i="1"/>
  <c r="P1395" i="1"/>
  <c r="P1405" i="1"/>
  <c r="P1415" i="1"/>
  <c r="P1425" i="1"/>
  <c r="P1435" i="1"/>
  <c r="P1445" i="1"/>
  <c r="P1455" i="1"/>
  <c r="P1465" i="1"/>
  <c r="P1475" i="1"/>
  <c r="P1485" i="1"/>
  <c r="P1495" i="1"/>
  <c r="P1505" i="1"/>
  <c r="P1515" i="1"/>
  <c r="P1525" i="1"/>
  <c r="P1535" i="1"/>
  <c r="P1545" i="1"/>
  <c r="P1555" i="1"/>
  <c r="P1565" i="1"/>
  <c r="P1575" i="1"/>
  <c r="P1585" i="1"/>
  <c r="P1595" i="1"/>
  <c r="P1605" i="1"/>
  <c r="P1615" i="1"/>
  <c r="P1625" i="1"/>
  <c r="P1635" i="1"/>
  <c r="P1645" i="1"/>
  <c r="P1655" i="1"/>
  <c r="P1665" i="1"/>
  <c r="P1675" i="1"/>
  <c r="P1685" i="1"/>
  <c r="P276" i="1"/>
  <c r="P356" i="1"/>
  <c r="P381" i="1"/>
  <c r="P405" i="1"/>
  <c r="P421" i="1"/>
  <c r="P436" i="1"/>
  <c r="P450" i="1"/>
  <c r="P465" i="1"/>
  <c r="P479" i="1"/>
  <c r="P491" i="1"/>
  <c r="P505" i="1"/>
  <c r="P517" i="1"/>
  <c r="P528" i="1"/>
  <c r="P539" i="1"/>
  <c r="P550" i="1"/>
  <c r="P561" i="1"/>
  <c r="P573" i="1"/>
  <c r="P584" i="1"/>
  <c r="P595" i="1"/>
  <c r="P606" i="1"/>
  <c r="P617" i="1"/>
  <c r="P628" i="1"/>
  <c r="P639" i="1"/>
  <c r="P650" i="1"/>
  <c r="P661" i="1"/>
  <c r="P673" i="1"/>
  <c r="P684" i="1"/>
  <c r="P695" i="1"/>
  <c r="P706" i="1"/>
  <c r="P716" i="1"/>
  <c r="P726" i="1"/>
  <c r="P736" i="1"/>
  <c r="P746" i="1"/>
  <c r="P756" i="1"/>
  <c r="P766" i="1"/>
  <c r="P776" i="1"/>
  <c r="P786" i="1"/>
  <c r="P796" i="1"/>
  <c r="P806" i="1"/>
  <c r="P816" i="1"/>
  <c r="P826" i="1"/>
  <c r="P836" i="1"/>
  <c r="P846" i="1"/>
  <c r="P856" i="1"/>
  <c r="P866" i="1"/>
  <c r="P876" i="1"/>
  <c r="P886" i="1"/>
  <c r="P896" i="1"/>
  <c r="P906" i="1"/>
  <c r="P916" i="1"/>
  <c r="P926" i="1"/>
  <c r="P936" i="1"/>
  <c r="P946" i="1"/>
  <c r="P956" i="1"/>
  <c r="P966" i="1"/>
  <c r="P976" i="1"/>
  <c r="P986" i="1"/>
  <c r="P996" i="1"/>
  <c r="P1006" i="1"/>
  <c r="P1016" i="1"/>
  <c r="P1026" i="1"/>
  <c r="P1036" i="1"/>
  <c r="P1046" i="1"/>
  <c r="P1056" i="1"/>
  <c r="P1066" i="1"/>
  <c r="P1076" i="1"/>
  <c r="P1086" i="1"/>
  <c r="P1096" i="1"/>
  <c r="P1106" i="1"/>
  <c r="P1116" i="1"/>
  <c r="P1126" i="1"/>
  <c r="P1136" i="1"/>
  <c r="P1146" i="1"/>
  <c r="P1156" i="1"/>
  <c r="P1166" i="1"/>
  <c r="P1176" i="1"/>
  <c r="P1186" i="1"/>
  <c r="P1196" i="1"/>
  <c r="P1206" i="1"/>
  <c r="P1216" i="1"/>
  <c r="P1226" i="1"/>
  <c r="P1236" i="1"/>
  <c r="P1246" i="1"/>
  <c r="P1256" i="1"/>
  <c r="P1266" i="1"/>
  <c r="P1276" i="1"/>
  <c r="P1286" i="1"/>
  <c r="P1296" i="1"/>
  <c r="P1306" i="1"/>
  <c r="P1316" i="1"/>
  <c r="P1326" i="1"/>
  <c r="P1336" i="1"/>
  <c r="P1346" i="1"/>
  <c r="P1356" i="1"/>
  <c r="P1366" i="1"/>
  <c r="P1376" i="1"/>
  <c r="P1386" i="1"/>
  <c r="P1396" i="1"/>
  <c r="P1406" i="1"/>
  <c r="P1416" i="1"/>
  <c r="P1426" i="1"/>
  <c r="P1436" i="1"/>
  <c r="P1446" i="1"/>
  <c r="P1456" i="1"/>
  <c r="P1466" i="1"/>
  <c r="P286" i="1"/>
  <c r="P357" i="1"/>
  <c r="P384" i="1"/>
  <c r="P406" i="1"/>
  <c r="P424" i="1"/>
  <c r="P437" i="1"/>
  <c r="P451" i="1"/>
  <c r="P466" i="1"/>
  <c r="P480" i="1"/>
  <c r="P494" i="1"/>
  <c r="P506" i="1"/>
  <c r="P518" i="1"/>
  <c r="P529" i="1"/>
  <c r="P540" i="1"/>
  <c r="P551" i="1"/>
  <c r="P563" i="1"/>
  <c r="P574" i="1"/>
  <c r="P585" i="1"/>
  <c r="P596" i="1"/>
  <c r="P607" i="1"/>
  <c r="P618" i="1"/>
  <c r="P629" i="1"/>
  <c r="P640" i="1"/>
  <c r="P651" i="1"/>
  <c r="P663" i="1"/>
  <c r="P674" i="1"/>
  <c r="P685" i="1"/>
  <c r="P696" i="1"/>
  <c r="P707" i="1"/>
  <c r="P717" i="1"/>
  <c r="P727" i="1"/>
  <c r="P737" i="1"/>
  <c r="P747" i="1"/>
  <c r="P757" i="1"/>
  <c r="P767" i="1"/>
  <c r="P777" i="1"/>
  <c r="P787" i="1"/>
  <c r="P797" i="1"/>
  <c r="P807" i="1"/>
  <c r="P817" i="1"/>
  <c r="P827" i="1"/>
  <c r="P837" i="1"/>
  <c r="P847" i="1"/>
  <c r="P857" i="1"/>
  <c r="P867" i="1"/>
  <c r="P877" i="1"/>
  <c r="P887" i="1"/>
  <c r="P897" i="1"/>
  <c r="P907" i="1"/>
  <c r="P917" i="1"/>
  <c r="P927" i="1"/>
  <c r="P937" i="1"/>
  <c r="P947" i="1"/>
  <c r="P957" i="1"/>
  <c r="P967" i="1"/>
  <c r="P977" i="1"/>
  <c r="P987" i="1"/>
  <c r="P997" i="1"/>
  <c r="P1007" i="1"/>
  <c r="P1017" i="1"/>
  <c r="P1027" i="1"/>
  <c r="P1037" i="1"/>
  <c r="P1047" i="1"/>
  <c r="P1057" i="1"/>
  <c r="P1067" i="1"/>
  <c r="P1077" i="1"/>
  <c r="P1087" i="1"/>
  <c r="P1097" i="1"/>
  <c r="P1107" i="1"/>
  <c r="P1117" i="1"/>
  <c r="P1127" i="1"/>
  <c r="P1137" i="1"/>
  <c r="P1147" i="1"/>
  <c r="P1157" i="1"/>
  <c r="P1167" i="1"/>
  <c r="P1177" i="1"/>
  <c r="P1187" i="1"/>
  <c r="P1197" i="1"/>
  <c r="P1207" i="1"/>
  <c r="P1217" i="1"/>
  <c r="P1227" i="1"/>
  <c r="P1237" i="1"/>
  <c r="P1247" i="1"/>
  <c r="P1257" i="1"/>
  <c r="P1267" i="1"/>
  <c r="P1277" i="1"/>
  <c r="P1287" i="1"/>
  <c r="P1297" i="1"/>
  <c r="P1307" i="1"/>
  <c r="P1317" i="1"/>
  <c r="P1327" i="1"/>
  <c r="P1337" i="1"/>
  <c r="P1347" i="1"/>
  <c r="P1357" i="1"/>
  <c r="P1367" i="1"/>
  <c r="P1377" i="1"/>
  <c r="P1387" i="1"/>
  <c r="P1397" i="1"/>
  <c r="P1407" i="1"/>
  <c r="P1417" i="1"/>
  <c r="P1427" i="1"/>
  <c r="P1437" i="1"/>
  <c r="P1447" i="1"/>
  <c r="P1457" i="1"/>
  <c r="P1467" i="1"/>
  <c r="P1477" i="1"/>
  <c r="P1487" i="1"/>
  <c r="P1497" i="1"/>
  <c r="P1507" i="1"/>
  <c r="P1517" i="1"/>
  <c r="P1527" i="1"/>
  <c r="P1537" i="1"/>
  <c r="P1547" i="1"/>
  <c r="P1557" i="1"/>
  <c r="P1567" i="1"/>
  <c r="P296" i="1"/>
  <c r="P361" i="1"/>
  <c r="P386" i="1"/>
  <c r="P407" i="1"/>
  <c r="P425" i="1"/>
  <c r="P439" i="1"/>
  <c r="P454" i="1"/>
  <c r="P467" i="1"/>
  <c r="P481" i="1"/>
  <c r="P495" i="1"/>
  <c r="P507" i="1"/>
  <c r="P519" i="1"/>
  <c r="P530" i="1"/>
  <c r="P541" i="1"/>
  <c r="P553" i="1"/>
  <c r="P564" i="1"/>
  <c r="P575" i="1"/>
  <c r="P586" i="1"/>
  <c r="P597" i="1"/>
  <c r="P608" i="1"/>
  <c r="P619" i="1"/>
  <c r="P630" i="1"/>
  <c r="P641" i="1"/>
  <c r="P653" i="1"/>
  <c r="P664" i="1"/>
  <c r="P675" i="1"/>
  <c r="P686" i="1"/>
  <c r="P697" i="1"/>
  <c r="P708" i="1"/>
  <c r="P718" i="1"/>
  <c r="P728" i="1"/>
  <c r="P738" i="1"/>
  <c r="P748" i="1"/>
  <c r="P758" i="1"/>
  <c r="P768" i="1"/>
  <c r="P778" i="1"/>
  <c r="P788" i="1"/>
  <c r="P798" i="1"/>
  <c r="P808" i="1"/>
  <c r="P818" i="1"/>
  <c r="P828" i="1"/>
  <c r="P838" i="1"/>
  <c r="P848" i="1"/>
  <c r="P858" i="1"/>
  <c r="P868" i="1"/>
  <c r="P878" i="1"/>
  <c r="P888" i="1"/>
  <c r="P898" i="1"/>
  <c r="P908" i="1"/>
  <c r="P918" i="1"/>
  <c r="P928" i="1"/>
  <c r="P938" i="1"/>
  <c r="P948" i="1"/>
  <c r="P958" i="1"/>
  <c r="P968" i="1"/>
  <c r="P978" i="1"/>
  <c r="P988" i="1"/>
  <c r="P998" i="1"/>
  <c r="P1008" i="1"/>
  <c r="P1018" i="1"/>
  <c r="P1028" i="1"/>
  <c r="P1038" i="1"/>
  <c r="P1048" i="1"/>
  <c r="P1058" i="1"/>
  <c r="P1068" i="1"/>
  <c r="P1078" i="1"/>
  <c r="P1088" i="1"/>
  <c r="P1098" i="1"/>
  <c r="P1108" i="1"/>
  <c r="P1118" i="1"/>
  <c r="P1128" i="1"/>
  <c r="P1138" i="1"/>
  <c r="P1148" i="1"/>
  <c r="P1158" i="1"/>
  <c r="P1168" i="1"/>
  <c r="P1178" i="1"/>
  <c r="P1188" i="1"/>
  <c r="P1198" i="1"/>
  <c r="P1208" i="1"/>
  <c r="P1218" i="1"/>
  <c r="P1228" i="1"/>
  <c r="P1238" i="1"/>
  <c r="P1248" i="1"/>
  <c r="P1258" i="1"/>
  <c r="P1268" i="1"/>
  <c r="P1278" i="1"/>
  <c r="P1288" i="1"/>
  <c r="P1298" i="1"/>
  <c r="P1308" i="1"/>
  <c r="P1318" i="1"/>
  <c r="P1328" i="1"/>
  <c r="P1338" i="1"/>
  <c r="P1348" i="1"/>
  <c r="P1358" i="1"/>
  <c r="P1368" i="1"/>
  <c r="P1378" i="1"/>
  <c r="P1388" i="1"/>
  <c r="P1398" i="1"/>
  <c r="P1408" i="1"/>
  <c r="P1418" i="1"/>
  <c r="P306" i="1"/>
  <c r="P364" i="1"/>
  <c r="P387" i="1"/>
  <c r="P411" i="1"/>
  <c r="P426" i="1"/>
  <c r="P440" i="1"/>
  <c r="P455" i="1"/>
  <c r="P469" i="1"/>
  <c r="P484" i="1"/>
  <c r="P496" i="1"/>
  <c r="P508" i="1"/>
  <c r="P520" i="1"/>
  <c r="P531" i="1"/>
  <c r="P543" i="1"/>
  <c r="P554" i="1"/>
  <c r="P565" i="1"/>
  <c r="P576" i="1"/>
  <c r="P587" i="1"/>
  <c r="P598" i="1"/>
  <c r="P609" i="1"/>
  <c r="P620" i="1"/>
  <c r="P631" i="1"/>
  <c r="P643" i="1"/>
  <c r="P654" i="1"/>
  <c r="P665" i="1"/>
  <c r="P676" i="1"/>
  <c r="P687" i="1"/>
  <c r="P698" i="1"/>
  <c r="P709" i="1"/>
  <c r="P719" i="1"/>
  <c r="P729" i="1"/>
  <c r="P739" i="1"/>
  <c r="P749" i="1"/>
  <c r="P759" i="1"/>
  <c r="P769" i="1"/>
  <c r="P779" i="1"/>
  <c r="P789" i="1"/>
  <c r="P799" i="1"/>
  <c r="P809" i="1"/>
  <c r="P819" i="1"/>
  <c r="P829" i="1"/>
  <c r="P839" i="1"/>
  <c r="P849" i="1"/>
  <c r="P859" i="1"/>
  <c r="P869" i="1"/>
  <c r="P879" i="1"/>
  <c r="P889" i="1"/>
  <c r="P899" i="1"/>
  <c r="P909" i="1"/>
  <c r="P919" i="1"/>
  <c r="P929" i="1"/>
  <c r="P939" i="1"/>
  <c r="P949" i="1"/>
  <c r="P959" i="1"/>
  <c r="P969" i="1"/>
  <c r="P979" i="1"/>
  <c r="P989" i="1"/>
  <c r="P999" i="1"/>
  <c r="P1009" i="1"/>
  <c r="P1019" i="1"/>
  <c r="P1029" i="1"/>
  <c r="P1039" i="1"/>
  <c r="P1049" i="1"/>
  <c r="P1059" i="1"/>
  <c r="P1069" i="1"/>
  <c r="P1079" i="1"/>
  <c r="P1089" i="1"/>
  <c r="P1099" i="1"/>
  <c r="P1109" i="1"/>
  <c r="P1119" i="1"/>
  <c r="P1129" i="1"/>
  <c r="P1139" i="1"/>
  <c r="P1149" i="1"/>
  <c r="P1159" i="1"/>
  <c r="P1169" i="1"/>
  <c r="P1179" i="1"/>
  <c r="P1189" i="1"/>
  <c r="P1199" i="1"/>
  <c r="P1209" i="1"/>
  <c r="P1219" i="1"/>
  <c r="P1229" i="1"/>
  <c r="P1239" i="1"/>
  <c r="P1249" i="1"/>
  <c r="P1259" i="1"/>
  <c r="P1269" i="1"/>
  <c r="P1279" i="1"/>
  <c r="P1289" i="1"/>
  <c r="P1299" i="1"/>
  <c r="P1309" i="1"/>
  <c r="P1319" i="1"/>
  <c r="P1329" i="1"/>
  <c r="P1339" i="1"/>
  <c r="P1349" i="1"/>
  <c r="P1359" i="1"/>
  <c r="P1369" i="1"/>
  <c r="P1379" i="1"/>
  <c r="P1389" i="1"/>
  <c r="P1399" i="1"/>
  <c r="P1409" i="1"/>
  <c r="P316" i="1"/>
  <c r="P366" i="1"/>
  <c r="P391" i="1"/>
  <c r="P414" i="1"/>
  <c r="P427" i="1"/>
  <c r="P441" i="1"/>
  <c r="P456" i="1"/>
  <c r="P470" i="1"/>
  <c r="P485" i="1"/>
  <c r="P497" i="1"/>
  <c r="P509" i="1"/>
  <c r="P521" i="1"/>
  <c r="P533" i="1"/>
  <c r="P544" i="1"/>
  <c r="P555" i="1"/>
  <c r="P566" i="1"/>
  <c r="P577" i="1"/>
  <c r="P588" i="1"/>
  <c r="P599" i="1"/>
  <c r="P610" i="1"/>
  <c r="P621" i="1"/>
  <c r="P633" i="1"/>
  <c r="P644" i="1"/>
  <c r="P655" i="1"/>
  <c r="P666" i="1"/>
  <c r="P677" i="1"/>
  <c r="P688" i="1"/>
  <c r="P699" i="1"/>
  <c r="P710" i="1"/>
  <c r="P720" i="1"/>
  <c r="P730" i="1"/>
  <c r="P740" i="1"/>
  <c r="P750" i="1"/>
  <c r="P760" i="1"/>
  <c r="P770" i="1"/>
  <c r="P780" i="1"/>
  <c r="P790" i="1"/>
  <c r="P800" i="1"/>
  <c r="P810" i="1"/>
  <c r="P820" i="1"/>
  <c r="P830" i="1"/>
  <c r="P840" i="1"/>
  <c r="P850" i="1"/>
  <c r="P860" i="1"/>
  <c r="P870" i="1"/>
  <c r="P880" i="1"/>
  <c r="P890" i="1"/>
  <c r="P900" i="1"/>
  <c r="P910" i="1"/>
  <c r="P920" i="1"/>
  <c r="P930" i="1"/>
  <c r="P940" i="1"/>
  <c r="P950" i="1"/>
  <c r="P960" i="1"/>
  <c r="P970" i="1"/>
  <c r="P980" i="1"/>
  <c r="P990" i="1"/>
  <c r="P1000" i="1"/>
  <c r="P1010" i="1"/>
  <c r="P1020" i="1"/>
  <c r="P1030" i="1"/>
  <c r="P1040" i="1"/>
  <c r="P1050" i="1"/>
  <c r="P1060" i="1"/>
  <c r="P1070" i="1"/>
  <c r="P1080" i="1"/>
  <c r="P1090" i="1"/>
  <c r="P1100" i="1"/>
  <c r="P1110" i="1"/>
  <c r="P1120" i="1"/>
  <c r="P1130" i="1"/>
  <c r="P1140" i="1"/>
  <c r="P1150" i="1"/>
  <c r="P1160" i="1"/>
  <c r="P1170" i="1"/>
  <c r="P1180" i="1"/>
  <c r="P1190" i="1"/>
  <c r="P1200" i="1"/>
  <c r="P1210" i="1"/>
  <c r="P1220" i="1"/>
  <c r="P1230" i="1"/>
  <c r="P1240" i="1"/>
  <c r="P1250" i="1"/>
  <c r="P1260" i="1"/>
  <c r="P1270" i="1"/>
  <c r="P1280" i="1"/>
  <c r="P1290" i="1"/>
  <c r="P1300" i="1"/>
  <c r="P1310" i="1"/>
  <c r="P1320" i="1"/>
  <c r="P1330" i="1"/>
  <c r="P1340" i="1"/>
  <c r="P1350" i="1"/>
  <c r="P1360" i="1"/>
  <c r="P1370" i="1"/>
  <c r="P1380" i="1"/>
  <c r="P1390" i="1"/>
  <c r="P1400" i="1"/>
  <c r="P1410" i="1"/>
  <c r="P1420" i="1"/>
  <c r="P1430" i="1"/>
  <c r="P1440" i="1"/>
  <c r="P1450" i="1"/>
  <c r="P1460" i="1"/>
  <c r="P326" i="1"/>
  <c r="P367" i="1"/>
  <c r="P394" i="1"/>
  <c r="P415" i="1"/>
  <c r="P429" i="1"/>
  <c r="P444" i="1"/>
  <c r="P457" i="1"/>
  <c r="P471" i="1"/>
  <c r="P486" i="1"/>
  <c r="P498" i="1"/>
  <c r="P510" i="1"/>
  <c r="P523" i="1"/>
  <c r="P534" i="1"/>
  <c r="P545" i="1"/>
  <c r="P556" i="1"/>
  <c r="P567" i="1"/>
  <c r="P578" i="1"/>
  <c r="P589" i="1"/>
  <c r="P600" i="1"/>
  <c r="P611" i="1"/>
  <c r="P623" i="1"/>
  <c r="P634" i="1"/>
  <c r="P645" i="1"/>
  <c r="P656" i="1"/>
  <c r="P667" i="1"/>
  <c r="P678" i="1"/>
  <c r="P689" i="1"/>
  <c r="P700" i="1"/>
  <c r="P711" i="1"/>
  <c r="P721" i="1"/>
  <c r="P731" i="1"/>
  <c r="P741" i="1"/>
  <c r="P751" i="1"/>
  <c r="P761" i="1"/>
  <c r="P771" i="1"/>
  <c r="P781" i="1"/>
  <c r="P791" i="1"/>
  <c r="P801" i="1"/>
  <c r="P811" i="1"/>
  <c r="P821" i="1"/>
  <c r="P831" i="1"/>
  <c r="P841" i="1"/>
  <c r="P851" i="1"/>
  <c r="P861" i="1"/>
  <c r="P871" i="1"/>
  <c r="P881" i="1"/>
  <c r="P891" i="1"/>
  <c r="P901" i="1"/>
  <c r="P911" i="1"/>
  <c r="P921" i="1"/>
  <c r="P931" i="1"/>
  <c r="P941" i="1"/>
  <c r="P951" i="1"/>
  <c r="P961" i="1"/>
  <c r="P971" i="1"/>
  <c r="P981" i="1"/>
  <c r="P991" i="1"/>
  <c r="P1001" i="1"/>
  <c r="P1011" i="1"/>
  <c r="P1021" i="1"/>
  <c r="P1031" i="1"/>
  <c r="P1041" i="1"/>
  <c r="P1051" i="1"/>
  <c r="P1061" i="1"/>
  <c r="P1071" i="1"/>
  <c r="P1081" i="1"/>
  <c r="P1091" i="1"/>
  <c r="P1101" i="1"/>
  <c r="P1111" i="1"/>
  <c r="P1121" i="1"/>
  <c r="P1131" i="1"/>
  <c r="P1141" i="1"/>
  <c r="P1151" i="1"/>
  <c r="P1161" i="1"/>
  <c r="P1171" i="1"/>
  <c r="P1181" i="1"/>
  <c r="P1191" i="1"/>
  <c r="P1201" i="1"/>
  <c r="P1211" i="1"/>
  <c r="P1221" i="1"/>
  <c r="P1231" i="1"/>
  <c r="P1241" i="1"/>
  <c r="P1251" i="1"/>
  <c r="P1261" i="1"/>
  <c r="P1271" i="1"/>
  <c r="P1281" i="1"/>
  <c r="P1291" i="1"/>
  <c r="P1301" i="1"/>
  <c r="P1311" i="1"/>
  <c r="P1321" i="1"/>
  <c r="P1331" i="1"/>
  <c r="P1341" i="1"/>
  <c r="P1351" i="1"/>
  <c r="P1361" i="1"/>
  <c r="P1371" i="1"/>
  <c r="P1381" i="1"/>
  <c r="P1391" i="1"/>
  <c r="P1401" i="1"/>
  <c r="P1411" i="1"/>
  <c r="P1421" i="1"/>
  <c r="P1431" i="1"/>
  <c r="P1441" i="1"/>
  <c r="P1451" i="1"/>
  <c r="P336" i="1"/>
  <c r="P371" i="1"/>
  <c r="P396" i="1"/>
  <c r="P416" i="1"/>
  <c r="P430" i="1"/>
  <c r="P445" i="1"/>
  <c r="P459" i="1"/>
  <c r="P474" i="1"/>
  <c r="P487" i="1"/>
  <c r="P499" i="1"/>
  <c r="P511" i="1"/>
  <c r="P524" i="1"/>
  <c r="P535" i="1"/>
  <c r="P546" i="1"/>
  <c r="P557" i="1"/>
  <c r="P568" i="1"/>
  <c r="P579" i="1"/>
  <c r="P590" i="1"/>
  <c r="P601" i="1"/>
  <c r="P613" i="1"/>
  <c r="P624" i="1"/>
  <c r="P635" i="1"/>
  <c r="P646" i="1"/>
  <c r="P657" i="1"/>
  <c r="P668" i="1"/>
  <c r="P679" i="1"/>
  <c r="P690" i="1"/>
  <c r="P701" i="1"/>
  <c r="P712" i="1"/>
  <c r="P722" i="1"/>
  <c r="P732" i="1"/>
  <c r="P742" i="1"/>
  <c r="P752" i="1"/>
  <c r="P762" i="1"/>
  <c r="P772" i="1"/>
  <c r="P782" i="1"/>
  <c r="P792" i="1"/>
  <c r="P802" i="1"/>
  <c r="P812" i="1"/>
  <c r="P822" i="1"/>
  <c r="P832" i="1"/>
  <c r="P842" i="1"/>
  <c r="P852" i="1"/>
  <c r="P862" i="1"/>
  <c r="P872" i="1"/>
  <c r="P882" i="1"/>
  <c r="P892" i="1"/>
  <c r="P902" i="1"/>
  <c r="P912" i="1"/>
  <c r="P922" i="1"/>
  <c r="P932" i="1"/>
  <c r="P942" i="1"/>
  <c r="P952" i="1"/>
  <c r="P962" i="1"/>
  <c r="P972" i="1"/>
  <c r="P982" i="1"/>
  <c r="P992" i="1"/>
  <c r="P1002" i="1"/>
  <c r="P1012" i="1"/>
  <c r="P1022" i="1"/>
  <c r="P1032" i="1"/>
  <c r="P1042" i="1"/>
  <c r="P1052" i="1"/>
  <c r="P1062" i="1"/>
  <c r="P1072" i="1"/>
  <c r="P1082" i="1"/>
  <c r="P1092" i="1"/>
  <c r="P1102" i="1"/>
  <c r="P1112" i="1"/>
  <c r="P1122" i="1"/>
  <c r="P1132" i="1"/>
  <c r="P1142" i="1"/>
  <c r="P1152" i="1"/>
  <c r="P1162" i="1"/>
  <c r="P1172" i="1"/>
  <c r="P1182" i="1"/>
  <c r="P1192" i="1"/>
  <c r="P1202" i="1"/>
  <c r="P1212" i="1"/>
  <c r="P1222" i="1"/>
  <c r="P1232" i="1"/>
  <c r="P1242" i="1"/>
  <c r="P1252" i="1"/>
  <c r="P1262" i="1"/>
  <c r="P1272" i="1"/>
  <c r="P1282" i="1"/>
  <c r="P1292" i="1"/>
  <c r="P1302" i="1"/>
  <c r="P1312" i="1"/>
  <c r="P1322" i="1"/>
  <c r="P1332" i="1"/>
  <c r="P1342" i="1"/>
  <c r="P1352" i="1"/>
  <c r="P1362" i="1"/>
  <c r="P1372" i="1"/>
  <c r="P1382" i="1"/>
  <c r="P1392" i="1"/>
  <c r="P1402" i="1"/>
  <c r="P1412" i="1"/>
  <c r="P1422" i="1"/>
  <c r="P346" i="1"/>
  <c r="P374" i="1"/>
  <c r="P397" i="1"/>
  <c r="P417" i="1"/>
  <c r="P431" i="1"/>
  <c r="P446" i="1"/>
  <c r="P460" i="1"/>
  <c r="P475" i="1"/>
  <c r="P488" i="1"/>
  <c r="P500" i="1"/>
  <c r="P514" i="1"/>
  <c r="P525" i="1"/>
  <c r="P536" i="1"/>
  <c r="P547" i="1"/>
  <c r="P558" i="1"/>
  <c r="P569" i="1"/>
  <c r="P580" i="1"/>
  <c r="P591" i="1"/>
  <c r="P603" i="1"/>
  <c r="P614" i="1"/>
  <c r="P625" i="1"/>
  <c r="P636" i="1"/>
  <c r="P647" i="1"/>
  <c r="P658" i="1"/>
  <c r="P669" i="1"/>
  <c r="P680" i="1"/>
  <c r="P691" i="1"/>
  <c r="P703" i="1"/>
  <c r="P713" i="1"/>
  <c r="P723" i="1"/>
  <c r="P733" i="1"/>
  <c r="P743" i="1"/>
  <c r="P753" i="1"/>
  <c r="P763" i="1"/>
  <c r="P773" i="1"/>
  <c r="P783" i="1"/>
  <c r="P793" i="1"/>
  <c r="P803" i="1"/>
  <c r="P813" i="1"/>
  <c r="P823" i="1"/>
  <c r="P833" i="1"/>
  <c r="P843" i="1"/>
  <c r="P853" i="1"/>
  <c r="P863" i="1"/>
  <c r="P873" i="1"/>
  <c r="P883" i="1"/>
  <c r="P893" i="1"/>
  <c r="P903" i="1"/>
  <c r="P913" i="1"/>
  <c r="P923" i="1"/>
  <c r="P933" i="1"/>
  <c r="P943" i="1"/>
  <c r="P953" i="1"/>
  <c r="P963" i="1"/>
  <c r="P973" i="1"/>
  <c r="P983" i="1"/>
  <c r="P993" i="1"/>
  <c r="P1003" i="1"/>
  <c r="P1013" i="1"/>
  <c r="P1023" i="1"/>
  <c r="P1033" i="1"/>
  <c r="P1043" i="1"/>
  <c r="P1053" i="1"/>
  <c r="P1063" i="1"/>
  <c r="P1073" i="1"/>
  <c r="P1083" i="1"/>
  <c r="P1093" i="1"/>
  <c r="P1103" i="1"/>
  <c r="P1113" i="1"/>
  <c r="P1123" i="1"/>
  <c r="P1133" i="1"/>
  <c r="P1143" i="1"/>
  <c r="P1153" i="1"/>
  <c r="P1163" i="1"/>
  <c r="P1173" i="1"/>
  <c r="P1183" i="1"/>
  <c r="P1193" i="1"/>
  <c r="P1203" i="1"/>
  <c r="P1213" i="1"/>
  <c r="P1223" i="1"/>
  <c r="P1233" i="1"/>
  <c r="P1243" i="1"/>
  <c r="P1253" i="1"/>
  <c r="P1263" i="1"/>
  <c r="P1273" i="1"/>
  <c r="P1283" i="1"/>
  <c r="P1293" i="1"/>
  <c r="P1303" i="1"/>
  <c r="P1313" i="1"/>
  <c r="P1323" i="1"/>
  <c r="P1333" i="1"/>
  <c r="P1343" i="1"/>
  <c r="P1353" i="1"/>
  <c r="P1363" i="1"/>
  <c r="P1373" i="1"/>
  <c r="P1383" i="1"/>
  <c r="P1393" i="1"/>
  <c r="P1403" i="1"/>
  <c r="P1413" i="1"/>
  <c r="P1423" i="1"/>
  <c r="P1433" i="1"/>
  <c r="P1443" i="1"/>
  <c r="P1453" i="1"/>
  <c r="P1463" i="1"/>
  <c r="P1473" i="1"/>
  <c r="P1483" i="1"/>
  <c r="P1493" i="1"/>
  <c r="P1503" i="1"/>
  <c r="P1513" i="1"/>
  <c r="P1523" i="1"/>
  <c r="P1533" i="1"/>
  <c r="P347" i="1"/>
  <c r="P376" i="1"/>
  <c r="P401" i="1"/>
  <c r="P419" i="1"/>
  <c r="P434" i="1"/>
  <c r="P447" i="1"/>
  <c r="P461" i="1"/>
  <c r="P476" i="1"/>
  <c r="P489" i="1"/>
  <c r="P501" i="1"/>
  <c r="P515" i="1"/>
  <c r="P526" i="1"/>
  <c r="P537" i="1"/>
  <c r="P548" i="1"/>
  <c r="P559" i="1"/>
  <c r="P570" i="1"/>
  <c r="P581" i="1"/>
  <c r="P593" i="1"/>
  <c r="P604" i="1"/>
  <c r="P615" i="1"/>
  <c r="P626" i="1"/>
  <c r="P637" i="1"/>
  <c r="P648" i="1"/>
  <c r="P659" i="1"/>
  <c r="P670" i="1"/>
  <c r="P681" i="1"/>
  <c r="P693" i="1"/>
  <c r="P704" i="1"/>
  <c r="P714" i="1"/>
  <c r="P724" i="1"/>
  <c r="P734" i="1"/>
  <c r="P744" i="1"/>
  <c r="P754" i="1"/>
  <c r="P764" i="1"/>
  <c r="P774" i="1"/>
  <c r="P784" i="1"/>
  <c r="P794" i="1"/>
  <c r="P804" i="1"/>
  <c r="P814" i="1"/>
  <c r="P824" i="1"/>
  <c r="P834" i="1"/>
  <c r="P844" i="1"/>
  <c r="P854" i="1"/>
  <c r="P864" i="1"/>
  <c r="P874" i="1"/>
  <c r="P884" i="1"/>
  <c r="P894" i="1"/>
  <c r="P904" i="1"/>
  <c r="P914" i="1"/>
  <c r="P924" i="1"/>
  <c r="P934" i="1"/>
  <c r="P944" i="1"/>
  <c r="P954" i="1"/>
  <c r="P964" i="1"/>
  <c r="P974" i="1"/>
  <c r="P984" i="1"/>
  <c r="P994" i="1"/>
  <c r="P1004" i="1"/>
  <c r="P1014" i="1"/>
  <c r="P1024" i="1"/>
  <c r="P1034" i="1"/>
  <c r="P1044" i="1"/>
  <c r="P1054" i="1"/>
  <c r="P1064" i="1"/>
  <c r="P1074" i="1"/>
  <c r="P1084" i="1"/>
  <c r="P1094" i="1"/>
  <c r="P1104" i="1"/>
  <c r="P1114" i="1"/>
  <c r="P1124" i="1"/>
  <c r="P1134" i="1"/>
  <c r="P1144" i="1"/>
  <c r="P1154" i="1"/>
  <c r="P1164" i="1"/>
  <c r="P1174" i="1"/>
  <c r="P1184" i="1"/>
  <c r="P1194" i="1"/>
  <c r="P1204" i="1"/>
  <c r="P1214" i="1"/>
  <c r="P1224" i="1"/>
  <c r="P1234" i="1"/>
  <c r="P1244" i="1"/>
  <c r="P1254" i="1"/>
  <c r="P1264" i="1"/>
  <c r="P1274" i="1"/>
  <c r="P1284" i="1"/>
  <c r="P1294" i="1"/>
  <c r="P1304" i="1"/>
  <c r="P1314" i="1"/>
  <c r="P1324" i="1"/>
  <c r="P1334" i="1"/>
  <c r="P1344" i="1"/>
  <c r="P1354" i="1"/>
  <c r="P1364" i="1"/>
  <c r="P1374" i="1"/>
  <c r="P1384" i="1"/>
  <c r="P1394" i="1"/>
  <c r="P1404" i="1"/>
  <c r="P1414" i="1"/>
  <c r="P1424" i="1"/>
  <c r="P1434" i="1"/>
  <c r="P1444" i="1"/>
  <c r="P1454" i="1"/>
  <c r="P1464" i="1"/>
  <c r="P1474" i="1"/>
  <c r="P1484" i="1"/>
  <c r="P1494" i="1"/>
  <c r="P1504" i="1"/>
  <c r="P1514" i="1"/>
  <c r="P1524" i="1"/>
  <c r="P1534" i="1"/>
  <c r="P1544" i="1"/>
  <c r="P1554" i="1"/>
  <c r="P1564" i="1"/>
  <c r="P1574" i="1"/>
  <c r="P1584" i="1"/>
  <c r="P1594" i="1"/>
  <c r="P1604" i="1"/>
  <c r="P1614" i="1"/>
  <c r="P1624" i="1"/>
  <c r="P1634" i="1"/>
  <c r="P1419" i="1"/>
  <c r="P1458" i="1"/>
  <c r="P1478" i="1"/>
  <c r="P1492" i="1"/>
  <c r="P1510" i="1"/>
  <c r="P1528" i="1"/>
  <c r="P1542" i="1"/>
  <c r="P1558" i="1"/>
  <c r="P1571" i="1"/>
  <c r="P1583" i="1"/>
  <c r="P1597" i="1"/>
  <c r="P1609" i="1"/>
  <c r="P1621" i="1"/>
  <c r="P1633" i="1"/>
  <c r="P1646" i="1"/>
  <c r="P1657" i="1"/>
  <c r="P1668" i="1"/>
  <c r="P1679" i="1"/>
  <c r="P1690" i="1"/>
  <c r="P1700" i="1"/>
  <c r="P1710" i="1"/>
  <c r="P1720" i="1"/>
  <c r="P1730" i="1"/>
  <c r="P1740" i="1"/>
  <c r="P1750" i="1"/>
  <c r="P1760" i="1"/>
  <c r="P1770" i="1"/>
  <c r="P1780" i="1"/>
  <c r="P1790" i="1"/>
  <c r="P1800" i="1"/>
  <c r="O10" i="1"/>
  <c r="O20" i="1"/>
  <c r="O30" i="1"/>
  <c r="O40" i="1"/>
  <c r="O50" i="1"/>
  <c r="O60" i="1"/>
  <c r="O70" i="1"/>
  <c r="O80" i="1"/>
  <c r="O90" i="1"/>
  <c r="O100" i="1"/>
  <c r="O110" i="1"/>
  <c r="O120" i="1"/>
  <c r="O130" i="1"/>
  <c r="O140" i="1"/>
  <c r="O150" i="1"/>
  <c r="O160" i="1"/>
  <c r="O170" i="1"/>
  <c r="O180" i="1"/>
  <c r="O190" i="1"/>
  <c r="O200" i="1"/>
  <c r="O210" i="1"/>
  <c r="O220" i="1"/>
  <c r="O230" i="1"/>
  <c r="O240" i="1"/>
  <c r="O250" i="1"/>
  <c r="O260" i="1"/>
  <c r="O270" i="1"/>
  <c r="O280" i="1"/>
  <c r="O290" i="1"/>
  <c r="O300" i="1"/>
  <c r="O310" i="1"/>
  <c r="O320" i="1"/>
  <c r="O330" i="1"/>
  <c r="O340" i="1"/>
  <c r="O350" i="1"/>
  <c r="O360" i="1"/>
  <c r="O370" i="1"/>
  <c r="O380" i="1"/>
  <c r="O390" i="1"/>
  <c r="O400" i="1"/>
  <c r="O410" i="1"/>
  <c r="O420" i="1"/>
  <c r="O430" i="1"/>
  <c r="O440" i="1"/>
  <c r="O450" i="1"/>
  <c r="O460" i="1"/>
  <c r="O470" i="1"/>
  <c r="O480" i="1"/>
  <c r="O490" i="1"/>
  <c r="O500" i="1"/>
  <c r="O510" i="1"/>
  <c r="O520" i="1"/>
  <c r="O530" i="1"/>
  <c r="O540" i="1"/>
  <c r="O550" i="1"/>
  <c r="O560" i="1"/>
  <c r="O570" i="1"/>
  <c r="O580" i="1"/>
  <c r="O590" i="1"/>
  <c r="O600" i="1"/>
  <c r="O610" i="1"/>
  <c r="O620" i="1"/>
  <c r="O630" i="1"/>
  <c r="O640" i="1"/>
  <c r="O650" i="1"/>
  <c r="O660" i="1"/>
  <c r="O670" i="1"/>
  <c r="O680" i="1"/>
  <c r="O690" i="1"/>
  <c r="O700" i="1"/>
  <c r="O710" i="1"/>
  <c r="O720" i="1"/>
  <c r="O730" i="1"/>
  <c r="O740" i="1"/>
  <c r="O750" i="1"/>
  <c r="O760" i="1"/>
  <c r="O770" i="1"/>
  <c r="O780" i="1"/>
  <c r="O790" i="1"/>
  <c r="O800" i="1"/>
  <c r="O810" i="1"/>
  <c r="O820" i="1"/>
  <c r="O830" i="1"/>
  <c r="O840" i="1"/>
  <c r="O850" i="1"/>
  <c r="O860" i="1"/>
  <c r="P1428" i="1"/>
  <c r="P1459" i="1"/>
  <c r="P1479" i="1"/>
  <c r="P1496" i="1"/>
  <c r="P1511" i="1"/>
  <c r="P1529" i="1"/>
  <c r="P1543" i="1"/>
  <c r="P1559" i="1"/>
  <c r="P1572" i="1"/>
  <c r="P1586" i="1"/>
  <c r="P1598" i="1"/>
  <c r="P1610" i="1"/>
  <c r="P1622" i="1"/>
  <c r="P1636" i="1"/>
  <c r="P1647" i="1"/>
  <c r="P1658" i="1"/>
  <c r="P1669" i="1"/>
  <c r="P1680" i="1"/>
  <c r="P1691" i="1"/>
  <c r="P1701" i="1"/>
  <c r="P1711" i="1"/>
  <c r="P1721" i="1"/>
  <c r="P1731" i="1"/>
  <c r="P1741" i="1"/>
  <c r="P1751" i="1"/>
  <c r="P1761" i="1"/>
  <c r="P1771" i="1"/>
  <c r="P1781" i="1"/>
  <c r="P1791" i="1"/>
  <c r="P1801" i="1"/>
  <c r="O11" i="1"/>
  <c r="O21" i="1"/>
  <c r="O31" i="1"/>
  <c r="O41" i="1"/>
  <c r="O51" i="1"/>
  <c r="O61" i="1"/>
  <c r="O71" i="1"/>
  <c r="O81" i="1"/>
  <c r="O91" i="1"/>
  <c r="O101" i="1"/>
  <c r="O111" i="1"/>
  <c r="O121" i="1"/>
  <c r="O131" i="1"/>
  <c r="O141" i="1"/>
  <c r="O151" i="1"/>
  <c r="O161" i="1"/>
  <c r="O171" i="1"/>
  <c r="O181" i="1"/>
  <c r="O191" i="1"/>
  <c r="O201" i="1"/>
  <c r="O211" i="1"/>
  <c r="O221" i="1"/>
  <c r="O231" i="1"/>
  <c r="O241" i="1"/>
  <c r="O251" i="1"/>
  <c r="O261" i="1"/>
  <c r="O271" i="1"/>
  <c r="O281" i="1"/>
  <c r="O291" i="1"/>
  <c r="O301" i="1"/>
  <c r="O311" i="1"/>
  <c r="O321" i="1"/>
  <c r="O331" i="1"/>
  <c r="O341" i="1"/>
  <c r="O351" i="1"/>
  <c r="O361" i="1"/>
  <c r="O371" i="1"/>
  <c r="O381" i="1"/>
  <c r="O391" i="1"/>
  <c r="O401" i="1"/>
  <c r="O411" i="1"/>
  <c r="O421" i="1"/>
  <c r="O431" i="1"/>
  <c r="O441" i="1"/>
  <c r="O451" i="1"/>
  <c r="O461" i="1"/>
  <c r="O471" i="1"/>
  <c r="O481" i="1"/>
  <c r="O491" i="1"/>
  <c r="O501" i="1"/>
  <c r="O511" i="1"/>
  <c r="O521" i="1"/>
  <c r="O531" i="1"/>
  <c r="O541" i="1"/>
  <c r="O551" i="1"/>
  <c r="O561" i="1"/>
  <c r="O571" i="1"/>
  <c r="O581" i="1"/>
  <c r="O591" i="1"/>
  <c r="O601" i="1"/>
  <c r="O611" i="1"/>
  <c r="O621" i="1"/>
  <c r="O631" i="1"/>
  <c r="O641" i="1"/>
  <c r="O651" i="1"/>
  <c r="O661" i="1"/>
  <c r="O671" i="1"/>
  <c r="O681" i="1"/>
  <c r="P1429" i="1"/>
  <c r="P1461" i="1"/>
  <c r="P1480" i="1"/>
  <c r="P1498" i="1"/>
  <c r="P1512" i="1"/>
  <c r="P1530" i="1"/>
  <c r="P1546" i="1"/>
  <c r="P1560" i="1"/>
  <c r="P1573" i="1"/>
  <c r="P1587" i="1"/>
  <c r="P1599" i="1"/>
  <c r="P1611" i="1"/>
  <c r="P1623" i="1"/>
  <c r="P1637" i="1"/>
  <c r="P1648" i="1"/>
  <c r="P1659" i="1"/>
  <c r="P1670" i="1"/>
  <c r="P1681" i="1"/>
  <c r="P1692" i="1"/>
  <c r="P1702" i="1"/>
  <c r="P1712" i="1"/>
  <c r="P1722" i="1"/>
  <c r="P1732" i="1"/>
  <c r="P1742" i="1"/>
  <c r="P1752" i="1"/>
  <c r="P1762" i="1"/>
  <c r="P1772" i="1"/>
  <c r="P1782" i="1"/>
  <c r="P1792" i="1"/>
  <c r="P1802" i="1"/>
  <c r="O12" i="1"/>
  <c r="O22" i="1"/>
  <c r="O32" i="1"/>
  <c r="O42" i="1"/>
  <c r="O52" i="1"/>
  <c r="O62" i="1"/>
  <c r="O72" i="1"/>
  <c r="O82" i="1"/>
  <c r="O92" i="1"/>
  <c r="O102" i="1"/>
  <c r="O112" i="1"/>
  <c r="O122" i="1"/>
  <c r="O132" i="1"/>
  <c r="O142" i="1"/>
  <c r="O152" i="1"/>
  <c r="O162" i="1"/>
  <c r="O172" i="1"/>
  <c r="O182" i="1"/>
  <c r="O192" i="1"/>
  <c r="O202" i="1"/>
  <c r="O212" i="1"/>
  <c r="O222" i="1"/>
  <c r="O232" i="1"/>
  <c r="O242" i="1"/>
  <c r="O252" i="1"/>
  <c r="O262" i="1"/>
  <c r="O272" i="1"/>
  <c r="O282" i="1"/>
  <c r="O292" i="1"/>
  <c r="O302" i="1"/>
  <c r="O312" i="1"/>
  <c r="O322" i="1"/>
  <c r="O332" i="1"/>
  <c r="O342" i="1"/>
  <c r="O352" i="1"/>
  <c r="O362" i="1"/>
  <c r="O372" i="1"/>
  <c r="O382" i="1"/>
  <c r="O392" i="1"/>
  <c r="O402" i="1"/>
  <c r="O412" i="1"/>
  <c r="O422" i="1"/>
  <c r="O432" i="1"/>
  <c r="O442" i="1"/>
  <c r="O452" i="1"/>
  <c r="O462" i="1"/>
  <c r="O472" i="1"/>
  <c r="O482" i="1"/>
  <c r="O492" i="1"/>
  <c r="O502" i="1"/>
  <c r="O512" i="1"/>
  <c r="O522" i="1"/>
  <c r="O532" i="1"/>
  <c r="O542" i="1"/>
  <c r="O552" i="1"/>
  <c r="O562" i="1"/>
  <c r="O572" i="1"/>
  <c r="O582" i="1"/>
  <c r="O592" i="1"/>
  <c r="O602" i="1"/>
  <c r="O612" i="1"/>
  <c r="O622" i="1"/>
  <c r="O632" i="1"/>
  <c r="O642" i="1"/>
  <c r="O652" i="1"/>
  <c r="O662" i="1"/>
  <c r="O672" i="1"/>
  <c r="O682" i="1"/>
  <c r="O692" i="1"/>
  <c r="O702" i="1"/>
  <c r="O712" i="1"/>
  <c r="O722" i="1"/>
  <c r="O732" i="1"/>
  <c r="O742" i="1"/>
  <c r="O752" i="1"/>
  <c r="O762" i="1"/>
  <c r="O772" i="1"/>
  <c r="O782" i="1"/>
  <c r="O792" i="1"/>
  <c r="P1432" i="1"/>
  <c r="P1462" i="1"/>
  <c r="P1481" i="1"/>
  <c r="P1499" i="1"/>
  <c r="P1516" i="1"/>
  <c r="P1531" i="1"/>
  <c r="P1548" i="1"/>
  <c r="P1561" i="1"/>
  <c r="P1576" i="1"/>
  <c r="P1588" i="1"/>
  <c r="P1600" i="1"/>
  <c r="P1612" i="1"/>
  <c r="P1626" i="1"/>
  <c r="P1638" i="1"/>
  <c r="P1649" i="1"/>
  <c r="P1660" i="1"/>
  <c r="P1671" i="1"/>
  <c r="P1682" i="1"/>
  <c r="P1693" i="1"/>
  <c r="P1703" i="1"/>
  <c r="P1713" i="1"/>
  <c r="P1723" i="1"/>
  <c r="P1733" i="1"/>
  <c r="P1743" i="1"/>
  <c r="P1753" i="1"/>
  <c r="P1763" i="1"/>
  <c r="P1773" i="1"/>
  <c r="P1783" i="1"/>
  <c r="P1793" i="1"/>
  <c r="O3" i="1"/>
  <c r="O13" i="1"/>
  <c r="O23" i="1"/>
  <c r="O33" i="1"/>
  <c r="O43" i="1"/>
  <c r="O53" i="1"/>
  <c r="O63" i="1"/>
  <c r="O73" i="1"/>
  <c r="O83" i="1"/>
  <c r="O93" i="1"/>
  <c r="O103" i="1"/>
  <c r="O113" i="1"/>
  <c r="O123" i="1"/>
  <c r="O133" i="1"/>
  <c r="O143" i="1"/>
  <c r="O153" i="1"/>
  <c r="O163" i="1"/>
  <c r="O173" i="1"/>
  <c r="O183" i="1"/>
  <c r="O193" i="1"/>
  <c r="O203" i="1"/>
  <c r="O213" i="1"/>
  <c r="O223" i="1"/>
  <c r="O233" i="1"/>
  <c r="O243" i="1"/>
  <c r="O253" i="1"/>
  <c r="O263" i="1"/>
  <c r="O273" i="1"/>
  <c r="O283" i="1"/>
  <c r="O293" i="1"/>
  <c r="O303" i="1"/>
  <c r="O313" i="1"/>
  <c r="O323" i="1"/>
  <c r="O333" i="1"/>
  <c r="O343" i="1"/>
  <c r="O353" i="1"/>
  <c r="O363" i="1"/>
  <c r="O373" i="1"/>
  <c r="O383" i="1"/>
  <c r="O393" i="1"/>
  <c r="O403" i="1"/>
  <c r="O413" i="1"/>
  <c r="O423" i="1"/>
  <c r="O433" i="1"/>
  <c r="O443" i="1"/>
  <c r="O453" i="1"/>
  <c r="O463" i="1"/>
  <c r="O473" i="1"/>
  <c r="O483" i="1"/>
  <c r="O493" i="1"/>
  <c r="O503" i="1"/>
  <c r="O513" i="1"/>
  <c r="O523" i="1"/>
  <c r="O533" i="1"/>
  <c r="O543" i="1"/>
  <c r="P1438" i="1"/>
  <c r="P1468" i="1"/>
  <c r="P1482" i="1"/>
  <c r="P1500" i="1"/>
  <c r="P1518" i="1"/>
  <c r="P1532" i="1"/>
  <c r="P1549" i="1"/>
  <c r="P1562" i="1"/>
  <c r="P1577" i="1"/>
  <c r="P1589" i="1"/>
  <c r="P1601" i="1"/>
  <c r="P1613" i="1"/>
  <c r="P1627" i="1"/>
  <c r="P1639" i="1"/>
  <c r="P1650" i="1"/>
  <c r="P1661" i="1"/>
  <c r="P1672" i="1"/>
  <c r="P1683" i="1"/>
  <c r="P1694" i="1"/>
  <c r="P1704" i="1"/>
  <c r="P1714" i="1"/>
  <c r="P1724" i="1"/>
  <c r="P1734" i="1"/>
  <c r="P1744" i="1"/>
  <c r="P1754" i="1"/>
  <c r="P1764" i="1"/>
  <c r="P1774" i="1"/>
  <c r="P1784" i="1"/>
  <c r="P1794" i="1"/>
  <c r="O4" i="1"/>
  <c r="O14" i="1"/>
  <c r="O24" i="1"/>
  <c r="O34" i="1"/>
  <c r="O44" i="1"/>
  <c r="O54" i="1"/>
  <c r="O64" i="1"/>
  <c r="O74" i="1"/>
  <c r="O84" i="1"/>
  <c r="O94" i="1"/>
  <c r="O104" i="1"/>
  <c r="O114" i="1"/>
  <c r="O124" i="1"/>
  <c r="O134" i="1"/>
  <c r="O144" i="1"/>
  <c r="O154" i="1"/>
  <c r="O164" i="1"/>
  <c r="O174" i="1"/>
  <c r="O184" i="1"/>
  <c r="O194" i="1"/>
  <c r="O204" i="1"/>
  <c r="O214" i="1"/>
  <c r="O224" i="1"/>
  <c r="O234" i="1"/>
  <c r="O244" i="1"/>
  <c r="O254" i="1"/>
  <c r="O264" i="1"/>
  <c r="O274" i="1"/>
  <c r="O284" i="1"/>
  <c r="O294" i="1"/>
  <c r="O304" i="1"/>
  <c r="O314" i="1"/>
  <c r="O324" i="1"/>
  <c r="O334" i="1"/>
  <c r="O344" i="1"/>
  <c r="O354" i="1"/>
  <c r="O364" i="1"/>
  <c r="O374" i="1"/>
  <c r="O384" i="1"/>
  <c r="O394" i="1"/>
  <c r="O404" i="1"/>
  <c r="O414" i="1"/>
  <c r="O424" i="1"/>
  <c r="O434" i="1"/>
  <c r="O444" i="1"/>
  <c r="O454" i="1"/>
  <c r="O464" i="1"/>
  <c r="O474" i="1"/>
  <c r="O484" i="1"/>
  <c r="O494" i="1"/>
  <c r="O504" i="1"/>
  <c r="O514" i="1"/>
  <c r="O524" i="1"/>
  <c r="O534" i="1"/>
  <c r="O544" i="1"/>
  <c r="O554" i="1"/>
  <c r="O564" i="1"/>
  <c r="O574" i="1"/>
  <c r="O584" i="1"/>
  <c r="O594" i="1"/>
  <c r="O604" i="1"/>
  <c r="O614" i="1"/>
  <c r="O624" i="1"/>
  <c r="O634" i="1"/>
  <c r="O644" i="1"/>
  <c r="O654" i="1"/>
  <c r="O664" i="1"/>
  <c r="O674" i="1"/>
  <c r="O684" i="1"/>
  <c r="O694" i="1"/>
  <c r="P1439" i="1"/>
  <c r="P1469" i="1"/>
  <c r="P1486" i="1"/>
  <c r="P1501" i="1"/>
  <c r="P1519" i="1"/>
  <c r="P1536" i="1"/>
  <c r="P1550" i="1"/>
  <c r="P1563" i="1"/>
  <c r="P1578" i="1"/>
  <c r="P1590" i="1"/>
  <c r="P1602" i="1"/>
  <c r="P1616" i="1"/>
  <c r="P1628" i="1"/>
  <c r="P1640" i="1"/>
  <c r="P1651" i="1"/>
  <c r="P1662" i="1"/>
  <c r="P1673" i="1"/>
  <c r="P1684" i="1"/>
  <c r="P1695" i="1"/>
  <c r="P1705" i="1"/>
  <c r="P1715" i="1"/>
  <c r="P1725" i="1"/>
  <c r="P1735" i="1"/>
  <c r="P1745" i="1"/>
  <c r="P1755" i="1"/>
  <c r="P1765" i="1"/>
  <c r="P1775" i="1"/>
  <c r="P1785" i="1"/>
  <c r="P1795" i="1"/>
  <c r="O5" i="1"/>
  <c r="O15" i="1"/>
  <c r="O25" i="1"/>
  <c r="O35" i="1"/>
  <c r="O45" i="1"/>
  <c r="O55" i="1"/>
  <c r="O65" i="1"/>
  <c r="O75" i="1"/>
  <c r="O85" i="1"/>
  <c r="O95" i="1"/>
  <c r="O105" i="1"/>
  <c r="O115" i="1"/>
  <c r="O125" i="1"/>
  <c r="O135" i="1"/>
  <c r="O145" i="1"/>
  <c r="O155" i="1"/>
  <c r="O165" i="1"/>
  <c r="O175" i="1"/>
  <c r="O185" i="1"/>
  <c r="O195" i="1"/>
  <c r="O205" i="1"/>
  <c r="O215" i="1"/>
  <c r="O225" i="1"/>
  <c r="O235" i="1"/>
  <c r="O245" i="1"/>
  <c r="O255" i="1"/>
  <c r="O265" i="1"/>
  <c r="O275" i="1"/>
  <c r="O285" i="1"/>
  <c r="O295" i="1"/>
  <c r="O305" i="1"/>
  <c r="O315" i="1"/>
  <c r="O325" i="1"/>
  <c r="O335" i="1"/>
  <c r="O345" i="1"/>
  <c r="O355" i="1"/>
  <c r="O365" i="1"/>
  <c r="O375" i="1"/>
  <c r="O385" i="1"/>
  <c r="O395" i="1"/>
  <c r="O405" i="1"/>
  <c r="O415" i="1"/>
  <c r="O425" i="1"/>
  <c r="O435" i="1"/>
  <c r="O445" i="1"/>
  <c r="O455" i="1"/>
  <c r="O465" i="1"/>
  <c r="O475" i="1"/>
  <c r="O485" i="1"/>
  <c r="O495" i="1"/>
  <c r="O505" i="1"/>
  <c r="O515" i="1"/>
  <c r="O525" i="1"/>
  <c r="O535" i="1"/>
  <c r="O545" i="1"/>
  <c r="O555" i="1"/>
  <c r="O565" i="1"/>
  <c r="O575" i="1"/>
  <c r="O585" i="1"/>
  <c r="O595" i="1"/>
  <c r="O605" i="1"/>
  <c r="O615" i="1"/>
  <c r="O625" i="1"/>
  <c r="P1442" i="1"/>
  <c r="P1470" i="1"/>
  <c r="P1488" i="1"/>
  <c r="P1502" i="1"/>
  <c r="P1520" i="1"/>
  <c r="P1538" i="1"/>
  <c r="P1551" i="1"/>
  <c r="P1566" i="1"/>
  <c r="P1579" i="1"/>
  <c r="P1591" i="1"/>
  <c r="P1603" i="1"/>
  <c r="P1617" i="1"/>
  <c r="P1629" i="1"/>
  <c r="P1641" i="1"/>
  <c r="P1652" i="1"/>
  <c r="P1663" i="1"/>
  <c r="P1674" i="1"/>
  <c r="P1686" i="1"/>
  <c r="P1696" i="1"/>
  <c r="P1706" i="1"/>
  <c r="P1716" i="1"/>
  <c r="P1726" i="1"/>
  <c r="P1736" i="1"/>
  <c r="P1746" i="1"/>
  <c r="P1756" i="1"/>
  <c r="P1766" i="1"/>
  <c r="P1776" i="1"/>
  <c r="P1786" i="1"/>
  <c r="P1796" i="1"/>
  <c r="O6" i="1"/>
  <c r="O16" i="1"/>
  <c r="O26" i="1"/>
  <c r="O36" i="1"/>
  <c r="O46" i="1"/>
  <c r="O56" i="1"/>
  <c r="O66" i="1"/>
  <c r="O76" i="1"/>
  <c r="O86" i="1"/>
  <c r="O96" i="1"/>
  <c r="O106" i="1"/>
  <c r="O116" i="1"/>
  <c r="O126" i="1"/>
  <c r="O136" i="1"/>
  <c r="O146" i="1"/>
  <c r="O156" i="1"/>
  <c r="O166" i="1"/>
  <c r="O176" i="1"/>
  <c r="O186" i="1"/>
  <c r="O196" i="1"/>
  <c r="O206" i="1"/>
  <c r="O216" i="1"/>
  <c r="O226" i="1"/>
  <c r="O236" i="1"/>
  <c r="O246" i="1"/>
  <c r="O256" i="1"/>
  <c r="O266" i="1"/>
  <c r="O276" i="1"/>
  <c r="O286" i="1"/>
  <c r="O296" i="1"/>
  <c r="O306" i="1"/>
  <c r="O316" i="1"/>
  <c r="O326" i="1"/>
  <c r="O336" i="1"/>
  <c r="O346" i="1"/>
  <c r="O356" i="1"/>
  <c r="O366" i="1"/>
  <c r="O376" i="1"/>
  <c r="O386" i="1"/>
  <c r="O396" i="1"/>
  <c r="O406" i="1"/>
  <c r="O416" i="1"/>
  <c r="O426" i="1"/>
  <c r="O436" i="1"/>
  <c r="O446" i="1"/>
  <c r="O456" i="1"/>
  <c r="O466" i="1"/>
  <c r="O476" i="1"/>
  <c r="O486" i="1"/>
  <c r="O496" i="1"/>
  <c r="O506" i="1"/>
  <c r="O516" i="1"/>
  <c r="O526" i="1"/>
  <c r="O536" i="1"/>
  <c r="O546" i="1"/>
  <c r="O556" i="1"/>
  <c r="O566" i="1"/>
  <c r="O576" i="1"/>
  <c r="O586" i="1"/>
  <c r="O596" i="1"/>
  <c r="O606" i="1"/>
  <c r="O616" i="1"/>
  <c r="O626" i="1"/>
  <c r="O636" i="1"/>
  <c r="O646" i="1"/>
  <c r="O656" i="1"/>
  <c r="O666" i="1"/>
  <c r="O676" i="1"/>
  <c r="O686" i="1"/>
  <c r="O696" i="1"/>
  <c r="O706" i="1"/>
  <c r="O716" i="1"/>
  <c r="O726" i="1"/>
  <c r="O736" i="1"/>
  <c r="O746" i="1"/>
  <c r="O756" i="1"/>
  <c r="O766" i="1"/>
  <c r="O776" i="1"/>
  <c r="O786" i="1"/>
  <c r="O796" i="1"/>
  <c r="O806" i="1"/>
  <c r="O816" i="1"/>
  <c r="O826" i="1"/>
  <c r="O836" i="1"/>
  <c r="O846" i="1"/>
  <c r="O856" i="1"/>
  <c r="O866" i="1"/>
  <c r="O876" i="1"/>
  <c r="O886" i="1"/>
  <c r="O896" i="1"/>
  <c r="O906" i="1"/>
  <c r="O916" i="1"/>
  <c r="O926" i="1"/>
  <c r="O936" i="1"/>
  <c r="O946" i="1"/>
  <c r="O956" i="1"/>
  <c r="O966" i="1"/>
  <c r="O976" i="1"/>
  <c r="P1448" i="1"/>
  <c r="P1471" i="1"/>
  <c r="P1489" i="1"/>
  <c r="P1506" i="1"/>
  <c r="P1521" i="1"/>
  <c r="P1539" i="1"/>
  <c r="P1552" i="1"/>
  <c r="P1568" i="1"/>
  <c r="P1580" i="1"/>
  <c r="P1592" i="1"/>
  <c r="P1606" i="1"/>
  <c r="P1618" i="1"/>
  <c r="P1630" i="1"/>
  <c r="P1642" i="1"/>
  <c r="P1653" i="1"/>
  <c r="P1664" i="1"/>
  <c r="P1676" i="1"/>
  <c r="P1687" i="1"/>
  <c r="P1697" i="1"/>
  <c r="P1707" i="1"/>
  <c r="P1717" i="1"/>
  <c r="P1727" i="1"/>
  <c r="P1737" i="1"/>
  <c r="P1747" i="1"/>
  <c r="P1757" i="1"/>
  <c r="P1767" i="1"/>
  <c r="P1777" i="1"/>
  <c r="P1787" i="1"/>
  <c r="P1797" i="1"/>
  <c r="O7" i="1"/>
  <c r="O17" i="1"/>
  <c r="O27" i="1"/>
  <c r="O37" i="1"/>
  <c r="O47" i="1"/>
  <c r="O57" i="1"/>
  <c r="O67" i="1"/>
  <c r="O77" i="1"/>
  <c r="O87" i="1"/>
  <c r="O97" i="1"/>
  <c r="O107" i="1"/>
  <c r="O117" i="1"/>
  <c r="O127" i="1"/>
  <c r="O137" i="1"/>
  <c r="O147" i="1"/>
  <c r="O157" i="1"/>
  <c r="O167" i="1"/>
  <c r="O177" i="1"/>
  <c r="O187" i="1"/>
  <c r="O197" i="1"/>
  <c r="O207" i="1"/>
  <c r="O217" i="1"/>
  <c r="O227" i="1"/>
  <c r="O237" i="1"/>
  <c r="O247" i="1"/>
  <c r="O257" i="1"/>
  <c r="O267" i="1"/>
  <c r="O277" i="1"/>
  <c r="O287" i="1"/>
  <c r="O297" i="1"/>
  <c r="O307" i="1"/>
  <c r="O317" i="1"/>
  <c r="O327" i="1"/>
  <c r="O337" i="1"/>
  <c r="O347" i="1"/>
  <c r="O357" i="1"/>
  <c r="O367" i="1"/>
  <c r="O377" i="1"/>
  <c r="O387" i="1"/>
  <c r="O397" i="1"/>
  <c r="O407" i="1"/>
  <c r="O417" i="1"/>
  <c r="O427" i="1"/>
  <c r="O437" i="1"/>
  <c r="O447" i="1"/>
  <c r="O457" i="1"/>
  <c r="O467" i="1"/>
  <c r="O477" i="1"/>
  <c r="O487" i="1"/>
  <c r="O497" i="1"/>
  <c r="O507" i="1"/>
  <c r="O517" i="1"/>
  <c r="O527" i="1"/>
  <c r="O537" i="1"/>
  <c r="O547" i="1"/>
  <c r="O557" i="1"/>
  <c r="O567" i="1"/>
  <c r="O577" i="1"/>
  <c r="O587" i="1"/>
  <c r="O597" i="1"/>
  <c r="O607" i="1"/>
  <c r="O617" i="1"/>
  <c r="O627" i="1"/>
  <c r="P1449" i="1"/>
  <c r="P1472" i="1"/>
  <c r="P1490" i="1"/>
  <c r="P1508" i="1"/>
  <c r="P1522" i="1"/>
  <c r="P1540" i="1"/>
  <c r="P1553" i="1"/>
  <c r="P1569" i="1"/>
  <c r="P1581" i="1"/>
  <c r="P1593" i="1"/>
  <c r="P1607" i="1"/>
  <c r="P1619" i="1"/>
  <c r="P1631" i="1"/>
  <c r="P1643" i="1"/>
  <c r="P1654" i="1"/>
  <c r="P1666" i="1"/>
  <c r="P1677" i="1"/>
  <c r="P1688" i="1"/>
  <c r="P1698" i="1"/>
  <c r="P1708" i="1"/>
  <c r="P1718" i="1"/>
  <c r="P1728" i="1"/>
  <c r="P1738" i="1"/>
  <c r="P1748" i="1"/>
  <c r="P1758" i="1"/>
  <c r="P1768" i="1"/>
  <c r="P1778" i="1"/>
  <c r="P1788" i="1"/>
  <c r="P1798" i="1"/>
  <c r="O8" i="1"/>
  <c r="O18" i="1"/>
  <c r="O28" i="1"/>
  <c r="O38" i="1"/>
  <c r="O48" i="1"/>
  <c r="O58" i="1"/>
  <c r="O68" i="1"/>
  <c r="O78" i="1"/>
  <c r="O88" i="1"/>
  <c r="O98" i="1"/>
  <c r="O108" i="1"/>
  <c r="O118" i="1"/>
  <c r="O128" i="1"/>
  <c r="O138" i="1"/>
  <c r="O148" i="1"/>
  <c r="O158" i="1"/>
  <c r="O168" i="1"/>
  <c r="O178" i="1"/>
  <c r="O188" i="1"/>
  <c r="O198" i="1"/>
  <c r="O208" i="1"/>
  <c r="O218" i="1"/>
  <c r="O228" i="1"/>
  <c r="O238" i="1"/>
  <c r="O248" i="1"/>
  <c r="O258" i="1"/>
  <c r="O268" i="1"/>
  <c r="O278" i="1"/>
  <c r="O288" i="1"/>
  <c r="O298" i="1"/>
  <c r="O308" i="1"/>
  <c r="O318" i="1"/>
  <c r="O328" i="1"/>
  <c r="O338" i="1"/>
  <c r="O348" i="1"/>
  <c r="O358" i="1"/>
  <c r="O368" i="1"/>
  <c r="O378" i="1"/>
  <c r="O388" i="1"/>
  <c r="O398" i="1"/>
  <c r="O408" i="1"/>
  <c r="O418" i="1"/>
  <c r="O428" i="1"/>
  <c r="O438" i="1"/>
  <c r="O448" i="1"/>
  <c r="O458" i="1"/>
  <c r="O468" i="1"/>
  <c r="O478" i="1"/>
  <c r="O488" i="1"/>
  <c r="O498" i="1"/>
  <c r="O508" i="1"/>
  <c r="O518" i="1"/>
  <c r="O528" i="1"/>
  <c r="O538" i="1"/>
  <c r="O548" i="1"/>
  <c r="O558" i="1"/>
  <c r="O568" i="1"/>
  <c r="O578" i="1"/>
  <c r="O588" i="1"/>
  <c r="O598" i="1"/>
  <c r="O608" i="1"/>
  <c r="O618" i="1"/>
  <c r="O628" i="1"/>
  <c r="O638" i="1"/>
  <c r="O648" i="1"/>
  <c r="O658" i="1"/>
  <c r="O668" i="1"/>
  <c r="O678" i="1"/>
  <c r="O688" i="1"/>
  <c r="O698" i="1"/>
  <c r="O708" i="1"/>
  <c r="O718" i="1"/>
  <c r="O728" i="1"/>
  <c r="O738" i="1"/>
  <c r="O748" i="1"/>
  <c r="O758" i="1"/>
  <c r="O768" i="1"/>
  <c r="O778" i="1"/>
  <c r="O788" i="1"/>
  <c r="O798" i="1"/>
  <c r="O808" i="1"/>
  <c r="O818" i="1"/>
  <c r="O828" i="1"/>
  <c r="O838" i="1"/>
  <c r="O848" i="1"/>
  <c r="O858" i="1"/>
  <c r="O868" i="1"/>
  <c r="O878" i="1"/>
  <c r="O888" i="1"/>
  <c r="O898" i="1"/>
  <c r="O908" i="1"/>
  <c r="O918" i="1"/>
  <c r="O928" i="1"/>
  <c r="O938" i="1"/>
  <c r="O948" i="1"/>
  <c r="O958" i="1"/>
  <c r="O968" i="1"/>
  <c r="O978" i="1"/>
  <c r="P1452" i="1"/>
  <c r="P1476" i="1"/>
  <c r="P1491" i="1"/>
  <c r="P1509" i="1"/>
  <c r="P1526" i="1"/>
  <c r="P1541" i="1"/>
  <c r="P1556" i="1"/>
  <c r="P1570" i="1"/>
  <c r="P1582" i="1"/>
  <c r="P1596" i="1"/>
  <c r="P1608" i="1"/>
  <c r="P1620" i="1"/>
  <c r="P1632" i="1"/>
  <c r="P1644" i="1"/>
  <c r="P1656" i="1"/>
  <c r="P1667" i="1"/>
  <c r="P1678" i="1"/>
  <c r="P1689" i="1"/>
  <c r="P1699" i="1"/>
  <c r="P1709" i="1"/>
  <c r="P1719" i="1"/>
  <c r="P1729" i="1"/>
  <c r="P1739" i="1"/>
  <c r="P1749" i="1"/>
  <c r="P1759" i="1"/>
  <c r="P1769" i="1"/>
  <c r="P1779" i="1"/>
  <c r="P1789" i="1"/>
  <c r="P1799" i="1"/>
  <c r="O9" i="1"/>
  <c r="O19" i="1"/>
  <c r="O29" i="1"/>
  <c r="O39" i="1"/>
  <c r="O49" i="1"/>
  <c r="O59" i="1"/>
  <c r="O69" i="1"/>
  <c r="O79" i="1"/>
  <c r="O89" i="1"/>
  <c r="O99" i="1"/>
  <c r="O109" i="1"/>
  <c r="O119" i="1"/>
  <c r="O129" i="1"/>
  <c r="O139" i="1"/>
  <c r="O149" i="1"/>
  <c r="O159" i="1"/>
  <c r="O169" i="1"/>
  <c r="O179" i="1"/>
  <c r="O189" i="1"/>
  <c r="O199" i="1"/>
  <c r="O209" i="1"/>
  <c r="O219" i="1"/>
  <c r="O229" i="1"/>
  <c r="O239" i="1"/>
  <c r="O249" i="1"/>
  <c r="O259" i="1"/>
  <c r="O269" i="1"/>
  <c r="O279" i="1"/>
  <c r="O289" i="1"/>
  <c r="O299" i="1"/>
  <c r="O309" i="1"/>
  <c r="O319" i="1"/>
  <c r="O329" i="1"/>
  <c r="O339" i="1"/>
  <c r="O349" i="1"/>
  <c r="O359" i="1"/>
  <c r="O369" i="1"/>
  <c r="O379" i="1"/>
  <c r="O389" i="1"/>
  <c r="O399" i="1"/>
  <c r="O409" i="1"/>
  <c r="O419" i="1"/>
  <c r="O429" i="1"/>
  <c r="O439" i="1"/>
  <c r="O449" i="1"/>
  <c r="O459" i="1"/>
  <c r="O469" i="1"/>
  <c r="O479" i="1"/>
  <c r="O489" i="1"/>
  <c r="O499" i="1"/>
  <c r="O509" i="1"/>
  <c r="O519" i="1"/>
  <c r="O529" i="1"/>
  <c r="O539" i="1"/>
  <c r="O549" i="1"/>
  <c r="O559" i="1"/>
  <c r="O569" i="1"/>
  <c r="O579" i="1"/>
  <c r="O589" i="1"/>
  <c r="O599" i="1"/>
  <c r="O609" i="1"/>
  <c r="O619" i="1"/>
  <c r="O629" i="1"/>
  <c r="O639" i="1"/>
  <c r="O649" i="1"/>
  <c r="O659" i="1"/>
  <c r="O669" i="1"/>
  <c r="O679" i="1"/>
  <c r="O689" i="1"/>
  <c r="O699" i="1"/>
  <c r="O709" i="1"/>
  <c r="O719" i="1"/>
  <c r="O729" i="1"/>
  <c r="O553" i="1"/>
  <c r="O637" i="1"/>
  <c r="O673" i="1"/>
  <c r="O701" i="1"/>
  <c r="O721" i="1"/>
  <c r="O739" i="1"/>
  <c r="O755" i="1"/>
  <c r="O773" i="1"/>
  <c r="O789" i="1"/>
  <c r="O804" i="1"/>
  <c r="O819" i="1"/>
  <c r="O833" i="1"/>
  <c r="O847" i="1"/>
  <c r="O862" i="1"/>
  <c r="O874" i="1"/>
  <c r="O887" i="1"/>
  <c r="O900" i="1"/>
  <c r="O912" i="1"/>
  <c r="O924" i="1"/>
  <c r="O937" i="1"/>
  <c r="O950" i="1"/>
  <c r="O962" i="1"/>
  <c r="O974" i="1"/>
  <c r="O986" i="1"/>
  <c r="O996" i="1"/>
  <c r="O1006" i="1"/>
  <c r="O1016" i="1"/>
  <c r="O1026" i="1"/>
  <c r="O1036" i="1"/>
  <c r="O1046" i="1"/>
  <c r="O1056" i="1"/>
  <c r="O1066" i="1"/>
  <c r="O1076" i="1"/>
  <c r="O1086" i="1"/>
  <c r="O1096" i="1"/>
  <c r="O1106" i="1"/>
  <c r="O1116" i="1"/>
  <c r="O1126" i="1"/>
  <c r="O1136" i="1"/>
  <c r="O1146" i="1"/>
  <c r="O1156" i="1"/>
  <c r="O1166" i="1"/>
  <c r="O1176" i="1"/>
  <c r="O1186" i="1"/>
  <c r="O1196" i="1"/>
  <c r="O1206" i="1"/>
  <c r="O1216" i="1"/>
  <c r="O1226" i="1"/>
  <c r="O1236" i="1"/>
  <c r="O1246" i="1"/>
  <c r="O1256" i="1"/>
  <c r="O1266" i="1"/>
  <c r="O1276" i="1"/>
  <c r="O1286" i="1"/>
  <c r="O1296" i="1"/>
  <c r="O1306" i="1"/>
  <c r="O1316" i="1"/>
  <c r="O1326" i="1"/>
  <c r="O1336" i="1"/>
  <c r="O1346" i="1"/>
  <c r="O1356" i="1"/>
  <c r="O1366" i="1"/>
  <c r="O1376" i="1"/>
  <c r="O1386" i="1"/>
  <c r="O1396" i="1"/>
  <c r="O1406" i="1"/>
  <c r="O1416" i="1"/>
  <c r="O1426" i="1"/>
  <c r="O1436" i="1"/>
  <c r="O1446" i="1"/>
  <c r="O1456" i="1"/>
  <c r="O1466" i="1"/>
  <c r="O1476" i="1"/>
  <c r="O1486" i="1"/>
  <c r="O1496" i="1"/>
  <c r="O1506" i="1"/>
  <c r="O1516" i="1"/>
  <c r="O1526" i="1"/>
  <c r="O1536" i="1"/>
  <c r="O1546" i="1"/>
  <c r="O1556" i="1"/>
  <c r="O1566" i="1"/>
  <c r="O1576" i="1"/>
  <c r="O1586" i="1"/>
  <c r="O1596" i="1"/>
  <c r="O1606" i="1"/>
  <c r="O1616" i="1"/>
  <c r="O1626" i="1"/>
  <c r="O1636" i="1"/>
  <c r="O1646" i="1"/>
  <c r="O1656" i="1"/>
  <c r="O1666" i="1"/>
  <c r="O1676" i="1"/>
  <c r="O1686" i="1"/>
  <c r="O1696" i="1"/>
  <c r="O1706" i="1"/>
  <c r="O1716" i="1"/>
  <c r="O1726" i="1"/>
  <c r="O1736" i="1"/>
  <c r="O1746" i="1"/>
  <c r="O1756" i="1"/>
  <c r="O1766" i="1"/>
  <c r="O1776" i="1"/>
  <c r="O1786" i="1"/>
  <c r="O1796" i="1"/>
  <c r="N6" i="1"/>
  <c r="N16" i="1"/>
  <c r="N26" i="1"/>
  <c r="N36" i="1"/>
  <c r="N46" i="1"/>
  <c r="N56" i="1"/>
  <c r="N66" i="1"/>
  <c r="N76" i="1"/>
  <c r="N86" i="1"/>
  <c r="N96" i="1"/>
  <c r="N106" i="1"/>
  <c r="N116" i="1"/>
  <c r="N126" i="1"/>
  <c r="N136" i="1"/>
  <c r="N146" i="1"/>
  <c r="N156" i="1"/>
  <c r="N166" i="1"/>
  <c r="N176" i="1"/>
  <c r="N186" i="1"/>
  <c r="O563" i="1"/>
  <c r="O643" i="1"/>
  <c r="O675" i="1"/>
  <c r="O703" i="1"/>
  <c r="O723" i="1"/>
  <c r="O741" i="1"/>
  <c r="O757" i="1"/>
  <c r="O774" i="1"/>
  <c r="O791" i="1"/>
  <c r="O805" i="1"/>
  <c r="O821" i="1"/>
  <c r="O834" i="1"/>
  <c r="O849" i="1"/>
  <c r="O863" i="1"/>
  <c r="O875" i="1"/>
  <c r="O889" i="1"/>
  <c r="O901" i="1"/>
  <c r="O913" i="1"/>
  <c r="O925" i="1"/>
  <c r="O939" i="1"/>
  <c r="O951" i="1"/>
  <c r="O963" i="1"/>
  <c r="O975" i="1"/>
  <c r="O987" i="1"/>
  <c r="O997" i="1"/>
  <c r="O1007" i="1"/>
  <c r="O1017" i="1"/>
  <c r="O1027" i="1"/>
  <c r="O1037" i="1"/>
  <c r="O1047" i="1"/>
  <c r="O1057" i="1"/>
  <c r="O1067" i="1"/>
  <c r="O1077" i="1"/>
  <c r="O1087" i="1"/>
  <c r="O1097" i="1"/>
  <c r="O1107" i="1"/>
  <c r="O1117" i="1"/>
  <c r="O1127" i="1"/>
  <c r="O1137" i="1"/>
  <c r="O1147" i="1"/>
  <c r="O1157" i="1"/>
  <c r="O1167" i="1"/>
  <c r="O1177" i="1"/>
  <c r="O1187" i="1"/>
  <c r="O1197" i="1"/>
  <c r="O1207" i="1"/>
  <c r="O1217" i="1"/>
  <c r="O1227" i="1"/>
  <c r="O1237" i="1"/>
  <c r="O1247" i="1"/>
  <c r="O1257" i="1"/>
  <c r="O1267" i="1"/>
  <c r="O1277" i="1"/>
  <c r="O1287" i="1"/>
  <c r="O1297" i="1"/>
  <c r="O1307" i="1"/>
  <c r="O1317" i="1"/>
  <c r="O1327" i="1"/>
  <c r="O1337" i="1"/>
  <c r="O1347" i="1"/>
  <c r="O1357" i="1"/>
  <c r="O1367" i="1"/>
  <c r="O1377" i="1"/>
  <c r="O1387" i="1"/>
  <c r="O1397" i="1"/>
  <c r="O1407" i="1"/>
  <c r="O1417" i="1"/>
  <c r="O1427" i="1"/>
  <c r="O1437" i="1"/>
  <c r="O1447" i="1"/>
  <c r="O1457" i="1"/>
  <c r="O1467" i="1"/>
  <c r="O1477" i="1"/>
  <c r="O1487" i="1"/>
  <c r="O1497" i="1"/>
  <c r="O1507" i="1"/>
  <c r="O1517" i="1"/>
  <c r="O1527" i="1"/>
  <c r="O1537" i="1"/>
  <c r="O1547" i="1"/>
  <c r="O1557" i="1"/>
  <c r="O1567" i="1"/>
  <c r="O1577" i="1"/>
  <c r="O1587" i="1"/>
  <c r="O1597" i="1"/>
  <c r="O1607" i="1"/>
  <c r="O1617" i="1"/>
  <c r="O1627" i="1"/>
  <c r="O1637" i="1"/>
  <c r="O1647" i="1"/>
  <c r="O1657" i="1"/>
  <c r="O1667" i="1"/>
  <c r="O1677" i="1"/>
  <c r="O1687" i="1"/>
  <c r="O1697" i="1"/>
  <c r="O1707" i="1"/>
  <c r="O1717" i="1"/>
  <c r="O1727" i="1"/>
  <c r="O1737" i="1"/>
  <c r="O1747" i="1"/>
  <c r="O1757" i="1"/>
  <c r="O573" i="1"/>
  <c r="O645" i="1"/>
  <c r="O677" i="1"/>
  <c r="O704" i="1"/>
  <c r="O724" i="1"/>
  <c r="O743" i="1"/>
  <c r="O759" i="1"/>
  <c r="O775" i="1"/>
  <c r="O793" i="1"/>
  <c r="O807" i="1"/>
  <c r="O822" i="1"/>
  <c r="O835" i="1"/>
  <c r="O851" i="1"/>
  <c r="O864" i="1"/>
  <c r="O877" i="1"/>
  <c r="O890" i="1"/>
  <c r="O902" i="1"/>
  <c r="O914" i="1"/>
  <c r="O927" i="1"/>
  <c r="O940" i="1"/>
  <c r="O952" i="1"/>
  <c r="O964" i="1"/>
  <c r="O977" i="1"/>
  <c r="O988" i="1"/>
  <c r="O998" i="1"/>
  <c r="O1008" i="1"/>
  <c r="O1018" i="1"/>
  <c r="O1028" i="1"/>
  <c r="O1038" i="1"/>
  <c r="O1048" i="1"/>
  <c r="O1058" i="1"/>
  <c r="O1068" i="1"/>
  <c r="O1078" i="1"/>
  <c r="O1088" i="1"/>
  <c r="O1098" i="1"/>
  <c r="O1108" i="1"/>
  <c r="O1118" i="1"/>
  <c r="O1128" i="1"/>
  <c r="O1138" i="1"/>
  <c r="O1148" i="1"/>
  <c r="O1158" i="1"/>
  <c r="O1168" i="1"/>
  <c r="O1178" i="1"/>
  <c r="O1188" i="1"/>
  <c r="O1198" i="1"/>
  <c r="O1208" i="1"/>
  <c r="O1218" i="1"/>
  <c r="O1228" i="1"/>
  <c r="O1238" i="1"/>
  <c r="O1248" i="1"/>
  <c r="O1258" i="1"/>
  <c r="O1268" i="1"/>
  <c r="O1278" i="1"/>
  <c r="O1288" i="1"/>
  <c r="O1298" i="1"/>
  <c r="O1308" i="1"/>
  <c r="O1318" i="1"/>
  <c r="O1328" i="1"/>
  <c r="O1338" i="1"/>
  <c r="O1348" i="1"/>
  <c r="O1358" i="1"/>
  <c r="O1368" i="1"/>
  <c r="O1378" i="1"/>
  <c r="O1388" i="1"/>
  <c r="O1398" i="1"/>
  <c r="O1408" i="1"/>
  <c r="O1418" i="1"/>
  <c r="O1428" i="1"/>
  <c r="O1438" i="1"/>
  <c r="O1448" i="1"/>
  <c r="O1458" i="1"/>
  <c r="O1468" i="1"/>
  <c r="O1478" i="1"/>
  <c r="O1488" i="1"/>
  <c r="O1498" i="1"/>
  <c r="O1508" i="1"/>
  <c r="O1518" i="1"/>
  <c r="O1528" i="1"/>
  <c r="O1538" i="1"/>
  <c r="O1548" i="1"/>
  <c r="O1558" i="1"/>
  <c r="O1568" i="1"/>
  <c r="O1578" i="1"/>
  <c r="O1588" i="1"/>
  <c r="O1598" i="1"/>
  <c r="O1608" i="1"/>
  <c r="O1618" i="1"/>
  <c r="O1628" i="1"/>
  <c r="O1638" i="1"/>
  <c r="O1648" i="1"/>
  <c r="O1658" i="1"/>
  <c r="O1668" i="1"/>
  <c r="O1678" i="1"/>
  <c r="O1688" i="1"/>
  <c r="O1698" i="1"/>
  <c r="O1708" i="1"/>
  <c r="O1718" i="1"/>
  <c r="O1728" i="1"/>
  <c r="O1738" i="1"/>
  <c r="O1748" i="1"/>
  <c r="O1758" i="1"/>
  <c r="O1768" i="1"/>
  <c r="O1778" i="1"/>
  <c r="O1788" i="1"/>
  <c r="O1798" i="1"/>
  <c r="N8" i="1"/>
  <c r="N18" i="1"/>
  <c r="N28" i="1"/>
  <c r="N38" i="1"/>
  <c r="N48" i="1"/>
  <c r="N58" i="1"/>
  <c r="N68" i="1"/>
  <c r="N78" i="1"/>
  <c r="N88" i="1"/>
  <c r="N98" i="1"/>
  <c r="N108" i="1"/>
  <c r="N118" i="1"/>
  <c r="N128" i="1"/>
  <c r="N138" i="1"/>
  <c r="O583" i="1"/>
  <c r="O647" i="1"/>
  <c r="O683" i="1"/>
  <c r="O705" i="1"/>
  <c r="O725" i="1"/>
  <c r="O744" i="1"/>
  <c r="O761" i="1"/>
  <c r="O777" i="1"/>
  <c r="O794" i="1"/>
  <c r="O809" i="1"/>
  <c r="O823" i="1"/>
  <c r="O837" i="1"/>
  <c r="O852" i="1"/>
  <c r="O865" i="1"/>
  <c r="O879" i="1"/>
  <c r="O891" i="1"/>
  <c r="O903" i="1"/>
  <c r="O915" i="1"/>
  <c r="O929" i="1"/>
  <c r="O941" i="1"/>
  <c r="O953" i="1"/>
  <c r="O965" i="1"/>
  <c r="O979" i="1"/>
  <c r="O989" i="1"/>
  <c r="O999" i="1"/>
  <c r="O1009" i="1"/>
  <c r="O1019" i="1"/>
  <c r="O1029" i="1"/>
  <c r="O1039" i="1"/>
  <c r="O1049" i="1"/>
  <c r="O1059" i="1"/>
  <c r="O1069" i="1"/>
  <c r="O1079" i="1"/>
  <c r="O1089" i="1"/>
  <c r="O1099" i="1"/>
  <c r="O1109" i="1"/>
  <c r="O1119" i="1"/>
  <c r="O1129" i="1"/>
  <c r="O1139" i="1"/>
  <c r="O1149" i="1"/>
  <c r="O1159" i="1"/>
  <c r="O1169" i="1"/>
  <c r="O1179" i="1"/>
  <c r="O1189" i="1"/>
  <c r="O1199" i="1"/>
  <c r="O1209" i="1"/>
  <c r="O1219" i="1"/>
  <c r="O1229" i="1"/>
  <c r="O1239" i="1"/>
  <c r="O1249" i="1"/>
  <c r="O1259" i="1"/>
  <c r="O1269" i="1"/>
  <c r="O1279" i="1"/>
  <c r="O1289" i="1"/>
  <c r="O1299" i="1"/>
  <c r="O1309" i="1"/>
  <c r="O1319" i="1"/>
  <c r="O1329" i="1"/>
  <c r="O1339" i="1"/>
  <c r="O1349" i="1"/>
  <c r="O1359" i="1"/>
  <c r="O1369" i="1"/>
  <c r="O1379" i="1"/>
  <c r="O1389" i="1"/>
  <c r="O1399" i="1"/>
  <c r="O1409" i="1"/>
  <c r="O1419" i="1"/>
  <c r="O1429" i="1"/>
  <c r="O1439" i="1"/>
  <c r="O1449" i="1"/>
  <c r="O1459" i="1"/>
  <c r="O1469" i="1"/>
  <c r="O1479" i="1"/>
  <c r="O1489" i="1"/>
  <c r="O1499" i="1"/>
  <c r="O1509" i="1"/>
  <c r="O1519" i="1"/>
  <c r="O1529" i="1"/>
  <c r="O1539" i="1"/>
  <c r="O1549" i="1"/>
  <c r="O1559" i="1"/>
  <c r="O1569" i="1"/>
  <c r="O1579" i="1"/>
  <c r="O1589" i="1"/>
  <c r="O1599" i="1"/>
  <c r="O1609" i="1"/>
  <c r="O1619" i="1"/>
  <c r="O1629" i="1"/>
  <c r="O1639" i="1"/>
  <c r="O1649" i="1"/>
  <c r="O1659" i="1"/>
  <c r="O1669" i="1"/>
  <c r="O1679" i="1"/>
  <c r="O1689" i="1"/>
  <c r="O1699" i="1"/>
  <c r="O1709" i="1"/>
  <c r="O1719" i="1"/>
  <c r="O1729" i="1"/>
  <c r="O1739" i="1"/>
  <c r="O1749" i="1"/>
  <c r="O1759" i="1"/>
  <c r="O1769" i="1"/>
  <c r="O1779" i="1"/>
  <c r="O1789" i="1"/>
  <c r="O1799" i="1"/>
  <c r="N9" i="1"/>
  <c r="N19" i="1"/>
  <c r="O593" i="1"/>
  <c r="O653" i="1"/>
  <c r="O685" i="1"/>
  <c r="O707" i="1"/>
  <c r="O727" i="1"/>
  <c r="O745" i="1"/>
  <c r="O763" i="1"/>
  <c r="O779" i="1"/>
  <c r="O795" i="1"/>
  <c r="O811" i="1"/>
  <c r="O824" i="1"/>
  <c r="O839" i="1"/>
  <c r="O853" i="1"/>
  <c r="O867" i="1"/>
  <c r="O880" i="1"/>
  <c r="O892" i="1"/>
  <c r="O904" i="1"/>
  <c r="O917" i="1"/>
  <c r="O930" i="1"/>
  <c r="O942" i="1"/>
  <c r="O954" i="1"/>
  <c r="O967" i="1"/>
  <c r="O980" i="1"/>
  <c r="O990" i="1"/>
  <c r="O1000" i="1"/>
  <c r="O1010" i="1"/>
  <c r="O1020" i="1"/>
  <c r="O1030" i="1"/>
  <c r="O1040" i="1"/>
  <c r="O1050" i="1"/>
  <c r="O1060" i="1"/>
  <c r="O1070" i="1"/>
  <c r="O1080" i="1"/>
  <c r="O1090" i="1"/>
  <c r="O1100" i="1"/>
  <c r="O1110" i="1"/>
  <c r="O1120" i="1"/>
  <c r="O1130" i="1"/>
  <c r="O1140" i="1"/>
  <c r="O1150" i="1"/>
  <c r="O1160" i="1"/>
  <c r="O1170" i="1"/>
  <c r="O1180" i="1"/>
  <c r="O1190" i="1"/>
  <c r="O1200" i="1"/>
  <c r="O1210" i="1"/>
  <c r="O1220" i="1"/>
  <c r="O1230" i="1"/>
  <c r="O1240" i="1"/>
  <c r="O1250" i="1"/>
  <c r="O1260" i="1"/>
  <c r="O1270" i="1"/>
  <c r="O1280" i="1"/>
  <c r="O1290" i="1"/>
  <c r="O1300" i="1"/>
  <c r="O1310" i="1"/>
  <c r="O1320" i="1"/>
  <c r="O1330" i="1"/>
  <c r="O1340" i="1"/>
  <c r="O1350" i="1"/>
  <c r="O1360" i="1"/>
  <c r="O1370" i="1"/>
  <c r="O1380" i="1"/>
  <c r="O1390" i="1"/>
  <c r="O1400" i="1"/>
  <c r="O1410" i="1"/>
  <c r="O1420" i="1"/>
  <c r="O1430" i="1"/>
  <c r="O1440" i="1"/>
  <c r="O1450" i="1"/>
  <c r="O1460" i="1"/>
  <c r="O1470" i="1"/>
  <c r="O1480" i="1"/>
  <c r="O1490" i="1"/>
  <c r="O1500" i="1"/>
  <c r="O1510" i="1"/>
  <c r="O1520" i="1"/>
  <c r="O1530" i="1"/>
  <c r="O1540" i="1"/>
  <c r="O1550" i="1"/>
  <c r="O1560" i="1"/>
  <c r="O1570" i="1"/>
  <c r="O1580" i="1"/>
  <c r="O1590" i="1"/>
  <c r="O1600" i="1"/>
  <c r="O1610" i="1"/>
  <c r="O1620" i="1"/>
  <c r="O1630" i="1"/>
  <c r="O1640" i="1"/>
  <c r="O1650" i="1"/>
  <c r="O1660" i="1"/>
  <c r="O1670" i="1"/>
  <c r="O1680" i="1"/>
  <c r="O1690" i="1"/>
  <c r="O1700" i="1"/>
  <c r="O1710" i="1"/>
  <c r="O1720" i="1"/>
  <c r="O1730" i="1"/>
  <c r="O1740" i="1"/>
  <c r="O1750" i="1"/>
  <c r="O1760" i="1"/>
  <c r="O1770" i="1"/>
  <c r="O1780" i="1"/>
  <c r="O1790" i="1"/>
  <c r="O1800" i="1"/>
  <c r="N10" i="1"/>
  <c r="N20" i="1"/>
  <c r="N30" i="1"/>
  <c r="N40" i="1"/>
  <c r="N50" i="1"/>
  <c r="N60" i="1"/>
  <c r="N70" i="1"/>
  <c r="N80" i="1"/>
  <c r="N90" i="1"/>
  <c r="N100" i="1"/>
  <c r="N110" i="1"/>
  <c r="N120" i="1"/>
  <c r="N130" i="1"/>
  <c r="N140" i="1"/>
  <c r="N150" i="1"/>
  <c r="N160" i="1"/>
  <c r="O603" i="1"/>
  <c r="O655" i="1"/>
  <c r="O687" i="1"/>
  <c r="O711" i="1"/>
  <c r="O731" i="1"/>
  <c r="O747" i="1"/>
  <c r="O764" i="1"/>
  <c r="O781" i="1"/>
  <c r="O797" i="1"/>
  <c r="O812" i="1"/>
  <c r="O825" i="1"/>
  <c r="O841" i="1"/>
  <c r="O854" i="1"/>
  <c r="O869" i="1"/>
  <c r="O881" i="1"/>
  <c r="O893" i="1"/>
  <c r="O905" i="1"/>
  <c r="O919" i="1"/>
  <c r="O931" i="1"/>
  <c r="O943" i="1"/>
  <c r="O955" i="1"/>
  <c r="O969" i="1"/>
  <c r="O981" i="1"/>
  <c r="O991" i="1"/>
  <c r="O1001" i="1"/>
  <c r="O1011" i="1"/>
  <c r="O1021" i="1"/>
  <c r="O1031" i="1"/>
  <c r="O1041" i="1"/>
  <c r="O1051" i="1"/>
  <c r="O1061" i="1"/>
  <c r="O1071" i="1"/>
  <c r="O1081" i="1"/>
  <c r="O1091" i="1"/>
  <c r="O1101" i="1"/>
  <c r="O1111" i="1"/>
  <c r="O1121" i="1"/>
  <c r="O1131" i="1"/>
  <c r="O1141" i="1"/>
  <c r="O1151" i="1"/>
  <c r="O1161" i="1"/>
  <c r="O1171" i="1"/>
  <c r="O1181" i="1"/>
  <c r="O1191" i="1"/>
  <c r="O1201" i="1"/>
  <c r="O1211" i="1"/>
  <c r="O1221" i="1"/>
  <c r="O1231" i="1"/>
  <c r="O1241" i="1"/>
  <c r="O1251" i="1"/>
  <c r="O1261" i="1"/>
  <c r="O1271" i="1"/>
  <c r="O1281" i="1"/>
  <c r="O1291" i="1"/>
  <c r="O1301" i="1"/>
  <c r="O1311" i="1"/>
  <c r="O1321" i="1"/>
  <c r="O1331" i="1"/>
  <c r="O1341" i="1"/>
  <c r="O1351" i="1"/>
  <c r="O1361" i="1"/>
  <c r="O1371" i="1"/>
  <c r="O1381" i="1"/>
  <c r="O1391" i="1"/>
  <c r="O1401" i="1"/>
  <c r="O1411" i="1"/>
  <c r="O1421" i="1"/>
  <c r="O1431" i="1"/>
  <c r="O1441" i="1"/>
  <c r="O1451" i="1"/>
  <c r="O1461" i="1"/>
  <c r="O1471" i="1"/>
  <c r="O1481" i="1"/>
  <c r="O1491" i="1"/>
  <c r="O1501" i="1"/>
  <c r="O1511" i="1"/>
  <c r="O1521" i="1"/>
  <c r="O1531" i="1"/>
  <c r="O1541" i="1"/>
  <c r="O1551" i="1"/>
  <c r="O1561" i="1"/>
  <c r="O1571" i="1"/>
  <c r="O1581" i="1"/>
  <c r="O1591" i="1"/>
  <c r="O1601" i="1"/>
  <c r="O1611" i="1"/>
  <c r="O1621" i="1"/>
  <c r="O1631" i="1"/>
  <c r="O1641" i="1"/>
  <c r="O1651" i="1"/>
  <c r="O1661" i="1"/>
  <c r="O1671" i="1"/>
  <c r="O1681" i="1"/>
  <c r="O1691" i="1"/>
  <c r="O1701" i="1"/>
  <c r="O1711" i="1"/>
  <c r="O1721" i="1"/>
  <c r="O1731" i="1"/>
  <c r="O1741" i="1"/>
  <c r="O1751" i="1"/>
  <c r="O1761" i="1"/>
  <c r="O1771" i="1"/>
  <c r="O1781" i="1"/>
  <c r="O1791" i="1"/>
  <c r="O1801" i="1"/>
  <c r="N11" i="1"/>
  <c r="N21" i="1"/>
  <c r="N31" i="1"/>
  <c r="N41" i="1"/>
  <c r="N51" i="1"/>
  <c r="N61" i="1"/>
  <c r="N71" i="1"/>
  <c r="N81" i="1"/>
  <c r="N91" i="1"/>
  <c r="N101" i="1"/>
  <c r="N111" i="1"/>
  <c r="N121" i="1"/>
  <c r="N131" i="1"/>
  <c r="N141" i="1"/>
  <c r="N151" i="1"/>
  <c r="N161" i="1"/>
  <c r="N171" i="1"/>
  <c r="N181" i="1"/>
  <c r="N191" i="1"/>
  <c r="N201" i="1"/>
  <c r="N211" i="1"/>
  <c r="N221" i="1"/>
  <c r="O613" i="1"/>
  <c r="O657" i="1"/>
  <c r="O691" i="1"/>
  <c r="O713" i="1"/>
  <c r="O733" i="1"/>
  <c r="O749" i="1"/>
  <c r="O765" i="1"/>
  <c r="O783" i="1"/>
  <c r="O799" i="1"/>
  <c r="O813" i="1"/>
  <c r="O827" i="1"/>
  <c r="O842" i="1"/>
  <c r="O855" i="1"/>
  <c r="O870" i="1"/>
  <c r="O882" i="1"/>
  <c r="O894" i="1"/>
  <c r="O907" i="1"/>
  <c r="O920" i="1"/>
  <c r="O932" i="1"/>
  <c r="O944" i="1"/>
  <c r="O957" i="1"/>
  <c r="O970" i="1"/>
  <c r="O982" i="1"/>
  <c r="O992" i="1"/>
  <c r="O1002" i="1"/>
  <c r="O1012" i="1"/>
  <c r="O1022" i="1"/>
  <c r="O1032" i="1"/>
  <c r="O1042" i="1"/>
  <c r="O1052" i="1"/>
  <c r="O1062" i="1"/>
  <c r="O1072" i="1"/>
  <c r="O1082" i="1"/>
  <c r="O1092" i="1"/>
  <c r="O1102" i="1"/>
  <c r="O1112" i="1"/>
  <c r="O1122" i="1"/>
  <c r="O1132" i="1"/>
  <c r="O1142" i="1"/>
  <c r="O1152" i="1"/>
  <c r="O1162" i="1"/>
  <c r="O1172" i="1"/>
  <c r="O1182" i="1"/>
  <c r="O1192" i="1"/>
  <c r="O1202" i="1"/>
  <c r="O1212" i="1"/>
  <c r="O1222" i="1"/>
  <c r="O1232" i="1"/>
  <c r="O1242" i="1"/>
  <c r="O1252" i="1"/>
  <c r="O1262" i="1"/>
  <c r="O1272" i="1"/>
  <c r="O1282" i="1"/>
  <c r="O1292" i="1"/>
  <c r="O1302" i="1"/>
  <c r="O1312" i="1"/>
  <c r="O1322" i="1"/>
  <c r="O1332" i="1"/>
  <c r="O1342" i="1"/>
  <c r="O1352" i="1"/>
  <c r="O1362" i="1"/>
  <c r="O1372" i="1"/>
  <c r="O1382" i="1"/>
  <c r="O1392" i="1"/>
  <c r="O1402" i="1"/>
  <c r="O1412" i="1"/>
  <c r="O1422" i="1"/>
  <c r="O1432" i="1"/>
  <c r="O1442" i="1"/>
  <c r="O1452" i="1"/>
  <c r="O1462" i="1"/>
  <c r="O1472" i="1"/>
  <c r="O1482" i="1"/>
  <c r="O1492" i="1"/>
  <c r="O1502" i="1"/>
  <c r="O1512" i="1"/>
  <c r="O1522" i="1"/>
  <c r="O1532" i="1"/>
  <c r="O1542" i="1"/>
  <c r="O1552" i="1"/>
  <c r="O1562" i="1"/>
  <c r="O1572" i="1"/>
  <c r="O1582" i="1"/>
  <c r="O1592" i="1"/>
  <c r="O1602" i="1"/>
  <c r="O1612" i="1"/>
  <c r="O1622" i="1"/>
  <c r="O1632" i="1"/>
  <c r="O1642" i="1"/>
  <c r="O1652" i="1"/>
  <c r="O1662" i="1"/>
  <c r="O1672" i="1"/>
  <c r="O1682" i="1"/>
  <c r="O1692" i="1"/>
  <c r="O1702" i="1"/>
  <c r="O1712" i="1"/>
  <c r="O1722" i="1"/>
  <c r="O1732" i="1"/>
  <c r="O1742" i="1"/>
  <c r="O1752" i="1"/>
  <c r="O1762" i="1"/>
  <c r="O1772" i="1"/>
  <c r="O1782" i="1"/>
  <c r="O1792" i="1"/>
  <c r="O1802" i="1"/>
  <c r="N12" i="1"/>
  <c r="N22" i="1"/>
  <c r="N32" i="1"/>
  <c r="N42" i="1"/>
  <c r="N52" i="1"/>
  <c r="N62" i="1"/>
  <c r="N72" i="1"/>
  <c r="N82" i="1"/>
  <c r="N92" i="1"/>
  <c r="N102" i="1"/>
  <c r="O623" i="1"/>
  <c r="O663" i="1"/>
  <c r="O693" i="1"/>
  <c r="O714" i="1"/>
  <c r="O734" i="1"/>
  <c r="O751" i="1"/>
  <c r="O767" i="1"/>
  <c r="O784" i="1"/>
  <c r="O801" i="1"/>
  <c r="O814" i="1"/>
  <c r="O829" i="1"/>
  <c r="O843" i="1"/>
  <c r="O857" i="1"/>
  <c r="O871" i="1"/>
  <c r="O883" i="1"/>
  <c r="O895" i="1"/>
  <c r="O909" i="1"/>
  <c r="O921" i="1"/>
  <c r="O933" i="1"/>
  <c r="O945" i="1"/>
  <c r="O959" i="1"/>
  <c r="O971" i="1"/>
  <c r="O983" i="1"/>
  <c r="O993" i="1"/>
  <c r="O1003" i="1"/>
  <c r="O1013" i="1"/>
  <c r="O1023" i="1"/>
  <c r="O1033" i="1"/>
  <c r="O1043" i="1"/>
  <c r="O1053" i="1"/>
  <c r="O1063" i="1"/>
  <c r="O1073" i="1"/>
  <c r="O1083" i="1"/>
  <c r="O1093" i="1"/>
  <c r="O1103" i="1"/>
  <c r="O1113" i="1"/>
  <c r="O1123" i="1"/>
  <c r="O1133" i="1"/>
  <c r="O1143" i="1"/>
  <c r="O1153" i="1"/>
  <c r="O1163" i="1"/>
  <c r="O1173" i="1"/>
  <c r="O1183" i="1"/>
  <c r="O1193" i="1"/>
  <c r="O1203" i="1"/>
  <c r="O1213" i="1"/>
  <c r="O1223" i="1"/>
  <c r="O1233" i="1"/>
  <c r="O1243" i="1"/>
  <c r="O1253" i="1"/>
  <c r="O1263" i="1"/>
  <c r="O1273" i="1"/>
  <c r="O1283" i="1"/>
  <c r="O1293" i="1"/>
  <c r="O1303" i="1"/>
  <c r="O1313" i="1"/>
  <c r="O1323" i="1"/>
  <c r="O1333" i="1"/>
  <c r="O1343" i="1"/>
  <c r="O1353" i="1"/>
  <c r="O1363" i="1"/>
  <c r="O1373" i="1"/>
  <c r="O1383" i="1"/>
  <c r="O1393" i="1"/>
  <c r="O1403" i="1"/>
  <c r="O1413" i="1"/>
  <c r="O1423" i="1"/>
  <c r="O1433" i="1"/>
  <c r="O1443" i="1"/>
  <c r="O1453" i="1"/>
  <c r="O1463" i="1"/>
  <c r="O1473" i="1"/>
  <c r="O1483" i="1"/>
  <c r="O1493" i="1"/>
  <c r="O1503" i="1"/>
  <c r="O1513" i="1"/>
  <c r="O1523" i="1"/>
  <c r="O1533" i="1"/>
  <c r="O1543" i="1"/>
  <c r="O1553" i="1"/>
  <c r="O1563" i="1"/>
  <c r="O1573" i="1"/>
  <c r="O1583" i="1"/>
  <c r="O1593" i="1"/>
  <c r="O1603" i="1"/>
  <c r="O1613" i="1"/>
  <c r="O1623" i="1"/>
  <c r="O1633" i="1"/>
  <c r="O1643" i="1"/>
  <c r="O1653" i="1"/>
  <c r="O1663" i="1"/>
  <c r="O1673" i="1"/>
  <c r="O1683" i="1"/>
  <c r="O1693" i="1"/>
  <c r="O1703" i="1"/>
  <c r="O1713" i="1"/>
  <c r="O1723" i="1"/>
  <c r="O633" i="1"/>
  <c r="O665" i="1"/>
  <c r="O695" i="1"/>
  <c r="O715" i="1"/>
  <c r="O735" i="1"/>
  <c r="O753" i="1"/>
  <c r="O769" i="1"/>
  <c r="O785" i="1"/>
  <c r="O802" i="1"/>
  <c r="O815" i="1"/>
  <c r="O831" i="1"/>
  <c r="O844" i="1"/>
  <c r="O859" i="1"/>
  <c r="O872" i="1"/>
  <c r="O884" i="1"/>
  <c r="O897" i="1"/>
  <c r="O910" i="1"/>
  <c r="O922" i="1"/>
  <c r="O934" i="1"/>
  <c r="O947" i="1"/>
  <c r="O960" i="1"/>
  <c r="O972" i="1"/>
  <c r="O984" i="1"/>
  <c r="O994" i="1"/>
  <c r="O1004" i="1"/>
  <c r="O1014" i="1"/>
  <c r="O1024" i="1"/>
  <c r="O1034" i="1"/>
  <c r="O1044" i="1"/>
  <c r="O1054" i="1"/>
  <c r="O1064" i="1"/>
  <c r="O1074" i="1"/>
  <c r="O1084" i="1"/>
  <c r="O1094" i="1"/>
  <c r="O1104" i="1"/>
  <c r="O1114" i="1"/>
  <c r="O1124" i="1"/>
  <c r="O1134" i="1"/>
  <c r="O1144" i="1"/>
  <c r="O1154" i="1"/>
  <c r="O1164" i="1"/>
  <c r="O1174" i="1"/>
  <c r="O1184" i="1"/>
  <c r="O1194" i="1"/>
  <c r="O1204" i="1"/>
  <c r="O1214" i="1"/>
  <c r="O1224" i="1"/>
  <c r="O1234" i="1"/>
  <c r="O1244" i="1"/>
  <c r="O1254" i="1"/>
  <c r="O1264" i="1"/>
  <c r="O1274" i="1"/>
  <c r="O1284" i="1"/>
  <c r="O1294" i="1"/>
  <c r="O1304" i="1"/>
  <c r="O1314" i="1"/>
  <c r="O1324" i="1"/>
  <c r="O1334" i="1"/>
  <c r="O1344" i="1"/>
  <c r="O1354" i="1"/>
  <c r="O1364" i="1"/>
  <c r="O1374" i="1"/>
  <c r="O1384" i="1"/>
  <c r="O1394" i="1"/>
  <c r="O1404" i="1"/>
  <c r="O1414" i="1"/>
  <c r="O1424" i="1"/>
  <c r="O1434" i="1"/>
  <c r="O1444" i="1"/>
  <c r="O1454" i="1"/>
  <c r="O1464" i="1"/>
  <c r="O1474" i="1"/>
  <c r="O1484" i="1"/>
  <c r="O1494" i="1"/>
  <c r="O1504" i="1"/>
  <c r="O1514" i="1"/>
  <c r="O1524" i="1"/>
  <c r="O1534" i="1"/>
  <c r="O1544" i="1"/>
  <c r="O1554" i="1"/>
  <c r="O1564" i="1"/>
  <c r="O1574" i="1"/>
  <c r="O1584" i="1"/>
  <c r="O1594" i="1"/>
  <c r="O1604" i="1"/>
  <c r="O1614" i="1"/>
  <c r="O1624" i="1"/>
  <c r="O1634" i="1"/>
  <c r="O1644" i="1"/>
  <c r="O1654" i="1"/>
  <c r="O1664" i="1"/>
  <c r="O1674" i="1"/>
  <c r="O1684" i="1"/>
  <c r="O1694" i="1"/>
  <c r="O1704" i="1"/>
  <c r="O1714" i="1"/>
  <c r="O1724" i="1"/>
  <c r="O1734" i="1"/>
  <c r="O1744" i="1"/>
  <c r="O1754" i="1"/>
  <c r="O1764" i="1"/>
  <c r="O1774" i="1"/>
  <c r="O1784" i="1"/>
  <c r="O1794" i="1"/>
  <c r="N4" i="1"/>
  <c r="N14" i="1"/>
  <c r="N24" i="1"/>
  <c r="N34" i="1"/>
  <c r="N44" i="1"/>
  <c r="N54" i="1"/>
  <c r="N64" i="1"/>
  <c r="N74" i="1"/>
  <c r="N84" i="1"/>
  <c r="N94" i="1"/>
  <c r="N104" i="1"/>
  <c r="N114" i="1"/>
  <c r="N124" i="1"/>
  <c r="N134" i="1"/>
  <c r="N144" i="1"/>
  <c r="N154" i="1"/>
  <c r="N164" i="1"/>
  <c r="N174" i="1"/>
  <c r="N184" i="1"/>
  <c r="N194" i="1"/>
  <c r="N204" i="1"/>
  <c r="N214" i="1"/>
  <c r="N224" i="1"/>
  <c r="N234" i="1"/>
  <c r="N244" i="1"/>
  <c r="N254" i="1"/>
  <c r="N264" i="1"/>
  <c r="N274" i="1"/>
  <c r="N284" i="1"/>
  <c r="N294" i="1"/>
  <c r="N304" i="1"/>
  <c r="O635" i="1"/>
  <c r="O667" i="1"/>
  <c r="O697" i="1"/>
  <c r="O717" i="1"/>
  <c r="O737" i="1"/>
  <c r="O754" i="1"/>
  <c r="O771" i="1"/>
  <c r="O787" i="1"/>
  <c r="O803" i="1"/>
  <c r="O817" i="1"/>
  <c r="O832" i="1"/>
  <c r="O845" i="1"/>
  <c r="O861" i="1"/>
  <c r="O873" i="1"/>
  <c r="O885" i="1"/>
  <c r="O899" i="1"/>
  <c r="O911" i="1"/>
  <c r="O923" i="1"/>
  <c r="O935" i="1"/>
  <c r="O949" i="1"/>
  <c r="O961" i="1"/>
  <c r="O973" i="1"/>
  <c r="O985" i="1"/>
  <c r="O995" i="1"/>
  <c r="O1005" i="1"/>
  <c r="O1015" i="1"/>
  <c r="O1025" i="1"/>
  <c r="O1035" i="1"/>
  <c r="O1045" i="1"/>
  <c r="O1055" i="1"/>
  <c r="O1065" i="1"/>
  <c r="O1075" i="1"/>
  <c r="O1085" i="1"/>
  <c r="O1095" i="1"/>
  <c r="O1105" i="1"/>
  <c r="O1115" i="1"/>
  <c r="O1125" i="1"/>
  <c r="O1135" i="1"/>
  <c r="O1145" i="1"/>
  <c r="O1155" i="1"/>
  <c r="O1165" i="1"/>
  <c r="O1175" i="1"/>
  <c r="O1185" i="1"/>
  <c r="O1195" i="1"/>
  <c r="O1205" i="1"/>
  <c r="O1215" i="1"/>
  <c r="O1225" i="1"/>
  <c r="O1235" i="1"/>
  <c r="O1245" i="1"/>
  <c r="O1255" i="1"/>
  <c r="O1265" i="1"/>
  <c r="O1275" i="1"/>
  <c r="O1285" i="1"/>
  <c r="O1295" i="1"/>
  <c r="O1305" i="1"/>
  <c r="O1315" i="1"/>
  <c r="O1325" i="1"/>
  <c r="O1335" i="1"/>
  <c r="O1345" i="1"/>
  <c r="O1355" i="1"/>
  <c r="O1365" i="1"/>
  <c r="O1375" i="1"/>
  <c r="O1385" i="1"/>
  <c r="O1395" i="1"/>
  <c r="O1405" i="1"/>
  <c r="O1415" i="1"/>
  <c r="O1425" i="1"/>
  <c r="O1435" i="1"/>
  <c r="O1445" i="1"/>
  <c r="O1455" i="1"/>
  <c r="O1465" i="1"/>
  <c r="O1475" i="1"/>
  <c r="O1485" i="1"/>
  <c r="O1495" i="1"/>
  <c r="O1505" i="1"/>
  <c r="O1515" i="1"/>
  <c r="O1525" i="1"/>
  <c r="O1535" i="1"/>
  <c r="O1545" i="1"/>
  <c r="O1555" i="1"/>
  <c r="O1565" i="1"/>
  <c r="O1575" i="1"/>
  <c r="O1585" i="1"/>
  <c r="O1595" i="1"/>
  <c r="O1605" i="1"/>
  <c r="O1615" i="1"/>
  <c r="O1625" i="1"/>
  <c r="O1635" i="1"/>
  <c r="O1645" i="1"/>
  <c r="O1655" i="1"/>
  <c r="O1665" i="1"/>
  <c r="O1675" i="1"/>
  <c r="O1685" i="1"/>
  <c r="O1695" i="1"/>
  <c r="O1705" i="1"/>
  <c r="O1715" i="1"/>
  <c r="O1725" i="1"/>
  <c r="O1735" i="1"/>
  <c r="O1745" i="1"/>
  <c r="O1755" i="1"/>
  <c r="O1765" i="1"/>
  <c r="O1775" i="1"/>
  <c r="O1785" i="1"/>
  <c r="O1795" i="1"/>
  <c r="N5" i="1"/>
  <c r="N15" i="1"/>
  <c r="N25" i="1"/>
  <c r="N35" i="1"/>
  <c r="N45" i="1"/>
  <c r="N55" i="1"/>
  <c r="N65" i="1"/>
  <c r="N75" i="1"/>
  <c r="N85" i="1"/>
  <c r="N95" i="1"/>
  <c r="N105" i="1"/>
  <c r="O1733" i="1"/>
  <c r="O1797" i="1"/>
  <c r="N39" i="1"/>
  <c r="N73" i="1"/>
  <c r="N107" i="1"/>
  <c r="N127" i="1"/>
  <c r="N147" i="1"/>
  <c r="N163" i="1"/>
  <c r="N178" i="1"/>
  <c r="N192" i="1"/>
  <c r="N205" i="1"/>
  <c r="N217" i="1"/>
  <c r="N229" i="1"/>
  <c r="N240" i="1"/>
  <c r="N251" i="1"/>
  <c r="N262" i="1"/>
  <c r="N273" i="1"/>
  <c r="N285" i="1"/>
  <c r="N296" i="1"/>
  <c r="N307" i="1"/>
  <c r="N317" i="1"/>
  <c r="N327" i="1"/>
  <c r="N337" i="1"/>
  <c r="N347" i="1"/>
  <c r="N357" i="1"/>
  <c r="N367" i="1"/>
  <c r="N377" i="1"/>
  <c r="N387" i="1"/>
  <c r="N397" i="1"/>
  <c r="N407" i="1"/>
  <c r="N417" i="1"/>
  <c r="N427" i="1"/>
  <c r="N437" i="1"/>
  <c r="N447" i="1"/>
  <c r="N457" i="1"/>
  <c r="N467" i="1"/>
  <c r="N477" i="1"/>
  <c r="N487" i="1"/>
  <c r="N497" i="1"/>
  <c r="N507" i="1"/>
  <c r="N517" i="1"/>
  <c r="N527" i="1"/>
  <c r="N537" i="1"/>
  <c r="N547" i="1"/>
  <c r="N557" i="1"/>
  <c r="N567" i="1"/>
  <c r="N577" i="1"/>
  <c r="N587" i="1"/>
  <c r="N597" i="1"/>
  <c r="N607" i="1"/>
  <c r="N617" i="1"/>
  <c r="N627" i="1"/>
  <c r="N637" i="1"/>
  <c r="N647" i="1"/>
  <c r="N657" i="1"/>
  <c r="N667" i="1"/>
  <c r="N677" i="1"/>
  <c r="N687" i="1"/>
  <c r="N697" i="1"/>
  <c r="N707" i="1"/>
  <c r="N717" i="1"/>
  <c r="N727" i="1"/>
  <c r="N737" i="1"/>
  <c r="N747" i="1"/>
  <c r="N757" i="1"/>
  <c r="N767" i="1"/>
  <c r="N777" i="1"/>
  <c r="N787" i="1"/>
  <c r="N797" i="1"/>
  <c r="N807" i="1"/>
  <c r="N817" i="1"/>
  <c r="N827" i="1"/>
  <c r="N837" i="1"/>
  <c r="N847" i="1"/>
  <c r="N857" i="1"/>
  <c r="N867" i="1"/>
  <c r="N877" i="1"/>
  <c r="N887" i="1"/>
  <c r="N897" i="1"/>
  <c r="N907" i="1"/>
  <c r="N917" i="1"/>
  <c r="N927" i="1"/>
  <c r="N937" i="1"/>
  <c r="N947" i="1"/>
  <c r="N957" i="1"/>
  <c r="N967" i="1"/>
  <c r="N977" i="1"/>
  <c r="N987" i="1"/>
  <c r="N997" i="1"/>
  <c r="N1007" i="1"/>
  <c r="N1017" i="1"/>
  <c r="N1027" i="1"/>
  <c r="N1037" i="1"/>
  <c r="N1047" i="1"/>
  <c r="N1057" i="1"/>
  <c r="N1067" i="1"/>
  <c r="N1077" i="1"/>
  <c r="N1087" i="1"/>
  <c r="N1097" i="1"/>
  <c r="O1743" i="1"/>
  <c r="N3" i="1"/>
  <c r="N43" i="1"/>
  <c r="N77" i="1"/>
  <c r="N109" i="1"/>
  <c r="N129" i="1"/>
  <c r="N148" i="1"/>
  <c r="N165" i="1"/>
  <c r="N179" i="1"/>
  <c r="N193" i="1"/>
  <c r="N206" i="1"/>
  <c r="N218" i="1"/>
  <c r="N230" i="1"/>
  <c r="N241" i="1"/>
  <c r="N252" i="1"/>
  <c r="N263" i="1"/>
  <c r="N275" i="1"/>
  <c r="N286" i="1"/>
  <c r="N297" i="1"/>
  <c r="N308" i="1"/>
  <c r="N318" i="1"/>
  <c r="N328" i="1"/>
  <c r="N338" i="1"/>
  <c r="N348" i="1"/>
  <c r="N358" i="1"/>
  <c r="N368" i="1"/>
  <c r="N378" i="1"/>
  <c r="N388" i="1"/>
  <c r="N398" i="1"/>
  <c r="N408" i="1"/>
  <c r="N418" i="1"/>
  <c r="N428" i="1"/>
  <c r="N438" i="1"/>
  <c r="N448" i="1"/>
  <c r="N458" i="1"/>
  <c r="N468" i="1"/>
  <c r="N478" i="1"/>
  <c r="N488" i="1"/>
  <c r="N498" i="1"/>
  <c r="N508" i="1"/>
  <c r="N518" i="1"/>
  <c r="N528" i="1"/>
  <c r="N538" i="1"/>
  <c r="N548" i="1"/>
  <c r="N558" i="1"/>
  <c r="N568" i="1"/>
  <c r="N578" i="1"/>
  <c r="N588" i="1"/>
  <c r="N598" i="1"/>
  <c r="N608" i="1"/>
  <c r="N618" i="1"/>
  <c r="N628" i="1"/>
  <c r="N638" i="1"/>
  <c r="N648" i="1"/>
  <c r="N658" i="1"/>
  <c r="N668" i="1"/>
  <c r="N678" i="1"/>
  <c r="N688" i="1"/>
  <c r="N698" i="1"/>
  <c r="N708" i="1"/>
  <c r="N718" i="1"/>
  <c r="N728" i="1"/>
  <c r="N738" i="1"/>
  <c r="N748" i="1"/>
  <c r="N758" i="1"/>
  <c r="N768" i="1"/>
  <c r="N778" i="1"/>
  <c r="N788" i="1"/>
  <c r="N798" i="1"/>
  <c r="N808" i="1"/>
  <c r="N818" i="1"/>
  <c r="N828" i="1"/>
  <c r="N838" i="1"/>
  <c r="N848" i="1"/>
  <c r="N858" i="1"/>
  <c r="N868" i="1"/>
  <c r="N878" i="1"/>
  <c r="N888" i="1"/>
  <c r="N898" i="1"/>
  <c r="N908" i="1"/>
  <c r="N918" i="1"/>
  <c r="N928" i="1"/>
  <c r="N938" i="1"/>
  <c r="N948" i="1"/>
  <c r="N958" i="1"/>
  <c r="N968" i="1"/>
  <c r="N978" i="1"/>
  <c r="N988" i="1"/>
  <c r="N998" i="1"/>
  <c r="N1008" i="1"/>
  <c r="N1018" i="1"/>
  <c r="N1028" i="1"/>
  <c r="N1038" i="1"/>
  <c r="N1048" i="1"/>
  <c r="N1058" i="1"/>
  <c r="N1068" i="1"/>
  <c r="N1078" i="1"/>
  <c r="N1088" i="1"/>
  <c r="N1098" i="1"/>
  <c r="N1108" i="1"/>
  <c r="N1118" i="1"/>
  <c r="N1128" i="1"/>
  <c r="N1138" i="1"/>
  <c r="N1148" i="1"/>
  <c r="N1158" i="1"/>
  <c r="N1168" i="1"/>
  <c r="N1178" i="1"/>
  <c r="N1188" i="1"/>
  <c r="N1198" i="1"/>
  <c r="N1208" i="1"/>
  <c r="N1218" i="1"/>
  <c r="N1228" i="1"/>
  <c r="N1238" i="1"/>
  <c r="N1248" i="1"/>
  <c r="N1258" i="1"/>
  <c r="N1268" i="1"/>
  <c r="N1278" i="1"/>
  <c r="N1288" i="1"/>
  <c r="N1298" i="1"/>
  <c r="N1308" i="1"/>
  <c r="N1318" i="1"/>
  <c r="N1328" i="1"/>
  <c r="N1338" i="1"/>
  <c r="O1753" i="1"/>
  <c r="N7" i="1"/>
  <c r="N47" i="1"/>
  <c r="N79" i="1"/>
  <c r="N112" i="1"/>
  <c r="N132" i="1"/>
  <c r="N149" i="1"/>
  <c r="N167" i="1"/>
  <c r="N180" i="1"/>
  <c r="N195" i="1"/>
  <c r="N207" i="1"/>
  <c r="N219" i="1"/>
  <c r="N231" i="1"/>
  <c r="N242" i="1"/>
  <c r="N253" i="1"/>
  <c r="N265" i="1"/>
  <c r="N276" i="1"/>
  <c r="N287" i="1"/>
  <c r="N298" i="1"/>
  <c r="N309" i="1"/>
  <c r="N319" i="1"/>
  <c r="N329" i="1"/>
  <c r="N339" i="1"/>
  <c r="N349" i="1"/>
  <c r="N359" i="1"/>
  <c r="N369" i="1"/>
  <c r="N379" i="1"/>
  <c r="N389" i="1"/>
  <c r="N399" i="1"/>
  <c r="N409" i="1"/>
  <c r="N419" i="1"/>
  <c r="N429" i="1"/>
  <c r="N439" i="1"/>
  <c r="N449" i="1"/>
  <c r="N459" i="1"/>
  <c r="N469" i="1"/>
  <c r="N479" i="1"/>
  <c r="N489" i="1"/>
  <c r="N499" i="1"/>
  <c r="N509" i="1"/>
  <c r="N519" i="1"/>
  <c r="N529" i="1"/>
  <c r="N539" i="1"/>
  <c r="N549" i="1"/>
  <c r="N559" i="1"/>
  <c r="N569" i="1"/>
  <c r="N579" i="1"/>
  <c r="N589" i="1"/>
  <c r="N599" i="1"/>
  <c r="N609" i="1"/>
  <c r="N619" i="1"/>
  <c r="N629" i="1"/>
  <c r="N639" i="1"/>
  <c r="N649" i="1"/>
  <c r="N659" i="1"/>
  <c r="N669" i="1"/>
  <c r="N679" i="1"/>
  <c r="N689" i="1"/>
  <c r="N699" i="1"/>
  <c r="N709" i="1"/>
  <c r="N719" i="1"/>
  <c r="N729" i="1"/>
  <c r="N739" i="1"/>
  <c r="N749" i="1"/>
  <c r="N759" i="1"/>
  <c r="N769" i="1"/>
  <c r="N779" i="1"/>
  <c r="N789" i="1"/>
  <c r="N799" i="1"/>
  <c r="N809" i="1"/>
  <c r="N819" i="1"/>
  <c r="N829" i="1"/>
  <c r="N839" i="1"/>
  <c r="N849" i="1"/>
  <c r="N859" i="1"/>
  <c r="N869" i="1"/>
  <c r="N879" i="1"/>
  <c r="N889" i="1"/>
  <c r="N899" i="1"/>
  <c r="N909" i="1"/>
  <c r="N919" i="1"/>
  <c r="N929" i="1"/>
  <c r="N939" i="1"/>
  <c r="N949" i="1"/>
  <c r="N959" i="1"/>
  <c r="N969" i="1"/>
  <c r="N979" i="1"/>
  <c r="N989" i="1"/>
  <c r="N999" i="1"/>
  <c r="N1009" i="1"/>
  <c r="N1019" i="1"/>
  <c r="N1029" i="1"/>
  <c r="N1039" i="1"/>
  <c r="N1049" i="1"/>
  <c r="N1059" i="1"/>
  <c r="N1069" i="1"/>
  <c r="N1079" i="1"/>
  <c r="N1089" i="1"/>
  <c r="N1099" i="1"/>
  <c r="N1109" i="1"/>
  <c r="N1119" i="1"/>
  <c r="N1129" i="1"/>
  <c r="N1139" i="1"/>
  <c r="O1763" i="1"/>
  <c r="N13" i="1"/>
  <c r="N49" i="1"/>
  <c r="N83" i="1"/>
  <c r="N113" i="1"/>
  <c r="N133" i="1"/>
  <c r="N152" i="1"/>
  <c r="N168" i="1"/>
  <c r="N182" i="1"/>
  <c r="N196" i="1"/>
  <c r="N208" i="1"/>
  <c r="N220" i="1"/>
  <c r="N232" i="1"/>
  <c r="N243" i="1"/>
  <c r="N255" i="1"/>
  <c r="N266" i="1"/>
  <c r="N277" i="1"/>
  <c r="N288" i="1"/>
  <c r="N299" i="1"/>
  <c r="N310" i="1"/>
  <c r="N320" i="1"/>
  <c r="N330" i="1"/>
  <c r="N340" i="1"/>
  <c r="N350" i="1"/>
  <c r="N360" i="1"/>
  <c r="N370" i="1"/>
  <c r="N380" i="1"/>
  <c r="N390" i="1"/>
  <c r="N400" i="1"/>
  <c r="N410" i="1"/>
  <c r="N420" i="1"/>
  <c r="N430" i="1"/>
  <c r="N440" i="1"/>
  <c r="N450" i="1"/>
  <c r="N460" i="1"/>
  <c r="N470" i="1"/>
  <c r="N480" i="1"/>
  <c r="N490" i="1"/>
  <c r="N500" i="1"/>
  <c r="N510" i="1"/>
  <c r="N520" i="1"/>
  <c r="N530" i="1"/>
  <c r="N540" i="1"/>
  <c r="N550" i="1"/>
  <c r="N560" i="1"/>
  <c r="N570" i="1"/>
  <c r="N580" i="1"/>
  <c r="N590" i="1"/>
  <c r="N600" i="1"/>
  <c r="N610" i="1"/>
  <c r="N620" i="1"/>
  <c r="N630" i="1"/>
  <c r="N640" i="1"/>
  <c r="N650" i="1"/>
  <c r="N660" i="1"/>
  <c r="N670" i="1"/>
  <c r="N680" i="1"/>
  <c r="N690" i="1"/>
  <c r="N700" i="1"/>
  <c r="N710" i="1"/>
  <c r="N720" i="1"/>
  <c r="N730" i="1"/>
  <c r="N740" i="1"/>
  <c r="N750" i="1"/>
  <c r="N760" i="1"/>
  <c r="N770" i="1"/>
  <c r="N780" i="1"/>
  <c r="N790" i="1"/>
  <c r="N800" i="1"/>
  <c r="N810" i="1"/>
  <c r="N820" i="1"/>
  <c r="N830" i="1"/>
  <c r="N840" i="1"/>
  <c r="N850" i="1"/>
  <c r="N860" i="1"/>
  <c r="N870" i="1"/>
  <c r="N880" i="1"/>
  <c r="N890" i="1"/>
  <c r="N900" i="1"/>
  <c r="N910" i="1"/>
  <c r="N920" i="1"/>
  <c r="N930" i="1"/>
  <c r="N940" i="1"/>
  <c r="N950" i="1"/>
  <c r="N960" i="1"/>
  <c r="N970" i="1"/>
  <c r="N980" i="1"/>
  <c r="N990" i="1"/>
  <c r="N1000" i="1"/>
  <c r="N1010" i="1"/>
  <c r="N1020" i="1"/>
  <c r="N1030" i="1"/>
  <c r="N1040" i="1"/>
  <c r="N1050" i="1"/>
  <c r="N1060" i="1"/>
  <c r="N1070" i="1"/>
  <c r="N1080" i="1"/>
  <c r="N1090" i="1"/>
  <c r="N1100" i="1"/>
  <c r="N1110" i="1"/>
  <c r="N1120" i="1"/>
  <c r="N1130" i="1"/>
  <c r="N1140" i="1"/>
  <c r="N1150" i="1"/>
  <c r="N1160" i="1"/>
  <c r="N1170" i="1"/>
  <c r="N1180" i="1"/>
  <c r="N1190" i="1"/>
  <c r="N1200" i="1"/>
  <c r="N1210" i="1"/>
  <c r="N1220" i="1"/>
  <c r="N1230" i="1"/>
  <c r="N1240" i="1"/>
  <c r="N1250" i="1"/>
  <c r="N1260" i="1"/>
  <c r="N1270" i="1"/>
  <c r="N1280" i="1"/>
  <c r="N1290" i="1"/>
  <c r="N1300" i="1"/>
  <c r="N1310" i="1"/>
  <c r="N1320" i="1"/>
  <c r="N1330" i="1"/>
  <c r="N1340" i="1"/>
  <c r="N1350" i="1"/>
  <c r="N1360" i="1"/>
  <c r="N1370" i="1"/>
  <c r="N1380" i="1"/>
  <c r="O1767" i="1"/>
  <c r="N17" i="1"/>
  <c r="N53" i="1"/>
  <c r="N87" i="1"/>
  <c r="N115" i="1"/>
  <c r="N135" i="1"/>
  <c r="N153" i="1"/>
  <c r="N169" i="1"/>
  <c r="N183" i="1"/>
  <c r="N197" i="1"/>
  <c r="N209" i="1"/>
  <c r="N222" i="1"/>
  <c r="N233" i="1"/>
  <c r="N245" i="1"/>
  <c r="N256" i="1"/>
  <c r="N267" i="1"/>
  <c r="N278" i="1"/>
  <c r="N289" i="1"/>
  <c r="N300" i="1"/>
  <c r="N311" i="1"/>
  <c r="N321" i="1"/>
  <c r="N331" i="1"/>
  <c r="N341" i="1"/>
  <c r="N351" i="1"/>
  <c r="N361" i="1"/>
  <c r="N371" i="1"/>
  <c r="N381" i="1"/>
  <c r="N391" i="1"/>
  <c r="N401" i="1"/>
  <c r="N411" i="1"/>
  <c r="N421" i="1"/>
  <c r="N431" i="1"/>
  <c r="N441" i="1"/>
  <c r="N451" i="1"/>
  <c r="N461" i="1"/>
  <c r="N471" i="1"/>
  <c r="N481" i="1"/>
  <c r="N491" i="1"/>
  <c r="N501" i="1"/>
  <c r="N511" i="1"/>
  <c r="N521" i="1"/>
  <c r="N531" i="1"/>
  <c r="N541" i="1"/>
  <c r="N551" i="1"/>
  <c r="N561" i="1"/>
  <c r="N571" i="1"/>
  <c r="N581" i="1"/>
  <c r="N591" i="1"/>
  <c r="N601" i="1"/>
  <c r="N611" i="1"/>
  <c r="N621" i="1"/>
  <c r="N631" i="1"/>
  <c r="N641" i="1"/>
  <c r="N651" i="1"/>
  <c r="N661" i="1"/>
  <c r="N671" i="1"/>
  <c r="N681" i="1"/>
  <c r="N691" i="1"/>
  <c r="N701" i="1"/>
  <c r="N711" i="1"/>
  <c r="N721" i="1"/>
  <c r="N731" i="1"/>
  <c r="N741" i="1"/>
  <c r="N751" i="1"/>
  <c r="N761" i="1"/>
  <c r="N771" i="1"/>
  <c r="N781" i="1"/>
  <c r="N791" i="1"/>
  <c r="N801" i="1"/>
  <c r="N811" i="1"/>
  <c r="N821" i="1"/>
  <c r="N831" i="1"/>
  <c r="N841" i="1"/>
  <c r="N851" i="1"/>
  <c r="N861" i="1"/>
  <c r="N871" i="1"/>
  <c r="N881" i="1"/>
  <c r="N891" i="1"/>
  <c r="N901" i="1"/>
  <c r="N911" i="1"/>
  <c r="N921" i="1"/>
  <c r="N931" i="1"/>
  <c r="N941" i="1"/>
  <c r="N951" i="1"/>
  <c r="N961" i="1"/>
  <c r="N971" i="1"/>
  <c r="N981" i="1"/>
  <c r="N991" i="1"/>
  <c r="N1001" i="1"/>
  <c r="N1011" i="1"/>
  <c r="N1021" i="1"/>
  <c r="N1031" i="1"/>
  <c r="N1041" i="1"/>
  <c r="N1051" i="1"/>
  <c r="N1061" i="1"/>
  <c r="N1071" i="1"/>
  <c r="N1081" i="1"/>
  <c r="N1091" i="1"/>
  <c r="N1101" i="1"/>
  <c r="N1111" i="1"/>
  <c r="N1121" i="1"/>
  <c r="N1131" i="1"/>
  <c r="N1141" i="1"/>
  <c r="N1151" i="1"/>
  <c r="N1161" i="1"/>
  <c r="N1171" i="1"/>
  <c r="N1181" i="1"/>
  <c r="N1191" i="1"/>
  <c r="N1201" i="1"/>
  <c r="N1211" i="1"/>
  <c r="N1221" i="1"/>
  <c r="N1231" i="1"/>
  <c r="N1241" i="1"/>
  <c r="N1251" i="1"/>
  <c r="N1261" i="1"/>
  <c r="N1271" i="1"/>
  <c r="N1281" i="1"/>
  <c r="N1291" i="1"/>
  <c r="N1301" i="1"/>
  <c r="N1311" i="1"/>
  <c r="N1321" i="1"/>
  <c r="N1331" i="1"/>
  <c r="N1341" i="1"/>
  <c r="N1351" i="1"/>
  <c r="N1361" i="1"/>
  <c r="N1371" i="1"/>
  <c r="N1381" i="1"/>
  <c r="N1391" i="1"/>
  <c r="N1401" i="1"/>
  <c r="N1411" i="1"/>
  <c r="N1421" i="1"/>
  <c r="N1431" i="1"/>
  <c r="N1441" i="1"/>
  <c r="N1451" i="1"/>
  <c r="O1773" i="1"/>
  <c r="N23" i="1"/>
  <c r="N57" i="1"/>
  <c r="N89" i="1"/>
  <c r="N117" i="1"/>
  <c r="N137" i="1"/>
  <c r="N155" i="1"/>
  <c r="N170" i="1"/>
  <c r="N185" i="1"/>
  <c r="N198" i="1"/>
  <c r="N210" i="1"/>
  <c r="N223" i="1"/>
  <c r="N235" i="1"/>
  <c r="N246" i="1"/>
  <c r="N257" i="1"/>
  <c r="N268" i="1"/>
  <c r="N279" i="1"/>
  <c r="N290" i="1"/>
  <c r="N301" i="1"/>
  <c r="N312" i="1"/>
  <c r="N322" i="1"/>
  <c r="N332" i="1"/>
  <c r="N342" i="1"/>
  <c r="N352" i="1"/>
  <c r="N362" i="1"/>
  <c r="N372" i="1"/>
  <c r="N382" i="1"/>
  <c r="N392" i="1"/>
  <c r="N402" i="1"/>
  <c r="N412" i="1"/>
  <c r="N422" i="1"/>
  <c r="N432" i="1"/>
  <c r="N442" i="1"/>
  <c r="N452" i="1"/>
  <c r="N462" i="1"/>
  <c r="N472" i="1"/>
  <c r="N482" i="1"/>
  <c r="N492" i="1"/>
  <c r="N502" i="1"/>
  <c r="N512" i="1"/>
  <c r="N522" i="1"/>
  <c r="N532" i="1"/>
  <c r="N542" i="1"/>
  <c r="N552" i="1"/>
  <c r="N562" i="1"/>
  <c r="N572" i="1"/>
  <c r="N582" i="1"/>
  <c r="N592" i="1"/>
  <c r="N602" i="1"/>
  <c r="N612" i="1"/>
  <c r="N622" i="1"/>
  <c r="N632" i="1"/>
  <c r="N642" i="1"/>
  <c r="N652" i="1"/>
  <c r="N662" i="1"/>
  <c r="N672" i="1"/>
  <c r="N682" i="1"/>
  <c r="N692" i="1"/>
  <c r="N702" i="1"/>
  <c r="N712" i="1"/>
  <c r="N722" i="1"/>
  <c r="N732" i="1"/>
  <c r="N742" i="1"/>
  <c r="N752" i="1"/>
  <c r="N762" i="1"/>
  <c r="N772" i="1"/>
  <c r="N782" i="1"/>
  <c r="N792" i="1"/>
  <c r="N802" i="1"/>
  <c r="N812" i="1"/>
  <c r="N822" i="1"/>
  <c r="N832" i="1"/>
  <c r="N842" i="1"/>
  <c r="N852" i="1"/>
  <c r="N862" i="1"/>
  <c r="N872" i="1"/>
  <c r="N882" i="1"/>
  <c r="N892" i="1"/>
  <c r="N902" i="1"/>
  <c r="N912" i="1"/>
  <c r="N922" i="1"/>
  <c r="N932" i="1"/>
  <c r="N942" i="1"/>
  <c r="N952" i="1"/>
  <c r="N962" i="1"/>
  <c r="N972" i="1"/>
  <c r="N982" i="1"/>
  <c r="N992" i="1"/>
  <c r="N1002" i="1"/>
  <c r="N1012" i="1"/>
  <c r="N1022" i="1"/>
  <c r="N1032" i="1"/>
  <c r="N1042" i="1"/>
  <c r="N1052" i="1"/>
  <c r="N1062" i="1"/>
  <c r="N1072" i="1"/>
  <c r="N1082" i="1"/>
  <c r="N1092" i="1"/>
  <c r="N1102" i="1"/>
  <c r="N1112" i="1"/>
  <c r="N1122" i="1"/>
  <c r="N1132" i="1"/>
  <c r="N1142" i="1"/>
  <c r="N1152" i="1"/>
  <c r="N1162" i="1"/>
  <c r="N1172" i="1"/>
  <c r="N1182" i="1"/>
  <c r="N1192" i="1"/>
  <c r="N1202" i="1"/>
  <c r="N1212" i="1"/>
  <c r="N1222" i="1"/>
  <c r="N1232" i="1"/>
  <c r="N1242" i="1"/>
  <c r="N1252" i="1"/>
  <c r="N1262" i="1"/>
  <c r="N1272" i="1"/>
  <c r="N1282" i="1"/>
  <c r="N1292" i="1"/>
  <c r="N1302" i="1"/>
  <c r="N1312" i="1"/>
  <c r="N1322" i="1"/>
  <c r="N1332" i="1"/>
  <c r="O1777" i="1"/>
  <c r="N27" i="1"/>
  <c r="N59" i="1"/>
  <c r="N93" i="1"/>
  <c r="N119" i="1"/>
  <c r="N139" i="1"/>
  <c r="N157" i="1"/>
  <c r="N172" i="1"/>
  <c r="N187" i="1"/>
  <c r="N199" i="1"/>
  <c r="N212" i="1"/>
  <c r="N225" i="1"/>
  <c r="N236" i="1"/>
  <c r="N247" i="1"/>
  <c r="N258" i="1"/>
  <c r="N269" i="1"/>
  <c r="N280" i="1"/>
  <c r="N291" i="1"/>
  <c r="N302" i="1"/>
  <c r="N313" i="1"/>
  <c r="N323" i="1"/>
  <c r="N333" i="1"/>
  <c r="N343" i="1"/>
  <c r="N353" i="1"/>
  <c r="N363" i="1"/>
  <c r="N373" i="1"/>
  <c r="N383" i="1"/>
  <c r="N393" i="1"/>
  <c r="N403" i="1"/>
  <c r="N413" i="1"/>
  <c r="N423" i="1"/>
  <c r="N433" i="1"/>
  <c r="N443" i="1"/>
  <c r="N453" i="1"/>
  <c r="N463" i="1"/>
  <c r="N473" i="1"/>
  <c r="N483" i="1"/>
  <c r="N493" i="1"/>
  <c r="N503" i="1"/>
  <c r="N513" i="1"/>
  <c r="N523" i="1"/>
  <c r="N533" i="1"/>
  <c r="N543" i="1"/>
  <c r="N553" i="1"/>
  <c r="N563" i="1"/>
  <c r="N573" i="1"/>
  <c r="N583" i="1"/>
  <c r="N593" i="1"/>
  <c r="N603" i="1"/>
  <c r="N613" i="1"/>
  <c r="N623" i="1"/>
  <c r="N633" i="1"/>
  <c r="N643" i="1"/>
  <c r="N653" i="1"/>
  <c r="N663" i="1"/>
  <c r="N673" i="1"/>
  <c r="N683" i="1"/>
  <c r="N693" i="1"/>
  <c r="N703" i="1"/>
  <c r="N713" i="1"/>
  <c r="N723" i="1"/>
  <c r="N733" i="1"/>
  <c r="N743" i="1"/>
  <c r="N753" i="1"/>
  <c r="N763" i="1"/>
  <c r="N773" i="1"/>
  <c r="N783" i="1"/>
  <c r="N793" i="1"/>
  <c r="N803" i="1"/>
  <c r="N813" i="1"/>
  <c r="N823" i="1"/>
  <c r="N833" i="1"/>
  <c r="N843" i="1"/>
  <c r="N853" i="1"/>
  <c r="N863" i="1"/>
  <c r="N873" i="1"/>
  <c r="N883" i="1"/>
  <c r="N893" i="1"/>
  <c r="N903" i="1"/>
  <c r="N913" i="1"/>
  <c r="N923" i="1"/>
  <c r="N933" i="1"/>
  <c r="N943" i="1"/>
  <c r="N953" i="1"/>
  <c r="N963" i="1"/>
  <c r="N973" i="1"/>
  <c r="N983" i="1"/>
  <c r="N993" i="1"/>
  <c r="N1003" i="1"/>
  <c r="N1013" i="1"/>
  <c r="N1023" i="1"/>
  <c r="N1033" i="1"/>
  <c r="N1043" i="1"/>
  <c r="N1053" i="1"/>
  <c r="N1063" i="1"/>
  <c r="N1073" i="1"/>
  <c r="N1083" i="1"/>
  <c r="O1783" i="1"/>
  <c r="N29" i="1"/>
  <c r="N63" i="1"/>
  <c r="N97" i="1"/>
  <c r="N122" i="1"/>
  <c r="N142" i="1"/>
  <c r="N158" i="1"/>
  <c r="N173" i="1"/>
  <c r="N188" i="1"/>
  <c r="N200" i="1"/>
  <c r="N213" i="1"/>
  <c r="N226" i="1"/>
  <c r="N237" i="1"/>
  <c r="N248" i="1"/>
  <c r="N259" i="1"/>
  <c r="N270" i="1"/>
  <c r="N281" i="1"/>
  <c r="N292" i="1"/>
  <c r="N303" i="1"/>
  <c r="N314" i="1"/>
  <c r="N324" i="1"/>
  <c r="N334" i="1"/>
  <c r="N344" i="1"/>
  <c r="N354" i="1"/>
  <c r="N364" i="1"/>
  <c r="N374" i="1"/>
  <c r="N384" i="1"/>
  <c r="N394" i="1"/>
  <c r="N404" i="1"/>
  <c r="N414" i="1"/>
  <c r="N424" i="1"/>
  <c r="N434" i="1"/>
  <c r="N444" i="1"/>
  <c r="N454" i="1"/>
  <c r="N464" i="1"/>
  <c r="N474" i="1"/>
  <c r="N484" i="1"/>
  <c r="N494" i="1"/>
  <c r="N504" i="1"/>
  <c r="N514" i="1"/>
  <c r="N524" i="1"/>
  <c r="N534" i="1"/>
  <c r="N544" i="1"/>
  <c r="N554" i="1"/>
  <c r="N564" i="1"/>
  <c r="N574" i="1"/>
  <c r="N584" i="1"/>
  <c r="N594" i="1"/>
  <c r="N604" i="1"/>
  <c r="N614" i="1"/>
  <c r="N624" i="1"/>
  <c r="N634" i="1"/>
  <c r="N644" i="1"/>
  <c r="N654" i="1"/>
  <c r="N664" i="1"/>
  <c r="N674" i="1"/>
  <c r="N684" i="1"/>
  <c r="N694" i="1"/>
  <c r="N704" i="1"/>
  <c r="N714" i="1"/>
  <c r="N724" i="1"/>
  <c r="N734" i="1"/>
  <c r="N744" i="1"/>
  <c r="N754" i="1"/>
  <c r="N764" i="1"/>
  <c r="N774" i="1"/>
  <c r="N784" i="1"/>
  <c r="N794" i="1"/>
  <c r="N804" i="1"/>
  <c r="N814" i="1"/>
  <c r="N824" i="1"/>
  <c r="N834" i="1"/>
  <c r="N844" i="1"/>
  <c r="N854" i="1"/>
  <c r="N864" i="1"/>
  <c r="N874" i="1"/>
  <c r="N884" i="1"/>
  <c r="N894" i="1"/>
  <c r="N904" i="1"/>
  <c r="N914" i="1"/>
  <c r="N924" i="1"/>
  <c r="N934" i="1"/>
  <c r="N944" i="1"/>
  <c r="N954" i="1"/>
  <c r="N964" i="1"/>
  <c r="N974" i="1"/>
  <c r="N984" i="1"/>
  <c r="N994" i="1"/>
  <c r="N1004" i="1"/>
  <c r="N1014" i="1"/>
  <c r="N1024" i="1"/>
  <c r="N1034" i="1"/>
  <c r="N1044" i="1"/>
  <c r="N1054" i="1"/>
  <c r="N1064" i="1"/>
  <c r="N1074" i="1"/>
  <c r="N1084" i="1"/>
  <c r="N1094" i="1"/>
  <c r="N1104" i="1"/>
  <c r="N1114" i="1"/>
  <c r="N1124" i="1"/>
  <c r="N1134" i="1"/>
  <c r="N1144" i="1"/>
  <c r="N1154" i="1"/>
  <c r="N1164" i="1"/>
  <c r="N1174" i="1"/>
  <c r="N1184" i="1"/>
  <c r="N1194" i="1"/>
  <c r="N1204" i="1"/>
  <c r="N1214" i="1"/>
  <c r="N1224" i="1"/>
  <c r="N1234" i="1"/>
  <c r="N1244" i="1"/>
  <c r="O1787" i="1"/>
  <c r="N33" i="1"/>
  <c r="N67" i="1"/>
  <c r="N99" i="1"/>
  <c r="N123" i="1"/>
  <c r="N143" i="1"/>
  <c r="N159" i="1"/>
  <c r="N175" i="1"/>
  <c r="N189" i="1"/>
  <c r="N202" i="1"/>
  <c r="N215" i="1"/>
  <c r="N227" i="1"/>
  <c r="N238" i="1"/>
  <c r="N249" i="1"/>
  <c r="N260" i="1"/>
  <c r="N271" i="1"/>
  <c r="N282" i="1"/>
  <c r="N293" i="1"/>
  <c r="N305" i="1"/>
  <c r="N315" i="1"/>
  <c r="N325" i="1"/>
  <c r="N335" i="1"/>
  <c r="N345" i="1"/>
  <c r="N355" i="1"/>
  <c r="N365" i="1"/>
  <c r="N375" i="1"/>
  <c r="N385" i="1"/>
  <c r="N395" i="1"/>
  <c r="N405" i="1"/>
  <c r="N415" i="1"/>
  <c r="N425" i="1"/>
  <c r="N435" i="1"/>
  <c r="N445" i="1"/>
  <c r="N455" i="1"/>
  <c r="N465" i="1"/>
  <c r="N475" i="1"/>
  <c r="N485" i="1"/>
  <c r="N495" i="1"/>
  <c r="N505" i="1"/>
  <c r="N515" i="1"/>
  <c r="N525" i="1"/>
  <c r="N535" i="1"/>
  <c r="N545" i="1"/>
  <c r="N555" i="1"/>
  <c r="N565" i="1"/>
  <c r="N575" i="1"/>
  <c r="N585" i="1"/>
  <c r="N595" i="1"/>
  <c r="N605" i="1"/>
  <c r="N615" i="1"/>
  <c r="N625" i="1"/>
  <c r="N635" i="1"/>
  <c r="N645" i="1"/>
  <c r="N655" i="1"/>
  <c r="N665" i="1"/>
  <c r="N675" i="1"/>
  <c r="N685" i="1"/>
  <c r="N695" i="1"/>
  <c r="N705" i="1"/>
  <c r="N715" i="1"/>
  <c r="N725" i="1"/>
  <c r="N735" i="1"/>
  <c r="N745" i="1"/>
  <c r="N755" i="1"/>
  <c r="N765" i="1"/>
  <c r="N775" i="1"/>
  <c r="N785" i="1"/>
  <c r="N795" i="1"/>
  <c r="N805" i="1"/>
  <c r="N815" i="1"/>
  <c r="N825" i="1"/>
  <c r="N835" i="1"/>
  <c r="N845" i="1"/>
  <c r="N855" i="1"/>
  <c r="N865" i="1"/>
  <c r="N875" i="1"/>
  <c r="N885" i="1"/>
  <c r="N895" i="1"/>
  <c r="N905" i="1"/>
  <c r="N915" i="1"/>
  <c r="N925" i="1"/>
  <c r="N935" i="1"/>
  <c r="N945" i="1"/>
  <c r="N955" i="1"/>
  <c r="N965" i="1"/>
  <c r="N975" i="1"/>
  <c r="N985" i="1"/>
  <c r="N995" i="1"/>
  <c r="N1005" i="1"/>
  <c r="N1015" i="1"/>
  <c r="N1025" i="1"/>
  <c r="N1035" i="1"/>
  <c r="N1045" i="1"/>
  <c r="N1055" i="1"/>
  <c r="N1065" i="1"/>
  <c r="N1075" i="1"/>
  <c r="N1085" i="1"/>
  <c r="N1095" i="1"/>
  <c r="N1105" i="1"/>
  <c r="N1115" i="1"/>
  <c r="N1125" i="1"/>
  <c r="N1135" i="1"/>
  <c r="N1145" i="1"/>
  <c r="N1155" i="1"/>
  <c r="N1165" i="1"/>
  <c r="N1175" i="1"/>
  <c r="N1185" i="1"/>
  <c r="N1195" i="1"/>
  <c r="N1205" i="1"/>
  <c r="N1215" i="1"/>
  <c r="N1225" i="1"/>
  <c r="N1235" i="1"/>
  <c r="N1245" i="1"/>
  <c r="N1255" i="1"/>
  <c r="N1265" i="1"/>
  <c r="N1275" i="1"/>
  <c r="N1285" i="1"/>
  <c r="N1295" i="1"/>
  <c r="O1793" i="1"/>
  <c r="N37" i="1"/>
  <c r="N69" i="1"/>
  <c r="N103" i="1"/>
  <c r="N125" i="1"/>
  <c r="N145" i="1"/>
  <c r="N162" i="1"/>
  <c r="N177" i="1"/>
  <c r="N190" i="1"/>
  <c r="N203" i="1"/>
  <c r="N216" i="1"/>
  <c r="N228" i="1"/>
  <c r="N239" i="1"/>
  <c r="N250" i="1"/>
  <c r="N261" i="1"/>
  <c r="N272" i="1"/>
  <c r="N283" i="1"/>
  <c r="N295" i="1"/>
  <c r="N306" i="1"/>
  <c r="N316" i="1"/>
  <c r="N326" i="1"/>
  <c r="N336" i="1"/>
  <c r="N346" i="1"/>
  <c r="N356" i="1"/>
  <c r="N366" i="1"/>
  <c r="N376" i="1"/>
  <c r="N386" i="1"/>
  <c r="N396" i="1"/>
  <c r="N406" i="1"/>
  <c r="N416" i="1"/>
  <c r="N426" i="1"/>
  <c r="N436" i="1"/>
  <c r="N446" i="1"/>
  <c r="N456" i="1"/>
  <c r="N466" i="1"/>
  <c r="N476" i="1"/>
  <c r="N486" i="1"/>
  <c r="N496" i="1"/>
  <c r="N506" i="1"/>
  <c r="N516" i="1"/>
  <c r="N526" i="1"/>
  <c r="N536" i="1"/>
  <c r="N546" i="1"/>
  <c r="N556" i="1"/>
  <c r="N566" i="1"/>
  <c r="N576" i="1"/>
  <c r="N586" i="1"/>
  <c r="N596" i="1"/>
  <c r="N606" i="1"/>
  <c r="N616" i="1"/>
  <c r="N626" i="1"/>
  <c r="N636" i="1"/>
  <c r="N646" i="1"/>
  <c r="N656" i="1"/>
  <c r="N666" i="1"/>
  <c r="N676" i="1"/>
  <c r="N686" i="1"/>
  <c r="N696" i="1"/>
  <c r="N706" i="1"/>
  <c r="N716" i="1"/>
  <c r="N726" i="1"/>
  <c r="N736" i="1"/>
  <c r="N746" i="1"/>
  <c r="N756" i="1"/>
  <c r="N766" i="1"/>
  <c r="N776" i="1"/>
  <c r="N786" i="1"/>
  <c r="N796" i="1"/>
  <c r="N806" i="1"/>
  <c r="N816" i="1"/>
  <c r="N826" i="1"/>
  <c r="N836" i="1"/>
  <c r="N846" i="1"/>
  <c r="N856" i="1"/>
  <c r="N866" i="1"/>
  <c r="N876" i="1"/>
  <c r="N886" i="1"/>
  <c r="N896" i="1"/>
  <c r="N906" i="1"/>
  <c r="N916" i="1"/>
  <c r="N926" i="1"/>
  <c r="N936" i="1"/>
  <c r="N946" i="1"/>
  <c r="N956" i="1"/>
  <c r="N966" i="1"/>
  <c r="N976" i="1"/>
  <c r="N986" i="1"/>
  <c r="N996" i="1"/>
  <c r="N1006" i="1"/>
  <c r="N1016" i="1"/>
  <c r="N1026" i="1"/>
  <c r="N1036" i="1"/>
  <c r="N1046" i="1"/>
  <c r="N1056" i="1"/>
  <c r="N1066" i="1"/>
  <c r="N1076" i="1"/>
  <c r="N1086" i="1"/>
  <c r="N1096" i="1"/>
  <c r="N1106" i="1"/>
  <c r="N1116" i="1"/>
  <c r="N1126" i="1"/>
  <c r="N1136" i="1"/>
  <c r="N1146" i="1"/>
  <c r="N1156" i="1"/>
  <c r="N1166" i="1"/>
  <c r="N1176" i="1"/>
  <c r="N1186" i="1"/>
  <c r="N1196" i="1"/>
  <c r="N1206" i="1"/>
  <c r="N1216" i="1"/>
  <c r="N1226" i="1"/>
  <c r="N1093" i="1"/>
  <c r="N1147" i="1"/>
  <c r="N1179" i="1"/>
  <c r="N1213" i="1"/>
  <c r="N1243" i="1"/>
  <c r="N1264" i="1"/>
  <c r="N1284" i="1"/>
  <c r="N1304" i="1"/>
  <c r="N1319" i="1"/>
  <c r="N1336" i="1"/>
  <c r="N1349" i="1"/>
  <c r="N1363" i="1"/>
  <c r="N1375" i="1"/>
  <c r="N1387" i="1"/>
  <c r="N1398" i="1"/>
  <c r="N1409" i="1"/>
  <c r="N1420" i="1"/>
  <c r="N1432" i="1"/>
  <c r="N1443" i="1"/>
  <c r="N1454" i="1"/>
  <c r="N1464" i="1"/>
  <c r="N1474" i="1"/>
  <c r="N1484" i="1"/>
  <c r="N1494" i="1"/>
  <c r="N1504" i="1"/>
  <c r="N1514" i="1"/>
  <c r="N1524" i="1"/>
  <c r="N1534" i="1"/>
  <c r="N1544" i="1"/>
  <c r="N1554" i="1"/>
  <c r="N1564" i="1"/>
  <c r="N1574" i="1"/>
  <c r="N1584" i="1"/>
  <c r="N1594" i="1"/>
  <c r="N1604" i="1"/>
  <c r="N1614" i="1"/>
  <c r="N1624" i="1"/>
  <c r="N1634" i="1"/>
  <c r="N1644" i="1"/>
  <c r="N1654" i="1"/>
  <c r="N1664" i="1"/>
  <c r="N1674" i="1"/>
  <c r="N1684" i="1"/>
  <c r="N1694" i="1"/>
  <c r="N1704" i="1"/>
  <c r="N1714" i="1"/>
  <c r="N1724" i="1"/>
  <c r="N1734" i="1"/>
  <c r="N1744" i="1"/>
  <c r="N1754" i="1"/>
  <c r="N1764" i="1"/>
  <c r="N1774" i="1"/>
  <c r="N1784" i="1"/>
  <c r="N1794" i="1"/>
  <c r="M4" i="1"/>
  <c r="M14" i="1"/>
  <c r="M24" i="1"/>
  <c r="M34" i="1"/>
  <c r="M44" i="1"/>
  <c r="M54" i="1"/>
  <c r="M64" i="1"/>
  <c r="M74" i="1"/>
  <c r="M84" i="1"/>
  <c r="M94" i="1"/>
  <c r="M104" i="1"/>
  <c r="M114" i="1"/>
  <c r="M124" i="1"/>
  <c r="M134" i="1"/>
  <c r="M144" i="1"/>
  <c r="M154" i="1"/>
  <c r="M164" i="1"/>
  <c r="M174" i="1"/>
  <c r="M184" i="1"/>
  <c r="M194" i="1"/>
  <c r="M204" i="1"/>
  <c r="M214" i="1"/>
  <c r="M224" i="1"/>
  <c r="M234" i="1"/>
  <c r="M244" i="1"/>
  <c r="M254" i="1"/>
  <c r="M264" i="1"/>
  <c r="M274" i="1"/>
  <c r="M284" i="1"/>
  <c r="M294" i="1"/>
  <c r="M304" i="1"/>
  <c r="M314" i="1"/>
  <c r="M324" i="1"/>
  <c r="M334" i="1"/>
  <c r="M344" i="1"/>
  <c r="M354" i="1"/>
  <c r="M364" i="1"/>
  <c r="M374" i="1"/>
  <c r="M384" i="1"/>
  <c r="M394" i="1"/>
  <c r="M404" i="1"/>
  <c r="M414" i="1"/>
  <c r="N1103" i="1"/>
  <c r="N1149" i="1"/>
  <c r="N1183" i="1"/>
  <c r="N1217" i="1"/>
  <c r="N1246" i="1"/>
  <c r="N1266" i="1"/>
  <c r="N1286" i="1"/>
  <c r="N1305" i="1"/>
  <c r="N1323" i="1"/>
  <c r="N1337" i="1"/>
  <c r="N1352" i="1"/>
  <c r="N1364" i="1"/>
  <c r="N1376" i="1"/>
  <c r="N1388" i="1"/>
  <c r="N1399" i="1"/>
  <c r="N1410" i="1"/>
  <c r="N1422" i="1"/>
  <c r="N1433" i="1"/>
  <c r="N1444" i="1"/>
  <c r="N1455" i="1"/>
  <c r="N1465" i="1"/>
  <c r="N1475" i="1"/>
  <c r="N1485" i="1"/>
  <c r="N1495" i="1"/>
  <c r="N1505" i="1"/>
  <c r="N1515" i="1"/>
  <c r="N1525" i="1"/>
  <c r="N1535" i="1"/>
  <c r="N1545" i="1"/>
  <c r="N1555" i="1"/>
  <c r="N1565" i="1"/>
  <c r="N1575" i="1"/>
  <c r="N1585" i="1"/>
  <c r="N1595" i="1"/>
  <c r="N1605" i="1"/>
  <c r="N1615" i="1"/>
  <c r="N1625" i="1"/>
  <c r="N1635" i="1"/>
  <c r="N1645" i="1"/>
  <c r="N1655" i="1"/>
  <c r="N1665" i="1"/>
  <c r="N1675" i="1"/>
  <c r="N1685" i="1"/>
  <c r="N1695" i="1"/>
  <c r="N1705" i="1"/>
  <c r="N1715" i="1"/>
  <c r="N1725" i="1"/>
  <c r="N1735" i="1"/>
  <c r="N1745" i="1"/>
  <c r="N1755" i="1"/>
  <c r="N1765" i="1"/>
  <c r="N1775" i="1"/>
  <c r="N1785" i="1"/>
  <c r="N1795" i="1"/>
  <c r="M5" i="1"/>
  <c r="M15" i="1"/>
  <c r="M25" i="1"/>
  <c r="M35" i="1"/>
  <c r="M45" i="1"/>
  <c r="M55" i="1"/>
  <c r="M65" i="1"/>
  <c r="M75" i="1"/>
  <c r="M85" i="1"/>
  <c r="M95" i="1"/>
  <c r="M105" i="1"/>
  <c r="M115" i="1"/>
  <c r="M125" i="1"/>
  <c r="M135" i="1"/>
  <c r="M145" i="1"/>
  <c r="M155" i="1"/>
  <c r="M165" i="1"/>
  <c r="M175" i="1"/>
  <c r="M185" i="1"/>
  <c r="M195" i="1"/>
  <c r="M205" i="1"/>
  <c r="M215" i="1"/>
  <c r="M225" i="1"/>
  <c r="M235" i="1"/>
  <c r="M245" i="1"/>
  <c r="M255" i="1"/>
  <c r="M265" i="1"/>
  <c r="M275" i="1"/>
  <c r="M285" i="1"/>
  <c r="M295" i="1"/>
  <c r="M305" i="1"/>
  <c r="M315" i="1"/>
  <c r="M325" i="1"/>
  <c r="M335" i="1"/>
  <c r="M345" i="1"/>
  <c r="M355" i="1"/>
  <c r="M365" i="1"/>
  <c r="M375" i="1"/>
  <c r="M385" i="1"/>
  <c r="M395" i="1"/>
  <c r="M405" i="1"/>
  <c r="M415" i="1"/>
  <c r="M425" i="1"/>
  <c r="M435" i="1"/>
  <c r="M445" i="1"/>
  <c r="M455" i="1"/>
  <c r="N1107" i="1"/>
  <c r="N1153" i="1"/>
  <c r="N1187" i="1"/>
  <c r="N1219" i="1"/>
  <c r="N1247" i="1"/>
  <c r="N1267" i="1"/>
  <c r="N1287" i="1"/>
  <c r="N1306" i="1"/>
  <c r="N1324" i="1"/>
  <c r="N1339" i="1"/>
  <c r="N1353" i="1"/>
  <c r="N1365" i="1"/>
  <c r="N1377" i="1"/>
  <c r="N1389" i="1"/>
  <c r="N1400" i="1"/>
  <c r="N1412" i="1"/>
  <c r="N1423" i="1"/>
  <c r="N1434" i="1"/>
  <c r="N1445" i="1"/>
  <c r="N1456" i="1"/>
  <c r="N1466" i="1"/>
  <c r="N1476" i="1"/>
  <c r="N1486" i="1"/>
  <c r="N1496" i="1"/>
  <c r="N1506" i="1"/>
  <c r="N1516" i="1"/>
  <c r="N1526" i="1"/>
  <c r="N1536" i="1"/>
  <c r="N1546" i="1"/>
  <c r="N1556" i="1"/>
  <c r="N1566" i="1"/>
  <c r="N1576" i="1"/>
  <c r="N1586" i="1"/>
  <c r="N1596" i="1"/>
  <c r="N1606" i="1"/>
  <c r="N1616" i="1"/>
  <c r="N1626" i="1"/>
  <c r="N1636" i="1"/>
  <c r="N1646" i="1"/>
  <c r="N1656" i="1"/>
  <c r="N1666" i="1"/>
  <c r="N1676" i="1"/>
  <c r="N1686" i="1"/>
  <c r="N1696" i="1"/>
  <c r="N1706" i="1"/>
  <c r="N1716" i="1"/>
  <c r="N1726" i="1"/>
  <c r="N1736" i="1"/>
  <c r="N1746" i="1"/>
  <c r="N1756" i="1"/>
  <c r="N1766" i="1"/>
  <c r="N1776" i="1"/>
  <c r="N1786" i="1"/>
  <c r="N1796" i="1"/>
  <c r="M6" i="1"/>
  <c r="M16" i="1"/>
  <c r="M26" i="1"/>
  <c r="M36" i="1"/>
  <c r="M46" i="1"/>
  <c r="M56" i="1"/>
  <c r="M66" i="1"/>
  <c r="M76" i="1"/>
  <c r="M86" i="1"/>
  <c r="M96" i="1"/>
  <c r="M106" i="1"/>
  <c r="M116" i="1"/>
  <c r="M126" i="1"/>
  <c r="M136" i="1"/>
  <c r="M146" i="1"/>
  <c r="M156" i="1"/>
  <c r="M166" i="1"/>
  <c r="M176" i="1"/>
  <c r="M186" i="1"/>
  <c r="M196" i="1"/>
  <c r="M206" i="1"/>
  <c r="M216" i="1"/>
  <c r="M226" i="1"/>
  <c r="N1113" i="1"/>
  <c r="N1157" i="1"/>
  <c r="N1189" i="1"/>
  <c r="N1223" i="1"/>
  <c r="N1249" i="1"/>
  <c r="N1269" i="1"/>
  <c r="N1289" i="1"/>
  <c r="N1307" i="1"/>
  <c r="N1325" i="1"/>
  <c r="N1342" i="1"/>
  <c r="N1354" i="1"/>
  <c r="N1366" i="1"/>
  <c r="N1378" i="1"/>
  <c r="N1390" i="1"/>
  <c r="N1402" i="1"/>
  <c r="N1413" i="1"/>
  <c r="N1424" i="1"/>
  <c r="N1435" i="1"/>
  <c r="N1446" i="1"/>
  <c r="N1457" i="1"/>
  <c r="N1467" i="1"/>
  <c r="N1477" i="1"/>
  <c r="N1487" i="1"/>
  <c r="N1497" i="1"/>
  <c r="N1507" i="1"/>
  <c r="N1517" i="1"/>
  <c r="N1527" i="1"/>
  <c r="N1537" i="1"/>
  <c r="N1547" i="1"/>
  <c r="N1557" i="1"/>
  <c r="N1567" i="1"/>
  <c r="N1577" i="1"/>
  <c r="N1587" i="1"/>
  <c r="N1597" i="1"/>
  <c r="N1607" i="1"/>
  <c r="N1617" i="1"/>
  <c r="N1627" i="1"/>
  <c r="N1637" i="1"/>
  <c r="N1647" i="1"/>
  <c r="N1657" i="1"/>
  <c r="N1667" i="1"/>
  <c r="N1677" i="1"/>
  <c r="N1687" i="1"/>
  <c r="N1697" i="1"/>
  <c r="N1707" i="1"/>
  <c r="N1717" i="1"/>
  <c r="N1727" i="1"/>
  <c r="N1737" i="1"/>
  <c r="N1747" i="1"/>
  <c r="N1757" i="1"/>
  <c r="N1767" i="1"/>
  <c r="N1777" i="1"/>
  <c r="N1787" i="1"/>
  <c r="N1797" i="1"/>
  <c r="M7" i="1"/>
  <c r="M17" i="1"/>
  <c r="M27" i="1"/>
  <c r="M37" i="1"/>
  <c r="M47" i="1"/>
  <c r="M57" i="1"/>
  <c r="M67" i="1"/>
  <c r="M77" i="1"/>
  <c r="M87" i="1"/>
  <c r="M97" i="1"/>
  <c r="M107" i="1"/>
  <c r="M117" i="1"/>
  <c r="M127" i="1"/>
  <c r="M137" i="1"/>
  <c r="M147" i="1"/>
  <c r="M157" i="1"/>
  <c r="M167" i="1"/>
  <c r="M177" i="1"/>
  <c r="M187" i="1"/>
  <c r="M197" i="1"/>
  <c r="M207" i="1"/>
  <c r="M217" i="1"/>
  <c r="M227" i="1"/>
  <c r="M237" i="1"/>
  <c r="M247" i="1"/>
  <c r="M257" i="1"/>
  <c r="M267" i="1"/>
  <c r="M277" i="1"/>
  <c r="M287" i="1"/>
  <c r="M297" i="1"/>
  <c r="M307" i="1"/>
  <c r="M317" i="1"/>
  <c r="M327" i="1"/>
  <c r="N1117" i="1"/>
  <c r="N1159" i="1"/>
  <c r="N1193" i="1"/>
  <c r="N1227" i="1"/>
  <c r="N1253" i="1"/>
  <c r="N1273" i="1"/>
  <c r="N1293" i="1"/>
  <c r="N1309" i="1"/>
  <c r="N1326" i="1"/>
  <c r="N1343" i="1"/>
  <c r="N1355" i="1"/>
  <c r="N1367" i="1"/>
  <c r="N1379" i="1"/>
  <c r="N1392" i="1"/>
  <c r="N1403" i="1"/>
  <c r="N1414" i="1"/>
  <c r="N1425" i="1"/>
  <c r="N1436" i="1"/>
  <c r="N1447" i="1"/>
  <c r="N1458" i="1"/>
  <c r="N1468" i="1"/>
  <c r="N1478" i="1"/>
  <c r="N1488" i="1"/>
  <c r="N1498" i="1"/>
  <c r="N1508" i="1"/>
  <c r="N1518" i="1"/>
  <c r="N1528" i="1"/>
  <c r="N1538" i="1"/>
  <c r="N1548" i="1"/>
  <c r="N1558" i="1"/>
  <c r="N1568" i="1"/>
  <c r="N1578" i="1"/>
  <c r="N1588" i="1"/>
  <c r="N1598" i="1"/>
  <c r="N1608" i="1"/>
  <c r="N1618" i="1"/>
  <c r="N1628" i="1"/>
  <c r="N1638" i="1"/>
  <c r="N1648" i="1"/>
  <c r="N1658" i="1"/>
  <c r="N1668" i="1"/>
  <c r="N1678" i="1"/>
  <c r="N1688" i="1"/>
  <c r="N1698" i="1"/>
  <c r="N1708" i="1"/>
  <c r="N1718" i="1"/>
  <c r="N1728" i="1"/>
  <c r="N1738" i="1"/>
  <c r="N1748" i="1"/>
  <c r="N1758" i="1"/>
  <c r="N1768" i="1"/>
  <c r="N1778" i="1"/>
  <c r="N1788" i="1"/>
  <c r="N1798" i="1"/>
  <c r="M8" i="1"/>
  <c r="M18" i="1"/>
  <c r="M28" i="1"/>
  <c r="M38" i="1"/>
  <c r="M48" i="1"/>
  <c r="M58" i="1"/>
  <c r="M68" i="1"/>
  <c r="M78" i="1"/>
  <c r="M88" i="1"/>
  <c r="M98" i="1"/>
  <c r="M108" i="1"/>
  <c r="M118" i="1"/>
  <c r="M128" i="1"/>
  <c r="M138" i="1"/>
  <c r="M148" i="1"/>
  <c r="M158" i="1"/>
  <c r="M168" i="1"/>
  <c r="M178" i="1"/>
  <c r="M188" i="1"/>
  <c r="M198" i="1"/>
  <c r="M208" i="1"/>
  <c r="M218" i="1"/>
  <c r="M228" i="1"/>
  <c r="M238" i="1"/>
  <c r="M248" i="1"/>
  <c r="M258" i="1"/>
  <c r="M268" i="1"/>
  <c r="M278" i="1"/>
  <c r="M288" i="1"/>
  <c r="M298" i="1"/>
  <c r="M308" i="1"/>
  <c r="M318" i="1"/>
  <c r="M328" i="1"/>
  <c r="M338" i="1"/>
  <c r="M348" i="1"/>
  <c r="M358" i="1"/>
  <c r="M368" i="1"/>
  <c r="M378" i="1"/>
  <c r="M388" i="1"/>
  <c r="M398" i="1"/>
  <c r="M408" i="1"/>
  <c r="M418" i="1"/>
  <c r="M428" i="1"/>
  <c r="M438" i="1"/>
  <c r="M448" i="1"/>
  <c r="M458" i="1"/>
  <c r="M468" i="1"/>
  <c r="M478" i="1"/>
  <c r="M488" i="1"/>
  <c r="M498" i="1"/>
  <c r="M508" i="1"/>
  <c r="M518" i="1"/>
  <c r="M528" i="1"/>
  <c r="M538" i="1"/>
  <c r="M548" i="1"/>
  <c r="M558" i="1"/>
  <c r="M568" i="1"/>
  <c r="M578" i="1"/>
  <c r="M588" i="1"/>
  <c r="N1123" i="1"/>
  <c r="N1163" i="1"/>
  <c r="N1197" i="1"/>
  <c r="N1229" i="1"/>
  <c r="N1254" i="1"/>
  <c r="N1274" i="1"/>
  <c r="N1294" i="1"/>
  <c r="N1313" i="1"/>
  <c r="N1327" i="1"/>
  <c r="N1344" i="1"/>
  <c r="N1356" i="1"/>
  <c r="N1368" i="1"/>
  <c r="N1382" i="1"/>
  <c r="N1393" i="1"/>
  <c r="N1404" i="1"/>
  <c r="N1415" i="1"/>
  <c r="N1426" i="1"/>
  <c r="N1437" i="1"/>
  <c r="N1448" i="1"/>
  <c r="N1459" i="1"/>
  <c r="N1469" i="1"/>
  <c r="N1479" i="1"/>
  <c r="N1489" i="1"/>
  <c r="N1499" i="1"/>
  <c r="N1509" i="1"/>
  <c r="N1519" i="1"/>
  <c r="N1529" i="1"/>
  <c r="N1539" i="1"/>
  <c r="N1549" i="1"/>
  <c r="N1559" i="1"/>
  <c r="N1569" i="1"/>
  <c r="N1579" i="1"/>
  <c r="N1589" i="1"/>
  <c r="N1599" i="1"/>
  <c r="N1609" i="1"/>
  <c r="N1619" i="1"/>
  <c r="N1629" i="1"/>
  <c r="N1639" i="1"/>
  <c r="N1649" i="1"/>
  <c r="N1659" i="1"/>
  <c r="N1669" i="1"/>
  <c r="N1679" i="1"/>
  <c r="N1689" i="1"/>
  <c r="N1699" i="1"/>
  <c r="N1709" i="1"/>
  <c r="N1719" i="1"/>
  <c r="N1729" i="1"/>
  <c r="N1739" i="1"/>
  <c r="N1749" i="1"/>
  <c r="N1759" i="1"/>
  <c r="N1769" i="1"/>
  <c r="N1779" i="1"/>
  <c r="N1789" i="1"/>
  <c r="N1799" i="1"/>
  <c r="M9" i="1"/>
  <c r="M19" i="1"/>
  <c r="M29" i="1"/>
  <c r="M39" i="1"/>
  <c r="M49" i="1"/>
  <c r="M59" i="1"/>
  <c r="M69" i="1"/>
  <c r="M79" i="1"/>
  <c r="M89" i="1"/>
  <c r="M99" i="1"/>
  <c r="M109" i="1"/>
  <c r="M119" i="1"/>
  <c r="M129" i="1"/>
  <c r="M139" i="1"/>
  <c r="M149" i="1"/>
  <c r="M159" i="1"/>
  <c r="M169" i="1"/>
  <c r="M179" i="1"/>
  <c r="M189" i="1"/>
  <c r="M199" i="1"/>
  <c r="M209" i="1"/>
  <c r="M219" i="1"/>
  <c r="M229" i="1"/>
  <c r="M239" i="1"/>
  <c r="M249" i="1"/>
  <c r="M259" i="1"/>
  <c r="M269" i="1"/>
  <c r="M279" i="1"/>
  <c r="M289" i="1"/>
  <c r="M299" i="1"/>
  <c r="M309" i="1"/>
  <c r="M319" i="1"/>
  <c r="M329" i="1"/>
  <c r="M339" i="1"/>
  <c r="M349" i="1"/>
  <c r="N1127" i="1"/>
  <c r="N1167" i="1"/>
  <c r="N1199" i="1"/>
  <c r="N1233" i="1"/>
  <c r="N1256" i="1"/>
  <c r="N1276" i="1"/>
  <c r="N1296" i="1"/>
  <c r="N1314" i="1"/>
  <c r="N1329" i="1"/>
  <c r="N1345" i="1"/>
  <c r="N1357" i="1"/>
  <c r="N1369" i="1"/>
  <c r="N1383" i="1"/>
  <c r="N1394" i="1"/>
  <c r="N1405" i="1"/>
  <c r="N1416" i="1"/>
  <c r="N1427" i="1"/>
  <c r="N1438" i="1"/>
  <c r="N1449" i="1"/>
  <c r="N1460" i="1"/>
  <c r="N1470" i="1"/>
  <c r="N1480" i="1"/>
  <c r="N1490" i="1"/>
  <c r="N1500" i="1"/>
  <c r="N1510" i="1"/>
  <c r="N1520" i="1"/>
  <c r="N1530" i="1"/>
  <c r="N1540" i="1"/>
  <c r="N1550" i="1"/>
  <c r="N1560" i="1"/>
  <c r="N1570" i="1"/>
  <c r="N1580" i="1"/>
  <c r="N1590" i="1"/>
  <c r="N1600" i="1"/>
  <c r="N1610" i="1"/>
  <c r="N1620" i="1"/>
  <c r="N1630" i="1"/>
  <c r="N1640" i="1"/>
  <c r="N1650" i="1"/>
  <c r="N1660" i="1"/>
  <c r="N1670" i="1"/>
  <c r="N1680" i="1"/>
  <c r="N1690" i="1"/>
  <c r="N1700" i="1"/>
  <c r="N1710" i="1"/>
  <c r="N1720" i="1"/>
  <c r="N1730" i="1"/>
  <c r="N1740" i="1"/>
  <c r="N1750" i="1"/>
  <c r="N1760" i="1"/>
  <c r="N1770" i="1"/>
  <c r="N1780" i="1"/>
  <c r="N1790" i="1"/>
  <c r="N1800" i="1"/>
  <c r="M10" i="1"/>
  <c r="M20" i="1"/>
  <c r="M30" i="1"/>
  <c r="M40" i="1"/>
  <c r="M50" i="1"/>
  <c r="M60" i="1"/>
  <c r="M70" i="1"/>
  <c r="M80" i="1"/>
  <c r="M90" i="1"/>
  <c r="M100" i="1"/>
  <c r="M110" i="1"/>
  <c r="M120" i="1"/>
  <c r="M130" i="1"/>
  <c r="M140" i="1"/>
  <c r="M150" i="1"/>
  <c r="M160" i="1"/>
  <c r="M170" i="1"/>
  <c r="M180" i="1"/>
  <c r="M190" i="1"/>
  <c r="M200" i="1"/>
  <c r="M210" i="1"/>
  <c r="M220" i="1"/>
  <c r="M230" i="1"/>
  <c r="M240" i="1"/>
  <c r="M250" i="1"/>
  <c r="M260" i="1"/>
  <c r="M270" i="1"/>
  <c r="M280" i="1"/>
  <c r="M290" i="1"/>
  <c r="M300" i="1"/>
  <c r="M310" i="1"/>
  <c r="M320" i="1"/>
  <c r="M330" i="1"/>
  <c r="M340" i="1"/>
  <c r="M350" i="1"/>
  <c r="M360" i="1"/>
  <c r="M370" i="1"/>
  <c r="M380" i="1"/>
  <c r="M390" i="1"/>
  <c r="M400" i="1"/>
  <c r="M410" i="1"/>
  <c r="M420" i="1"/>
  <c r="M430" i="1"/>
  <c r="M440" i="1"/>
  <c r="M450" i="1"/>
  <c r="M460" i="1"/>
  <c r="M470" i="1"/>
  <c r="M480" i="1"/>
  <c r="M490" i="1"/>
  <c r="M500" i="1"/>
  <c r="M510" i="1"/>
  <c r="M520" i="1"/>
  <c r="M530" i="1"/>
  <c r="N1133" i="1"/>
  <c r="N1169" i="1"/>
  <c r="N1203" i="1"/>
  <c r="N1236" i="1"/>
  <c r="N1257" i="1"/>
  <c r="N1277" i="1"/>
  <c r="N1297" i="1"/>
  <c r="N1315" i="1"/>
  <c r="N1333" i="1"/>
  <c r="N1346" i="1"/>
  <c r="N1358" i="1"/>
  <c r="N1372" i="1"/>
  <c r="N1384" i="1"/>
  <c r="N1395" i="1"/>
  <c r="N1406" i="1"/>
  <c r="N1417" i="1"/>
  <c r="N1428" i="1"/>
  <c r="N1439" i="1"/>
  <c r="N1450" i="1"/>
  <c r="N1461" i="1"/>
  <c r="N1471" i="1"/>
  <c r="N1481" i="1"/>
  <c r="N1491" i="1"/>
  <c r="N1501" i="1"/>
  <c r="N1511" i="1"/>
  <c r="N1521" i="1"/>
  <c r="N1531" i="1"/>
  <c r="N1541" i="1"/>
  <c r="N1551" i="1"/>
  <c r="N1561" i="1"/>
  <c r="N1571" i="1"/>
  <c r="N1581" i="1"/>
  <c r="N1591" i="1"/>
  <c r="N1601" i="1"/>
  <c r="N1611" i="1"/>
  <c r="N1621" i="1"/>
  <c r="N1631" i="1"/>
  <c r="N1641" i="1"/>
  <c r="N1651" i="1"/>
  <c r="N1661" i="1"/>
  <c r="N1671" i="1"/>
  <c r="N1681" i="1"/>
  <c r="N1691" i="1"/>
  <c r="N1701" i="1"/>
  <c r="N1711" i="1"/>
  <c r="N1721" i="1"/>
  <c r="N1731" i="1"/>
  <c r="N1741" i="1"/>
  <c r="N1751" i="1"/>
  <c r="N1761" i="1"/>
  <c r="N1771" i="1"/>
  <c r="N1781" i="1"/>
  <c r="N1137" i="1"/>
  <c r="N1173" i="1"/>
  <c r="N1207" i="1"/>
  <c r="N1237" i="1"/>
  <c r="N1259" i="1"/>
  <c r="N1279" i="1"/>
  <c r="N1299" i="1"/>
  <c r="N1316" i="1"/>
  <c r="N1334" i="1"/>
  <c r="N1347" i="1"/>
  <c r="N1359" i="1"/>
  <c r="N1373" i="1"/>
  <c r="N1385" i="1"/>
  <c r="N1396" i="1"/>
  <c r="N1407" i="1"/>
  <c r="N1418" i="1"/>
  <c r="N1429" i="1"/>
  <c r="N1440" i="1"/>
  <c r="N1452" i="1"/>
  <c r="N1462" i="1"/>
  <c r="N1472" i="1"/>
  <c r="N1482" i="1"/>
  <c r="N1492" i="1"/>
  <c r="N1502" i="1"/>
  <c r="N1512" i="1"/>
  <c r="N1522" i="1"/>
  <c r="N1532" i="1"/>
  <c r="N1542" i="1"/>
  <c r="N1552" i="1"/>
  <c r="N1562" i="1"/>
  <c r="N1572" i="1"/>
  <c r="N1582" i="1"/>
  <c r="N1592" i="1"/>
  <c r="N1602" i="1"/>
  <c r="N1612" i="1"/>
  <c r="N1622" i="1"/>
  <c r="N1632" i="1"/>
  <c r="N1642" i="1"/>
  <c r="N1652" i="1"/>
  <c r="N1662" i="1"/>
  <c r="N1672" i="1"/>
  <c r="N1682" i="1"/>
  <c r="N1692" i="1"/>
  <c r="N1702" i="1"/>
  <c r="N1712" i="1"/>
  <c r="N1722" i="1"/>
  <c r="N1732" i="1"/>
  <c r="N1742" i="1"/>
  <c r="N1752" i="1"/>
  <c r="N1762" i="1"/>
  <c r="N1772" i="1"/>
  <c r="N1782" i="1"/>
  <c r="N1792" i="1"/>
  <c r="N1802" i="1"/>
  <c r="M12" i="1"/>
  <c r="M22" i="1"/>
  <c r="M32" i="1"/>
  <c r="M42" i="1"/>
  <c r="M52" i="1"/>
  <c r="M62" i="1"/>
  <c r="M72" i="1"/>
  <c r="M82" i="1"/>
  <c r="M92" i="1"/>
  <c r="M102" i="1"/>
  <c r="M112" i="1"/>
  <c r="M122" i="1"/>
  <c r="M132" i="1"/>
  <c r="M142" i="1"/>
  <c r="M152" i="1"/>
  <c r="M162" i="1"/>
  <c r="M172" i="1"/>
  <c r="M182" i="1"/>
  <c r="M192" i="1"/>
  <c r="M202" i="1"/>
  <c r="M212" i="1"/>
  <c r="M222" i="1"/>
  <c r="M232" i="1"/>
  <c r="M242" i="1"/>
  <c r="M252" i="1"/>
  <c r="M262" i="1"/>
  <c r="N1143" i="1"/>
  <c r="N1177" i="1"/>
  <c r="N1209" i="1"/>
  <c r="N1239" i="1"/>
  <c r="N1263" i="1"/>
  <c r="N1283" i="1"/>
  <c r="N1303" i="1"/>
  <c r="N1317" i="1"/>
  <c r="N1335" i="1"/>
  <c r="N1348" i="1"/>
  <c r="N1362" i="1"/>
  <c r="N1374" i="1"/>
  <c r="N1386" i="1"/>
  <c r="N1397" i="1"/>
  <c r="N1408" i="1"/>
  <c r="N1419" i="1"/>
  <c r="N1430" i="1"/>
  <c r="N1442" i="1"/>
  <c r="N1453" i="1"/>
  <c r="N1463" i="1"/>
  <c r="N1473" i="1"/>
  <c r="N1483" i="1"/>
  <c r="N1493" i="1"/>
  <c r="N1503" i="1"/>
  <c r="N1513" i="1"/>
  <c r="N1523" i="1"/>
  <c r="N1533" i="1"/>
  <c r="N1543" i="1"/>
  <c r="N1553" i="1"/>
  <c r="N1563" i="1"/>
  <c r="N1573" i="1"/>
  <c r="N1583" i="1"/>
  <c r="N1593" i="1"/>
  <c r="N1603" i="1"/>
  <c r="N1613" i="1"/>
  <c r="N1623" i="1"/>
  <c r="N1633" i="1"/>
  <c r="N1643" i="1"/>
  <c r="N1653" i="1"/>
  <c r="N1663" i="1"/>
  <c r="N1673" i="1"/>
  <c r="N1683" i="1"/>
  <c r="N1693" i="1"/>
  <c r="N1703" i="1"/>
  <c r="N1713" i="1"/>
  <c r="N1723" i="1"/>
  <c r="N1733" i="1"/>
  <c r="N1743" i="1"/>
  <c r="N1753" i="1"/>
  <c r="N1763" i="1"/>
  <c r="N1773" i="1"/>
  <c r="N1783" i="1"/>
  <c r="N1793" i="1"/>
  <c r="M3" i="1"/>
  <c r="M13" i="1"/>
  <c r="M23" i="1"/>
  <c r="M33" i="1"/>
  <c r="M43" i="1"/>
  <c r="M53" i="1"/>
  <c r="M63" i="1"/>
  <c r="M73" i="1"/>
  <c r="M83" i="1"/>
  <c r="M93" i="1"/>
  <c r="M103" i="1"/>
  <c r="M113" i="1"/>
  <c r="M123" i="1"/>
  <c r="M133" i="1"/>
  <c r="M143" i="1"/>
  <c r="M153" i="1"/>
  <c r="M163" i="1"/>
  <c r="M173" i="1"/>
  <c r="M183" i="1"/>
  <c r="M193" i="1"/>
  <c r="M203" i="1"/>
  <c r="M213" i="1"/>
  <c r="M223" i="1"/>
  <c r="M233" i="1"/>
  <c r="M243" i="1"/>
  <c r="M253" i="1"/>
  <c r="M263" i="1"/>
  <c r="M273" i="1"/>
  <c r="M283" i="1"/>
  <c r="M293" i="1"/>
  <c r="M303" i="1"/>
  <c r="M313" i="1"/>
  <c r="M323" i="1"/>
  <c r="M333" i="1"/>
  <c r="M343" i="1"/>
  <c r="M353" i="1"/>
  <c r="M363" i="1"/>
  <c r="M373" i="1"/>
  <c r="M383" i="1"/>
  <c r="M393" i="1"/>
  <c r="M403" i="1"/>
  <c r="M413" i="1"/>
  <c r="M423" i="1"/>
  <c r="M433" i="1"/>
  <c r="M443" i="1"/>
  <c r="M453" i="1"/>
  <c r="M463" i="1"/>
  <c r="M473" i="1"/>
  <c r="M483" i="1"/>
  <c r="M493" i="1"/>
  <c r="M503" i="1"/>
  <c r="M513" i="1"/>
  <c r="M523" i="1"/>
  <c r="M533" i="1"/>
  <c r="M543" i="1"/>
  <c r="M553" i="1"/>
  <c r="M563" i="1"/>
  <c r="M573" i="1"/>
  <c r="M583" i="1"/>
  <c r="M593" i="1"/>
  <c r="M603" i="1"/>
  <c r="M613" i="1"/>
  <c r="M623" i="1"/>
  <c r="M633" i="1"/>
  <c r="M643" i="1"/>
  <c r="M653" i="1"/>
  <c r="M663" i="1"/>
  <c r="M673" i="1"/>
  <c r="M683" i="1"/>
  <c r="M693" i="1"/>
  <c r="M703" i="1"/>
  <c r="M713" i="1"/>
  <c r="M723" i="1"/>
  <c r="M733" i="1"/>
  <c r="N1791" i="1"/>
  <c r="M91" i="1"/>
  <c r="M191" i="1"/>
  <c r="M261" i="1"/>
  <c r="M296" i="1"/>
  <c r="M331" i="1"/>
  <c r="M356" i="1"/>
  <c r="M376" i="1"/>
  <c r="M396" i="1"/>
  <c r="M416" i="1"/>
  <c r="M432" i="1"/>
  <c r="M449" i="1"/>
  <c r="M465" i="1"/>
  <c r="M479" i="1"/>
  <c r="M494" i="1"/>
  <c r="M507" i="1"/>
  <c r="M522" i="1"/>
  <c r="M536" i="1"/>
  <c r="M549" i="1"/>
  <c r="M561" i="1"/>
  <c r="M574" i="1"/>
  <c r="M586" i="1"/>
  <c r="M598" i="1"/>
  <c r="M609" i="1"/>
  <c r="M620" i="1"/>
  <c r="M631" i="1"/>
  <c r="M642" i="1"/>
  <c r="M654" i="1"/>
  <c r="M665" i="1"/>
  <c r="M676" i="1"/>
  <c r="M687" i="1"/>
  <c r="M698" i="1"/>
  <c r="M709" i="1"/>
  <c r="M720" i="1"/>
  <c r="M731" i="1"/>
  <c r="M742" i="1"/>
  <c r="M752" i="1"/>
  <c r="M762" i="1"/>
  <c r="M772" i="1"/>
  <c r="M782" i="1"/>
  <c r="M792" i="1"/>
  <c r="M802" i="1"/>
  <c r="M812" i="1"/>
  <c r="M822" i="1"/>
  <c r="M832" i="1"/>
  <c r="M842" i="1"/>
  <c r="M852" i="1"/>
  <c r="M862" i="1"/>
  <c r="M872" i="1"/>
  <c r="M882" i="1"/>
  <c r="M892" i="1"/>
  <c r="M902" i="1"/>
  <c r="M912" i="1"/>
  <c r="M922" i="1"/>
  <c r="M932" i="1"/>
  <c r="M942" i="1"/>
  <c r="M952" i="1"/>
  <c r="M962" i="1"/>
  <c r="M972" i="1"/>
  <c r="M982" i="1"/>
  <c r="M992" i="1"/>
  <c r="M1002" i="1"/>
  <c r="M1012" i="1"/>
  <c r="M1022" i="1"/>
  <c r="M1032" i="1"/>
  <c r="M1042" i="1"/>
  <c r="M1052" i="1"/>
  <c r="M1062" i="1"/>
  <c r="M1072" i="1"/>
  <c r="M1082" i="1"/>
  <c r="M1092" i="1"/>
  <c r="M1102" i="1"/>
  <c r="M1112" i="1"/>
  <c r="M1122" i="1"/>
  <c r="M1132" i="1"/>
  <c r="M1142" i="1"/>
  <c r="M1152" i="1"/>
  <c r="M1162" i="1"/>
  <c r="M1172" i="1"/>
  <c r="M1182" i="1"/>
  <c r="M1192" i="1"/>
  <c r="M1202" i="1"/>
  <c r="M1212" i="1"/>
  <c r="M1222" i="1"/>
  <c r="M1232" i="1"/>
  <c r="M1242" i="1"/>
  <c r="N1801" i="1"/>
  <c r="M101" i="1"/>
  <c r="M201" i="1"/>
  <c r="M266" i="1"/>
  <c r="M301" i="1"/>
  <c r="M332" i="1"/>
  <c r="M357" i="1"/>
  <c r="M377" i="1"/>
  <c r="M397" i="1"/>
  <c r="M417" i="1"/>
  <c r="M434" i="1"/>
  <c r="M451" i="1"/>
  <c r="M466" i="1"/>
  <c r="M481" i="1"/>
  <c r="M495" i="1"/>
  <c r="M509" i="1"/>
  <c r="M524" i="1"/>
  <c r="M537" i="1"/>
  <c r="M550" i="1"/>
  <c r="M562" i="1"/>
  <c r="M575" i="1"/>
  <c r="M587" i="1"/>
  <c r="M599" i="1"/>
  <c r="M610" i="1"/>
  <c r="M621" i="1"/>
  <c r="M632" i="1"/>
  <c r="M644" i="1"/>
  <c r="M655" i="1"/>
  <c r="M666" i="1"/>
  <c r="M677" i="1"/>
  <c r="M688" i="1"/>
  <c r="M699" i="1"/>
  <c r="M710" i="1"/>
  <c r="M721" i="1"/>
  <c r="M732" i="1"/>
  <c r="M743" i="1"/>
  <c r="M753" i="1"/>
  <c r="M763" i="1"/>
  <c r="M773" i="1"/>
  <c r="M783" i="1"/>
  <c r="M793" i="1"/>
  <c r="M803" i="1"/>
  <c r="M813" i="1"/>
  <c r="M823" i="1"/>
  <c r="M833" i="1"/>
  <c r="M843" i="1"/>
  <c r="M853" i="1"/>
  <c r="M863" i="1"/>
  <c r="M873" i="1"/>
  <c r="M883" i="1"/>
  <c r="M893" i="1"/>
  <c r="M903" i="1"/>
  <c r="M913" i="1"/>
  <c r="M923" i="1"/>
  <c r="M933" i="1"/>
  <c r="M943" i="1"/>
  <c r="M953" i="1"/>
  <c r="M963" i="1"/>
  <c r="M973" i="1"/>
  <c r="M983" i="1"/>
  <c r="M993" i="1"/>
  <c r="M1003" i="1"/>
  <c r="M1013" i="1"/>
  <c r="M1023" i="1"/>
  <c r="M1033" i="1"/>
  <c r="M1043" i="1"/>
  <c r="M1053" i="1"/>
  <c r="M1063" i="1"/>
  <c r="M1073" i="1"/>
  <c r="M1083" i="1"/>
  <c r="M1093" i="1"/>
  <c r="M1103" i="1"/>
  <c r="M1113" i="1"/>
  <c r="M1123" i="1"/>
  <c r="M1133" i="1"/>
  <c r="M1143" i="1"/>
  <c r="M1153" i="1"/>
  <c r="M1163" i="1"/>
  <c r="M1173" i="1"/>
  <c r="M1183" i="1"/>
  <c r="M1193" i="1"/>
  <c r="M1203" i="1"/>
  <c r="M1213" i="1"/>
  <c r="M1223" i="1"/>
  <c r="M1233" i="1"/>
  <c r="M1243" i="1"/>
  <c r="M1253" i="1"/>
  <c r="M1263" i="1"/>
  <c r="M1273" i="1"/>
  <c r="M1283" i="1"/>
  <c r="M1293" i="1"/>
  <c r="M1303" i="1"/>
  <c r="M1313" i="1"/>
  <c r="M1323" i="1"/>
  <c r="M1333" i="1"/>
  <c r="M1343" i="1"/>
  <c r="M1353" i="1"/>
  <c r="M1363" i="1"/>
  <c r="M1373" i="1"/>
  <c r="M1383" i="1"/>
  <c r="M1393" i="1"/>
  <c r="M1403" i="1"/>
  <c r="M1413" i="1"/>
  <c r="M1423" i="1"/>
  <c r="M1433" i="1"/>
  <c r="M1443" i="1"/>
  <c r="M1453" i="1"/>
  <c r="M1463" i="1"/>
  <c r="M1473" i="1"/>
  <c r="M1483" i="1"/>
  <c r="M1493" i="1"/>
  <c r="M1503" i="1"/>
  <c r="M1513" i="1"/>
  <c r="M1523" i="1"/>
  <c r="M1533" i="1"/>
  <c r="M1543" i="1"/>
  <c r="M1553" i="1"/>
  <c r="M1563" i="1"/>
  <c r="M1573" i="1"/>
  <c r="M1583" i="1"/>
  <c r="M1593" i="1"/>
  <c r="M1603" i="1"/>
  <c r="M1613" i="1"/>
  <c r="M1623" i="1"/>
  <c r="M1633" i="1"/>
  <c r="M1643" i="1"/>
  <c r="M1653" i="1"/>
  <c r="M11" i="1"/>
  <c r="M111" i="1"/>
  <c r="M211" i="1"/>
  <c r="M271" i="1"/>
  <c r="M302" i="1"/>
  <c r="M336" i="1"/>
  <c r="M359" i="1"/>
  <c r="M379" i="1"/>
  <c r="M399" i="1"/>
  <c r="M419" i="1"/>
  <c r="M436" i="1"/>
  <c r="M452" i="1"/>
  <c r="M467" i="1"/>
  <c r="M482" i="1"/>
  <c r="M496" i="1"/>
  <c r="M511" i="1"/>
  <c r="M525" i="1"/>
  <c r="M539" i="1"/>
  <c r="M551" i="1"/>
  <c r="M564" i="1"/>
  <c r="M576" i="1"/>
  <c r="M589" i="1"/>
  <c r="M600" i="1"/>
  <c r="M611" i="1"/>
  <c r="M622" i="1"/>
  <c r="M634" i="1"/>
  <c r="M645" i="1"/>
  <c r="M656" i="1"/>
  <c r="M667" i="1"/>
  <c r="M678" i="1"/>
  <c r="M689" i="1"/>
  <c r="M700" i="1"/>
  <c r="M711" i="1"/>
  <c r="M722" i="1"/>
  <c r="M734" i="1"/>
  <c r="M744" i="1"/>
  <c r="M754" i="1"/>
  <c r="M764" i="1"/>
  <c r="M774" i="1"/>
  <c r="M784" i="1"/>
  <c r="M794" i="1"/>
  <c r="M804" i="1"/>
  <c r="M814" i="1"/>
  <c r="M824" i="1"/>
  <c r="M834" i="1"/>
  <c r="M844" i="1"/>
  <c r="M854" i="1"/>
  <c r="M864" i="1"/>
  <c r="M874" i="1"/>
  <c r="M884" i="1"/>
  <c r="M894" i="1"/>
  <c r="M904" i="1"/>
  <c r="M914" i="1"/>
  <c r="M924" i="1"/>
  <c r="M934" i="1"/>
  <c r="M944" i="1"/>
  <c r="M954" i="1"/>
  <c r="M964" i="1"/>
  <c r="M974" i="1"/>
  <c r="M984" i="1"/>
  <c r="M994" i="1"/>
  <c r="M1004" i="1"/>
  <c r="M1014" i="1"/>
  <c r="M1024" i="1"/>
  <c r="M1034" i="1"/>
  <c r="M1044" i="1"/>
  <c r="M1054" i="1"/>
  <c r="M1064" i="1"/>
  <c r="M1074" i="1"/>
  <c r="M1084" i="1"/>
  <c r="M1094" i="1"/>
  <c r="M1104" i="1"/>
  <c r="M1114" i="1"/>
  <c r="M1124" i="1"/>
  <c r="M1134" i="1"/>
  <c r="M1144" i="1"/>
  <c r="M1154" i="1"/>
  <c r="M1164" i="1"/>
  <c r="M1174" i="1"/>
  <c r="M1184" i="1"/>
  <c r="M1194" i="1"/>
  <c r="M1204" i="1"/>
  <c r="M1214" i="1"/>
  <c r="M1224" i="1"/>
  <c r="M1234" i="1"/>
  <c r="M1244" i="1"/>
  <c r="M1254" i="1"/>
  <c r="M1264" i="1"/>
  <c r="M1274" i="1"/>
  <c r="M1284" i="1"/>
  <c r="M1294" i="1"/>
  <c r="M1304" i="1"/>
  <c r="M1314" i="1"/>
  <c r="M1324" i="1"/>
  <c r="M1334" i="1"/>
  <c r="M1344" i="1"/>
  <c r="M1354" i="1"/>
  <c r="M1364" i="1"/>
  <c r="M1374" i="1"/>
  <c r="M1384" i="1"/>
  <c r="M1394" i="1"/>
  <c r="M21" i="1"/>
  <c r="M121" i="1"/>
  <c r="M221" i="1"/>
  <c r="M272" i="1"/>
  <c r="M306" i="1"/>
  <c r="M337" i="1"/>
  <c r="M361" i="1"/>
  <c r="M381" i="1"/>
  <c r="M401" i="1"/>
  <c r="M421" i="1"/>
  <c r="M437" i="1"/>
  <c r="M454" i="1"/>
  <c r="M469" i="1"/>
  <c r="M484" i="1"/>
  <c r="M497" i="1"/>
  <c r="M512" i="1"/>
  <c r="M526" i="1"/>
  <c r="M540" i="1"/>
  <c r="M552" i="1"/>
  <c r="M565" i="1"/>
  <c r="M577" i="1"/>
  <c r="M590" i="1"/>
  <c r="M601" i="1"/>
  <c r="M612" i="1"/>
  <c r="M624" i="1"/>
  <c r="M635" i="1"/>
  <c r="M646" i="1"/>
  <c r="M657" i="1"/>
  <c r="M668" i="1"/>
  <c r="M679" i="1"/>
  <c r="M690" i="1"/>
  <c r="M701" i="1"/>
  <c r="M712" i="1"/>
  <c r="M724" i="1"/>
  <c r="M735" i="1"/>
  <c r="M745" i="1"/>
  <c r="M755" i="1"/>
  <c r="M765" i="1"/>
  <c r="M775" i="1"/>
  <c r="M785" i="1"/>
  <c r="M795" i="1"/>
  <c r="M805" i="1"/>
  <c r="M815" i="1"/>
  <c r="M825" i="1"/>
  <c r="M835" i="1"/>
  <c r="M845" i="1"/>
  <c r="M855" i="1"/>
  <c r="M865" i="1"/>
  <c r="M875" i="1"/>
  <c r="M885" i="1"/>
  <c r="M895" i="1"/>
  <c r="M905" i="1"/>
  <c r="M915" i="1"/>
  <c r="M925" i="1"/>
  <c r="M935" i="1"/>
  <c r="M945" i="1"/>
  <c r="M955" i="1"/>
  <c r="M965" i="1"/>
  <c r="M975" i="1"/>
  <c r="M985" i="1"/>
  <c r="M995" i="1"/>
  <c r="M1005" i="1"/>
  <c r="M1015" i="1"/>
  <c r="M1025" i="1"/>
  <c r="M1035" i="1"/>
  <c r="M1045" i="1"/>
  <c r="M1055" i="1"/>
  <c r="M1065" i="1"/>
  <c r="M1075" i="1"/>
  <c r="M1085" i="1"/>
  <c r="M1095" i="1"/>
  <c r="M1105" i="1"/>
  <c r="M1115" i="1"/>
  <c r="M1125" i="1"/>
  <c r="M1135" i="1"/>
  <c r="M1145" i="1"/>
  <c r="M1155" i="1"/>
  <c r="M1165" i="1"/>
  <c r="M1175" i="1"/>
  <c r="M1185" i="1"/>
  <c r="M1195" i="1"/>
  <c r="M1205" i="1"/>
  <c r="M1215" i="1"/>
  <c r="M1225" i="1"/>
  <c r="M1235" i="1"/>
  <c r="M1245" i="1"/>
  <c r="M1255" i="1"/>
  <c r="M1265" i="1"/>
  <c r="M1275" i="1"/>
  <c r="M1285" i="1"/>
  <c r="M1295" i="1"/>
  <c r="M1305" i="1"/>
  <c r="M1315" i="1"/>
  <c r="M1325" i="1"/>
  <c r="M1335" i="1"/>
  <c r="M1345" i="1"/>
  <c r="M1355" i="1"/>
  <c r="M1365" i="1"/>
  <c r="M1375" i="1"/>
  <c r="M1385" i="1"/>
  <c r="M1395" i="1"/>
  <c r="M1405" i="1"/>
  <c r="M1415" i="1"/>
  <c r="M1425" i="1"/>
  <c r="M1435" i="1"/>
  <c r="M1445" i="1"/>
  <c r="M1455" i="1"/>
  <c r="M1465" i="1"/>
  <c r="M1475" i="1"/>
  <c r="M1485" i="1"/>
  <c r="M1495" i="1"/>
  <c r="M1505" i="1"/>
  <c r="M1515" i="1"/>
  <c r="M1525" i="1"/>
  <c r="M1535" i="1"/>
  <c r="M1545" i="1"/>
  <c r="M1555" i="1"/>
  <c r="M1565" i="1"/>
  <c r="M1575" i="1"/>
  <c r="M1585" i="1"/>
  <c r="M1595" i="1"/>
  <c r="M1605" i="1"/>
  <c r="M1615" i="1"/>
  <c r="M1625" i="1"/>
  <c r="M1635" i="1"/>
  <c r="M1645" i="1"/>
  <c r="M1655" i="1"/>
  <c r="M1665" i="1"/>
  <c r="M1675" i="1"/>
  <c r="M1685" i="1"/>
  <c r="M1695" i="1"/>
  <c r="M1705" i="1"/>
  <c r="M1715" i="1"/>
  <c r="M1725" i="1"/>
  <c r="M1735" i="1"/>
  <c r="M1745" i="1"/>
  <c r="M1755" i="1"/>
  <c r="M1765" i="1"/>
  <c r="M31" i="1"/>
  <c r="M131" i="1"/>
  <c r="M231" i="1"/>
  <c r="M276" i="1"/>
  <c r="M311" i="1"/>
  <c r="M341" i="1"/>
  <c r="M362" i="1"/>
  <c r="M382" i="1"/>
  <c r="M402" i="1"/>
  <c r="M422" i="1"/>
  <c r="M439" i="1"/>
  <c r="M456" i="1"/>
  <c r="M471" i="1"/>
  <c r="M485" i="1"/>
  <c r="M499" i="1"/>
  <c r="M514" i="1"/>
  <c r="M527" i="1"/>
  <c r="M541" i="1"/>
  <c r="M554" i="1"/>
  <c r="M566" i="1"/>
  <c r="M579" i="1"/>
  <c r="M591" i="1"/>
  <c r="M602" i="1"/>
  <c r="M614" i="1"/>
  <c r="M625" i="1"/>
  <c r="M636" i="1"/>
  <c r="M647" i="1"/>
  <c r="M658" i="1"/>
  <c r="M669" i="1"/>
  <c r="M680" i="1"/>
  <c r="M691" i="1"/>
  <c r="M702" i="1"/>
  <c r="M714" i="1"/>
  <c r="M725" i="1"/>
  <c r="M736" i="1"/>
  <c r="M746" i="1"/>
  <c r="M756" i="1"/>
  <c r="M766" i="1"/>
  <c r="M776" i="1"/>
  <c r="M786" i="1"/>
  <c r="M796" i="1"/>
  <c r="M806" i="1"/>
  <c r="M816" i="1"/>
  <c r="M826" i="1"/>
  <c r="M836" i="1"/>
  <c r="M846" i="1"/>
  <c r="M856" i="1"/>
  <c r="M866" i="1"/>
  <c r="M876" i="1"/>
  <c r="M886" i="1"/>
  <c r="M896" i="1"/>
  <c r="M906" i="1"/>
  <c r="M916" i="1"/>
  <c r="M926" i="1"/>
  <c r="M936" i="1"/>
  <c r="M946" i="1"/>
  <c r="M956" i="1"/>
  <c r="M966" i="1"/>
  <c r="M976" i="1"/>
  <c r="M986" i="1"/>
  <c r="M996" i="1"/>
  <c r="M1006" i="1"/>
  <c r="M1016" i="1"/>
  <c r="M1026" i="1"/>
  <c r="M1036" i="1"/>
  <c r="M1046" i="1"/>
  <c r="M1056" i="1"/>
  <c r="M1066" i="1"/>
  <c r="M1076" i="1"/>
  <c r="M1086" i="1"/>
  <c r="M1096" i="1"/>
  <c r="M1106" i="1"/>
  <c r="M1116" i="1"/>
  <c r="M1126" i="1"/>
  <c r="M1136" i="1"/>
  <c r="M1146" i="1"/>
  <c r="M1156" i="1"/>
  <c r="M1166" i="1"/>
  <c r="M1176" i="1"/>
  <c r="M1186" i="1"/>
  <c r="M1196" i="1"/>
  <c r="M1206" i="1"/>
  <c r="M1216" i="1"/>
  <c r="M1226" i="1"/>
  <c r="M1236" i="1"/>
  <c r="M1246" i="1"/>
  <c r="M1256" i="1"/>
  <c r="M1266" i="1"/>
  <c r="M1276" i="1"/>
  <c r="M1286" i="1"/>
  <c r="M1296" i="1"/>
  <c r="M1306" i="1"/>
  <c r="M1316" i="1"/>
  <c r="M1326" i="1"/>
  <c r="M1336" i="1"/>
  <c r="M1346" i="1"/>
  <c r="M1356" i="1"/>
  <c r="M1366" i="1"/>
  <c r="M1376" i="1"/>
  <c r="M1386" i="1"/>
  <c r="M1396" i="1"/>
  <c r="M1406" i="1"/>
  <c r="M1416" i="1"/>
  <c r="M1426" i="1"/>
  <c r="M1436" i="1"/>
  <c r="M1446" i="1"/>
  <c r="M1456" i="1"/>
  <c r="M1466" i="1"/>
  <c r="M1476" i="1"/>
  <c r="M41" i="1"/>
  <c r="M141" i="1"/>
  <c r="M236" i="1"/>
  <c r="M281" i="1"/>
  <c r="M312" i="1"/>
  <c r="M342" i="1"/>
  <c r="M366" i="1"/>
  <c r="M386" i="1"/>
  <c r="M406" i="1"/>
  <c r="M424" i="1"/>
  <c r="M441" i="1"/>
  <c r="M457" i="1"/>
  <c r="M472" i="1"/>
  <c r="M486" i="1"/>
  <c r="M501" i="1"/>
  <c r="M515" i="1"/>
  <c r="M529" i="1"/>
  <c r="M542" i="1"/>
  <c r="M555" i="1"/>
  <c r="M567" i="1"/>
  <c r="M580" i="1"/>
  <c r="M592" i="1"/>
  <c r="M604" i="1"/>
  <c r="M615" i="1"/>
  <c r="M626" i="1"/>
  <c r="M637" i="1"/>
  <c r="M648" i="1"/>
  <c r="M659" i="1"/>
  <c r="M670" i="1"/>
  <c r="M681" i="1"/>
  <c r="M692" i="1"/>
  <c r="M704" i="1"/>
  <c r="M715" i="1"/>
  <c r="M726" i="1"/>
  <c r="M737" i="1"/>
  <c r="M747" i="1"/>
  <c r="M757" i="1"/>
  <c r="M767" i="1"/>
  <c r="M777" i="1"/>
  <c r="M787" i="1"/>
  <c r="M797" i="1"/>
  <c r="M807" i="1"/>
  <c r="M817" i="1"/>
  <c r="M827" i="1"/>
  <c r="M837" i="1"/>
  <c r="M847" i="1"/>
  <c r="M857" i="1"/>
  <c r="M867" i="1"/>
  <c r="M877" i="1"/>
  <c r="M887" i="1"/>
  <c r="M897" i="1"/>
  <c r="M907" i="1"/>
  <c r="M917" i="1"/>
  <c r="M927" i="1"/>
  <c r="M937" i="1"/>
  <c r="M947" i="1"/>
  <c r="M957" i="1"/>
  <c r="M967" i="1"/>
  <c r="M977" i="1"/>
  <c r="M987" i="1"/>
  <c r="M997" i="1"/>
  <c r="M1007" i="1"/>
  <c r="M1017" i="1"/>
  <c r="M1027" i="1"/>
  <c r="M1037" i="1"/>
  <c r="M1047" i="1"/>
  <c r="M1057" i="1"/>
  <c r="M1067" i="1"/>
  <c r="M1077" i="1"/>
  <c r="M1087" i="1"/>
  <c r="M1097" i="1"/>
  <c r="M1107" i="1"/>
  <c r="M1117" i="1"/>
  <c r="M1127" i="1"/>
  <c r="M1137" i="1"/>
  <c r="M1147" i="1"/>
  <c r="M1157" i="1"/>
  <c r="M1167" i="1"/>
  <c r="M1177" i="1"/>
  <c r="M1187" i="1"/>
  <c r="M1197" i="1"/>
  <c r="M1207" i="1"/>
  <c r="M1217" i="1"/>
  <c r="M1227" i="1"/>
  <c r="M1237" i="1"/>
  <c r="M1247" i="1"/>
  <c r="M1257" i="1"/>
  <c r="M1267" i="1"/>
  <c r="M1277" i="1"/>
  <c r="M1287" i="1"/>
  <c r="M1297" i="1"/>
  <c r="M1307" i="1"/>
  <c r="M1317" i="1"/>
  <c r="M1327" i="1"/>
  <c r="M1337" i="1"/>
  <c r="M1347" i="1"/>
  <c r="M1357" i="1"/>
  <c r="M1367" i="1"/>
  <c r="M1377" i="1"/>
  <c r="M1387" i="1"/>
  <c r="M1397" i="1"/>
  <c r="M1407" i="1"/>
  <c r="M1417" i="1"/>
  <c r="M1427" i="1"/>
  <c r="M1437" i="1"/>
  <c r="M1447" i="1"/>
  <c r="M1457" i="1"/>
  <c r="M1467" i="1"/>
  <c r="M1477" i="1"/>
  <c r="M1487" i="1"/>
  <c r="M1497" i="1"/>
  <c r="M1507" i="1"/>
  <c r="M1517" i="1"/>
  <c r="M1527" i="1"/>
  <c r="M1537" i="1"/>
  <c r="M1547" i="1"/>
  <c r="M1557" i="1"/>
  <c r="M1567" i="1"/>
  <c r="M1577" i="1"/>
  <c r="M1587" i="1"/>
  <c r="M1597" i="1"/>
  <c r="M1607" i="1"/>
  <c r="M1617" i="1"/>
  <c r="M1627" i="1"/>
  <c r="M1637" i="1"/>
  <c r="M1647" i="1"/>
  <c r="M1657" i="1"/>
  <c r="M1667" i="1"/>
  <c r="M1677" i="1"/>
  <c r="M1687" i="1"/>
  <c r="M1697" i="1"/>
  <c r="M1707" i="1"/>
  <c r="M1717" i="1"/>
  <c r="M1727" i="1"/>
  <c r="M1737" i="1"/>
  <c r="M1747" i="1"/>
  <c r="M1757" i="1"/>
  <c r="M1767" i="1"/>
  <c r="M1777" i="1"/>
  <c r="M1787" i="1"/>
  <c r="M1797" i="1"/>
  <c r="L7" i="1"/>
  <c r="L17" i="1"/>
  <c r="L27" i="1"/>
  <c r="L37" i="1"/>
  <c r="L47" i="1"/>
  <c r="L57" i="1"/>
  <c r="M51" i="1"/>
  <c r="M151" i="1"/>
  <c r="M241" i="1"/>
  <c r="M282" i="1"/>
  <c r="M316" i="1"/>
  <c r="M346" i="1"/>
  <c r="M367" i="1"/>
  <c r="M387" i="1"/>
  <c r="M407" i="1"/>
  <c r="M426" i="1"/>
  <c r="M442" i="1"/>
  <c r="M459" i="1"/>
  <c r="M474" i="1"/>
  <c r="M487" i="1"/>
  <c r="M502" i="1"/>
  <c r="M516" i="1"/>
  <c r="M531" i="1"/>
  <c r="M544" i="1"/>
  <c r="M556" i="1"/>
  <c r="M569" i="1"/>
  <c r="M581" i="1"/>
  <c r="M594" i="1"/>
  <c r="M605" i="1"/>
  <c r="M616" i="1"/>
  <c r="M627" i="1"/>
  <c r="M638" i="1"/>
  <c r="M649" i="1"/>
  <c r="M660" i="1"/>
  <c r="M671" i="1"/>
  <c r="M682" i="1"/>
  <c r="M694" i="1"/>
  <c r="M705" i="1"/>
  <c r="M716" i="1"/>
  <c r="M727" i="1"/>
  <c r="M738" i="1"/>
  <c r="M748" i="1"/>
  <c r="M758" i="1"/>
  <c r="M768" i="1"/>
  <c r="M778" i="1"/>
  <c r="M788" i="1"/>
  <c r="M798" i="1"/>
  <c r="M808" i="1"/>
  <c r="M818" i="1"/>
  <c r="M828" i="1"/>
  <c r="M838" i="1"/>
  <c r="M848" i="1"/>
  <c r="M858" i="1"/>
  <c r="M868" i="1"/>
  <c r="M878" i="1"/>
  <c r="M888" i="1"/>
  <c r="M898" i="1"/>
  <c r="M908" i="1"/>
  <c r="M918" i="1"/>
  <c r="M928" i="1"/>
  <c r="M938" i="1"/>
  <c r="M948" i="1"/>
  <c r="M958" i="1"/>
  <c r="M968" i="1"/>
  <c r="M978" i="1"/>
  <c r="M988" i="1"/>
  <c r="M998" i="1"/>
  <c r="M1008" i="1"/>
  <c r="M1018" i="1"/>
  <c r="M1028" i="1"/>
  <c r="M1038" i="1"/>
  <c r="M1048" i="1"/>
  <c r="M1058" i="1"/>
  <c r="M1068" i="1"/>
  <c r="M1078" i="1"/>
  <c r="M1088" i="1"/>
  <c r="M1098" i="1"/>
  <c r="M1108" i="1"/>
  <c r="M1118" i="1"/>
  <c r="M1128" i="1"/>
  <c r="M1138" i="1"/>
  <c r="M1148" i="1"/>
  <c r="M1158" i="1"/>
  <c r="M1168" i="1"/>
  <c r="M1178" i="1"/>
  <c r="M1188" i="1"/>
  <c r="M1198" i="1"/>
  <c r="M1208" i="1"/>
  <c r="M1218" i="1"/>
  <c r="M1228" i="1"/>
  <c r="M1238" i="1"/>
  <c r="M1248" i="1"/>
  <c r="M1258" i="1"/>
  <c r="M1268" i="1"/>
  <c r="M1278" i="1"/>
  <c r="M1288" i="1"/>
  <c r="M1298" i="1"/>
  <c r="M1308" i="1"/>
  <c r="M1318" i="1"/>
  <c r="M1328" i="1"/>
  <c r="M1338" i="1"/>
  <c r="M1348" i="1"/>
  <c r="M1358" i="1"/>
  <c r="M1368" i="1"/>
  <c r="M1378" i="1"/>
  <c r="M1388" i="1"/>
  <c r="M1398" i="1"/>
  <c r="M1408" i="1"/>
  <c r="M1418" i="1"/>
  <c r="M1428" i="1"/>
  <c r="M1438" i="1"/>
  <c r="M1448" i="1"/>
  <c r="M1458" i="1"/>
  <c r="M1468" i="1"/>
  <c r="M61" i="1"/>
  <c r="M161" i="1"/>
  <c r="M246" i="1"/>
  <c r="M286" i="1"/>
  <c r="M321" i="1"/>
  <c r="M347" i="1"/>
  <c r="M369" i="1"/>
  <c r="M389" i="1"/>
  <c r="M409" i="1"/>
  <c r="M427" i="1"/>
  <c r="M444" i="1"/>
  <c r="M461" i="1"/>
  <c r="M475" i="1"/>
  <c r="M489" i="1"/>
  <c r="M504" i="1"/>
  <c r="M517" i="1"/>
  <c r="M532" i="1"/>
  <c r="M545" i="1"/>
  <c r="M557" i="1"/>
  <c r="M570" i="1"/>
  <c r="M582" i="1"/>
  <c r="M595" i="1"/>
  <c r="M606" i="1"/>
  <c r="M617" i="1"/>
  <c r="M628" i="1"/>
  <c r="M639" i="1"/>
  <c r="M650" i="1"/>
  <c r="M661" i="1"/>
  <c r="M672" i="1"/>
  <c r="M684" i="1"/>
  <c r="M695" i="1"/>
  <c r="M706" i="1"/>
  <c r="M717" i="1"/>
  <c r="M728" i="1"/>
  <c r="M739" i="1"/>
  <c r="M749" i="1"/>
  <c r="M759" i="1"/>
  <c r="M769" i="1"/>
  <c r="M779" i="1"/>
  <c r="M789" i="1"/>
  <c r="M799" i="1"/>
  <c r="M809" i="1"/>
  <c r="M819" i="1"/>
  <c r="M829" i="1"/>
  <c r="M839" i="1"/>
  <c r="M849" i="1"/>
  <c r="M859" i="1"/>
  <c r="M869" i="1"/>
  <c r="M879" i="1"/>
  <c r="M889" i="1"/>
  <c r="M899" i="1"/>
  <c r="M909" i="1"/>
  <c r="M919" i="1"/>
  <c r="M929" i="1"/>
  <c r="M939" i="1"/>
  <c r="M949" i="1"/>
  <c r="M959" i="1"/>
  <c r="M969" i="1"/>
  <c r="M979" i="1"/>
  <c r="M989" i="1"/>
  <c r="M999" i="1"/>
  <c r="M1009" i="1"/>
  <c r="M1019" i="1"/>
  <c r="M1029" i="1"/>
  <c r="M1039" i="1"/>
  <c r="M1049" i="1"/>
  <c r="M1059" i="1"/>
  <c r="M1069" i="1"/>
  <c r="M1079" i="1"/>
  <c r="M1089" i="1"/>
  <c r="M1099" i="1"/>
  <c r="M1109" i="1"/>
  <c r="M1119" i="1"/>
  <c r="M1129" i="1"/>
  <c r="M1139" i="1"/>
  <c r="M1149" i="1"/>
  <c r="M1159" i="1"/>
  <c r="M1169" i="1"/>
  <c r="M1179" i="1"/>
  <c r="M1189" i="1"/>
  <c r="M1199" i="1"/>
  <c r="M1209" i="1"/>
  <c r="M1219" i="1"/>
  <c r="M1229" i="1"/>
  <c r="M1239" i="1"/>
  <c r="M1249" i="1"/>
  <c r="M1259" i="1"/>
  <c r="M1269" i="1"/>
  <c r="M1279" i="1"/>
  <c r="M1289" i="1"/>
  <c r="M1299" i="1"/>
  <c r="M1309" i="1"/>
  <c r="M1319" i="1"/>
  <c r="M1329" i="1"/>
  <c r="M1339" i="1"/>
  <c r="M1349" i="1"/>
  <c r="M1359" i="1"/>
  <c r="M1369" i="1"/>
  <c r="M1379" i="1"/>
  <c r="M1389" i="1"/>
  <c r="M1399" i="1"/>
  <c r="M1409" i="1"/>
  <c r="M1419" i="1"/>
  <c r="M1429" i="1"/>
  <c r="M1439" i="1"/>
  <c r="M1449" i="1"/>
  <c r="M1459" i="1"/>
  <c r="M1469" i="1"/>
  <c r="M1479" i="1"/>
  <c r="M1489" i="1"/>
  <c r="M71" i="1"/>
  <c r="M171" i="1"/>
  <c r="M251" i="1"/>
  <c r="M291" i="1"/>
  <c r="M322" i="1"/>
  <c r="M351" i="1"/>
  <c r="M371" i="1"/>
  <c r="M391" i="1"/>
  <c r="M411" i="1"/>
  <c r="M429" i="1"/>
  <c r="M446" i="1"/>
  <c r="M462" i="1"/>
  <c r="M476" i="1"/>
  <c r="M491" i="1"/>
  <c r="M505" i="1"/>
  <c r="M519" i="1"/>
  <c r="M534" i="1"/>
  <c r="M546" i="1"/>
  <c r="M559" i="1"/>
  <c r="M571" i="1"/>
  <c r="M584" i="1"/>
  <c r="M596" i="1"/>
  <c r="M607" i="1"/>
  <c r="M618" i="1"/>
  <c r="M629" i="1"/>
  <c r="M640" i="1"/>
  <c r="M651" i="1"/>
  <c r="M662" i="1"/>
  <c r="M674" i="1"/>
  <c r="M685" i="1"/>
  <c r="M696" i="1"/>
  <c r="M707" i="1"/>
  <c r="M718" i="1"/>
  <c r="M729" i="1"/>
  <c r="M740" i="1"/>
  <c r="M750" i="1"/>
  <c r="M760" i="1"/>
  <c r="M770" i="1"/>
  <c r="M780" i="1"/>
  <c r="M790" i="1"/>
  <c r="M800" i="1"/>
  <c r="M810" i="1"/>
  <c r="M820" i="1"/>
  <c r="M830" i="1"/>
  <c r="M840" i="1"/>
  <c r="M850" i="1"/>
  <c r="M860" i="1"/>
  <c r="M870" i="1"/>
  <c r="M880" i="1"/>
  <c r="M890" i="1"/>
  <c r="M900" i="1"/>
  <c r="M910" i="1"/>
  <c r="M920" i="1"/>
  <c r="M930" i="1"/>
  <c r="M940" i="1"/>
  <c r="M950" i="1"/>
  <c r="M960" i="1"/>
  <c r="M970" i="1"/>
  <c r="M980" i="1"/>
  <c r="M990" i="1"/>
  <c r="M1000" i="1"/>
  <c r="M1010" i="1"/>
  <c r="M1020" i="1"/>
  <c r="M1030" i="1"/>
  <c r="M1040" i="1"/>
  <c r="M1050" i="1"/>
  <c r="M1060" i="1"/>
  <c r="M1070" i="1"/>
  <c r="M1080" i="1"/>
  <c r="M1090" i="1"/>
  <c r="M1100" i="1"/>
  <c r="M1110" i="1"/>
  <c r="M1120" i="1"/>
  <c r="M1130" i="1"/>
  <c r="M1140" i="1"/>
  <c r="M1150" i="1"/>
  <c r="M1160" i="1"/>
  <c r="M1170" i="1"/>
  <c r="M1180" i="1"/>
  <c r="M81" i="1"/>
  <c r="M181" i="1"/>
  <c r="M256" i="1"/>
  <c r="M292" i="1"/>
  <c r="M326" i="1"/>
  <c r="M352" i="1"/>
  <c r="M372" i="1"/>
  <c r="M392" i="1"/>
  <c r="M412" i="1"/>
  <c r="M431" i="1"/>
  <c r="M447" i="1"/>
  <c r="M464" i="1"/>
  <c r="M477" i="1"/>
  <c r="M492" i="1"/>
  <c r="M506" i="1"/>
  <c r="M521" i="1"/>
  <c r="M535" i="1"/>
  <c r="M547" i="1"/>
  <c r="M560" i="1"/>
  <c r="M572" i="1"/>
  <c r="M585" i="1"/>
  <c r="M597" i="1"/>
  <c r="M608" i="1"/>
  <c r="M619" i="1"/>
  <c r="M630" i="1"/>
  <c r="M641" i="1"/>
  <c r="M652" i="1"/>
  <c r="M664" i="1"/>
  <c r="M675" i="1"/>
  <c r="M686" i="1"/>
  <c r="M697" i="1"/>
  <c r="M708" i="1"/>
  <c r="M719" i="1"/>
  <c r="M730" i="1"/>
  <c r="M741" i="1"/>
  <c r="M751" i="1"/>
  <c r="M761" i="1"/>
  <c r="M771" i="1"/>
  <c r="M781" i="1"/>
  <c r="M791" i="1"/>
  <c r="M801" i="1"/>
  <c r="M811" i="1"/>
  <c r="M821" i="1"/>
  <c r="M831" i="1"/>
  <c r="M841" i="1"/>
  <c r="M851" i="1"/>
  <c r="M861" i="1"/>
  <c r="M871" i="1"/>
  <c r="M881" i="1"/>
  <c r="M891" i="1"/>
  <c r="M901" i="1"/>
  <c r="M911" i="1"/>
  <c r="M921" i="1"/>
  <c r="M931" i="1"/>
  <c r="M941" i="1"/>
  <c r="M951" i="1"/>
  <c r="M961" i="1"/>
  <c r="M971" i="1"/>
  <c r="M981" i="1"/>
  <c r="M991" i="1"/>
  <c r="M1001" i="1"/>
  <c r="M1011" i="1"/>
  <c r="M1021" i="1"/>
  <c r="M1031" i="1"/>
  <c r="M1041" i="1"/>
  <c r="M1051" i="1"/>
  <c r="M1061" i="1"/>
  <c r="M1071" i="1"/>
  <c r="M1081" i="1"/>
  <c r="M1091" i="1"/>
  <c r="M1101" i="1"/>
  <c r="M1111" i="1"/>
  <c r="M1121" i="1"/>
  <c r="M1131" i="1"/>
  <c r="M1141" i="1"/>
  <c r="M1151" i="1"/>
  <c r="M1161" i="1"/>
  <c r="M1171" i="1"/>
  <c r="M1181" i="1"/>
  <c r="M1191" i="1"/>
  <c r="M1201" i="1"/>
  <c r="M1211" i="1"/>
  <c r="M1221" i="1"/>
  <c r="M1231" i="1"/>
  <c r="M1241" i="1"/>
  <c r="M1251" i="1"/>
  <c r="M1261" i="1"/>
  <c r="M1271" i="1"/>
  <c r="M1281" i="1"/>
  <c r="M1291" i="1"/>
  <c r="M1301" i="1"/>
  <c r="M1311" i="1"/>
  <c r="M1321" i="1"/>
  <c r="M1331" i="1"/>
  <c r="M1341" i="1"/>
  <c r="M1351" i="1"/>
  <c r="M1361" i="1"/>
  <c r="M1371" i="1"/>
  <c r="M1381" i="1"/>
  <c r="M1391" i="1"/>
  <c r="M1401" i="1"/>
  <c r="M1411" i="1"/>
  <c r="M1421" i="1"/>
  <c r="M1431" i="1"/>
  <c r="M1441" i="1"/>
  <c r="M1451" i="1"/>
  <c r="M1461" i="1"/>
  <c r="M1471" i="1"/>
  <c r="M1481" i="1"/>
  <c r="M1491" i="1"/>
  <c r="M1501" i="1"/>
  <c r="M1511" i="1"/>
  <c r="M1521" i="1"/>
  <c r="M1531" i="1"/>
  <c r="M1541" i="1"/>
  <c r="M1551" i="1"/>
  <c r="M1561" i="1"/>
  <c r="M1571" i="1"/>
  <c r="M1581" i="1"/>
  <c r="M1591" i="1"/>
  <c r="M1190" i="1"/>
  <c r="M1270" i="1"/>
  <c r="M1320" i="1"/>
  <c r="M1370" i="1"/>
  <c r="M1412" i="1"/>
  <c r="M1444" i="1"/>
  <c r="M1478" i="1"/>
  <c r="M1498" i="1"/>
  <c r="M1514" i="1"/>
  <c r="M1530" i="1"/>
  <c r="M1548" i="1"/>
  <c r="M1564" i="1"/>
  <c r="M1580" i="1"/>
  <c r="M1598" i="1"/>
  <c r="M1611" i="1"/>
  <c r="M1626" i="1"/>
  <c r="M1640" i="1"/>
  <c r="M1654" i="1"/>
  <c r="M1668" i="1"/>
  <c r="M1680" i="1"/>
  <c r="M1692" i="1"/>
  <c r="M1704" i="1"/>
  <c r="M1718" i="1"/>
  <c r="M1730" i="1"/>
  <c r="M1742" i="1"/>
  <c r="M1754" i="1"/>
  <c r="M1768" i="1"/>
  <c r="M1779" i="1"/>
  <c r="M1790" i="1"/>
  <c r="M1801" i="1"/>
  <c r="L12" i="1"/>
  <c r="L23" i="1"/>
  <c r="L34" i="1"/>
  <c r="L45" i="1"/>
  <c r="L56" i="1"/>
  <c r="L67" i="1"/>
  <c r="L77" i="1"/>
  <c r="L87" i="1"/>
  <c r="L97" i="1"/>
  <c r="L107" i="1"/>
  <c r="L117" i="1"/>
  <c r="L127" i="1"/>
  <c r="L137" i="1"/>
  <c r="L147" i="1"/>
  <c r="L157" i="1"/>
  <c r="L167" i="1"/>
  <c r="L177" i="1"/>
  <c r="L187" i="1"/>
  <c r="L197" i="1"/>
  <c r="L207" i="1"/>
  <c r="L217" i="1"/>
  <c r="L227" i="1"/>
  <c r="L237" i="1"/>
  <c r="L247" i="1"/>
  <c r="L257" i="1"/>
  <c r="L267" i="1"/>
  <c r="L277" i="1"/>
  <c r="L287" i="1"/>
  <c r="L297" i="1"/>
  <c r="L307" i="1"/>
  <c r="L317" i="1"/>
  <c r="L327" i="1"/>
  <c r="L337" i="1"/>
  <c r="L347" i="1"/>
  <c r="L357" i="1"/>
  <c r="L367" i="1"/>
  <c r="L377" i="1"/>
  <c r="L387" i="1"/>
  <c r="L397" i="1"/>
  <c r="L407" i="1"/>
  <c r="L417" i="1"/>
  <c r="L427" i="1"/>
  <c r="L437" i="1"/>
  <c r="L447" i="1"/>
  <c r="L457" i="1"/>
  <c r="L467" i="1"/>
  <c r="L477" i="1"/>
  <c r="L487" i="1"/>
  <c r="L497" i="1"/>
  <c r="L507" i="1"/>
  <c r="L517" i="1"/>
  <c r="L527" i="1"/>
  <c r="L537" i="1"/>
  <c r="L547" i="1"/>
  <c r="L557" i="1"/>
  <c r="L567" i="1"/>
  <c r="L577" i="1"/>
  <c r="L587" i="1"/>
  <c r="L597" i="1"/>
  <c r="L607" i="1"/>
  <c r="L617" i="1"/>
  <c r="L627" i="1"/>
  <c r="L637" i="1"/>
  <c r="L647" i="1"/>
  <c r="L657" i="1"/>
  <c r="L667" i="1"/>
  <c r="L677" i="1"/>
  <c r="L687" i="1"/>
  <c r="L697" i="1"/>
  <c r="L707" i="1"/>
  <c r="L717" i="1"/>
  <c r="L727" i="1"/>
  <c r="L737" i="1"/>
  <c r="L747" i="1"/>
  <c r="L757" i="1"/>
  <c r="L767" i="1"/>
  <c r="L777" i="1"/>
  <c r="L787" i="1"/>
  <c r="L797" i="1"/>
  <c r="L807" i="1"/>
  <c r="L817" i="1"/>
  <c r="L827" i="1"/>
  <c r="L837" i="1"/>
  <c r="L847" i="1"/>
  <c r="L857" i="1"/>
  <c r="L867" i="1"/>
  <c r="L877" i="1"/>
  <c r="L887" i="1"/>
  <c r="L897" i="1"/>
  <c r="L907" i="1"/>
  <c r="L917" i="1"/>
  <c r="L927" i="1"/>
  <c r="L937" i="1"/>
  <c r="L947" i="1"/>
  <c r="L957" i="1"/>
  <c r="L967" i="1"/>
  <c r="M1200" i="1"/>
  <c r="M1272" i="1"/>
  <c r="M1322" i="1"/>
  <c r="M1372" i="1"/>
  <c r="M1414" i="1"/>
  <c r="M1450" i="1"/>
  <c r="M1480" i="1"/>
  <c r="M1499" i="1"/>
  <c r="M1516" i="1"/>
  <c r="M1532" i="1"/>
  <c r="M1549" i="1"/>
  <c r="M1566" i="1"/>
  <c r="M1582" i="1"/>
  <c r="M1599" i="1"/>
  <c r="M1612" i="1"/>
  <c r="M1628" i="1"/>
  <c r="M1641" i="1"/>
  <c r="M1656" i="1"/>
  <c r="M1669" i="1"/>
  <c r="M1681" i="1"/>
  <c r="M1693" i="1"/>
  <c r="M1706" i="1"/>
  <c r="M1719" i="1"/>
  <c r="M1731" i="1"/>
  <c r="M1743" i="1"/>
  <c r="M1756" i="1"/>
  <c r="M1769" i="1"/>
  <c r="M1780" i="1"/>
  <c r="M1791" i="1"/>
  <c r="M1802" i="1"/>
  <c r="L13" i="1"/>
  <c r="L24" i="1"/>
  <c r="L35" i="1"/>
  <c r="L46" i="1"/>
  <c r="L58" i="1"/>
  <c r="L68" i="1"/>
  <c r="L78" i="1"/>
  <c r="L88" i="1"/>
  <c r="L98" i="1"/>
  <c r="L108" i="1"/>
  <c r="L118" i="1"/>
  <c r="L128" i="1"/>
  <c r="L138" i="1"/>
  <c r="L148" i="1"/>
  <c r="L158" i="1"/>
  <c r="L168" i="1"/>
  <c r="L178" i="1"/>
  <c r="L188" i="1"/>
  <c r="L198" i="1"/>
  <c r="L208" i="1"/>
  <c r="L218" i="1"/>
  <c r="L228" i="1"/>
  <c r="L238" i="1"/>
  <c r="L248" i="1"/>
  <c r="L258" i="1"/>
  <c r="L268" i="1"/>
  <c r="L278" i="1"/>
  <c r="L288" i="1"/>
  <c r="L298" i="1"/>
  <c r="L308" i="1"/>
  <c r="L318" i="1"/>
  <c r="L328" i="1"/>
  <c r="L338" i="1"/>
  <c r="L348" i="1"/>
  <c r="L358" i="1"/>
  <c r="L368" i="1"/>
  <c r="L378" i="1"/>
  <c r="L388" i="1"/>
  <c r="L398" i="1"/>
  <c r="L408" i="1"/>
  <c r="L418" i="1"/>
  <c r="L428" i="1"/>
  <c r="L438" i="1"/>
  <c r="L448" i="1"/>
  <c r="L458" i="1"/>
  <c r="L468" i="1"/>
  <c r="L478" i="1"/>
  <c r="L488" i="1"/>
  <c r="L498" i="1"/>
  <c r="L508" i="1"/>
  <c r="L518" i="1"/>
  <c r="L528" i="1"/>
  <c r="L538" i="1"/>
  <c r="L548" i="1"/>
  <c r="L558" i="1"/>
  <c r="L568" i="1"/>
  <c r="L578" i="1"/>
  <c r="L588" i="1"/>
  <c r="L598" i="1"/>
  <c r="L608" i="1"/>
  <c r="L618" i="1"/>
  <c r="L628" i="1"/>
  <c r="L638" i="1"/>
  <c r="L648" i="1"/>
  <c r="L658" i="1"/>
  <c r="L668" i="1"/>
  <c r="L678" i="1"/>
  <c r="L688" i="1"/>
  <c r="L698" i="1"/>
  <c r="L708" i="1"/>
  <c r="L718" i="1"/>
  <c r="L728" i="1"/>
  <c r="L738" i="1"/>
  <c r="L748" i="1"/>
  <c r="L758" i="1"/>
  <c r="L768" i="1"/>
  <c r="L778" i="1"/>
  <c r="L788" i="1"/>
  <c r="L798" i="1"/>
  <c r="L808" i="1"/>
  <c r="L818" i="1"/>
  <c r="L828" i="1"/>
  <c r="L838" i="1"/>
  <c r="L848" i="1"/>
  <c r="L858" i="1"/>
  <c r="L868" i="1"/>
  <c r="L878" i="1"/>
  <c r="L888" i="1"/>
  <c r="L898" i="1"/>
  <c r="L908" i="1"/>
  <c r="L918" i="1"/>
  <c r="L928" i="1"/>
  <c r="L938" i="1"/>
  <c r="L948" i="1"/>
  <c r="L958" i="1"/>
  <c r="L968" i="1"/>
  <c r="L978" i="1"/>
  <c r="L988" i="1"/>
  <c r="L998" i="1"/>
  <c r="L1008" i="1"/>
  <c r="L1018" i="1"/>
  <c r="L1028" i="1"/>
  <c r="L1038" i="1"/>
  <c r="L1048" i="1"/>
  <c r="L1058" i="1"/>
  <c r="L1068" i="1"/>
  <c r="L1078" i="1"/>
  <c r="L1088" i="1"/>
  <c r="L1098" i="1"/>
  <c r="L1108" i="1"/>
  <c r="L1118" i="1"/>
  <c r="L1128" i="1"/>
  <c r="L1138" i="1"/>
  <c r="L1148" i="1"/>
  <c r="L1158" i="1"/>
  <c r="L1168" i="1"/>
  <c r="M1210" i="1"/>
  <c r="M1280" i="1"/>
  <c r="M1330" i="1"/>
  <c r="M1380" i="1"/>
  <c r="M1420" i="1"/>
  <c r="M1452" i="1"/>
  <c r="M1482" i="1"/>
  <c r="M1500" i="1"/>
  <c r="M1518" i="1"/>
  <c r="M1534" i="1"/>
  <c r="M1550" i="1"/>
  <c r="M1568" i="1"/>
  <c r="M1584" i="1"/>
  <c r="M1600" i="1"/>
  <c r="M1614" i="1"/>
  <c r="M1629" i="1"/>
  <c r="M1642" i="1"/>
  <c r="M1658" i="1"/>
  <c r="M1670" i="1"/>
  <c r="M1682" i="1"/>
  <c r="M1694" i="1"/>
  <c r="M1708" i="1"/>
  <c r="M1720" i="1"/>
  <c r="M1732" i="1"/>
  <c r="M1744" i="1"/>
  <c r="M1758" i="1"/>
  <c r="M1770" i="1"/>
  <c r="M1781" i="1"/>
  <c r="M1792" i="1"/>
  <c r="L3" i="1"/>
  <c r="L14" i="1"/>
  <c r="L25" i="1"/>
  <c r="L36" i="1"/>
  <c r="L48" i="1"/>
  <c r="L59" i="1"/>
  <c r="L69" i="1"/>
  <c r="L79" i="1"/>
  <c r="L89" i="1"/>
  <c r="L99" i="1"/>
  <c r="L109" i="1"/>
  <c r="L119" i="1"/>
  <c r="L129" i="1"/>
  <c r="L139" i="1"/>
  <c r="L149" i="1"/>
  <c r="L159" i="1"/>
  <c r="L169" i="1"/>
  <c r="L179" i="1"/>
  <c r="L189" i="1"/>
  <c r="L199" i="1"/>
  <c r="L209" i="1"/>
  <c r="L219" i="1"/>
  <c r="L229" i="1"/>
  <c r="L239" i="1"/>
  <c r="L249" i="1"/>
  <c r="L259" i="1"/>
  <c r="L269" i="1"/>
  <c r="L279" i="1"/>
  <c r="L289" i="1"/>
  <c r="L299" i="1"/>
  <c r="L309" i="1"/>
  <c r="L319" i="1"/>
  <c r="L329" i="1"/>
  <c r="L339" i="1"/>
  <c r="L349" i="1"/>
  <c r="L359" i="1"/>
  <c r="L369" i="1"/>
  <c r="L379" i="1"/>
  <c r="L389" i="1"/>
  <c r="L399" i="1"/>
  <c r="L409" i="1"/>
  <c r="L419" i="1"/>
  <c r="L429" i="1"/>
  <c r="L439" i="1"/>
  <c r="L449" i="1"/>
  <c r="L459" i="1"/>
  <c r="L469" i="1"/>
  <c r="L479" i="1"/>
  <c r="L489" i="1"/>
  <c r="L499" i="1"/>
  <c r="L509" i="1"/>
  <c r="L519" i="1"/>
  <c r="L529" i="1"/>
  <c r="L539" i="1"/>
  <c r="L549" i="1"/>
  <c r="L559" i="1"/>
  <c r="L569" i="1"/>
  <c r="L579" i="1"/>
  <c r="L589" i="1"/>
  <c r="L599" i="1"/>
  <c r="L609" i="1"/>
  <c r="L619" i="1"/>
  <c r="L629" i="1"/>
  <c r="L639" i="1"/>
  <c r="L649" i="1"/>
  <c r="L659" i="1"/>
  <c r="L669" i="1"/>
  <c r="L679" i="1"/>
  <c r="L689" i="1"/>
  <c r="L699" i="1"/>
  <c r="L709" i="1"/>
  <c r="L719" i="1"/>
  <c r="L729" i="1"/>
  <c r="L739" i="1"/>
  <c r="L749" i="1"/>
  <c r="L759" i="1"/>
  <c r="L769" i="1"/>
  <c r="L779" i="1"/>
  <c r="L789" i="1"/>
  <c r="L799" i="1"/>
  <c r="L809" i="1"/>
  <c r="L819" i="1"/>
  <c r="L829" i="1"/>
  <c r="L839" i="1"/>
  <c r="L849" i="1"/>
  <c r="L859" i="1"/>
  <c r="L869" i="1"/>
  <c r="L879" i="1"/>
  <c r="L889" i="1"/>
  <c r="L899" i="1"/>
  <c r="L909" i="1"/>
  <c r="L919" i="1"/>
  <c r="L929" i="1"/>
  <c r="M1220" i="1"/>
  <c r="M1282" i="1"/>
  <c r="M1332" i="1"/>
  <c r="M1382" i="1"/>
  <c r="M1422" i="1"/>
  <c r="M1454" i="1"/>
  <c r="M1484" i="1"/>
  <c r="M1502" i="1"/>
  <c r="M1519" i="1"/>
  <c r="M1536" i="1"/>
  <c r="M1552" i="1"/>
  <c r="M1569" i="1"/>
  <c r="M1586" i="1"/>
  <c r="M1601" i="1"/>
  <c r="M1616" i="1"/>
  <c r="M1630" i="1"/>
  <c r="M1644" i="1"/>
  <c r="M1659" i="1"/>
  <c r="M1671" i="1"/>
  <c r="M1683" i="1"/>
  <c r="M1696" i="1"/>
  <c r="M1709" i="1"/>
  <c r="M1721" i="1"/>
  <c r="M1733" i="1"/>
  <c r="M1746" i="1"/>
  <c r="M1759" i="1"/>
  <c r="M1771" i="1"/>
  <c r="M1782" i="1"/>
  <c r="M1793" i="1"/>
  <c r="L4" i="1"/>
  <c r="L15" i="1"/>
  <c r="L26" i="1"/>
  <c r="L38" i="1"/>
  <c r="L49" i="1"/>
  <c r="L60" i="1"/>
  <c r="L70" i="1"/>
  <c r="L80" i="1"/>
  <c r="L90" i="1"/>
  <c r="L100" i="1"/>
  <c r="L110" i="1"/>
  <c r="L120" i="1"/>
  <c r="L130" i="1"/>
  <c r="L140" i="1"/>
  <c r="L150" i="1"/>
  <c r="L160" i="1"/>
  <c r="L170" i="1"/>
  <c r="L180" i="1"/>
  <c r="L190" i="1"/>
  <c r="L200" i="1"/>
  <c r="L210" i="1"/>
  <c r="L220" i="1"/>
  <c r="L230" i="1"/>
  <c r="L240" i="1"/>
  <c r="L250" i="1"/>
  <c r="L260" i="1"/>
  <c r="L270" i="1"/>
  <c r="L280" i="1"/>
  <c r="L290" i="1"/>
  <c r="L300" i="1"/>
  <c r="L310" i="1"/>
  <c r="L320" i="1"/>
  <c r="L330" i="1"/>
  <c r="L340" i="1"/>
  <c r="L350" i="1"/>
  <c r="L360" i="1"/>
  <c r="L370" i="1"/>
  <c r="L380" i="1"/>
  <c r="L390" i="1"/>
  <c r="L400" i="1"/>
  <c r="L410" i="1"/>
  <c r="L420" i="1"/>
  <c r="L430" i="1"/>
  <c r="L440" i="1"/>
  <c r="L450" i="1"/>
  <c r="L460" i="1"/>
  <c r="L470" i="1"/>
  <c r="L480" i="1"/>
  <c r="L490" i="1"/>
  <c r="L500" i="1"/>
  <c r="L510" i="1"/>
  <c r="L520" i="1"/>
  <c r="L530" i="1"/>
  <c r="L540" i="1"/>
  <c r="L550" i="1"/>
  <c r="L560" i="1"/>
  <c r="L570" i="1"/>
  <c r="L580" i="1"/>
  <c r="L590" i="1"/>
  <c r="L600" i="1"/>
  <c r="L610" i="1"/>
  <c r="L620" i="1"/>
  <c r="L630" i="1"/>
  <c r="L640" i="1"/>
  <c r="L650" i="1"/>
  <c r="L660" i="1"/>
  <c r="L670" i="1"/>
  <c r="L680" i="1"/>
  <c r="L690" i="1"/>
  <c r="L700" i="1"/>
  <c r="L710" i="1"/>
  <c r="L720" i="1"/>
  <c r="L730" i="1"/>
  <c r="L740" i="1"/>
  <c r="L750" i="1"/>
  <c r="L760" i="1"/>
  <c r="L770" i="1"/>
  <c r="L780" i="1"/>
  <c r="L790" i="1"/>
  <c r="L800" i="1"/>
  <c r="L810" i="1"/>
  <c r="L820" i="1"/>
  <c r="L830" i="1"/>
  <c r="L840" i="1"/>
  <c r="L850" i="1"/>
  <c r="L860" i="1"/>
  <c r="L870" i="1"/>
  <c r="L880" i="1"/>
  <c r="L890" i="1"/>
  <c r="L900" i="1"/>
  <c r="L910" i="1"/>
  <c r="L920" i="1"/>
  <c r="L930" i="1"/>
  <c r="L940" i="1"/>
  <c r="L950" i="1"/>
  <c r="L960" i="1"/>
  <c r="L970" i="1"/>
  <c r="L980" i="1"/>
  <c r="L990" i="1"/>
  <c r="L1000" i="1"/>
  <c r="L1010" i="1"/>
  <c r="L1020" i="1"/>
  <c r="L1030" i="1"/>
  <c r="L1040" i="1"/>
  <c r="L1050" i="1"/>
  <c r="L1060" i="1"/>
  <c r="L1070" i="1"/>
  <c r="L1080" i="1"/>
  <c r="L1090" i="1"/>
  <c r="L1100" i="1"/>
  <c r="L1110" i="1"/>
  <c r="M1230" i="1"/>
  <c r="M1290" i="1"/>
  <c r="M1340" i="1"/>
  <c r="M1390" i="1"/>
  <c r="M1424" i="1"/>
  <c r="M1460" i="1"/>
  <c r="M1486" i="1"/>
  <c r="M1504" i="1"/>
  <c r="M1520" i="1"/>
  <c r="M1538" i="1"/>
  <c r="M1554" i="1"/>
  <c r="M1570" i="1"/>
  <c r="M1588" i="1"/>
  <c r="M1602" i="1"/>
  <c r="M1618" i="1"/>
  <c r="M1631" i="1"/>
  <c r="M1646" i="1"/>
  <c r="M1660" i="1"/>
  <c r="M1672" i="1"/>
  <c r="M1684" i="1"/>
  <c r="M1698" i="1"/>
  <c r="M1710" i="1"/>
  <c r="M1722" i="1"/>
  <c r="M1734" i="1"/>
  <c r="M1748" i="1"/>
  <c r="M1760" i="1"/>
  <c r="M1772" i="1"/>
  <c r="M1783" i="1"/>
  <c r="M1794" i="1"/>
  <c r="L5" i="1"/>
  <c r="L16" i="1"/>
  <c r="L28" i="1"/>
  <c r="L39" i="1"/>
  <c r="L50" i="1"/>
  <c r="L61" i="1"/>
  <c r="L71" i="1"/>
  <c r="L81" i="1"/>
  <c r="L91" i="1"/>
  <c r="L101" i="1"/>
  <c r="L111" i="1"/>
  <c r="L121" i="1"/>
  <c r="L131" i="1"/>
  <c r="L141" i="1"/>
  <c r="L151" i="1"/>
  <c r="L161" i="1"/>
  <c r="L171" i="1"/>
  <c r="L181" i="1"/>
  <c r="L191" i="1"/>
  <c r="L201" i="1"/>
  <c r="L211" i="1"/>
  <c r="L221" i="1"/>
  <c r="L231" i="1"/>
  <c r="L241" i="1"/>
  <c r="L251" i="1"/>
  <c r="L261" i="1"/>
  <c r="L271" i="1"/>
  <c r="L281" i="1"/>
  <c r="L291" i="1"/>
  <c r="L301" i="1"/>
  <c r="L311" i="1"/>
  <c r="L321" i="1"/>
  <c r="L331" i="1"/>
  <c r="L341" i="1"/>
  <c r="L351" i="1"/>
  <c r="L361" i="1"/>
  <c r="L371" i="1"/>
  <c r="L381" i="1"/>
  <c r="L391" i="1"/>
  <c r="L401" i="1"/>
  <c r="L411" i="1"/>
  <c r="L421" i="1"/>
  <c r="L431" i="1"/>
  <c r="L441" i="1"/>
  <c r="L451" i="1"/>
  <c r="L461" i="1"/>
  <c r="L471" i="1"/>
  <c r="L481" i="1"/>
  <c r="L491" i="1"/>
  <c r="L501" i="1"/>
  <c r="L511" i="1"/>
  <c r="L521" i="1"/>
  <c r="L531" i="1"/>
  <c r="L541" i="1"/>
  <c r="L551" i="1"/>
  <c r="L561" i="1"/>
  <c r="L571" i="1"/>
  <c r="L581" i="1"/>
  <c r="L591" i="1"/>
  <c r="L601" i="1"/>
  <c r="L611" i="1"/>
  <c r="L621" i="1"/>
  <c r="L631" i="1"/>
  <c r="L641" i="1"/>
  <c r="L651" i="1"/>
  <c r="L661" i="1"/>
  <c r="L671" i="1"/>
  <c r="L681" i="1"/>
  <c r="L691" i="1"/>
  <c r="L701" i="1"/>
  <c r="L711" i="1"/>
  <c r="L721" i="1"/>
  <c r="L731" i="1"/>
  <c r="L741" i="1"/>
  <c r="L751" i="1"/>
  <c r="L761" i="1"/>
  <c r="L771" i="1"/>
  <c r="L781" i="1"/>
  <c r="L791" i="1"/>
  <c r="L801" i="1"/>
  <c r="L811" i="1"/>
  <c r="L821" i="1"/>
  <c r="L831" i="1"/>
  <c r="L841" i="1"/>
  <c r="L851" i="1"/>
  <c r="L861" i="1"/>
  <c r="L871" i="1"/>
  <c r="L881" i="1"/>
  <c r="L891" i="1"/>
  <c r="L901" i="1"/>
  <c r="L911" i="1"/>
  <c r="L921" i="1"/>
  <c r="L931" i="1"/>
  <c r="L941" i="1"/>
  <c r="L951" i="1"/>
  <c r="L961" i="1"/>
  <c r="L971" i="1"/>
  <c r="L981" i="1"/>
  <c r="L991" i="1"/>
  <c r="L1001" i="1"/>
  <c r="L1011" i="1"/>
  <c r="L1021" i="1"/>
  <c r="L1031" i="1"/>
  <c r="L1041" i="1"/>
  <c r="L1051" i="1"/>
  <c r="L1061" i="1"/>
  <c r="L1071" i="1"/>
  <c r="L1081" i="1"/>
  <c r="L1091" i="1"/>
  <c r="L1101" i="1"/>
  <c r="L1111" i="1"/>
  <c r="L1121" i="1"/>
  <c r="L1131" i="1"/>
  <c r="L1141" i="1"/>
  <c r="L1151" i="1"/>
  <c r="L1161" i="1"/>
  <c r="M1240" i="1"/>
  <c r="M1292" i="1"/>
  <c r="M1342" i="1"/>
  <c r="M1392" i="1"/>
  <c r="M1430" i="1"/>
  <c r="M1462" i="1"/>
  <c r="M1488" i="1"/>
  <c r="M1506" i="1"/>
  <c r="M1522" i="1"/>
  <c r="M1539" i="1"/>
  <c r="M1556" i="1"/>
  <c r="M1572" i="1"/>
  <c r="M1589" i="1"/>
  <c r="M1604" i="1"/>
  <c r="M1619" i="1"/>
  <c r="M1632" i="1"/>
  <c r="M1648" i="1"/>
  <c r="M1661" i="1"/>
  <c r="M1673" i="1"/>
  <c r="M1686" i="1"/>
  <c r="M1699" i="1"/>
  <c r="M1711" i="1"/>
  <c r="M1723" i="1"/>
  <c r="M1736" i="1"/>
  <c r="M1749" i="1"/>
  <c r="M1761" i="1"/>
  <c r="M1773" i="1"/>
  <c r="M1784" i="1"/>
  <c r="M1795" i="1"/>
  <c r="L6" i="1"/>
  <c r="L18" i="1"/>
  <c r="L29" i="1"/>
  <c r="L40" i="1"/>
  <c r="L51" i="1"/>
  <c r="L62" i="1"/>
  <c r="L72" i="1"/>
  <c r="L82" i="1"/>
  <c r="L92" i="1"/>
  <c r="L102" i="1"/>
  <c r="L112" i="1"/>
  <c r="L122" i="1"/>
  <c r="L132" i="1"/>
  <c r="L142" i="1"/>
  <c r="L152" i="1"/>
  <c r="L162" i="1"/>
  <c r="L172" i="1"/>
  <c r="L182" i="1"/>
  <c r="L192" i="1"/>
  <c r="L202" i="1"/>
  <c r="L212" i="1"/>
  <c r="L222" i="1"/>
  <c r="L232" i="1"/>
  <c r="L242" i="1"/>
  <c r="L252" i="1"/>
  <c r="L262" i="1"/>
  <c r="L272" i="1"/>
  <c r="L282" i="1"/>
  <c r="L292" i="1"/>
  <c r="L302" i="1"/>
  <c r="L312" i="1"/>
  <c r="L322" i="1"/>
  <c r="L332" i="1"/>
  <c r="L342" i="1"/>
  <c r="L352" i="1"/>
  <c r="L362" i="1"/>
  <c r="L372" i="1"/>
  <c r="L382" i="1"/>
  <c r="L392" i="1"/>
  <c r="L402" i="1"/>
  <c r="L412" i="1"/>
  <c r="L422" i="1"/>
  <c r="L432" i="1"/>
  <c r="L442" i="1"/>
  <c r="L452" i="1"/>
  <c r="L462" i="1"/>
  <c r="L472" i="1"/>
  <c r="L482" i="1"/>
  <c r="L492" i="1"/>
  <c r="L502" i="1"/>
  <c r="L512" i="1"/>
  <c r="L522" i="1"/>
  <c r="L532" i="1"/>
  <c r="L542" i="1"/>
  <c r="L552" i="1"/>
  <c r="L562" i="1"/>
  <c r="L572" i="1"/>
  <c r="L582" i="1"/>
  <c r="L592" i="1"/>
  <c r="L602" i="1"/>
  <c r="L612" i="1"/>
  <c r="L622" i="1"/>
  <c r="L632" i="1"/>
  <c r="L642" i="1"/>
  <c r="L652" i="1"/>
  <c r="L662" i="1"/>
  <c r="L672" i="1"/>
  <c r="L682" i="1"/>
  <c r="L692" i="1"/>
  <c r="L702" i="1"/>
  <c r="L712" i="1"/>
  <c r="L722" i="1"/>
  <c r="L732" i="1"/>
  <c r="L742" i="1"/>
  <c r="L752" i="1"/>
  <c r="L762" i="1"/>
  <c r="L772" i="1"/>
  <c r="L782" i="1"/>
  <c r="L792" i="1"/>
  <c r="L802" i="1"/>
  <c r="L812" i="1"/>
  <c r="L822" i="1"/>
  <c r="L832" i="1"/>
  <c r="L842" i="1"/>
  <c r="L852" i="1"/>
  <c r="L862" i="1"/>
  <c r="L872" i="1"/>
  <c r="L882" i="1"/>
  <c r="L892" i="1"/>
  <c r="L902" i="1"/>
  <c r="L912" i="1"/>
  <c r="L922" i="1"/>
  <c r="L932" i="1"/>
  <c r="L942" i="1"/>
  <c r="L952" i="1"/>
  <c r="L962" i="1"/>
  <c r="L972" i="1"/>
  <c r="L982" i="1"/>
  <c r="L992" i="1"/>
  <c r="L1002" i="1"/>
  <c r="L1012" i="1"/>
  <c r="L1022" i="1"/>
  <c r="L1032" i="1"/>
  <c r="L1042" i="1"/>
  <c r="L1052" i="1"/>
  <c r="L1062" i="1"/>
  <c r="L1072" i="1"/>
  <c r="L1082" i="1"/>
  <c r="L1092" i="1"/>
  <c r="L1102" i="1"/>
  <c r="L1112" i="1"/>
  <c r="L1122" i="1"/>
  <c r="L1132" i="1"/>
  <c r="L1142" i="1"/>
  <c r="L1152" i="1"/>
  <c r="L1162" i="1"/>
  <c r="L1172" i="1"/>
  <c r="L1182" i="1"/>
  <c r="L1192" i="1"/>
  <c r="L1202" i="1"/>
  <c r="M1250" i="1"/>
  <c r="M1300" i="1"/>
  <c r="M1350" i="1"/>
  <c r="M1400" i="1"/>
  <c r="M1432" i="1"/>
  <c r="M1464" i="1"/>
  <c r="M1490" i="1"/>
  <c r="M1508" i="1"/>
  <c r="M1524" i="1"/>
  <c r="M1540" i="1"/>
  <c r="M1558" i="1"/>
  <c r="M1574" i="1"/>
  <c r="M1590" i="1"/>
  <c r="M1606" i="1"/>
  <c r="M1620" i="1"/>
  <c r="M1634" i="1"/>
  <c r="M1649" i="1"/>
  <c r="M1662" i="1"/>
  <c r="M1674" i="1"/>
  <c r="M1688" i="1"/>
  <c r="M1700" i="1"/>
  <c r="M1712" i="1"/>
  <c r="M1724" i="1"/>
  <c r="M1738" i="1"/>
  <c r="M1750" i="1"/>
  <c r="M1762" i="1"/>
  <c r="M1774" i="1"/>
  <c r="M1785" i="1"/>
  <c r="M1796" i="1"/>
  <c r="L8" i="1"/>
  <c r="L19" i="1"/>
  <c r="L30" i="1"/>
  <c r="L41" i="1"/>
  <c r="L52" i="1"/>
  <c r="L63" i="1"/>
  <c r="L73" i="1"/>
  <c r="L83" i="1"/>
  <c r="L93" i="1"/>
  <c r="L103" i="1"/>
  <c r="L113" i="1"/>
  <c r="L123" i="1"/>
  <c r="L133" i="1"/>
  <c r="L143" i="1"/>
  <c r="L153" i="1"/>
  <c r="L163" i="1"/>
  <c r="L173" i="1"/>
  <c r="L183" i="1"/>
  <c r="L193" i="1"/>
  <c r="L203" i="1"/>
  <c r="L213" i="1"/>
  <c r="L223" i="1"/>
  <c r="L233" i="1"/>
  <c r="L243" i="1"/>
  <c r="L253" i="1"/>
  <c r="L263" i="1"/>
  <c r="L273" i="1"/>
  <c r="L283" i="1"/>
  <c r="L293" i="1"/>
  <c r="L303" i="1"/>
  <c r="L313" i="1"/>
  <c r="L323" i="1"/>
  <c r="L333" i="1"/>
  <c r="L343" i="1"/>
  <c r="L353" i="1"/>
  <c r="L363" i="1"/>
  <c r="L373" i="1"/>
  <c r="L383" i="1"/>
  <c r="L393" i="1"/>
  <c r="L403" i="1"/>
  <c r="L413" i="1"/>
  <c r="L423" i="1"/>
  <c r="L433" i="1"/>
  <c r="L443" i="1"/>
  <c r="L453" i="1"/>
  <c r="L463" i="1"/>
  <c r="L473" i="1"/>
  <c r="L483" i="1"/>
  <c r="L493" i="1"/>
  <c r="L503" i="1"/>
  <c r="L513" i="1"/>
  <c r="L523" i="1"/>
  <c r="L533" i="1"/>
  <c r="L543" i="1"/>
  <c r="L553" i="1"/>
  <c r="L563" i="1"/>
  <c r="L573" i="1"/>
  <c r="L583" i="1"/>
  <c r="L593" i="1"/>
  <c r="L603" i="1"/>
  <c r="L613" i="1"/>
  <c r="L623" i="1"/>
  <c r="L633" i="1"/>
  <c r="L643" i="1"/>
  <c r="L653" i="1"/>
  <c r="L663" i="1"/>
  <c r="L673" i="1"/>
  <c r="L683" i="1"/>
  <c r="L693" i="1"/>
  <c r="L703" i="1"/>
  <c r="L713" i="1"/>
  <c r="L723" i="1"/>
  <c r="L733" i="1"/>
  <c r="L743" i="1"/>
  <c r="L753" i="1"/>
  <c r="L763" i="1"/>
  <c r="L773" i="1"/>
  <c r="L783" i="1"/>
  <c r="L793" i="1"/>
  <c r="L803" i="1"/>
  <c r="L813" i="1"/>
  <c r="L823" i="1"/>
  <c r="L833" i="1"/>
  <c r="L843" i="1"/>
  <c r="L853" i="1"/>
  <c r="L863" i="1"/>
  <c r="L873" i="1"/>
  <c r="L883" i="1"/>
  <c r="L893" i="1"/>
  <c r="M1252" i="1"/>
  <c r="M1302" i="1"/>
  <c r="M1352" i="1"/>
  <c r="M1402" i="1"/>
  <c r="M1434" i="1"/>
  <c r="M1470" i="1"/>
  <c r="M1492" i="1"/>
  <c r="M1509" i="1"/>
  <c r="M1526" i="1"/>
  <c r="M1542" i="1"/>
  <c r="M1559" i="1"/>
  <c r="M1576" i="1"/>
  <c r="M1592" i="1"/>
  <c r="M1608" i="1"/>
  <c r="M1621" i="1"/>
  <c r="M1636" i="1"/>
  <c r="M1650" i="1"/>
  <c r="M1663" i="1"/>
  <c r="M1676" i="1"/>
  <c r="M1689" i="1"/>
  <c r="M1701" i="1"/>
  <c r="M1713" i="1"/>
  <c r="M1726" i="1"/>
  <c r="M1739" i="1"/>
  <c r="M1751" i="1"/>
  <c r="M1763" i="1"/>
  <c r="M1775" i="1"/>
  <c r="M1786" i="1"/>
  <c r="M1798" i="1"/>
  <c r="L9" i="1"/>
  <c r="L20" i="1"/>
  <c r="L31" i="1"/>
  <c r="L42" i="1"/>
  <c r="L53" i="1"/>
  <c r="L64" i="1"/>
  <c r="L74" i="1"/>
  <c r="L84" i="1"/>
  <c r="L94" i="1"/>
  <c r="L104" i="1"/>
  <c r="L114" i="1"/>
  <c r="L124" i="1"/>
  <c r="L134" i="1"/>
  <c r="L144" i="1"/>
  <c r="L154" i="1"/>
  <c r="L164" i="1"/>
  <c r="L174" i="1"/>
  <c r="L184" i="1"/>
  <c r="L194" i="1"/>
  <c r="L204" i="1"/>
  <c r="L214" i="1"/>
  <c r="L224" i="1"/>
  <c r="L234" i="1"/>
  <c r="L244" i="1"/>
  <c r="L254" i="1"/>
  <c r="L264" i="1"/>
  <c r="L274" i="1"/>
  <c r="L284" i="1"/>
  <c r="L294" i="1"/>
  <c r="L304" i="1"/>
  <c r="L314" i="1"/>
  <c r="L324" i="1"/>
  <c r="L334" i="1"/>
  <c r="L344" i="1"/>
  <c r="L354" i="1"/>
  <c r="L364" i="1"/>
  <c r="L374" i="1"/>
  <c r="L384" i="1"/>
  <c r="L394" i="1"/>
  <c r="L404" i="1"/>
  <c r="L414" i="1"/>
  <c r="L424" i="1"/>
  <c r="L434" i="1"/>
  <c r="L444" i="1"/>
  <c r="L454" i="1"/>
  <c r="L464" i="1"/>
  <c r="L474" i="1"/>
  <c r="L484" i="1"/>
  <c r="L494" i="1"/>
  <c r="L504" i="1"/>
  <c r="L514" i="1"/>
  <c r="L524" i="1"/>
  <c r="L534" i="1"/>
  <c r="L544" i="1"/>
  <c r="L554" i="1"/>
  <c r="L564" i="1"/>
  <c r="L574" i="1"/>
  <c r="L584" i="1"/>
  <c r="L594" i="1"/>
  <c r="L604" i="1"/>
  <c r="L614" i="1"/>
  <c r="L624" i="1"/>
  <c r="L634" i="1"/>
  <c r="L644" i="1"/>
  <c r="L654" i="1"/>
  <c r="L664" i="1"/>
  <c r="L674" i="1"/>
  <c r="L684" i="1"/>
  <c r="L694" i="1"/>
  <c r="L704" i="1"/>
  <c r="L714" i="1"/>
  <c r="L724" i="1"/>
  <c r="L734" i="1"/>
  <c r="L744" i="1"/>
  <c r="L754" i="1"/>
  <c r="L764" i="1"/>
  <c r="L774" i="1"/>
  <c r="L784" i="1"/>
  <c r="L794" i="1"/>
  <c r="L804" i="1"/>
  <c r="L814" i="1"/>
  <c r="L824" i="1"/>
  <c r="L834" i="1"/>
  <c r="L844" i="1"/>
  <c r="L854" i="1"/>
  <c r="L864" i="1"/>
  <c r="L874" i="1"/>
  <c r="L884" i="1"/>
  <c r="L894" i="1"/>
  <c r="L904" i="1"/>
  <c r="L914" i="1"/>
  <c r="L924" i="1"/>
  <c r="L934" i="1"/>
  <c r="L944" i="1"/>
  <c r="L954" i="1"/>
  <c r="L964" i="1"/>
  <c r="L974" i="1"/>
  <c r="L984" i="1"/>
  <c r="M1260" i="1"/>
  <c r="M1310" i="1"/>
  <c r="M1360" i="1"/>
  <c r="M1404" i="1"/>
  <c r="M1440" i="1"/>
  <c r="M1472" i="1"/>
  <c r="M1494" i="1"/>
  <c r="M1510" i="1"/>
  <c r="M1528" i="1"/>
  <c r="M1544" i="1"/>
  <c r="M1560" i="1"/>
  <c r="M1578" i="1"/>
  <c r="M1594" i="1"/>
  <c r="M1609" i="1"/>
  <c r="M1622" i="1"/>
  <c r="M1638" i="1"/>
  <c r="M1651" i="1"/>
  <c r="M1664" i="1"/>
  <c r="M1678" i="1"/>
  <c r="M1690" i="1"/>
  <c r="M1702" i="1"/>
  <c r="M1714" i="1"/>
  <c r="M1728" i="1"/>
  <c r="M1740" i="1"/>
  <c r="M1752" i="1"/>
  <c r="M1764" i="1"/>
  <c r="M1776" i="1"/>
  <c r="M1788" i="1"/>
  <c r="M1799" i="1"/>
  <c r="L10" i="1"/>
  <c r="L21" i="1"/>
  <c r="L32" i="1"/>
  <c r="L43" i="1"/>
  <c r="L54" i="1"/>
  <c r="L65" i="1"/>
  <c r="L75" i="1"/>
  <c r="L85" i="1"/>
  <c r="L95" i="1"/>
  <c r="L105" i="1"/>
  <c r="L115" i="1"/>
  <c r="L125" i="1"/>
  <c r="L135" i="1"/>
  <c r="L145" i="1"/>
  <c r="L155" i="1"/>
  <c r="L165" i="1"/>
  <c r="L175" i="1"/>
  <c r="L185" i="1"/>
  <c r="L195" i="1"/>
  <c r="L205" i="1"/>
  <c r="L215" i="1"/>
  <c r="L225" i="1"/>
  <c r="L235" i="1"/>
  <c r="L245" i="1"/>
  <c r="L255" i="1"/>
  <c r="L265" i="1"/>
  <c r="L275" i="1"/>
  <c r="L285" i="1"/>
  <c r="L295" i="1"/>
  <c r="L305" i="1"/>
  <c r="L315" i="1"/>
  <c r="L325" i="1"/>
  <c r="L335" i="1"/>
  <c r="L345" i="1"/>
  <c r="L355" i="1"/>
  <c r="L365" i="1"/>
  <c r="L375" i="1"/>
  <c r="L385" i="1"/>
  <c r="L395" i="1"/>
  <c r="L405" i="1"/>
  <c r="L415" i="1"/>
  <c r="L425" i="1"/>
  <c r="L435" i="1"/>
  <c r="L445" i="1"/>
  <c r="L455" i="1"/>
  <c r="L465" i="1"/>
  <c r="L475" i="1"/>
  <c r="L485" i="1"/>
  <c r="L495" i="1"/>
  <c r="L505" i="1"/>
  <c r="L515" i="1"/>
  <c r="L525" i="1"/>
  <c r="L535" i="1"/>
  <c r="L545" i="1"/>
  <c r="L555" i="1"/>
  <c r="L565" i="1"/>
  <c r="L575" i="1"/>
  <c r="L585" i="1"/>
  <c r="L595" i="1"/>
  <c r="L605" i="1"/>
  <c r="L615" i="1"/>
  <c r="L625" i="1"/>
  <c r="L635" i="1"/>
  <c r="L645" i="1"/>
  <c r="L655" i="1"/>
  <c r="L665" i="1"/>
  <c r="L675" i="1"/>
  <c r="L685" i="1"/>
  <c r="L695" i="1"/>
  <c r="L705" i="1"/>
  <c r="L715" i="1"/>
  <c r="L725" i="1"/>
  <c r="L735" i="1"/>
  <c r="L745" i="1"/>
  <c r="L755" i="1"/>
  <c r="L765" i="1"/>
  <c r="L775" i="1"/>
  <c r="L785" i="1"/>
  <c r="L795" i="1"/>
  <c r="L805" i="1"/>
  <c r="L815" i="1"/>
  <c r="L825" i="1"/>
  <c r="L835" i="1"/>
  <c r="L845" i="1"/>
  <c r="L855" i="1"/>
  <c r="L865" i="1"/>
  <c r="L875" i="1"/>
  <c r="L885" i="1"/>
  <c r="L895" i="1"/>
  <c r="L905" i="1"/>
  <c r="L915" i="1"/>
  <c r="L925" i="1"/>
  <c r="L935" i="1"/>
  <c r="L945" i="1"/>
  <c r="L955" i="1"/>
  <c r="L965" i="1"/>
  <c r="L975" i="1"/>
  <c r="L985" i="1"/>
  <c r="L995" i="1"/>
  <c r="L1005" i="1"/>
  <c r="L1015" i="1"/>
  <c r="L1025" i="1"/>
  <c r="L1035" i="1"/>
  <c r="L1045" i="1"/>
  <c r="L1055" i="1"/>
  <c r="L1065" i="1"/>
  <c r="L1075" i="1"/>
  <c r="L1085" i="1"/>
  <c r="L1095" i="1"/>
  <c r="L1105" i="1"/>
  <c r="L1115" i="1"/>
  <c r="L1125" i="1"/>
  <c r="L1135" i="1"/>
  <c r="L1145" i="1"/>
  <c r="L1155" i="1"/>
  <c r="L1165" i="1"/>
  <c r="L1175" i="1"/>
  <c r="M1262" i="1"/>
  <c r="M1312" i="1"/>
  <c r="M1362" i="1"/>
  <c r="M1410" i="1"/>
  <c r="M1442" i="1"/>
  <c r="M1474" i="1"/>
  <c r="M1496" i="1"/>
  <c r="M1512" i="1"/>
  <c r="M1529" i="1"/>
  <c r="M1546" i="1"/>
  <c r="M1562" i="1"/>
  <c r="M1579" i="1"/>
  <c r="M1596" i="1"/>
  <c r="M1610" i="1"/>
  <c r="M1624" i="1"/>
  <c r="M1639" i="1"/>
  <c r="M1652" i="1"/>
  <c r="M1666" i="1"/>
  <c r="M1679" i="1"/>
  <c r="M1691" i="1"/>
  <c r="M1703" i="1"/>
  <c r="M1716" i="1"/>
  <c r="M1729" i="1"/>
  <c r="M1741" i="1"/>
  <c r="M1753" i="1"/>
  <c r="M1766" i="1"/>
  <c r="M1778" i="1"/>
  <c r="M1789" i="1"/>
  <c r="M1800" i="1"/>
  <c r="L11" i="1"/>
  <c r="L22" i="1"/>
  <c r="L33" i="1"/>
  <c r="L44" i="1"/>
  <c r="L55" i="1"/>
  <c r="L66" i="1"/>
  <c r="L76" i="1"/>
  <c r="L86" i="1"/>
  <c r="L96" i="1"/>
  <c r="L106" i="1"/>
  <c r="L116" i="1"/>
  <c r="L126" i="1"/>
  <c r="L136" i="1"/>
  <c r="L146" i="1"/>
  <c r="L156" i="1"/>
  <c r="L166" i="1"/>
  <c r="L176" i="1"/>
  <c r="L186" i="1"/>
  <c r="L196" i="1"/>
  <c r="L206" i="1"/>
  <c r="L216" i="1"/>
  <c r="L226" i="1"/>
  <c r="L236" i="1"/>
  <c r="L246" i="1"/>
  <c r="L256" i="1"/>
  <c r="L266" i="1"/>
  <c r="L276" i="1"/>
  <c r="L286" i="1"/>
  <c r="L296" i="1"/>
  <c r="L306" i="1"/>
  <c r="L316" i="1"/>
  <c r="L326" i="1"/>
  <c r="L336" i="1"/>
  <c r="L346" i="1"/>
  <c r="L356" i="1"/>
  <c r="L366" i="1"/>
  <c r="L376" i="1"/>
  <c r="L386" i="1"/>
  <c r="L396" i="1"/>
  <c r="L406" i="1"/>
  <c r="L416" i="1"/>
  <c r="L426" i="1"/>
  <c r="L436" i="1"/>
  <c r="L446" i="1"/>
  <c r="L456" i="1"/>
  <c r="L466" i="1"/>
  <c r="L476" i="1"/>
  <c r="L486" i="1"/>
  <c r="L496" i="1"/>
  <c r="L506" i="1"/>
  <c r="L516" i="1"/>
  <c r="L526" i="1"/>
  <c r="L536" i="1"/>
  <c r="L546" i="1"/>
  <c r="L556" i="1"/>
  <c r="L566" i="1"/>
  <c r="L576" i="1"/>
  <c r="L586" i="1"/>
  <c r="L596" i="1"/>
  <c r="L606" i="1"/>
  <c r="L616" i="1"/>
  <c r="L626" i="1"/>
  <c r="L636" i="1"/>
  <c r="L646" i="1"/>
  <c r="L656" i="1"/>
  <c r="L666" i="1"/>
  <c r="L676" i="1"/>
  <c r="L686" i="1"/>
  <c r="L696" i="1"/>
  <c r="L706" i="1"/>
  <c r="L716" i="1"/>
  <c r="L726" i="1"/>
  <c r="L736" i="1"/>
  <c r="L746" i="1"/>
  <c r="L756" i="1"/>
  <c r="L766" i="1"/>
  <c r="L776" i="1"/>
  <c r="L786" i="1"/>
  <c r="L796" i="1"/>
  <c r="L806" i="1"/>
  <c r="L816" i="1"/>
  <c r="L826" i="1"/>
  <c r="L836" i="1"/>
  <c r="L846" i="1"/>
  <c r="L856" i="1"/>
  <c r="L866" i="1"/>
  <c r="L876" i="1"/>
  <c r="L886" i="1"/>
  <c r="L896" i="1"/>
  <c r="L906" i="1"/>
  <c r="L916" i="1"/>
  <c r="L926" i="1"/>
  <c r="L936" i="1"/>
  <c r="L946" i="1"/>
  <c r="L956" i="1"/>
  <c r="L966" i="1"/>
  <c r="L976" i="1"/>
  <c r="L986" i="1"/>
  <c r="L996" i="1"/>
  <c r="L1006" i="1"/>
  <c r="L1016" i="1"/>
  <c r="L1026" i="1"/>
  <c r="L1036" i="1"/>
  <c r="L1046" i="1"/>
  <c r="L1056" i="1"/>
  <c r="L1066" i="1"/>
  <c r="L1076" i="1"/>
  <c r="L1086" i="1"/>
  <c r="L1096" i="1"/>
  <c r="L1106" i="1"/>
  <c r="L1116" i="1"/>
  <c r="L1126" i="1"/>
  <c r="L1136" i="1"/>
  <c r="L1146" i="1"/>
  <c r="L1156" i="1"/>
  <c r="L1166" i="1"/>
  <c r="L1176" i="1"/>
  <c r="L1186" i="1"/>
  <c r="L1196" i="1"/>
  <c r="L1206" i="1"/>
  <c r="L1216" i="1"/>
  <c r="L1226" i="1"/>
  <c r="L1236" i="1"/>
  <c r="L1246" i="1"/>
  <c r="L1256" i="1"/>
  <c r="L1266" i="1"/>
  <c r="L1276" i="1"/>
  <c r="L1286" i="1"/>
  <c r="L1296" i="1"/>
  <c r="L1306" i="1"/>
  <c r="L1316" i="1"/>
  <c r="L1326" i="1"/>
  <c r="L1336" i="1"/>
  <c r="L903" i="1"/>
  <c r="L969" i="1"/>
  <c r="L999" i="1"/>
  <c r="L1024" i="1"/>
  <c r="L1049" i="1"/>
  <c r="L1074" i="1"/>
  <c r="L1099" i="1"/>
  <c r="L1123" i="1"/>
  <c r="L1143" i="1"/>
  <c r="L1163" i="1"/>
  <c r="L1179" i="1"/>
  <c r="L1191" i="1"/>
  <c r="L1204" i="1"/>
  <c r="L1215" i="1"/>
  <c r="L1227" i="1"/>
  <c r="L1238" i="1"/>
  <c r="L1249" i="1"/>
  <c r="L1260" i="1"/>
  <c r="L1271" i="1"/>
  <c r="L1282" i="1"/>
  <c r="L1293" i="1"/>
  <c r="L1304" i="1"/>
  <c r="L1315" i="1"/>
  <c r="L1327" i="1"/>
  <c r="L1338" i="1"/>
  <c r="L1348" i="1"/>
  <c r="L1358" i="1"/>
  <c r="L1368" i="1"/>
  <c r="L1378" i="1"/>
  <c r="L1388" i="1"/>
  <c r="L1398" i="1"/>
  <c r="L1408" i="1"/>
  <c r="L1418" i="1"/>
  <c r="L1428" i="1"/>
  <c r="L1438" i="1"/>
  <c r="L1448" i="1"/>
  <c r="L1458" i="1"/>
  <c r="L1468" i="1"/>
  <c r="L1478" i="1"/>
  <c r="L1488" i="1"/>
  <c r="L1498" i="1"/>
  <c r="L1508" i="1"/>
  <c r="L1518" i="1"/>
  <c r="L1528" i="1"/>
  <c r="L1538" i="1"/>
  <c r="L1548" i="1"/>
  <c r="L1558" i="1"/>
  <c r="L1568" i="1"/>
  <c r="L1578" i="1"/>
  <c r="L1588" i="1"/>
  <c r="L1598" i="1"/>
  <c r="L1608" i="1"/>
  <c r="L1618" i="1"/>
  <c r="L1628" i="1"/>
  <c r="L1638" i="1"/>
  <c r="L1648" i="1"/>
  <c r="L1658" i="1"/>
  <c r="L1668" i="1"/>
  <c r="L1678" i="1"/>
  <c r="L1688" i="1"/>
  <c r="L1698" i="1"/>
  <c r="L1708" i="1"/>
  <c r="L1718" i="1"/>
  <c r="L1728" i="1"/>
  <c r="L1738" i="1"/>
  <c r="L1748" i="1"/>
  <c r="L1758" i="1"/>
  <c r="L1768" i="1"/>
  <c r="L1778" i="1"/>
  <c r="L1788" i="1"/>
  <c r="L1798" i="1"/>
  <c r="K8" i="1"/>
  <c r="K18" i="1"/>
  <c r="K28" i="1"/>
  <c r="K38" i="1"/>
  <c r="K48" i="1"/>
  <c r="K58" i="1"/>
  <c r="K68" i="1"/>
  <c r="K78" i="1"/>
  <c r="K88" i="1"/>
  <c r="K98" i="1"/>
  <c r="K108" i="1"/>
  <c r="K118" i="1"/>
  <c r="K128" i="1"/>
  <c r="K138" i="1"/>
  <c r="K148" i="1"/>
  <c r="K158" i="1"/>
  <c r="K168" i="1"/>
  <c r="K178" i="1"/>
  <c r="K188" i="1"/>
  <c r="K198" i="1"/>
  <c r="K208" i="1"/>
  <c r="K218" i="1"/>
  <c r="K228" i="1"/>
  <c r="K238" i="1"/>
  <c r="K248" i="1"/>
  <c r="K258" i="1"/>
  <c r="K268" i="1"/>
  <c r="K278" i="1"/>
  <c r="K288" i="1"/>
  <c r="K298" i="1"/>
  <c r="K308" i="1"/>
  <c r="K318" i="1"/>
  <c r="K328" i="1"/>
  <c r="K338" i="1"/>
  <c r="K348" i="1"/>
  <c r="K358" i="1"/>
  <c r="K368" i="1"/>
  <c r="K378" i="1"/>
  <c r="K388" i="1"/>
  <c r="K398" i="1"/>
  <c r="K408" i="1"/>
  <c r="K418" i="1"/>
  <c r="K428" i="1"/>
  <c r="K438" i="1"/>
  <c r="K448" i="1"/>
  <c r="K458" i="1"/>
  <c r="K468" i="1"/>
  <c r="K478" i="1"/>
  <c r="K488" i="1"/>
  <c r="K498" i="1"/>
  <c r="K508" i="1"/>
  <c r="K518" i="1"/>
  <c r="K528" i="1"/>
  <c r="K538" i="1"/>
  <c r="K548" i="1"/>
  <c r="K558" i="1"/>
  <c r="K568" i="1"/>
  <c r="K578" i="1"/>
  <c r="K588" i="1"/>
  <c r="K598" i="1"/>
  <c r="K608" i="1"/>
  <c r="K618" i="1"/>
  <c r="K628" i="1"/>
  <c r="K638" i="1"/>
  <c r="L913" i="1"/>
  <c r="L973" i="1"/>
  <c r="L1003" i="1"/>
  <c r="L1027" i="1"/>
  <c r="L1053" i="1"/>
  <c r="L1077" i="1"/>
  <c r="L1103" i="1"/>
  <c r="L1124" i="1"/>
  <c r="L1144" i="1"/>
  <c r="L1164" i="1"/>
  <c r="L1180" i="1"/>
  <c r="L1193" i="1"/>
  <c r="L1205" i="1"/>
  <c r="L1217" i="1"/>
  <c r="L1228" i="1"/>
  <c r="L1239" i="1"/>
  <c r="L1250" i="1"/>
  <c r="L1261" i="1"/>
  <c r="L1272" i="1"/>
  <c r="L1283" i="1"/>
  <c r="L1294" i="1"/>
  <c r="L1305" i="1"/>
  <c r="L1317" i="1"/>
  <c r="L1328" i="1"/>
  <c r="L1339" i="1"/>
  <c r="L1349" i="1"/>
  <c r="L1359" i="1"/>
  <c r="L1369" i="1"/>
  <c r="L1379" i="1"/>
  <c r="L1389" i="1"/>
  <c r="L1399" i="1"/>
  <c r="L1409" i="1"/>
  <c r="L1419" i="1"/>
  <c r="L1429" i="1"/>
  <c r="L1439" i="1"/>
  <c r="L1449" i="1"/>
  <c r="L1459" i="1"/>
  <c r="L1469" i="1"/>
  <c r="L1479" i="1"/>
  <c r="L1489" i="1"/>
  <c r="L1499" i="1"/>
  <c r="L1509" i="1"/>
  <c r="L1519" i="1"/>
  <c r="L1529" i="1"/>
  <c r="L1539" i="1"/>
  <c r="L1549" i="1"/>
  <c r="L1559" i="1"/>
  <c r="L1569" i="1"/>
  <c r="L1579" i="1"/>
  <c r="L1589" i="1"/>
  <c r="L1599" i="1"/>
  <c r="L1609" i="1"/>
  <c r="L1619" i="1"/>
  <c r="L1629" i="1"/>
  <c r="L1639" i="1"/>
  <c r="L1649" i="1"/>
  <c r="L1659" i="1"/>
  <c r="L1669" i="1"/>
  <c r="L1679" i="1"/>
  <c r="L1689" i="1"/>
  <c r="L1699" i="1"/>
  <c r="L1709" i="1"/>
  <c r="L1719" i="1"/>
  <c r="L1729" i="1"/>
  <c r="L1739" i="1"/>
  <c r="L1749" i="1"/>
  <c r="L1759" i="1"/>
  <c r="L1769" i="1"/>
  <c r="L1779" i="1"/>
  <c r="L1789" i="1"/>
  <c r="L1799" i="1"/>
  <c r="K9" i="1"/>
  <c r="K19" i="1"/>
  <c r="K29" i="1"/>
  <c r="K39" i="1"/>
  <c r="K49" i="1"/>
  <c r="K59" i="1"/>
  <c r="K69" i="1"/>
  <c r="K79" i="1"/>
  <c r="K89" i="1"/>
  <c r="K99" i="1"/>
  <c r="K109" i="1"/>
  <c r="K119" i="1"/>
  <c r="K129" i="1"/>
  <c r="K139" i="1"/>
  <c r="K149" i="1"/>
  <c r="K159" i="1"/>
  <c r="K169" i="1"/>
  <c r="K179" i="1"/>
  <c r="K189" i="1"/>
  <c r="K199" i="1"/>
  <c r="K209" i="1"/>
  <c r="K219" i="1"/>
  <c r="K229" i="1"/>
  <c r="K239" i="1"/>
  <c r="K249" i="1"/>
  <c r="K259" i="1"/>
  <c r="K269" i="1"/>
  <c r="K279" i="1"/>
  <c r="K289" i="1"/>
  <c r="K299" i="1"/>
  <c r="K309" i="1"/>
  <c r="K319" i="1"/>
  <c r="K329" i="1"/>
  <c r="K339" i="1"/>
  <c r="K349" i="1"/>
  <c r="K359" i="1"/>
  <c r="K369" i="1"/>
  <c r="K379" i="1"/>
  <c r="K389" i="1"/>
  <c r="K399" i="1"/>
  <c r="K409" i="1"/>
  <c r="K419" i="1"/>
  <c r="K429" i="1"/>
  <c r="K439" i="1"/>
  <c r="K449" i="1"/>
  <c r="K459" i="1"/>
  <c r="K469" i="1"/>
  <c r="K479" i="1"/>
  <c r="K489" i="1"/>
  <c r="K499" i="1"/>
  <c r="K509" i="1"/>
  <c r="L923" i="1"/>
  <c r="L977" i="1"/>
  <c r="L1004" i="1"/>
  <c r="L1029" i="1"/>
  <c r="L1054" i="1"/>
  <c r="L1079" i="1"/>
  <c r="L1104" i="1"/>
  <c r="L1127" i="1"/>
  <c r="L1147" i="1"/>
  <c r="L1167" i="1"/>
  <c r="L1181" i="1"/>
  <c r="L1194" i="1"/>
  <c r="L1207" i="1"/>
  <c r="L1218" i="1"/>
  <c r="L1229" i="1"/>
  <c r="L1240" i="1"/>
  <c r="L1251" i="1"/>
  <c r="L1262" i="1"/>
  <c r="L1273" i="1"/>
  <c r="L1284" i="1"/>
  <c r="L1295" i="1"/>
  <c r="L1307" i="1"/>
  <c r="L1318" i="1"/>
  <c r="L1329" i="1"/>
  <c r="L1340" i="1"/>
  <c r="L1350" i="1"/>
  <c r="L1360" i="1"/>
  <c r="L1370" i="1"/>
  <c r="L1380" i="1"/>
  <c r="L1390" i="1"/>
  <c r="L1400" i="1"/>
  <c r="L1410" i="1"/>
  <c r="L1420" i="1"/>
  <c r="L1430" i="1"/>
  <c r="L1440" i="1"/>
  <c r="L1450" i="1"/>
  <c r="L1460" i="1"/>
  <c r="L1470" i="1"/>
  <c r="L1480" i="1"/>
  <c r="L1490" i="1"/>
  <c r="L1500" i="1"/>
  <c r="L1510" i="1"/>
  <c r="L1520" i="1"/>
  <c r="L1530" i="1"/>
  <c r="L1540" i="1"/>
  <c r="L1550" i="1"/>
  <c r="L1560" i="1"/>
  <c r="L1570" i="1"/>
  <c r="L1580" i="1"/>
  <c r="L1590" i="1"/>
  <c r="L1600" i="1"/>
  <c r="L1610" i="1"/>
  <c r="L1620" i="1"/>
  <c r="L1630" i="1"/>
  <c r="L1640" i="1"/>
  <c r="L1650" i="1"/>
  <c r="L1660" i="1"/>
  <c r="L1670" i="1"/>
  <c r="L1680" i="1"/>
  <c r="L1690" i="1"/>
  <c r="L1700" i="1"/>
  <c r="L1710" i="1"/>
  <c r="L1720" i="1"/>
  <c r="L1730" i="1"/>
  <c r="L1740" i="1"/>
  <c r="L1750" i="1"/>
  <c r="L1760" i="1"/>
  <c r="L1770" i="1"/>
  <c r="L1780" i="1"/>
  <c r="L1790" i="1"/>
  <c r="L1800" i="1"/>
  <c r="K10" i="1"/>
  <c r="K20" i="1"/>
  <c r="K30" i="1"/>
  <c r="K40" i="1"/>
  <c r="K50" i="1"/>
  <c r="K60" i="1"/>
  <c r="K70" i="1"/>
  <c r="K80" i="1"/>
  <c r="K90" i="1"/>
  <c r="K100" i="1"/>
  <c r="K110" i="1"/>
  <c r="K120" i="1"/>
  <c r="K130" i="1"/>
  <c r="K140" i="1"/>
  <c r="K150" i="1"/>
  <c r="K160" i="1"/>
  <c r="K170" i="1"/>
  <c r="K180" i="1"/>
  <c r="K190" i="1"/>
  <c r="K200" i="1"/>
  <c r="K210" i="1"/>
  <c r="K220" i="1"/>
  <c r="K230" i="1"/>
  <c r="K240" i="1"/>
  <c r="K250" i="1"/>
  <c r="K260" i="1"/>
  <c r="K270" i="1"/>
  <c r="K280" i="1"/>
  <c r="K290" i="1"/>
  <c r="K300" i="1"/>
  <c r="K310" i="1"/>
  <c r="K320" i="1"/>
  <c r="K330" i="1"/>
  <c r="K340" i="1"/>
  <c r="K350" i="1"/>
  <c r="K360" i="1"/>
  <c r="K370" i="1"/>
  <c r="K380" i="1"/>
  <c r="K390" i="1"/>
  <c r="K400" i="1"/>
  <c r="K410" i="1"/>
  <c r="K420" i="1"/>
  <c r="K430" i="1"/>
  <c r="K440" i="1"/>
  <c r="K450" i="1"/>
  <c r="K460" i="1"/>
  <c r="K470" i="1"/>
  <c r="K480" i="1"/>
  <c r="K490" i="1"/>
  <c r="K500" i="1"/>
  <c r="K510" i="1"/>
  <c r="K520" i="1"/>
  <c r="K530" i="1"/>
  <c r="K540" i="1"/>
  <c r="K550" i="1"/>
  <c r="K560" i="1"/>
  <c r="K570" i="1"/>
  <c r="K580" i="1"/>
  <c r="K590" i="1"/>
  <c r="K600" i="1"/>
  <c r="K610" i="1"/>
  <c r="K620" i="1"/>
  <c r="K630" i="1"/>
  <c r="K640" i="1"/>
  <c r="K650" i="1"/>
  <c r="K660" i="1"/>
  <c r="K670" i="1"/>
  <c r="K680" i="1"/>
  <c r="K690" i="1"/>
  <c r="K700" i="1"/>
  <c r="K710" i="1"/>
  <c r="K720" i="1"/>
  <c r="K730" i="1"/>
  <c r="K740" i="1"/>
  <c r="K750" i="1"/>
  <c r="K760" i="1"/>
  <c r="K770" i="1"/>
  <c r="K780" i="1"/>
  <c r="K790" i="1"/>
  <c r="K800" i="1"/>
  <c r="K810" i="1"/>
  <c r="K820" i="1"/>
  <c r="K830" i="1"/>
  <c r="K840" i="1"/>
  <c r="K850" i="1"/>
  <c r="K860" i="1"/>
  <c r="K870" i="1"/>
  <c r="K880" i="1"/>
  <c r="K890" i="1"/>
  <c r="K900" i="1"/>
  <c r="K910" i="1"/>
  <c r="K920" i="1"/>
  <c r="K930" i="1"/>
  <c r="K940" i="1"/>
  <c r="K950" i="1"/>
  <c r="K960" i="1"/>
  <c r="K970" i="1"/>
  <c r="K980" i="1"/>
  <c r="K990" i="1"/>
  <c r="K1000" i="1"/>
  <c r="L933" i="1"/>
  <c r="L979" i="1"/>
  <c r="L1007" i="1"/>
  <c r="L1033" i="1"/>
  <c r="L1057" i="1"/>
  <c r="L1083" i="1"/>
  <c r="L1107" i="1"/>
  <c r="L1129" i="1"/>
  <c r="L1149" i="1"/>
  <c r="L1169" i="1"/>
  <c r="L1183" i="1"/>
  <c r="L1195" i="1"/>
  <c r="L1208" i="1"/>
  <c r="L1219" i="1"/>
  <c r="L1230" i="1"/>
  <c r="L1241" i="1"/>
  <c r="L1252" i="1"/>
  <c r="L1263" i="1"/>
  <c r="L1274" i="1"/>
  <c r="L1285" i="1"/>
  <c r="L1297" i="1"/>
  <c r="L1308" i="1"/>
  <c r="L1319" i="1"/>
  <c r="L1330" i="1"/>
  <c r="L1341" i="1"/>
  <c r="L1351" i="1"/>
  <c r="L1361" i="1"/>
  <c r="L1371" i="1"/>
  <c r="L1381" i="1"/>
  <c r="L1391" i="1"/>
  <c r="L1401" i="1"/>
  <c r="L1411" i="1"/>
  <c r="L1421" i="1"/>
  <c r="L1431" i="1"/>
  <c r="L1441" i="1"/>
  <c r="L1451" i="1"/>
  <c r="L1461" i="1"/>
  <c r="L1471" i="1"/>
  <c r="L1481" i="1"/>
  <c r="L1491" i="1"/>
  <c r="L1501" i="1"/>
  <c r="L1511" i="1"/>
  <c r="L1521" i="1"/>
  <c r="L1531" i="1"/>
  <c r="L1541" i="1"/>
  <c r="L1551" i="1"/>
  <c r="L1561" i="1"/>
  <c r="L1571" i="1"/>
  <c r="L1581" i="1"/>
  <c r="L1591" i="1"/>
  <c r="L1601" i="1"/>
  <c r="L1611" i="1"/>
  <c r="L1621" i="1"/>
  <c r="L1631" i="1"/>
  <c r="L1641" i="1"/>
  <c r="L1651" i="1"/>
  <c r="L1661" i="1"/>
  <c r="L1671" i="1"/>
  <c r="L1681" i="1"/>
  <c r="L1691" i="1"/>
  <c r="L1701" i="1"/>
  <c r="L1711" i="1"/>
  <c r="L1721" i="1"/>
  <c r="L1731" i="1"/>
  <c r="L1741" i="1"/>
  <c r="L1751" i="1"/>
  <c r="L1761" i="1"/>
  <c r="L1771" i="1"/>
  <c r="L1781" i="1"/>
  <c r="L1791" i="1"/>
  <c r="L1801" i="1"/>
  <c r="K11" i="1"/>
  <c r="K21" i="1"/>
  <c r="K31" i="1"/>
  <c r="K41" i="1"/>
  <c r="K51" i="1"/>
  <c r="K61" i="1"/>
  <c r="K71" i="1"/>
  <c r="K81" i="1"/>
  <c r="K91" i="1"/>
  <c r="K101" i="1"/>
  <c r="K111" i="1"/>
  <c r="K121" i="1"/>
  <c r="K131" i="1"/>
  <c r="K141" i="1"/>
  <c r="K151" i="1"/>
  <c r="K161" i="1"/>
  <c r="K171" i="1"/>
  <c r="K181" i="1"/>
  <c r="K191" i="1"/>
  <c r="K201" i="1"/>
  <c r="K211" i="1"/>
  <c r="K221" i="1"/>
  <c r="K231" i="1"/>
  <c r="K241" i="1"/>
  <c r="K251" i="1"/>
  <c r="K261" i="1"/>
  <c r="K271" i="1"/>
  <c r="K281" i="1"/>
  <c r="K291" i="1"/>
  <c r="K301" i="1"/>
  <c r="K311" i="1"/>
  <c r="K321" i="1"/>
  <c r="K331" i="1"/>
  <c r="K341" i="1"/>
  <c r="K351" i="1"/>
  <c r="K361" i="1"/>
  <c r="K371" i="1"/>
  <c r="K381" i="1"/>
  <c r="K391" i="1"/>
  <c r="K401" i="1"/>
  <c r="K411" i="1"/>
  <c r="K421" i="1"/>
  <c r="K431" i="1"/>
  <c r="K441" i="1"/>
  <c r="K451" i="1"/>
  <c r="K461" i="1"/>
  <c r="K471" i="1"/>
  <c r="K481" i="1"/>
  <c r="K491" i="1"/>
  <c r="K501" i="1"/>
  <c r="K511" i="1"/>
  <c r="K521" i="1"/>
  <c r="K531" i="1"/>
  <c r="K541" i="1"/>
  <c r="K551" i="1"/>
  <c r="K561" i="1"/>
  <c r="K571" i="1"/>
  <c r="K581" i="1"/>
  <c r="K591" i="1"/>
  <c r="K601" i="1"/>
  <c r="K611" i="1"/>
  <c r="K621" i="1"/>
  <c r="K631" i="1"/>
  <c r="K641" i="1"/>
  <c r="K651" i="1"/>
  <c r="K661" i="1"/>
  <c r="K671" i="1"/>
  <c r="K681" i="1"/>
  <c r="K691" i="1"/>
  <c r="K701" i="1"/>
  <c r="K711" i="1"/>
  <c r="L939" i="1"/>
  <c r="L983" i="1"/>
  <c r="L1009" i="1"/>
  <c r="L1034" i="1"/>
  <c r="L1059" i="1"/>
  <c r="L1084" i="1"/>
  <c r="L1109" i="1"/>
  <c r="L1130" i="1"/>
  <c r="L1150" i="1"/>
  <c r="L1170" i="1"/>
  <c r="L1184" i="1"/>
  <c r="L1197" i="1"/>
  <c r="L1209" i="1"/>
  <c r="L1220" i="1"/>
  <c r="L1231" i="1"/>
  <c r="L1242" i="1"/>
  <c r="L1253" i="1"/>
  <c r="L1264" i="1"/>
  <c r="L1275" i="1"/>
  <c r="L1287" i="1"/>
  <c r="L1298" i="1"/>
  <c r="L1309" i="1"/>
  <c r="L1320" i="1"/>
  <c r="L1331" i="1"/>
  <c r="L1342" i="1"/>
  <c r="L1352" i="1"/>
  <c r="L1362" i="1"/>
  <c r="L1372" i="1"/>
  <c r="L1382" i="1"/>
  <c r="L1392" i="1"/>
  <c r="L1402" i="1"/>
  <c r="L1412" i="1"/>
  <c r="L1422" i="1"/>
  <c r="L1432" i="1"/>
  <c r="L1442" i="1"/>
  <c r="L1452" i="1"/>
  <c r="L1462" i="1"/>
  <c r="L1472" i="1"/>
  <c r="L1482" i="1"/>
  <c r="L1492" i="1"/>
  <c r="L1502" i="1"/>
  <c r="L1512" i="1"/>
  <c r="L1522" i="1"/>
  <c r="L1532" i="1"/>
  <c r="L1542" i="1"/>
  <c r="L1552" i="1"/>
  <c r="L1562" i="1"/>
  <c r="L1572" i="1"/>
  <c r="L1582" i="1"/>
  <c r="L1592" i="1"/>
  <c r="L1602" i="1"/>
  <c r="L1612" i="1"/>
  <c r="L1622" i="1"/>
  <c r="L1632" i="1"/>
  <c r="L1642" i="1"/>
  <c r="L1652" i="1"/>
  <c r="L1662" i="1"/>
  <c r="L1672" i="1"/>
  <c r="L1682" i="1"/>
  <c r="L1692" i="1"/>
  <c r="L1702" i="1"/>
  <c r="L1712" i="1"/>
  <c r="L1722" i="1"/>
  <c r="L1732" i="1"/>
  <c r="L1742" i="1"/>
  <c r="L1752" i="1"/>
  <c r="L1762" i="1"/>
  <c r="L1772" i="1"/>
  <c r="L1782" i="1"/>
  <c r="L1792" i="1"/>
  <c r="L1802" i="1"/>
  <c r="K12" i="1"/>
  <c r="K22" i="1"/>
  <c r="K32" i="1"/>
  <c r="K42" i="1"/>
  <c r="K52" i="1"/>
  <c r="K62" i="1"/>
  <c r="K72" i="1"/>
  <c r="K82" i="1"/>
  <c r="K92" i="1"/>
  <c r="K102" i="1"/>
  <c r="K112" i="1"/>
  <c r="K122" i="1"/>
  <c r="K132" i="1"/>
  <c r="K142" i="1"/>
  <c r="K152" i="1"/>
  <c r="K162" i="1"/>
  <c r="K172" i="1"/>
  <c r="K182" i="1"/>
  <c r="K192" i="1"/>
  <c r="K202" i="1"/>
  <c r="K212" i="1"/>
  <c r="K222" i="1"/>
  <c r="K232" i="1"/>
  <c r="K242" i="1"/>
  <c r="K252" i="1"/>
  <c r="K262" i="1"/>
  <c r="K272" i="1"/>
  <c r="K282" i="1"/>
  <c r="K292" i="1"/>
  <c r="K302" i="1"/>
  <c r="K312" i="1"/>
  <c r="K322" i="1"/>
  <c r="K332" i="1"/>
  <c r="K342" i="1"/>
  <c r="K352" i="1"/>
  <c r="K362" i="1"/>
  <c r="K372" i="1"/>
  <c r="K382" i="1"/>
  <c r="K392" i="1"/>
  <c r="K402" i="1"/>
  <c r="K412" i="1"/>
  <c r="K422" i="1"/>
  <c r="K432" i="1"/>
  <c r="K442" i="1"/>
  <c r="K452" i="1"/>
  <c r="K462" i="1"/>
  <c r="K472" i="1"/>
  <c r="K482" i="1"/>
  <c r="K492" i="1"/>
  <c r="K502" i="1"/>
  <c r="K512" i="1"/>
  <c r="K522" i="1"/>
  <c r="K532" i="1"/>
  <c r="K542" i="1"/>
  <c r="K552" i="1"/>
  <c r="K562" i="1"/>
  <c r="K572" i="1"/>
  <c r="K582" i="1"/>
  <c r="K592" i="1"/>
  <c r="K602" i="1"/>
  <c r="K612" i="1"/>
  <c r="K622" i="1"/>
  <c r="L943" i="1"/>
  <c r="L987" i="1"/>
  <c r="L1013" i="1"/>
  <c r="L1037" i="1"/>
  <c r="L1063" i="1"/>
  <c r="L1087" i="1"/>
  <c r="L1113" i="1"/>
  <c r="L1133" i="1"/>
  <c r="L1153" i="1"/>
  <c r="L1171" i="1"/>
  <c r="L1185" i="1"/>
  <c r="L1198" i="1"/>
  <c r="L1210" i="1"/>
  <c r="L1221" i="1"/>
  <c r="L1232" i="1"/>
  <c r="L1243" i="1"/>
  <c r="L1254" i="1"/>
  <c r="L1265" i="1"/>
  <c r="L1277" i="1"/>
  <c r="L1288" i="1"/>
  <c r="L1299" i="1"/>
  <c r="L1310" i="1"/>
  <c r="L1321" i="1"/>
  <c r="L1332" i="1"/>
  <c r="L1343" i="1"/>
  <c r="L1353" i="1"/>
  <c r="L1363" i="1"/>
  <c r="L1373" i="1"/>
  <c r="L1383" i="1"/>
  <c r="L1393" i="1"/>
  <c r="L1403" i="1"/>
  <c r="L1413" i="1"/>
  <c r="L1423" i="1"/>
  <c r="L1433" i="1"/>
  <c r="L1443" i="1"/>
  <c r="L1453" i="1"/>
  <c r="L1463" i="1"/>
  <c r="L1473" i="1"/>
  <c r="L1483" i="1"/>
  <c r="L1493" i="1"/>
  <c r="L1503" i="1"/>
  <c r="L1513" i="1"/>
  <c r="L1523" i="1"/>
  <c r="L1533" i="1"/>
  <c r="L1543" i="1"/>
  <c r="L1553" i="1"/>
  <c r="L1563" i="1"/>
  <c r="L1573" i="1"/>
  <c r="L1583" i="1"/>
  <c r="L1593" i="1"/>
  <c r="L1603" i="1"/>
  <c r="L1613" i="1"/>
  <c r="L1623" i="1"/>
  <c r="L1633" i="1"/>
  <c r="L1643" i="1"/>
  <c r="L1653" i="1"/>
  <c r="L1663" i="1"/>
  <c r="L1673" i="1"/>
  <c r="L1683" i="1"/>
  <c r="L1693" i="1"/>
  <c r="L1703" i="1"/>
  <c r="L1713" i="1"/>
  <c r="L1723" i="1"/>
  <c r="L1733" i="1"/>
  <c r="L1743" i="1"/>
  <c r="L1753" i="1"/>
  <c r="L1763" i="1"/>
  <c r="L1773" i="1"/>
  <c r="L1783" i="1"/>
  <c r="L1793" i="1"/>
  <c r="K3" i="1"/>
  <c r="K13" i="1"/>
  <c r="K23" i="1"/>
  <c r="K33" i="1"/>
  <c r="K43" i="1"/>
  <c r="K53" i="1"/>
  <c r="K63" i="1"/>
  <c r="K73" i="1"/>
  <c r="K83" i="1"/>
  <c r="K93" i="1"/>
  <c r="K103" i="1"/>
  <c r="K113" i="1"/>
  <c r="K123" i="1"/>
  <c r="K133" i="1"/>
  <c r="K143" i="1"/>
  <c r="K153" i="1"/>
  <c r="K163" i="1"/>
  <c r="K173" i="1"/>
  <c r="K183" i="1"/>
  <c r="K193" i="1"/>
  <c r="K203" i="1"/>
  <c r="K213" i="1"/>
  <c r="K223" i="1"/>
  <c r="K233" i="1"/>
  <c r="K243" i="1"/>
  <c r="K253" i="1"/>
  <c r="K263" i="1"/>
  <c r="K273" i="1"/>
  <c r="K283" i="1"/>
  <c r="K293" i="1"/>
  <c r="K303" i="1"/>
  <c r="K313" i="1"/>
  <c r="K323" i="1"/>
  <c r="K333" i="1"/>
  <c r="K343" i="1"/>
  <c r="K353" i="1"/>
  <c r="K363" i="1"/>
  <c r="K373" i="1"/>
  <c r="K383" i="1"/>
  <c r="K393" i="1"/>
  <c r="K403" i="1"/>
  <c r="K413" i="1"/>
  <c r="K423" i="1"/>
  <c r="K433" i="1"/>
  <c r="K443" i="1"/>
  <c r="K453" i="1"/>
  <c r="K463" i="1"/>
  <c r="K473" i="1"/>
  <c r="K483" i="1"/>
  <c r="K493" i="1"/>
  <c r="K503" i="1"/>
  <c r="K513" i="1"/>
  <c r="K523" i="1"/>
  <c r="K533" i="1"/>
  <c r="K543" i="1"/>
  <c r="K553" i="1"/>
  <c r="K563" i="1"/>
  <c r="K573" i="1"/>
  <c r="K583" i="1"/>
  <c r="K593" i="1"/>
  <c r="K603" i="1"/>
  <c r="K613" i="1"/>
  <c r="K623" i="1"/>
  <c r="K633" i="1"/>
  <c r="K643" i="1"/>
  <c r="K653" i="1"/>
  <c r="K663" i="1"/>
  <c r="K673" i="1"/>
  <c r="K683" i="1"/>
  <c r="K693" i="1"/>
  <c r="L949" i="1"/>
  <c r="L989" i="1"/>
  <c r="L1014" i="1"/>
  <c r="L1039" i="1"/>
  <c r="L1064" i="1"/>
  <c r="L1089" i="1"/>
  <c r="L1114" i="1"/>
  <c r="L1134" i="1"/>
  <c r="L1154" i="1"/>
  <c r="L1173" i="1"/>
  <c r="L1187" i="1"/>
  <c r="L1199" i="1"/>
  <c r="L1211" i="1"/>
  <c r="L1222" i="1"/>
  <c r="L1233" i="1"/>
  <c r="L1244" i="1"/>
  <c r="L1255" i="1"/>
  <c r="L1267" i="1"/>
  <c r="L1278" i="1"/>
  <c r="L1289" i="1"/>
  <c r="L1300" i="1"/>
  <c r="L1311" i="1"/>
  <c r="L1322" i="1"/>
  <c r="L1333" i="1"/>
  <c r="L1344" i="1"/>
  <c r="L1354" i="1"/>
  <c r="L1364" i="1"/>
  <c r="L1374" i="1"/>
  <c r="L1384" i="1"/>
  <c r="L1394" i="1"/>
  <c r="L1404" i="1"/>
  <c r="L1414" i="1"/>
  <c r="L1424" i="1"/>
  <c r="L1434" i="1"/>
  <c r="L1444" i="1"/>
  <c r="L1454" i="1"/>
  <c r="L1464" i="1"/>
  <c r="L1474" i="1"/>
  <c r="L1484" i="1"/>
  <c r="L1494" i="1"/>
  <c r="L1504" i="1"/>
  <c r="L1514" i="1"/>
  <c r="L1524" i="1"/>
  <c r="L1534" i="1"/>
  <c r="L1544" i="1"/>
  <c r="L1554" i="1"/>
  <c r="L1564" i="1"/>
  <c r="L1574" i="1"/>
  <c r="L1584" i="1"/>
  <c r="L1594" i="1"/>
  <c r="L1604" i="1"/>
  <c r="L1614" i="1"/>
  <c r="L1624" i="1"/>
  <c r="L1634" i="1"/>
  <c r="L1644" i="1"/>
  <c r="L1654" i="1"/>
  <c r="L1664" i="1"/>
  <c r="L1674" i="1"/>
  <c r="L1684" i="1"/>
  <c r="L1694" i="1"/>
  <c r="L1704" i="1"/>
  <c r="L1714" i="1"/>
  <c r="L1724" i="1"/>
  <c r="L1734" i="1"/>
  <c r="L1744" i="1"/>
  <c r="L1754" i="1"/>
  <c r="L1764" i="1"/>
  <c r="L1774" i="1"/>
  <c r="L1784" i="1"/>
  <c r="L1794" i="1"/>
  <c r="K4" i="1"/>
  <c r="K14" i="1"/>
  <c r="K24" i="1"/>
  <c r="K34" i="1"/>
  <c r="K44" i="1"/>
  <c r="K54" i="1"/>
  <c r="K64" i="1"/>
  <c r="K74" i="1"/>
  <c r="K84" i="1"/>
  <c r="K94" i="1"/>
  <c r="K104" i="1"/>
  <c r="K114" i="1"/>
  <c r="K124" i="1"/>
  <c r="K134" i="1"/>
  <c r="K144" i="1"/>
  <c r="K154" i="1"/>
  <c r="K164" i="1"/>
  <c r="K174" i="1"/>
  <c r="K184" i="1"/>
  <c r="K194" i="1"/>
  <c r="K204" i="1"/>
  <c r="K214" i="1"/>
  <c r="K224" i="1"/>
  <c r="K234" i="1"/>
  <c r="K244" i="1"/>
  <c r="K254" i="1"/>
  <c r="K264" i="1"/>
  <c r="K274" i="1"/>
  <c r="K284" i="1"/>
  <c r="K294" i="1"/>
  <c r="K304" i="1"/>
  <c r="K314" i="1"/>
  <c r="K324" i="1"/>
  <c r="K334" i="1"/>
  <c r="K344" i="1"/>
  <c r="K354" i="1"/>
  <c r="K364" i="1"/>
  <c r="K374" i="1"/>
  <c r="K384" i="1"/>
  <c r="K394" i="1"/>
  <c r="K404" i="1"/>
  <c r="K414" i="1"/>
  <c r="K424" i="1"/>
  <c r="K434" i="1"/>
  <c r="K444" i="1"/>
  <c r="K454" i="1"/>
  <c r="K464" i="1"/>
  <c r="K474" i="1"/>
  <c r="K484" i="1"/>
  <c r="K494" i="1"/>
  <c r="K504" i="1"/>
  <c r="K514" i="1"/>
  <c r="K524" i="1"/>
  <c r="K534" i="1"/>
  <c r="K544" i="1"/>
  <c r="K554" i="1"/>
  <c r="K564" i="1"/>
  <c r="L953" i="1"/>
  <c r="L993" i="1"/>
  <c r="L1017" i="1"/>
  <c r="L1043" i="1"/>
  <c r="L1067" i="1"/>
  <c r="L1093" i="1"/>
  <c r="L1117" i="1"/>
  <c r="L1137" i="1"/>
  <c r="L1157" i="1"/>
  <c r="L1174" i="1"/>
  <c r="L1188" i="1"/>
  <c r="L1200" i="1"/>
  <c r="L1212" i="1"/>
  <c r="L1223" i="1"/>
  <c r="L1234" i="1"/>
  <c r="L1245" i="1"/>
  <c r="L1257" i="1"/>
  <c r="L1268" i="1"/>
  <c r="L1279" i="1"/>
  <c r="L1290" i="1"/>
  <c r="L1301" i="1"/>
  <c r="L1312" i="1"/>
  <c r="L1323" i="1"/>
  <c r="L1334" i="1"/>
  <c r="L1345" i="1"/>
  <c r="L1355" i="1"/>
  <c r="L1365" i="1"/>
  <c r="L1375" i="1"/>
  <c r="L1385" i="1"/>
  <c r="L1395" i="1"/>
  <c r="L1405" i="1"/>
  <c r="L1415" i="1"/>
  <c r="L1425" i="1"/>
  <c r="L1435" i="1"/>
  <c r="L1445" i="1"/>
  <c r="L1455" i="1"/>
  <c r="L1465" i="1"/>
  <c r="L1475" i="1"/>
  <c r="L1485" i="1"/>
  <c r="L1495" i="1"/>
  <c r="L1505" i="1"/>
  <c r="L1515" i="1"/>
  <c r="L1525" i="1"/>
  <c r="L1535" i="1"/>
  <c r="L1545" i="1"/>
  <c r="L1555" i="1"/>
  <c r="L1565" i="1"/>
  <c r="L1575" i="1"/>
  <c r="L1585" i="1"/>
  <c r="L1595" i="1"/>
  <c r="L1605" i="1"/>
  <c r="L1615" i="1"/>
  <c r="L1625" i="1"/>
  <c r="L1635" i="1"/>
  <c r="L1645" i="1"/>
  <c r="L1655" i="1"/>
  <c r="L1665" i="1"/>
  <c r="L1675" i="1"/>
  <c r="L1685" i="1"/>
  <c r="L1695" i="1"/>
  <c r="L1705" i="1"/>
  <c r="L1715" i="1"/>
  <c r="L1725" i="1"/>
  <c r="L1735" i="1"/>
  <c r="L1745" i="1"/>
  <c r="L1755" i="1"/>
  <c r="L1765" i="1"/>
  <c r="L1775" i="1"/>
  <c r="L1785" i="1"/>
  <c r="L1795" i="1"/>
  <c r="K5" i="1"/>
  <c r="K15" i="1"/>
  <c r="K25" i="1"/>
  <c r="K35" i="1"/>
  <c r="K45" i="1"/>
  <c r="K55" i="1"/>
  <c r="K65" i="1"/>
  <c r="K75" i="1"/>
  <c r="K85" i="1"/>
  <c r="K95" i="1"/>
  <c r="K105" i="1"/>
  <c r="K115" i="1"/>
  <c r="K125" i="1"/>
  <c r="K135" i="1"/>
  <c r="K145" i="1"/>
  <c r="K155" i="1"/>
  <c r="K165" i="1"/>
  <c r="K175" i="1"/>
  <c r="K185" i="1"/>
  <c r="K195" i="1"/>
  <c r="K205" i="1"/>
  <c r="K215" i="1"/>
  <c r="K225" i="1"/>
  <c r="K235" i="1"/>
  <c r="K245" i="1"/>
  <c r="K255" i="1"/>
  <c r="K265" i="1"/>
  <c r="K275" i="1"/>
  <c r="K285" i="1"/>
  <c r="K295" i="1"/>
  <c r="K305" i="1"/>
  <c r="K315" i="1"/>
  <c r="K325" i="1"/>
  <c r="K335" i="1"/>
  <c r="K345" i="1"/>
  <c r="K355" i="1"/>
  <c r="K365" i="1"/>
  <c r="K375" i="1"/>
  <c r="K385" i="1"/>
  <c r="K395" i="1"/>
  <c r="K405" i="1"/>
  <c r="K415" i="1"/>
  <c r="K425" i="1"/>
  <c r="K435" i="1"/>
  <c r="K445" i="1"/>
  <c r="K455" i="1"/>
  <c r="K465" i="1"/>
  <c r="K475" i="1"/>
  <c r="K485" i="1"/>
  <c r="K495" i="1"/>
  <c r="K505" i="1"/>
  <c r="K515" i="1"/>
  <c r="L959" i="1"/>
  <c r="L994" i="1"/>
  <c r="L1019" i="1"/>
  <c r="L1044" i="1"/>
  <c r="L1069" i="1"/>
  <c r="L1094" i="1"/>
  <c r="L1119" i="1"/>
  <c r="L1139" i="1"/>
  <c r="L1159" i="1"/>
  <c r="L1177" i="1"/>
  <c r="L1189" i="1"/>
  <c r="L1201" i="1"/>
  <c r="L1213" i="1"/>
  <c r="L1224" i="1"/>
  <c r="L1235" i="1"/>
  <c r="L1247" i="1"/>
  <c r="L1258" i="1"/>
  <c r="L1269" i="1"/>
  <c r="L1280" i="1"/>
  <c r="L1291" i="1"/>
  <c r="L1302" i="1"/>
  <c r="L1313" i="1"/>
  <c r="L1324" i="1"/>
  <c r="L1335" i="1"/>
  <c r="L1346" i="1"/>
  <c r="L1356" i="1"/>
  <c r="L1366" i="1"/>
  <c r="L1376" i="1"/>
  <c r="L1386" i="1"/>
  <c r="L1396" i="1"/>
  <c r="L1406" i="1"/>
  <c r="L1416" i="1"/>
  <c r="L1426" i="1"/>
  <c r="L1436" i="1"/>
  <c r="L1446" i="1"/>
  <c r="L1456" i="1"/>
  <c r="L1466" i="1"/>
  <c r="L1476" i="1"/>
  <c r="L1486" i="1"/>
  <c r="L1496" i="1"/>
  <c r="L1506" i="1"/>
  <c r="L1516" i="1"/>
  <c r="L1526" i="1"/>
  <c r="L1536" i="1"/>
  <c r="L1546" i="1"/>
  <c r="L1556" i="1"/>
  <c r="L1566" i="1"/>
  <c r="L1576" i="1"/>
  <c r="L1586" i="1"/>
  <c r="L1596" i="1"/>
  <c r="L1606" i="1"/>
  <c r="L1616" i="1"/>
  <c r="L1626" i="1"/>
  <c r="L1636" i="1"/>
  <c r="L1646" i="1"/>
  <c r="L1656" i="1"/>
  <c r="L1666" i="1"/>
  <c r="L1676" i="1"/>
  <c r="L1686" i="1"/>
  <c r="L1696" i="1"/>
  <c r="L1706" i="1"/>
  <c r="L1716" i="1"/>
  <c r="L1726" i="1"/>
  <c r="L1736" i="1"/>
  <c r="L1746" i="1"/>
  <c r="L1756" i="1"/>
  <c r="L1766" i="1"/>
  <c r="L1776" i="1"/>
  <c r="L1786" i="1"/>
  <c r="L1796" i="1"/>
  <c r="K6" i="1"/>
  <c r="K16" i="1"/>
  <c r="K26" i="1"/>
  <c r="K36" i="1"/>
  <c r="K46" i="1"/>
  <c r="K56" i="1"/>
  <c r="K66" i="1"/>
  <c r="K76" i="1"/>
  <c r="K86" i="1"/>
  <c r="K96" i="1"/>
  <c r="K106" i="1"/>
  <c r="K116" i="1"/>
  <c r="K126" i="1"/>
  <c r="K136" i="1"/>
  <c r="K146" i="1"/>
  <c r="K156" i="1"/>
  <c r="K166" i="1"/>
  <c r="K176" i="1"/>
  <c r="K186" i="1"/>
  <c r="K196" i="1"/>
  <c r="K206" i="1"/>
  <c r="K216" i="1"/>
  <c r="K226" i="1"/>
  <c r="K236" i="1"/>
  <c r="K246" i="1"/>
  <c r="K256" i="1"/>
  <c r="K266" i="1"/>
  <c r="K276" i="1"/>
  <c r="K286" i="1"/>
  <c r="K296" i="1"/>
  <c r="K306" i="1"/>
  <c r="K316" i="1"/>
  <c r="K326" i="1"/>
  <c r="K336" i="1"/>
  <c r="K346" i="1"/>
  <c r="K356" i="1"/>
  <c r="K366" i="1"/>
  <c r="K376" i="1"/>
  <c r="K386" i="1"/>
  <c r="K396" i="1"/>
  <c r="K406" i="1"/>
  <c r="K416" i="1"/>
  <c r="K426" i="1"/>
  <c r="K436" i="1"/>
  <c r="K446" i="1"/>
  <c r="K456" i="1"/>
  <c r="K466" i="1"/>
  <c r="K476" i="1"/>
  <c r="K486" i="1"/>
  <c r="K496" i="1"/>
  <c r="K506" i="1"/>
  <c r="K516" i="1"/>
  <c r="K526" i="1"/>
  <c r="K536" i="1"/>
  <c r="K546" i="1"/>
  <c r="K556" i="1"/>
  <c r="L963" i="1"/>
  <c r="L997" i="1"/>
  <c r="L1023" i="1"/>
  <c r="L1047" i="1"/>
  <c r="L1073" i="1"/>
  <c r="L1097" i="1"/>
  <c r="L1120" i="1"/>
  <c r="L1140" i="1"/>
  <c r="L1160" i="1"/>
  <c r="L1178" i="1"/>
  <c r="L1190" i="1"/>
  <c r="L1203" i="1"/>
  <c r="L1214" i="1"/>
  <c r="L1225" i="1"/>
  <c r="L1237" i="1"/>
  <c r="L1248" i="1"/>
  <c r="L1259" i="1"/>
  <c r="L1270" i="1"/>
  <c r="L1281" i="1"/>
  <c r="L1292" i="1"/>
  <c r="L1303" i="1"/>
  <c r="L1314" i="1"/>
  <c r="L1325" i="1"/>
  <c r="L1337" i="1"/>
  <c r="L1347" i="1"/>
  <c r="L1357" i="1"/>
  <c r="L1367" i="1"/>
  <c r="L1377" i="1"/>
  <c r="L1387" i="1"/>
  <c r="L1397" i="1"/>
  <c r="L1407" i="1"/>
  <c r="L1417" i="1"/>
  <c r="L1427" i="1"/>
  <c r="L1437" i="1"/>
  <c r="L1447" i="1"/>
  <c r="L1457" i="1"/>
  <c r="L1467" i="1"/>
  <c r="L1477" i="1"/>
  <c r="L1487" i="1"/>
  <c r="L1497" i="1"/>
  <c r="L1507" i="1"/>
  <c r="L1517" i="1"/>
  <c r="L1527" i="1"/>
  <c r="L1537" i="1"/>
  <c r="L1547" i="1"/>
  <c r="L1557" i="1"/>
  <c r="L1567" i="1"/>
  <c r="L1577" i="1"/>
  <c r="L1587" i="1"/>
  <c r="L1597" i="1"/>
  <c r="L1607" i="1"/>
  <c r="L1617" i="1"/>
  <c r="L1627" i="1"/>
  <c r="L1637" i="1"/>
  <c r="L1647" i="1"/>
  <c r="L1657" i="1"/>
  <c r="L1667" i="1"/>
  <c r="L1677" i="1"/>
  <c r="L1687" i="1"/>
  <c r="L1697" i="1"/>
  <c r="L1707" i="1"/>
  <c r="L1717" i="1"/>
  <c r="L1727" i="1"/>
  <c r="L1737" i="1"/>
  <c r="L1747" i="1"/>
  <c r="L1757" i="1"/>
  <c r="L1767" i="1"/>
  <c r="L1777" i="1"/>
  <c r="L1787" i="1"/>
  <c r="L1797" i="1"/>
  <c r="K7" i="1"/>
  <c r="K17" i="1"/>
  <c r="K27" i="1"/>
  <c r="K37" i="1"/>
  <c r="K47" i="1"/>
  <c r="K57" i="1"/>
  <c r="K67" i="1"/>
  <c r="K77" i="1"/>
  <c r="K87" i="1"/>
  <c r="K97" i="1"/>
  <c r="K107" i="1"/>
  <c r="K117" i="1"/>
  <c r="K127" i="1"/>
  <c r="K137" i="1"/>
  <c r="K147" i="1"/>
  <c r="K157" i="1"/>
  <c r="K167" i="1"/>
  <c r="K177" i="1"/>
  <c r="K187" i="1"/>
  <c r="K197" i="1"/>
  <c r="K207" i="1"/>
  <c r="K217" i="1"/>
  <c r="K227" i="1"/>
  <c r="K237" i="1"/>
  <c r="K247" i="1"/>
  <c r="K257" i="1"/>
  <c r="K267" i="1"/>
  <c r="K277" i="1"/>
  <c r="K287" i="1"/>
  <c r="K297" i="1"/>
  <c r="K307" i="1"/>
  <c r="K317" i="1"/>
  <c r="K327" i="1"/>
  <c r="K337" i="1"/>
  <c r="K347" i="1"/>
  <c r="K357" i="1"/>
  <c r="K367" i="1"/>
  <c r="K377" i="1"/>
  <c r="K387" i="1"/>
  <c r="K397" i="1"/>
  <c r="K407" i="1"/>
  <c r="K417" i="1"/>
  <c r="K427" i="1"/>
  <c r="K437" i="1"/>
  <c r="K447" i="1"/>
  <c r="K457" i="1"/>
  <c r="K467" i="1"/>
  <c r="K477" i="1"/>
  <c r="K487" i="1"/>
  <c r="K497" i="1"/>
  <c r="K507" i="1"/>
  <c r="K517" i="1"/>
  <c r="K527" i="1"/>
  <c r="K537" i="1"/>
  <c r="K547" i="1"/>
  <c r="K557" i="1"/>
  <c r="K567" i="1"/>
  <c r="K577" i="1"/>
  <c r="K587" i="1"/>
  <c r="K597" i="1"/>
  <c r="K607" i="1"/>
  <c r="K617" i="1"/>
  <c r="K627" i="1"/>
  <c r="K637" i="1"/>
  <c r="K647" i="1"/>
  <c r="K657" i="1"/>
  <c r="K667" i="1"/>
  <c r="K677" i="1"/>
  <c r="K687" i="1"/>
  <c r="K697" i="1"/>
  <c r="K707" i="1"/>
  <c r="K717" i="1"/>
  <c r="K727" i="1"/>
  <c r="K737" i="1"/>
  <c r="K747" i="1"/>
  <c r="K757" i="1"/>
  <c r="K767" i="1"/>
  <c r="K777" i="1"/>
  <c r="K787" i="1"/>
  <c r="K797" i="1"/>
  <c r="K807" i="1"/>
  <c r="K817" i="1"/>
  <c r="K827" i="1"/>
  <c r="K837" i="1"/>
  <c r="K847" i="1"/>
  <c r="K857" i="1"/>
  <c r="K867" i="1"/>
  <c r="K877" i="1"/>
  <c r="K519" i="1"/>
  <c r="K566" i="1"/>
  <c r="K594" i="1"/>
  <c r="K616" i="1"/>
  <c r="K639" i="1"/>
  <c r="K656" i="1"/>
  <c r="K674" i="1"/>
  <c r="K689" i="1"/>
  <c r="K705" i="1"/>
  <c r="K719" i="1"/>
  <c r="K732" i="1"/>
  <c r="K744" i="1"/>
  <c r="K756" i="1"/>
  <c r="K769" i="1"/>
  <c r="K782" i="1"/>
  <c r="K794" i="1"/>
  <c r="K806" i="1"/>
  <c r="K819" i="1"/>
  <c r="K832" i="1"/>
  <c r="K844" i="1"/>
  <c r="K856" i="1"/>
  <c r="K869" i="1"/>
  <c r="K882" i="1"/>
  <c r="K893" i="1"/>
  <c r="K904" i="1"/>
  <c r="K915" i="1"/>
  <c r="K926" i="1"/>
  <c r="K937" i="1"/>
  <c r="K948" i="1"/>
  <c r="K959" i="1"/>
  <c r="K971" i="1"/>
  <c r="K982" i="1"/>
  <c r="K993" i="1"/>
  <c r="K1004" i="1"/>
  <c r="K1014" i="1"/>
  <c r="K1024" i="1"/>
  <c r="K1034" i="1"/>
  <c r="K1044" i="1"/>
  <c r="K1054" i="1"/>
  <c r="K1064" i="1"/>
  <c r="K1074" i="1"/>
  <c r="K1084" i="1"/>
  <c r="K1094" i="1"/>
  <c r="K1104" i="1"/>
  <c r="K1114" i="1"/>
  <c r="K1124" i="1"/>
  <c r="K1134" i="1"/>
  <c r="K1144" i="1"/>
  <c r="K1154" i="1"/>
  <c r="K1164" i="1"/>
  <c r="K1174" i="1"/>
  <c r="K1184" i="1"/>
  <c r="K1194" i="1"/>
  <c r="K1204" i="1"/>
  <c r="K1214" i="1"/>
  <c r="K1224" i="1"/>
  <c r="K1234" i="1"/>
  <c r="K1244" i="1"/>
  <c r="K1254" i="1"/>
  <c r="K1264" i="1"/>
  <c r="K1274" i="1"/>
  <c r="K1284" i="1"/>
  <c r="K1294" i="1"/>
  <c r="K1304" i="1"/>
  <c r="K1314" i="1"/>
  <c r="K1324" i="1"/>
  <c r="K1334" i="1"/>
  <c r="K1344" i="1"/>
  <c r="K1354" i="1"/>
  <c r="K1364" i="1"/>
  <c r="K1374" i="1"/>
  <c r="K1384" i="1"/>
  <c r="K1394" i="1"/>
  <c r="K1404" i="1"/>
  <c r="K1414" i="1"/>
  <c r="K1424" i="1"/>
  <c r="K1434" i="1"/>
  <c r="K1444" i="1"/>
  <c r="K1454" i="1"/>
  <c r="K1464" i="1"/>
  <c r="K1474" i="1"/>
  <c r="K1484" i="1"/>
  <c r="K1494" i="1"/>
  <c r="K1504" i="1"/>
  <c r="K1514" i="1"/>
  <c r="K1524" i="1"/>
  <c r="K1534" i="1"/>
  <c r="K1544" i="1"/>
  <c r="K1554" i="1"/>
  <c r="K1564" i="1"/>
  <c r="K1574" i="1"/>
  <c r="K1584" i="1"/>
  <c r="K1594" i="1"/>
  <c r="K1604" i="1"/>
  <c r="K1614" i="1"/>
  <c r="K1624" i="1"/>
  <c r="K1634" i="1"/>
  <c r="K1644" i="1"/>
  <c r="K1654" i="1"/>
  <c r="K1664" i="1"/>
  <c r="K1674" i="1"/>
  <c r="K1684" i="1"/>
  <c r="K1694" i="1"/>
  <c r="K1704" i="1"/>
  <c r="K1714" i="1"/>
  <c r="K1724" i="1"/>
  <c r="K1734" i="1"/>
  <c r="K1744" i="1"/>
  <c r="K1754" i="1"/>
  <c r="K1764" i="1"/>
  <c r="K1774" i="1"/>
  <c r="K1784" i="1"/>
  <c r="K1794" i="1"/>
  <c r="J4" i="1"/>
  <c r="J14" i="1"/>
  <c r="J24" i="1"/>
  <c r="J34" i="1"/>
  <c r="J44" i="1"/>
  <c r="J54" i="1"/>
  <c r="J64" i="1"/>
  <c r="J74" i="1"/>
  <c r="J84" i="1"/>
  <c r="J94" i="1"/>
  <c r="J104" i="1"/>
  <c r="J114" i="1"/>
  <c r="J124" i="1"/>
  <c r="J134" i="1"/>
  <c r="J144" i="1"/>
  <c r="J154" i="1"/>
  <c r="J164" i="1"/>
  <c r="J174" i="1"/>
  <c r="J184" i="1"/>
  <c r="J194" i="1"/>
  <c r="J204" i="1"/>
  <c r="J214" i="1"/>
  <c r="J224" i="1"/>
  <c r="J234" i="1"/>
  <c r="J244" i="1"/>
  <c r="J254" i="1"/>
  <c r="J264" i="1"/>
  <c r="J274" i="1"/>
  <c r="J284" i="1"/>
  <c r="J294" i="1"/>
  <c r="J304" i="1"/>
  <c r="J314" i="1"/>
  <c r="J324" i="1"/>
  <c r="J334" i="1"/>
  <c r="J344" i="1"/>
  <c r="J354" i="1"/>
  <c r="J364" i="1"/>
  <c r="J374" i="1"/>
  <c r="J384" i="1"/>
  <c r="J394" i="1"/>
  <c r="J404" i="1"/>
  <c r="J414" i="1"/>
  <c r="J424" i="1"/>
  <c r="J434" i="1"/>
  <c r="J444" i="1"/>
  <c r="J454" i="1"/>
  <c r="J464" i="1"/>
  <c r="J474" i="1"/>
  <c r="J484" i="1"/>
  <c r="J494" i="1"/>
  <c r="J504" i="1"/>
  <c r="J514" i="1"/>
  <c r="J524" i="1"/>
  <c r="J534" i="1"/>
  <c r="J544" i="1"/>
  <c r="J554" i="1"/>
  <c r="J564" i="1"/>
  <c r="J574" i="1"/>
  <c r="J584" i="1"/>
  <c r="J594" i="1"/>
  <c r="J604" i="1"/>
  <c r="J614" i="1"/>
  <c r="J624" i="1"/>
  <c r="J634" i="1"/>
  <c r="J644" i="1"/>
  <c r="J654" i="1"/>
  <c r="J664" i="1"/>
  <c r="J674" i="1"/>
  <c r="J684" i="1"/>
  <c r="J694" i="1"/>
  <c r="J704" i="1"/>
  <c r="J714" i="1"/>
  <c r="J724" i="1"/>
  <c r="J734" i="1"/>
  <c r="J744" i="1"/>
  <c r="J754" i="1"/>
  <c r="J764" i="1"/>
  <c r="J774" i="1"/>
  <c r="J784" i="1"/>
  <c r="J794" i="1"/>
  <c r="J804" i="1"/>
  <c r="J814" i="1"/>
  <c r="K525" i="1"/>
  <c r="K569" i="1"/>
  <c r="K595" i="1"/>
  <c r="K619" i="1"/>
  <c r="K642" i="1"/>
  <c r="K658" i="1"/>
  <c r="K675" i="1"/>
  <c r="K692" i="1"/>
  <c r="K706" i="1"/>
  <c r="K721" i="1"/>
  <c r="K733" i="1"/>
  <c r="K745" i="1"/>
  <c r="K758" i="1"/>
  <c r="K771" i="1"/>
  <c r="K783" i="1"/>
  <c r="K795" i="1"/>
  <c r="K808" i="1"/>
  <c r="K821" i="1"/>
  <c r="K833" i="1"/>
  <c r="K845" i="1"/>
  <c r="K858" i="1"/>
  <c r="K871" i="1"/>
  <c r="K883" i="1"/>
  <c r="K894" i="1"/>
  <c r="K905" i="1"/>
  <c r="K916" i="1"/>
  <c r="K927" i="1"/>
  <c r="K938" i="1"/>
  <c r="K949" i="1"/>
  <c r="K961" i="1"/>
  <c r="K972" i="1"/>
  <c r="K983" i="1"/>
  <c r="K994" i="1"/>
  <c r="K1005" i="1"/>
  <c r="K1015" i="1"/>
  <c r="K1025" i="1"/>
  <c r="K1035" i="1"/>
  <c r="K1045" i="1"/>
  <c r="K1055" i="1"/>
  <c r="K1065" i="1"/>
  <c r="K1075" i="1"/>
  <c r="K1085" i="1"/>
  <c r="K1095" i="1"/>
  <c r="K1105" i="1"/>
  <c r="K1115" i="1"/>
  <c r="K1125" i="1"/>
  <c r="K1135" i="1"/>
  <c r="K1145" i="1"/>
  <c r="K1155" i="1"/>
  <c r="K1165" i="1"/>
  <c r="K1175" i="1"/>
  <c r="K1185" i="1"/>
  <c r="K1195" i="1"/>
  <c r="K1205" i="1"/>
  <c r="K1215" i="1"/>
  <c r="K1225" i="1"/>
  <c r="K1235" i="1"/>
  <c r="K1245" i="1"/>
  <c r="K1255" i="1"/>
  <c r="K1265" i="1"/>
  <c r="K1275" i="1"/>
  <c r="K1285" i="1"/>
  <c r="K1295" i="1"/>
  <c r="K1305" i="1"/>
  <c r="K1315" i="1"/>
  <c r="K1325" i="1"/>
  <c r="K1335" i="1"/>
  <c r="K1345" i="1"/>
  <c r="K1355" i="1"/>
  <c r="K1365" i="1"/>
  <c r="K1375" i="1"/>
  <c r="K1385" i="1"/>
  <c r="K1395" i="1"/>
  <c r="K1405" i="1"/>
  <c r="K1415" i="1"/>
  <c r="K1425" i="1"/>
  <c r="K1435" i="1"/>
  <c r="K1445" i="1"/>
  <c r="K1455" i="1"/>
  <c r="K1465" i="1"/>
  <c r="K1475" i="1"/>
  <c r="K1485" i="1"/>
  <c r="K1495" i="1"/>
  <c r="K1505" i="1"/>
  <c r="K1515" i="1"/>
  <c r="K1525" i="1"/>
  <c r="K1535" i="1"/>
  <c r="K1545" i="1"/>
  <c r="K1555" i="1"/>
  <c r="K1565" i="1"/>
  <c r="K1575" i="1"/>
  <c r="K1585" i="1"/>
  <c r="K1595" i="1"/>
  <c r="K1605" i="1"/>
  <c r="K1615" i="1"/>
  <c r="K1625" i="1"/>
  <c r="K1635" i="1"/>
  <c r="K1645" i="1"/>
  <c r="K1655" i="1"/>
  <c r="K1665" i="1"/>
  <c r="K1675" i="1"/>
  <c r="K1685" i="1"/>
  <c r="K1695" i="1"/>
  <c r="K1705" i="1"/>
  <c r="K1715" i="1"/>
  <c r="K1725" i="1"/>
  <c r="K1735" i="1"/>
  <c r="K1745" i="1"/>
  <c r="K1755" i="1"/>
  <c r="K1765" i="1"/>
  <c r="K1775" i="1"/>
  <c r="K1785" i="1"/>
  <c r="K1795" i="1"/>
  <c r="J5" i="1"/>
  <c r="J15" i="1"/>
  <c r="J25" i="1"/>
  <c r="J35" i="1"/>
  <c r="J45" i="1"/>
  <c r="J55" i="1"/>
  <c r="J65" i="1"/>
  <c r="J75" i="1"/>
  <c r="J85" i="1"/>
  <c r="J95" i="1"/>
  <c r="J105" i="1"/>
  <c r="J115" i="1"/>
  <c r="J125" i="1"/>
  <c r="J135" i="1"/>
  <c r="J145" i="1"/>
  <c r="J155" i="1"/>
  <c r="J165" i="1"/>
  <c r="J175" i="1"/>
  <c r="J185" i="1"/>
  <c r="J195" i="1"/>
  <c r="J205" i="1"/>
  <c r="J215" i="1"/>
  <c r="J225" i="1"/>
  <c r="J235" i="1"/>
  <c r="J245" i="1"/>
  <c r="J255" i="1"/>
  <c r="J265" i="1"/>
  <c r="J275" i="1"/>
  <c r="J285" i="1"/>
  <c r="J295" i="1"/>
  <c r="J305" i="1"/>
  <c r="J315" i="1"/>
  <c r="J325" i="1"/>
  <c r="J335" i="1"/>
  <c r="J345" i="1"/>
  <c r="J355" i="1"/>
  <c r="J365" i="1"/>
  <c r="J375" i="1"/>
  <c r="J385" i="1"/>
  <c r="J395" i="1"/>
  <c r="J405" i="1"/>
  <c r="J415" i="1"/>
  <c r="J425" i="1"/>
  <c r="J435" i="1"/>
  <c r="J445" i="1"/>
  <c r="J455" i="1"/>
  <c r="J465" i="1"/>
  <c r="J475" i="1"/>
  <c r="J485" i="1"/>
  <c r="J495" i="1"/>
  <c r="J505" i="1"/>
  <c r="J515" i="1"/>
  <c r="J525" i="1"/>
  <c r="J535" i="1"/>
  <c r="J545" i="1"/>
  <c r="J555" i="1"/>
  <c r="J565" i="1"/>
  <c r="J575" i="1"/>
  <c r="J585" i="1"/>
  <c r="J595" i="1"/>
  <c r="J605" i="1"/>
  <c r="J615" i="1"/>
  <c r="J625" i="1"/>
  <c r="J635" i="1"/>
  <c r="J645" i="1"/>
  <c r="J655" i="1"/>
  <c r="J665" i="1"/>
  <c r="J675" i="1"/>
  <c r="J685" i="1"/>
  <c r="J695" i="1"/>
  <c r="J705" i="1"/>
  <c r="J715" i="1"/>
  <c r="J725" i="1"/>
  <c r="J735" i="1"/>
  <c r="J745" i="1"/>
  <c r="J755" i="1"/>
  <c r="J765" i="1"/>
  <c r="J775" i="1"/>
  <c r="J785" i="1"/>
  <c r="J795" i="1"/>
  <c r="J805" i="1"/>
  <c r="J815" i="1"/>
  <c r="J825" i="1"/>
  <c r="J835" i="1"/>
  <c r="K529" i="1"/>
  <c r="K574" i="1"/>
  <c r="K596" i="1"/>
  <c r="K624" i="1"/>
  <c r="K644" i="1"/>
  <c r="K659" i="1"/>
  <c r="K676" i="1"/>
  <c r="K694" i="1"/>
  <c r="K708" i="1"/>
  <c r="K722" i="1"/>
  <c r="K734" i="1"/>
  <c r="K746" i="1"/>
  <c r="K759" i="1"/>
  <c r="K772" i="1"/>
  <c r="K784" i="1"/>
  <c r="K796" i="1"/>
  <c r="K809" i="1"/>
  <c r="K822" i="1"/>
  <c r="K834" i="1"/>
  <c r="K846" i="1"/>
  <c r="K859" i="1"/>
  <c r="K872" i="1"/>
  <c r="K884" i="1"/>
  <c r="K895" i="1"/>
  <c r="K906" i="1"/>
  <c r="K917" i="1"/>
  <c r="K928" i="1"/>
  <c r="K939" i="1"/>
  <c r="K951" i="1"/>
  <c r="K962" i="1"/>
  <c r="K973" i="1"/>
  <c r="K984" i="1"/>
  <c r="K995" i="1"/>
  <c r="K1006" i="1"/>
  <c r="K1016" i="1"/>
  <c r="K1026" i="1"/>
  <c r="K1036" i="1"/>
  <c r="K1046" i="1"/>
  <c r="K1056" i="1"/>
  <c r="K1066" i="1"/>
  <c r="K1076" i="1"/>
  <c r="K1086" i="1"/>
  <c r="K1096" i="1"/>
  <c r="K1106" i="1"/>
  <c r="K1116" i="1"/>
  <c r="K1126" i="1"/>
  <c r="K1136" i="1"/>
  <c r="K1146" i="1"/>
  <c r="K1156" i="1"/>
  <c r="K1166" i="1"/>
  <c r="K1176" i="1"/>
  <c r="K1186" i="1"/>
  <c r="K1196" i="1"/>
  <c r="K1206" i="1"/>
  <c r="K1216" i="1"/>
  <c r="K1226" i="1"/>
  <c r="K1236" i="1"/>
  <c r="K1246" i="1"/>
  <c r="K1256" i="1"/>
  <c r="K1266" i="1"/>
  <c r="K1276" i="1"/>
  <c r="K1286" i="1"/>
  <c r="K1296" i="1"/>
  <c r="K1306" i="1"/>
  <c r="K1316" i="1"/>
  <c r="K1326" i="1"/>
  <c r="K1336" i="1"/>
  <c r="K1346" i="1"/>
  <c r="K1356" i="1"/>
  <c r="K1366" i="1"/>
  <c r="K1376" i="1"/>
  <c r="K1386" i="1"/>
  <c r="K1396" i="1"/>
  <c r="K1406" i="1"/>
  <c r="K1416" i="1"/>
  <c r="K1426" i="1"/>
  <c r="K1436" i="1"/>
  <c r="K1446" i="1"/>
  <c r="K1456" i="1"/>
  <c r="K1466" i="1"/>
  <c r="K1476" i="1"/>
  <c r="K1486" i="1"/>
  <c r="K1496" i="1"/>
  <c r="K1506" i="1"/>
  <c r="K1516" i="1"/>
  <c r="K1526" i="1"/>
  <c r="K1536" i="1"/>
  <c r="K1546" i="1"/>
  <c r="K1556" i="1"/>
  <c r="K1566" i="1"/>
  <c r="K1576" i="1"/>
  <c r="K1586" i="1"/>
  <c r="K1596" i="1"/>
  <c r="K1606" i="1"/>
  <c r="K1616" i="1"/>
  <c r="K1626" i="1"/>
  <c r="K1636" i="1"/>
  <c r="K1646" i="1"/>
  <c r="K1656" i="1"/>
  <c r="K1666" i="1"/>
  <c r="K1676" i="1"/>
  <c r="K1686" i="1"/>
  <c r="K1696" i="1"/>
  <c r="K1706" i="1"/>
  <c r="K1716" i="1"/>
  <c r="K1726" i="1"/>
  <c r="K1736" i="1"/>
  <c r="K1746" i="1"/>
  <c r="K1756" i="1"/>
  <c r="K1766" i="1"/>
  <c r="K1776" i="1"/>
  <c r="K1786" i="1"/>
  <c r="K1796" i="1"/>
  <c r="J6" i="1"/>
  <c r="J16" i="1"/>
  <c r="J26" i="1"/>
  <c r="J36" i="1"/>
  <c r="J46" i="1"/>
  <c r="J56" i="1"/>
  <c r="J66" i="1"/>
  <c r="J76" i="1"/>
  <c r="J86" i="1"/>
  <c r="J96" i="1"/>
  <c r="J106" i="1"/>
  <c r="J116" i="1"/>
  <c r="J126" i="1"/>
  <c r="J136" i="1"/>
  <c r="J146" i="1"/>
  <c r="J156" i="1"/>
  <c r="J166" i="1"/>
  <c r="J176" i="1"/>
  <c r="J186" i="1"/>
  <c r="J196" i="1"/>
  <c r="J206" i="1"/>
  <c r="J216" i="1"/>
  <c r="J226" i="1"/>
  <c r="J236" i="1"/>
  <c r="J246" i="1"/>
  <c r="J256" i="1"/>
  <c r="J266" i="1"/>
  <c r="J276" i="1"/>
  <c r="J286" i="1"/>
  <c r="J296" i="1"/>
  <c r="J306" i="1"/>
  <c r="J316" i="1"/>
  <c r="J326" i="1"/>
  <c r="J336" i="1"/>
  <c r="J346" i="1"/>
  <c r="J356" i="1"/>
  <c r="J366" i="1"/>
  <c r="J376" i="1"/>
  <c r="J386" i="1"/>
  <c r="J396" i="1"/>
  <c r="J406" i="1"/>
  <c r="J416" i="1"/>
  <c r="J426" i="1"/>
  <c r="J436" i="1"/>
  <c r="J446" i="1"/>
  <c r="J456" i="1"/>
  <c r="J466" i="1"/>
  <c r="J476" i="1"/>
  <c r="J486" i="1"/>
  <c r="J496" i="1"/>
  <c r="J506" i="1"/>
  <c r="J516" i="1"/>
  <c r="J526" i="1"/>
  <c r="J536" i="1"/>
  <c r="J546" i="1"/>
  <c r="J556" i="1"/>
  <c r="J566" i="1"/>
  <c r="J576" i="1"/>
  <c r="J586" i="1"/>
  <c r="J596" i="1"/>
  <c r="J606" i="1"/>
  <c r="J616" i="1"/>
  <c r="J626" i="1"/>
  <c r="J636" i="1"/>
  <c r="J646" i="1"/>
  <c r="J656" i="1"/>
  <c r="J666" i="1"/>
  <c r="J676" i="1"/>
  <c r="J686" i="1"/>
  <c r="J696" i="1"/>
  <c r="J706" i="1"/>
  <c r="J716" i="1"/>
  <c r="J726" i="1"/>
  <c r="J736" i="1"/>
  <c r="J746" i="1"/>
  <c r="J756" i="1"/>
  <c r="J766" i="1"/>
  <c r="J776" i="1"/>
  <c r="J786" i="1"/>
  <c r="J796" i="1"/>
  <c r="J806" i="1"/>
  <c r="J816" i="1"/>
  <c r="J826" i="1"/>
  <c r="J836" i="1"/>
  <c r="J846" i="1"/>
  <c r="J856" i="1"/>
  <c r="J866" i="1"/>
  <c r="J876" i="1"/>
  <c r="J886" i="1"/>
  <c r="J896" i="1"/>
  <c r="J906" i="1"/>
  <c r="J916" i="1"/>
  <c r="J926" i="1"/>
  <c r="J936" i="1"/>
  <c r="J946" i="1"/>
  <c r="J956" i="1"/>
  <c r="J966" i="1"/>
  <c r="J976" i="1"/>
  <c r="J986" i="1"/>
  <c r="J996" i="1"/>
  <c r="J1006" i="1"/>
  <c r="J1016" i="1"/>
  <c r="J1026" i="1"/>
  <c r="J1036" i="1"/>
  <c r="J1046" i="1"/>
  <c r="J1056" i="1"/>
  <c r="J1066" i="1"/>
  <c r="J1076" i="1"/>
  <c r="J1086" i="1"/>
  <c r="J1096" i="1"/>
  <c r="J1106" i="1"/>
  <c r="K535" i="1"/>
  <c r="K575" i="1"/>
  <c r="K599" i="1"/>
  <c r="K625" i="1"/>
  <c r="K645" i="1"/>
  <c r="K662" i="1"/>
  <c r="K678" i="1"/>
  <c r="K695" i="1"/>
  <c r="K709" i="1"/>
  <c r="K723" i="1"/>
  <c r="K735" i="1"/>
  <c r="K748" i="1"/>
  <c r="K761" i="1"/>
  <c r="K773" i="1"/>
  <c r="K785" i="1"/>
  <c r="K798" i="1"/>
  <c r="K811" i="1"/>
  <c r="K823" i="1"/>
  <c r="K835" i="1"/>
  <c r="K848" i="1"/>
  <c r="K861" i="1"/>
  <c r="K873" i="1"/>
  <c r="K885" i="1"/>
  <c r="K896" i="1"/>
  <c r="K907" i="1"/>
  <c r="K918" i="1"/>
  <c r="K929" i="1"/>
  <c r="K941" i="1"/>
  <c r="K952" i="1"/>
  <c r="K963" i="1"/>
  <c r="K974" i="1"/>
  <c r="K985" i="1"/>
  <c r="K996" i="1"/>
  <c r="K1007" i="1"/>
  <c r="K1017" i="1"/>
  <c r="K1027" i="1"/>
  <c r="K1037" i="1"/>
  <c r="K1047" i="1"/>
  <c r="K1057" i="1"/>
  <c r="K1067" i="1"/>
  <c r="K1077" i="1"/>
  <c r="K1087" i="1"/>
  <c r="K1097" i="1"/>
  <c r="K1107" i="1"/>
  <c r="K1117" i="1"/>
  <c r="K1127" i="1"/>
  <c r="K1137" i="1"/>
  <c r="K1147" i="1"/>
  <c r="K1157" i="1"/>
  <c r="K1167" i="1"/>
  <c r="K1177" i="1"/>
  <c r="K1187" i="1"/>
  <c r="K1197" i="1"/>
  <c r="K1207" i="1"/>
  <c r="K1217" i="1"/>
  <c r="K1227" i="1"/>
  <c r="K1237" i="1"/>
  <c r="K1247" i="1"/>
  <c r="K1257" i="1"/>
  <c r="K1267" i="1"/>
  <c r="K1277" i="1"/>
  <c r="K1287" i="1"/>
  <c r="K1297" i="1"/>
  <c r="K1307" i="1"/>
  <c r="K1317" i="1"/>
  <c r="K1327" i="1"/>
  <c r="K1337" i="1"/>
  <c r="K1347" i="1"/>
  <c r="K1357" i="1"/>
  <c r="K1367" i="1"/>
  <c r="K1377" i="1"/>
  <c r="K1387" i="1"/>
  <c r="K1397" i="1"/>
  <c r="K1407" i="1"/>
  <c r="K1417" i="1"/>
  <c r="K1427" i="1"/>
  <c r="K1437" i="1"/>
  <c r="K1447" i="1"/>
  <c r="K1457" i="1"/>
  <c r="K1467" i="1"/>
  <c r="K1477" i="1"/>
  <c r="K1487" i="1"/>
  <c r="K1497" i="1"/>
  <c r="K1507" i="1"/>
  <c r="K1517" i="1"/>
  <c r="K1527" i="1"/>
  <c r="K1537" i="1"/>
  <c r="K1547" i="1"/>
  <c r="K1557" i="1"/>
  <c r="K1567" i="1"/>
  <c r="K1577" i="1"/>
  <c r="K1587" i="1"/>
  <c r="K1597" i="1"/>
  <c r="K1607" i="1"/>
  <c r="K1617" i="1"/>
  <c r="K1627" i="1"/>
  <c r="K1637" i="1"/>
  <c r="K1647" i="1"/>
  <c r="K1657" i="1"/>
  <c r="K1667" i="1"/>
  <c r="K1677" i="1"/>
  <c r="K1687" i="1"/>
  <c r="K1697" i="1"/>
  <c r="K1707" i="1"/>
  <c r="K1717" i="1"/>
  <c r="K1727" i="1"/>
  <c r="K1737" i="1"/>
  <c r="K1747" i="1"/>
  <c r="K1757" i="1"/>
  <c r="K1767" i="1"/>
  <c r="K1777" i="1"/>
  <c r="K1787" i="1"/>
  <c r="K1797" i="1"/>
  <c r="J7" i="1"/>
  <c r="J17" i="1"/>
  <c r="J27" i="1"/>
  <c r="J37" i="1"/>
  <c r="J47" i="1"/>
  <c r="J57" i="1"/>
  <c r="J67" i="1"/>
  <c r="J77" i="1"/>
  <c r="J87" i="1"/>
  <c r="J97" i="1"/>
  <c r="J107" i="1"/>
  <c r="J117" i="1"/>
  <c r="J127" i="1"/>
  <c r="J137" i="1"/>
  <c r="J147" i="1"/>
  <c r="J157" i="1"/>
  <c r="J167" i="1"/>
  <c r="J177" i="1"/>
  <c r="J187" i="1"/>
  <c r="J197" i="1"/>
  <c r="J207" i="1"/>
  <c r="J217" i="1"/>
  <c r="J227" i="1"/>
  <c r="J237" i="1"/>
  <c r="J247" i="1"/>
  <c r="J257" i="1"/>
  <c r="J267" i="1"/>
  <c r="J277" i="1"/>
  <c r="J287" i="1"/>
  <c r="J297" i="1"/>
  <c r="J307" i="1"/>
  <c r="J317" i="1"/>
  <c r="J327" i="1"/>
  <c r="J337" i="1"/>
  <c r="J347" i="1"/>
  <c r="J357" i="1"/>
  <c r="J367" i="1"/>
  <c r="J377" i="1"/>
  <c r="J387" i="1"/>
  <c r="J397" i="1"/>
  <c r="J407" i="1"/>
  <c r="J417" i="1"/>
  <c r="J427" i="1"/>
  <c r="J437" i="1"/>
  <c r="J447" i="1"/>
  <c r="J457" i="1"/>
  <c r="J467" i="1"/>
  <c r="J477" i="1"/>
  <c r="J487" i="1"/>
  <c r="J497" i="1"/>
  <c r="J507" i="1"/>
  <c r="J517" i="1"/>
  <c r="J527" i="1"/>
  <c r="J537" i="1"/>
  <c r="J547" i="1"/>
  <c r="J557" i="1"/>
  <c r="J567" i="1"/>
  <c r="J577" i="1"/>
  <c r="J587" i="1"/>
  <c r="J597" i="1"/>
  <c r="J607" i="1"/>
  <c r="J617" i="1"/>
  <c r="J627" i="1"/>
  <c r="J637" i="1"/>
  <c r="J647" i="1"/>
  <c r="J657" i="1"/>
  <c r="J667" i="1"/>
  <c r="J677" i="1"/>
  <c r="J687" i="1"/>
  <c r="J697" i="1"/>
  <c r="J707" i="1"/>
  <c r="J717" i="1"/>
  <c r="J727" i="1"/>
  <c r="J737" i="1"/>
  <c r="J747" i="1"/>
  <c r="J757" i="1"/>
  <c r="J767" i="1"/>
  <c r="J777" i="1"/>
  <c r="J787" i="1"/>
  <c r="J797" i="1"/>
  <c r="J807" i="1"/>
  <c r="J817" i="1"/>
  <c r="J827" i="1"/>
  <c r="J837" i="1"/>
  <c r="J847" i="1"/>
  <c r="J857" i="1"/>
  <c r="J867" i="1"/>
  <c r="J877" i="1"/>
  <c r="J887" i="1"/>
  <c r="J897" i="1"/>
  <c r="J907" i="1"/>
  <c r="J917" i="1"/>
  <c r="J927" i="1"/>
  <c r="J937" i="1"/>
  <c r="J947" i="1"/>
  <c r="J957" i="1"/>
  <c r="J967" i="1"/>
  <c r="J977" i="1"/>
  <c r="J987" i="1"/>
  <c r="J997" i="1"/>
  <c r="J1007" i="1"/>
  <c r="J1017" i="1"/>
  <c r="K539" i="1"/>
  <c r="K576" i="1"/>
  <c r="K604" i="1"/>
  <c r="K626" i="1"/>
  <c r="K646" i="1"/>
  <c r="K664" i="1"/>
  <c r="K679" i="1"/>
  <c r="K696" i="1"/>
  <c r="K712" i="1"/>
  <c r="K724" i="1"/>
  <c r="K736" i="1"/>
  <c r="K749" i="1"/>
  <c r="K762" i="1"/>
  <c r="K774" i="1"/>
  <c r="K786" i="1"/>
  <c r="K799" i="1"/>
  <c r="K812" i="1"/>
  <c r="K824" i="1"/>
  <c r="K836" i="1"/>
  <c r="K849" i="1"/>
  <c r="K862" i="1"/>
  <c r="K874" i="1"/>
  <c r="K886" i="1"/>
  <c r="K897" i="1"/>
  <c r="K908" i="1"/>
  <c r="K919" i="1"/>
  <c r="K931" i="1"/>
  <c r="K942" i="1"/>
  <c r="K953" i="1"/>
  <c r="K964" i="1"/>
  <c r="K975" i="1"/>
  <c r="K986" i="1"/>
  <c r="K997" i="1"/>
  <c r="K1008" i="1"/>
  <c r="K1018" i="1"/>
  <c r="K1028" i="1"/>
  <c r="K1038" i="1"/>
  <c r="K1048" i="1"/>
  <c r="K1058" i="1"/>
  <c r="K1068" i="1"/>
  <c r="K1078" i="1"/>
  <c r="K1088" i="1"/>
  <c r="K1098" i="1"/>
  <c r="K1108" i="1"/>
  <c r="K1118" i="1"/>
  <c r="K1128" i="1"/>
  <c r="K1138" i="1"/>
  <c r="K1148" i="1"/>
  <c r="K1158" i="1"/>
  <c r="K1168" i="1"/>
  <c r="K1178" i="1"/>
  <c r="K1188" i="1"/>
  <c r="K1198" i="1"/>
  <c r="K1208" i="1"/>
  <c r="K1218" i="1"/>
  <c r="K1228" i="1"/>
  <c r="K1238" i="1"/>
  <c r="K1248" i="1"/>
  <c r="K1258" i="1"/>
  <c r="K1268" i="1"/>
  <c r="K1278" i="1"/>
  <c r="K1288" i="1"/>
  <c r="K1298" i="1"/>
  <c r="K1308" i="1"/>
  <c r="K1318" i="1"/>
  <c r="K1328" i="1"/>
  <c r="K1338" i="1"/>
  <c r="K1348" i="1"/>
  <c r="K1358" i="1"/>
  <c r="K1368" i="1"/>
  <c r="K1378" i="1"/>
  <c r="K1388" i="1"/>
  <c r="K1398" i="1"/>
  <c r="K1408" i="1"/>
  <c r="K1418" i="1"/>
  <c r="K1428" i="1"/>
  <c r="K1438" i="1"/>
  <c r="K1448" i="1"/>
  <c r="K1458" i="1"/>
  <c r="K1468" i="1"/>
  <c r="K1478" i="1"/>
  <c r="K1488" i="1"/>
  <c r="K1498" i="1"/>
  <c r="K1508" i="1"/>
  <c r="K1518" i="1"/>
  <c r="K1528" i="1"/>
  <c r="K1538" i="1"/>
  <c r="K1548" i="1"/>
  <c r="K1558" i="1"/>
  <c r="K1568" i="1"/>
  <c r="K1578" i="1"/>
  <c r="K1588" i="1"/>
  <c r="K1598" i="1"/>
  <c r="K1608" i="1"/>
  <c r="K1618" i="1"/>
  <c r="K1628" i="1"/>
  <c r="K1638" i="1"/>
  <c r="K1648" i="1"/>
  <c r="K1658" i="1"/>
  <c r="K1668" i="1"/>
  <c r="K1678" i="1"/>
  <c r="K1688" i="1"/>
  <c r="K1698" i="1"/>
  <c r="K1708" i="1"/>
  <c r="K1718" i="1"/>
  <c r="K1728" i="1"/>
  <c r="K1738" i="1"/>
  <c r="K1748" i="1"/>
  <c r="K1758" i="1"/>
  <c r="K1768" i="1"/>
  <c r="K1778" i="1"/>
  <c r="K1788" i="1"/>
  <c r="K1798" i="1"/>
  <c r="J8" i="1"/>
  <c r="J18" i="1"/>
  <c r="J28" i="1"/>
  <c r="J38" i="1"/>
  <c r="J48" i="1"/>
  <c r="J58" i="1"/>
  <c r="J68" i="1"/>
  <c r="J78" i="1"/>
  <c r="J88" i="1"/>
  <c r="J98" i="1"/>
  <c r="J108" i="1"/>
  <c r="J118" i="1"/>
  <c r="J128" i="1"/>
  <c r="J138" i="1"/>
  <c r="J148" i="1"/>
  <c r="J158" i="1"/>
  <c r="J168" i="1"/>
  <c r="J178" i="1"/>
  <c r="J188" i="1"/>
  <c r="J198" i="1"/>
  <c r="J208" i="1"/>
  <c r="J218" i="1"/>
  <c r="J228" i="1"/>
  <c r="J238" i="1"/>
  <c r="J248" i="1"/>
  <c r="J258" i="1"/>
  <c r="J268" i="1"/>
  <c r="J278" i="1"/>
  <c r="J288" i="1"/>
  <c r="J298" i="1"/>
  <c r="J308" i="1"/>
  <c r="J318" i="1"/>
  <c r="J328" i="1"/>
  <c r="J338" i="1"/>
  <c r="J348" i="1"/>
  <c r="J358" i="1"/>
  <c r="J368" i="1"/>
  <c r="J378" i="1"/>
  <c r="J388" i="1"/>
  <c r="J398" i="1"/>
  <c r="J408" i="1"/>
  <c r="J418" i="1"/>
  <c r="J428" i="1"/>
  <c r="J438" i="1"/>
  <c r="J448" i="1"/>
  <c r="J458" i="1"/>
  <c r="J468" i="1"/>
  <c r="J478" i="1"/>
  <c r="J488" i="1"/>
  <c r="J498" i="1"/>
  <c r="J508" i="1"/>
  <c r="J518" i="1"/>
  <c r="J528" i="1"/>
  <c r="J538" i="1"/>
  <c r="J548" i="1"/>
  <c r="J558" i="1"/>
  <c r="J568" i="1"/>
  <c r="J578" i="1"/>
  <c r="J588" i="1"/>
  <c r="J598" i="1"/>
  <c r="J608" i="1"/>
  <c r="J618" i="1"/>
  <c r="J628" i="1"/>
  <c r="J638" i="1"/>
  <c r="J648" i="1"/>
  <c r="J658" i="1"/>
  <c r="J668" i="1"/>
  <c r="J678" i="1"/>
  <c r="J688" i="1"/>
  <c r="J698" i="1"/>
  <c r="J708" i="1"/>
  <c r="J718" i="1"/>
  <c r="J728" i="1"/>
  <c r="J738" i="1"/>
  <c r="J748" i="1"/>
  <c r="J758" i="1"/>
  <c r="J768" i="1"/>
  <c r="J778" i="1"/>
  <c r="J788" i="1"/>
  <c r="J798" i="1"/>
  <c r="J808" i="1"/>
  <c r="J818" i="1"/>
  <c r="J828" i="1"/>
  <c r="J838" i="1"/>
  <c r="J848" i="1"/>
  <c r="J858" i="1"/>
  <c r="J868" i="1"/>
  <c r="J878" i="1"/>
  <c r="J888" i="1"/>
  <c r="J898" i="1"/>
  <c r="J908" i="1"/>
  <c r="J918" i="1"/>
  <c r="J928" i="1"/>
  <c r="J938" i="1"/>
  <c r="J948" i="1"/>
  <c r="J958" i="1"/>
  <c r="J968" i="1"/>
  <c r="K545" i="1"/>
  <c r="K579" i="1"/>
  <c r="K605" i="1"/>
  <c r="K629" i="1"/>
  <c r="K648" i="1"/>
  <c r="K665" i="1"/>
  <c r="K682" i="1"/>
  <c r="K698" i="1"/>
  <c r="K713" i="1"/>
  <c r="K725" i="1"/>
  <c r="K738" i="1"/>
  <c r="K751" i="1"/>
  <c r="K763" i="1"/>
  <c r="K775" i="1"/>
  <c r="K788" i="1"/>
  <c r="K801" i="1"/>
  <c r="K813" i="1"/>
  <c r="K825" i="1"/>
  <c r="K838" i="1"/>
  <c r="K851" i="1"/>
  <c r="K863" i="1"/>
  <c r="K875" i="1"/>
  <c r="K887" i="1"/>
  <c r="K898" i="1"/>
  <c r="K909" i="1"/>
  <c r="K921" i="1"/>
  <c r="K932" i="1"/>
  <c r="K943" i="1"/>
  <c r="K954" i="1"/>
  <c r="K965" i="1"/>
  <c r="K976" i="1"/>
  <c r="K987" i="1"/>
  <c r="K998" i="1"/>
  <c r="K1009" i="1"/>
  <c r="K1019" i="1"/>
  <c r="K1029" i="1"/>
  <c r="K1039" i="1"/>
  <c r="K1049" i="1"/>
  <c r="K1059" i="1"/>
  <c r="K1069" i="1"/>
  <c r="K1079" i="1"/>
  <c r="K1089" i="1"/>
  <c r="K1099" i="1"/>
  <c r="K1109" i="1"/>
  <c r="K1119" i="1"/>
  <c r="K1129" i="1"/>
  <c r="K1139" i="1"/>
  <c r="K1149" i="1"/>
  <c r="K1159" i="1"/>
  <c r="K1169" i="1"/>
  <c r="K1179" i="1"/>
  <c r="K1189" i="1"/>
  <c r="K1199" i="1"/>
  <c r="K1209" i="1"/>
  <c r="K1219" i="1"/>
  <c r="K1229" i="1"/>
  <c r="K1239" i="1"/>
  <c r="K1249" i="1"/>
  <c r="K1259" i="1"/>
  <c r="K1269" i="1"/>
  <c r="K1279" i="1"/>
  <c r="K1289" i="1"/>
  <c r="K1299" i="1"/>
  <c r="K1309" i="1"/>
  <c r="K1319" i="1"/>
  <c r="K1329" i="1"/>
  <c r="K1339" i="1"/>
  <c r="K1349" i="1"/>
  <c r="K1359" i="1"/>
  <c r="K1369" i="1"/>
  <c r="K1379" i="1"/>
  <c r="K1389" i="1"/>
  <c r="K1399" i="1"/>
  <c r="K1409" i="1"/>
  <c r="K1419" i="1"/>
  <c r="K1429" i="1"/>
  <c r="K1439" i="1"/>
  <c r="K1449" i="1"/>
  <c r="K1459" i="1"/>
  <c r="K1469" i="1"/>
  <c r="K1479" i="1"/>
  <c r="K1489" i="1"/>
  <c r="K1499" i="1"/>
  <c r="K1509" i="1"/>
  <c r="K1519" i="1"/>
  <c r="K1529" i="1"/>
  <c r="K1539" i="1"/>
  <c r="K1549" i="1"/>
  <c r="K1559" i="1"/>
  <c r="K1569" i="1"/>
  <c r="K1579" i="1"/>
  <c r="K1589" i="1"/>
  <c r="K1599" i="1"/>
  <c r="K1609" i="1"/>
  <c r="K1619" i="1"/>
  <c r="K1629" i="1"/>
  <c r="K1639" i="1"/>
  <c r="K1649" i="1"/>
  <c r="K1659" i="1"/>
  <c r="K1669" i="1"/>
  <c r="K1679" i="1"/>
  <c r="K1689" i="1"/>
  <c r="K1699" i="1"/>
  <c r="K1709" i="1"/>
  <c r="K1719" i="1"/>
  <c r="K1729" i="1"/>
  <c r="K1739" i="1"/>
  <c r="K1749" i="1"/>
  <c r="K1759" i="1"/>
  <c r="K1769" i="1"/>
  <c r="K1779" i="1"/>
  <c r="K1789" i="1"/>
  <c r="K1799" i="1"/>
  <c r="J9" i="1"/>
  <c r="J19" i="1"/>
  <c r="J29" i="1"/>
  <c r="J39" i="1"/>
  <c r="J49" i="1"/>
  <c r="J59" i="1"/>
  <c r="J69" i="1"/>
  <c r="J79" i="1"/>
  <c r="J89" i="1"/>
  <c r="J99" i="1"/>
  <c r="J109" i="1"/>
  <c r="J119" i="1"/>
  <c r="J129" i="1"/>
  <c r="J139" i="1"/>
  <c r="J149" i="1"/>
  <c r="J159" i="1"/>
  <c r="J169" i="1"/>
  <c r="J179" i="1"/>
  <c r="J189" i="1"/>
  <c r="J199" i="1"/>
  <c r="J209" i="1"/>
  <c r="J219" i="1"/>
  <c r="J229" i="1"/>
  <c r="J239" i="1"/>
  <c r="J249" i="1"/>
  <c r="J259" i="1"/>
  <c r="J269" i="1"/>
  <c r="J279" i="1"/>
  <c r="J289" i="1"/>
  <c r="J299" i="1"/>
  <c r="J309" i="1"/>
  <c r="J319" i="1"/>
  <c r="J329" i="1"/>
  <c r="J339" i="1"/>
  <c r="J349" i="1"/>
  <c r="J359" i="1"/>
  <c r="J369" i="1"/>
  <c r="J379" i="1"/>
  <c r="J389" i="1"/>
  <c r="J399" i="1"/>
  <c r="J409" i="1"/>
  <c r="J419" i="1"/>
  <c r="J429" i="1"/>
  <c r="J439" i="1"/>
  <c r="J449" i="1"/>
  <c r="J459" i="1"/>
  <c r="J469" i="1"/>
  <c r="J479" i="1"/>
  <c r="J489" i="1"/>
  <c r="J499" i="1"/>
  <c r="J509" i="1"/>
  <c r="J519" i="1"/>
  <c r="J529" i="1"/>
  <c r="J539" i="1"/>
  <c r="J549" i="1"/>
  <c r="J559" i="1"/>
  <c r="J569" i="1"/>
  <c r="J579" i="1"/>
  <c r="J589" i="1"/>
  <c r="J599" i="1"/>
  <c r="J609" i="1"/>
  <c r="J619" i="1"/>
  <c r="J629" i="1"/>
  <c r="J639" i="1"/>
  <c r="J649" i="1"/>
  <c r="J659" i="1"/>
  <c r="J669" i="1"/>
  <c r="J679" i="1"/>
  <c r="J689" i="1"/>
  <c r="J699" i="1"/>
  <c r="J709" i="1"/>
  <c r="J719" i="1"/>
  <c r="J729" i="1"/>
  <c r="J739" i="1"/>
  <c r="J749" i="1"/>
  <c r="J759" i="1"/>
  <c r="J769" i="1"/>
  <c r="J779" i="1"/>
  <c r="J789" i="1"/>
  <c r="J799" i="1"/>
  <c r="J809" i="1"/>
  <c r="J819" i="1"/>
  <c r="J829" i="1"/>
  <c r="J839" i="1"/>
  <c r="J849" i="1"/>
  <c r="J859" i="1"/>
  <c r="J869" i="1"/>
  <c r="J879" i="1"/>
  <c r="J889" i="1"/>
  <c r="J899" i="1"/>
  <c r="J909" i="1"/>
  <c r="J919" i="1"/>
  <c r="J929" i="1"/>
  <c r="J939" i="1"/>
  <c r="J949" i="1"/>
  <c r="J959" i="1"/>
  <c r="J969" i="1"/>
  <c r="J979" i="1"/>
  <c r="J989" i="1"/>
  <c r="J999" i="1"/>
  <c r="J1009" i="1"/>
  <c r="J1019" i="1"/>
  <c r="J1029" i="1"/>
  <c r="J1039" i="1"/>
  <c r="J1049" i="1"/>
  <c r="J1059" i="1"/>
  <c r="J1069" i="1"/>
  <c r="J1079" i="1"/>
  <c r="J1089" i="1"/>
  <c r="J1099" i="1"/>
  <c r="J1109" i="1"/>
  <c r="J1119" i="1"/>
  <c r="J1129" i="1"/>
  <c r="J1139" i="1"/>
  <c r="J1149" i="1"/>
  <c r="J1159" i="1"/>
  <c r="J1169" i="1"/>
  <c r="J1179" i="1"/>
  <c r="J1189" i="1"/>
  <c r="J1199" i="1"/>
  <c r="J1209" i="1"/>
  <c r="J1219" i="1"/>
  <c r="J1229" i="1"/>
  <c r="J1239" i="1"/>
  <c r="J1249" i="1"/>
  <c r="J1259" i="1"/>
  <c r="J1269" i="1"/>
  <c r="J1279" i="1"/>
  <c r="J1289" i="1"/>
  <c r="J1299" i="1"/>
  <c r="J1309" i="1"/>
  <c r="J1319" i="1"/>
  <c r="J1329" i="1"/>
  <c r="J1339" i="1"/>
  <c r="J1349" i="1"/>
  <c r="J1359" i="1"/>
  <c r="J1369" i="1"/>
  <c r="J1379" i="1"/>
  <c r="J1389" i="1"/>
  <c r="J1399" i="1"/>
  <c r="J1409" i="1"/>
  <c r="J1419" i="1"/>
  <c r="K549" i="1"/>
  <c r="K584" i="1"/>
  <c r="K606" i="1"/>
  <c r="K632" i="1"/>
  <c r="K649" i="1"/>
  <c r="K666" i="1"/>
  <c r="K684" i="1"/>
  <c r="K699" i="1"/>
  <c r="K714" i="1"/>
  <c r="K726" i="1"/>
  <c r="K739" i="1"/>
  <c r="K752" i="1"/>
  <c r="K764" i="1"/>
  <c r="K776" i="1"/>
  <c r="K789" i="1"/>
  <c r="K802" i="1"/>
  <c r="K814" i="1"/>
  <c r="K826" i="1"/>
  <c r="K839" i="1"/>
  <c r="K852" i="1"/>
  <c r="K864" i="1"/>
  <c r="K876" i="1"/>
  <c r="K888" i="1"/>
  <c r="K899" i="1"/>
  <c r="K911" i="1"/>
  <c r="K922" i="1"/>
  <c r="K933" i="1"/>
  <c r="K944" i="1"/>
  <c r="K955" i="1"/>
  <c r="K966" i="1"/>
  <c r="K977" i="1"/>
  <c r="K988" i="1"/>
  <c r="K999" i="1"/>
  <c r="K1010" i="1"/>
  <c r="K1020" i="1"/>
  <c r="K1030" i="1"/>
  <c r="K1040" i="1"/>
  <c r="K1050" i="1"/>
  <c r="K1060" i="1"/>
  <c r="K1070" i="1"/>
  <c r="K1080" i="1"/>
  <c r="K1090" i="1"/>
  <c r="K1100" i="1"/>
  <c r="K1110" i="1"/>
  <c r="K1120" i="1"/>
  <c r="K1130" i="1"/>
  <c r="K1140" i="1"/>
  <c r="K1150" i="1"/>
  <c r="K1160" i="1"/>
  <c r="K1170" i="1"/>
  <c r="K1180" i="1"/>
  <c r="K1190" i="1"/>
  <c r="K1200" i="1"/>
  <c r="K1210" i="1"/>
  <c r="K1220" i="1"/>
  <c r="K1230" i="1"/>
  <c r="K1240" i="1"/>
  <c r="K1250" i="1"/>
  <c r="K1260" i="1"/>
  <c r="K1270" i="1"/>
  <c r="K1280" i="1"/>
  <c r="K1290" i="1"/>
  <c r="K1300" i="1"/>
  <c r="K1310" i="1"/>
  <c r="K1320" i="1"/>
  <c r="K1330" i="1"/>
  <c r="K1340" i="1"/>
  <c r="K1350" i="1"/>
  <c r="K1360" i="1"/>
  <c r="K1370" i="1"/>
  <c r="K1380" i="1"/>
  <c r="K1390" i="1"/>
  <c r="K1400" i="1"/>
  <c r="K1410" i="1"/>
  <c r="K1420" i="1"/>
  <c r="K1430" i="1"/>
  <c r="K1440" i="1"/>
  <c r="K1450" i="1"/>
  <c r="K1460" i="1"/>
  <c r="K1470" i="1"/>
  <c r="K1480" i="1"/>
  <c r="K1490" i="1"/>
  <c r="K1500" i="1"/>
  <c r="K1510" i="1"/>
  <c r="K1520" i="1"/>
  <c r="K1530" i="1"/>
  <c r="K1540" i="1"/>
  <c r="K1550" i="1"/>
  <c r="K1560" i="1"/>
  <c r="K1570" i="1"/>
  <c r="K1580" i="1"/>
  <c r="K1590" i="1"/>
  <c r="K1600" i="1"/>
  <c r="K1610" i="1"/>
  <c r="K1620" i="1"/>
  <c r="K1630" i="1"/>
  <c r="K1640" i="1"/>
  <c r="K1650" i="1"/>
  <c r="K1660" i="1"/>
  <c r="K1670" i="1"/>
  <c r="K1680" i="1"/>
  <c r="K1690" i="1"/>
  <c r="K1700" i="1"/>
  <c r="K1710" i="1"/>
  <c r="K1720" i="1"/>
  <c r="K1730" i="1"/>
  <c r="K1740" i="1"/>
  <c r="K1750" i="1"/>
  <c r="K1760" i="1"/>
  <c r="K1770" i="1"/>
  <c r="K1780" i="1"/>
  <c r="K1790" i="1"/>
  <c r="K1800" i="1"/>
  <c r="J10" i="1"/>
  <c r="J20" i="1"/>
  <c r="J30" i="1"/>
  <c r="J40" i="1"/>
  <c r="J50" i="1"/>
  <c r="J60" i="1"/>
  <c r="J70" i="1"/>
  <c r="J80" i="1"/>
  <c r="J90" i="1"/>
  <c r="J100" i="1"/>
  <c r="J110" i="1"/>
  <c r="J120" i="1"/>
  <c r="J130" i="1"/>
  <c r="J140" i="1"/>
  <c r="J150" i="1"/>
  <c r="J160" i="1"/>
  <c r="J170" i="1"/>
  <c r="J180" i="1"/>
  <c r="J190" i="1"/>
  <c r="J200" i="1"/>
  <c r="J210" i="1"/>
  <c r="J220" i="1"/>
  <c r="J230" i="1"/>
  <c r="J240" i="1"/>
  <c r="J250" i="1"/>
  <c r="J260" i="1"/>
  <c r="J270" i="1"/>
  <c r="J280" i="1"/>
  <c r="J290" i="1"/>
  <c r="J300" i="1"/>
  <c r="J310" i="1"/>
  <c r="J320" i="1"/>
  <c r="J330" i="1"/>
  <c r="J340" i="1"/>
  <c r="J350" i="1"/>
  <c r="J360" i="1"/>
  <c r="J370" i="1"/>
  <c r="J380" i="1"/>
  <c r="J390" i="1"/>
  <c r="J400" i="1"/>
  <c r="J410" i="1"/>
  <c r="J420" i="1"/>
  <c r="J430" i="1"/>
  <c r="J440" i="1"/>
  <c r="J450" i="1"/>
  <c r="J460" i="1"/>
  <c r="J470" i="1"/>
  <c r="J480" i="1"/>
  <c r="J490" i="1"/>
  <c r="J500" i="1"/>
  <c r="J510" i="1"/>
  <c r="J520" i="1"/>
  <c r="J530" i="1"/>
  <c r="J540" i="1"/>
  <c r="J550" i="1"/>
  <c r="J560" i="1"/>
  <c r="J570" i="1"/>
  <c r="J580" i="1"/>
  <c r="J590" i="1"/>
  <c r="J600" i="1"/>
  <c r="J610" i="1"/>
  <c r="J620" i="1"/>
  <c r="J630" i="1"/>
  <c r="J640" i="1"/>
  <c r="J650" i="1"/>
  <c r="J660" i="1"/>
  <c r="J670" i="1"/>
  <c r="J680" i="1"/>
  <c r="J690" i="1"/>
  <c r="J700" i="1"/>
  <c r="J710" i="1"/>
  <c r="J720" i="1"/>
  <c r="J730" i="1"/>
  <c r="J740" i="1"/>
  <c r="J750" i="1"/>
  <c r="J760" i="1"/>
  <c r="J770" i="1"/>
  <c r="J780" i="1"/>
  <c r="J790" i="1"/>
  <c r="J800" i="1"/>
  <c r="J810" i="1"/>
  <c r="J820" i="1"/>
  <c r="J830" i="1"/>
  <c r="J840" i="1"/>
  <c r="J850" i="1"/>
  <c r="J860" i="1"/>
  <c r="J870" i="1"/>
  <c r="J880" i="1"/>
  <c r="J890" i="1"/>
  <c r="J900" i="1"/>
  <c r="J910" i="1"/>
  <c r="J920" i="1"/>
  <c r="J930" i="1"/>
  <c r="J940" i="1"/>
  <c r="J950" i="1"/>
  <c r="J960" i="1"/>
  <c r="J970" i="1"/>
  <c r="J980" i="1"/>
  <c r="J990" i="1"/>
  <c r="J1000" i="1"/>
  <c r="J1010" i="1"/>
  <c r="J1020" i="1"/>
  <c r="J1030" i="1"/>
  <c r="J1040" i="1"/>
  <c r="J1050" i="1"/>
  <c r="J1060" i="1"/>
  <c r="J1070" i="1"/>
  <c r="J1080" i="1"/>
  <c r="J1090" i="1"/>
  <c r="J1100" i="1"/>
  <c r="J1110" i="1"/>
  <c r="J1120" i="1"/>
  <c r="J1130" i="1"/>
  <c r="J1140" i="1"/>
  <c r="J1150" i="1"/>
  <c r="J1160" i="1"/>
  <c r="J1170" i="1"/>
  <c r="J1180" i="1"/>
  <c r="K555" i="1"/>
  <c r="K585" i="1"/>
  <c r="K609" i="1"/>
  <c r="K634" i="1"/>
  <c r="K652" i="1"/>
  <c r="K668" i="1"/>
  <c r="K685" i="1"/>
  <c r="K702" i="1"/>
  <c r="K715" i="1"/>
  <c r="K728" i="1"/>
  <c r="K741" i="1"/>
  <c r="K753" i="1"/>
  <c r="K765" i="1"/>
  <c r="K778" i="1"/>
  <c r="K791" i="1"/>
  <c r="K803" i="1"/>
  <c r="K815" i="1"/>
  <c r="K828" i="1"/>
  <c r="K841" i="1"/>
  <c r="K853" i="1"/>
  <c r="K865" i="1"/>
  <c r="K878" i="1"/>
  <c r="K889" i="1"/>
  <c r="K901" i="1"/>
  <c r="K912" i="1"/>
  <c r="K923" i="1"/>
  <c r="K934" i="1"/>
  <c r="K945" i="1"/>
  <c r="K956" i="1"/>
  <c r="K967" i="1"/>
  <c r="K978" i="1"/>
  <c r="K989" i="1"/>
  <c r="K1001" i="1"/>
  <c r="K1011" i="1"/>
  <c r="K1021" i="1"/>
  <c r="K1031" i="1"/>
  <c r="K1041" i="1"/>
  <c r="K1051" i="1"/>
  <c r="K1061" i="1"/>
  <c r="K1071" i="1"/>
  <c r="K1081" i="1"/>
  <c r="K1091" i="1"/>
  <c r="K1101" i="1"/>
  <c r="K1111" i="1"/>
  <c r="K1121" i="1"/>
  <c r="K1131" i="1"/>
  <c r="K1141" i="1"/>
  <c r="K1151" i="1"/>
  <c r="K1161" i="1"/>
  <c r="K1171" i="1"/>
  <c r="K1181" i="1"/>
  <c r="K1191" i="1"/>
  <c r="K1201" i="1"/>
  <c r="K1211" i="1"/>
  <c r="K1221" i="1"/>
  <c r="K1231" i="1"/>
  <c r="K1241" i="1"/>
  <c r="K1251" i="1"/>
  <c r="K1261" i="1"/>
  <c r="K1271" i="1"/>
  <c r="K1281" i="1"/>
  <c r="K1291" i="1"/>
  <c r="K1301" i="1"/>
  <c r="K1311" i="1"/>
  <c r="K1321" i="1"/>
  <c r="K1331" i="1"/>
  <c r="K1341" i="1"/>
  <c r="K1351" i="1"/>
  <c r="K1361" i="1"/>
  <c r="K1371" i="1"/>
  <c r="K1381" i="1"/>
  <c r="K1391" i="1"/>
  <c r="K1401" i="1"/>
  <c r="K1411" i="1"/>
  <c r="K1421" i="1"/>
  <c r="K1431" i="1"/>
  <c r="K1441" i="1"/>
  <c r="K1451" i="1"/>
  <c r="K1461" i="1"/>
  <c r="K1471" i="1"/>
  <c r="K1481" i="1"/>
  <c r="K1491" i="1"/>
  <c r="K1501" i="1"/>
  <c r="K1511" i="1"/>
  <c r="K1521" i="1"/>
  <c r="K1531" i="1"/>
  <c r="K1541" i="1"/>
  <c r="K1551" i="1"/>
  <c r="K1561" i="1"/>
  <c r="K1571" i="1"/>
  <c r="K1581" i="1"/>
  <c r="K1591" i="1"/>
  <c r="K1601" i="1"/>
  <c r="K1611" i="1"/>
  <c r="K1621" i="1"/>
  <c r="K1631" i="1"/>
  <c r="K1641" i="1"/>
  <c r="K1651" i="1"/>
  <c r="K1661" i="1"/>
  <c r="K1671" i="1"/>
  <c r="K1681" i="1"/>
  <c r="K1691" i="1"/>
  <c r="K1701" i="1"/>
  <c r="K1711" i="1"/>
  <c r="K1721" i="1"/>
  <c r="K1731" i="1"/>
  <c r="K1741" i="1"/>
  <c r="K1751" i="1"/>
  <c r="K1761" i="1"/>
  <c r="K1771" i="1"/>
  <c r="K1781" i="1"/>
  <c r="K1791" i="1"/>
  <c r="K1801" i="1"/>
  <c r="J11" i="1"/>
  <c r="J21" i="1"/>
  <c r="J31" i="1"/>
  <c r="J41" i="1"/>
  <c r="J51" i="1"/>
  <c r="J61" i="1"/>
  <c r="J71" i="1"/>
  <c r="J81" i="1"/>
  <c r="J91" i="1"/>
  <c r="J101" i="1"/>
  <c r="J111" i="1"/>
  <c r="J121" i="1"/>
  <c r="J131" i="1"/>
  <c r="J141" i="1"/>
  <c r="J151" i="1"/>
  <c r="J161" i="1"/>
  <c r="J171" i="1"/>
  <c r="J181" i="1"/>
  <c r="J191" i="1"/>
  <c r="J201" i="1"/>
  <c r="J211" i="1"/>
  <c r="J221" i="1"/>
  <c r="J231" i="1"/>
  <c r="J241" i="1"/>
  <c r="J251" i="1"/>
  <c r="J261" i="1"/>
  <c r="J271" i="1"/>
  <c r="J281" i="1"/>
  <c r="J291" i="1"/>
  <c r="J301" i="1"/>
  <c r="J311" i="1"/>
  <c r="J321" i="1"/>
  <c r="J331" i="1"/>
  <c r="J341" i="1"/>
  <c r="J351" i="1"/>
  <c r="J361" i="1"/>
  <c r="J371" i="1"/>
  <c r="J381" i="1"/>
  <c r="J391" i="1"/>
  <c r="J401" i="1"/>
  <c r="J411" i="1"/>
  <c r="J421" i="1"/>
  <c r="J431" i="1"/>
  <c r="J441" i="1"/>
  <c r="J451" i="1"/>
  <c r="J461" i="1"/>
  <c r="J471" i="1"/>
  <c r="J481" i="1"/>
  <c r="J491" i="1"/>
  <c r="J501" i="1"/>
  <c r="J511" i="1"/>
  <c r="J521" i="1"/>
  <c r="J531" i="1"/>
  <c r="J541" i="1"/>
  <c r="J551" i="1"/>
  <c r="J561" i="1"/>
  <c r="J571" i="1"/>
  <c r="J581" i="1"/>
  <c r="J591" i="1"/>
  <c r="J601" i="1"/>
  <c r="J611" i="1"/>
  <c r="J621" i="1"/>
  <c r="J631" i="1"/>
  <c r="J641" i="1"/>
  <c r="J651" i="1"/>
  <c r="J661" i="1"/>
  <c r="J671" i="1"/>
  <c r="J681" i="1"/>
  <c r="J691" i="1"/>
  <c r="J701" i="1"/>
  <c r="J711" i="1"/>
  <c r="J721" i="1"/>
  <c r="J731" i="1"/>
  <c r="J741" i="1"/>
  <c r="J751" i="1"/>
  <c r="J761" i="1"/>
  <c r="J771" i="1"/>
  <c r="J781" i="1"/>
  <c r="J791" i="1"/>
  <c r="J801" i="1"/>
  <c r="J811" i="1"/>
  <c r="J821" i="1"/>
  <c r="J831" i="1"/>
  <c r="J841" i="1"/>
  <c r="J851" i="1"/>
  <c r="J861" i="1"/>
  <c r="J871" i="1"/>
  <c r="J881" i="1"/>
  <c r="J891" i="1"/>
  <c r="J901" i="1"/>
  <c r="J911" i="1"/>
  <c r="J921" i="1"/>
  <c r="J931" i="1"/>
  <c r="J941" i="1"/>
  <c r="J951" i="1"/>
  <c r="J961" i="1"/>
  <c r="J971" i="1"/>
  <c r="J981" i="1"/>
  <c r="J991" i="1"/>
  <c r="J1001" i="1"/>
  <c r="J1011" i="1"/>
  <c r="J1021" i="1"/>
  <c r="J1031" i="1"/>
  <c r="J1041" i="1"/>
  <c r="J1051" i="1"/>
  <c r="J1061" i="1"/>
  <c r="J1071" i="1"/>
  <c r="J1081" i="1"/>
  <c r="J1091" i="1"/>
  <c r="K559" i="1"/>
  <c r="K586" i="1"/>
  <c r="K614" i="1"/>
  <c r="K635" i="1"/>
  <c r="K654" i="1"/>
  <c r="K669" i="1"/>
  <c r="K686" i="1"/>
  <c r="K703" i="1"/>
  <c r="K716" i="1"/>
  <c r="K729" i="1"/>
  <c r="K742" i="1"/>
  <c r="K754" i="1"/>
  <c r="K766" i="1"/>
  <c r="K779" i="1"/>
  <c r="K792" i="1"/>
  <c r="K804" i="1"/>
  <c r="K816" i="1"/>
  <c r="K829" i="1"/>
  <c r="K842" i="1"/>
  <c r="K854" i="1"/>
  <c r="K866" i="1"/>
  <c r="K879" i="1"/>
  <c r="K891" i="1"/>
  <c r="K902" i="1"/>
  <c r="K913" i="1"/>
  <c r="K924" i="1"/>
  <c r="K935" i="1"/>
  <c r="K946" i="1"/>
  <c r="K957" i="1"/>
  <c r="K968" i="1"/>
  <c r="K979" i="1"/>
  <c r="K991" i="1"/>
  <c r="K1002" i="1"/>
  <c r="K1012" i="1"/>
  <c r="K1022" i="1"/>
  <c r="K1032" i="1"/>
  <c r="K1042" i="1"/>
  <c r="K1052" i="1"/>
  <c r="K1062" i="1"/>
  <c r="K1072" i="1"/>
  <c r="K1082" i="1"/>
  <c r="K1092" i="1"/>
  <c r="K1102" i="1"/>
  <c r="K1112" i="1"/>
  <c r="K1122" i="1"/>
  <c r="K1132" i="1"/>
  <c r="K1142" i="1"/>
  <c r="K1152" i="1"/>
  <c r="K1162" i="1"/>
  <c r="K1172" i="1"/>
  <c r="K1182" i="1"/>
  <c r="K1192" i="1"/>
  <c r="K1202" i="1"/>
  <c r="K1212" i="1"/>
  <c r="K1222" i="1"/>
  <c r="K1232" i="1"/>
  <c r="K1242" i="1"/>
  <c r="K1252" i="1"/>
  <c r="K1262" i="1"/>
  <c r="K1272" i="1"/>
  <c r="K1282" i="1"/>
  <c r="K1292" i="1"/>
  <c r="K1302" i="1"/>
  <c r="K1312" i="1"/>
  <c r="K1322" i="1"/>
  <c r="K1332" i="1"/>
  <c r="K1342" i="1"/>
  <c r="K1352" i="1"/>
  <c r="K1362" i="1"/>
  <c r="K1372" i="1"/>
  <c r="K1382" i="1"/>
  <c r="K1392" i="1"/>
  <c r="K1402" i="1"/>
  <c r="K1412" i="1"/>
  <c r="K1422" i="1"/>
  <c r="K1432" i="1"/>
  <c r="K1442" i="1"/>
  <c r="K1452" i="1"/>
  <c r="K1462" i="1"/>
  <c r="K1472" i="1"/>
  <c r="K1482" i="1"/>
  <c r="K1492" i="1"/>
  <c r="K1502" i="1"/>
  <c r="K1512" i="1"/>
  <c r="K1522" i="1"/>
  <c r="K1532" i="1"/>
  <c r="K1542" i="1"/>
  <c r="K1552" i="1"/>
  <c r="K1562" i="1"/>
  <c r="K1572" i="1"/>
  <c r="K1582" i="1"/>
  <c r="K1592" i="1"/>
  <c r="K1602" i="1"/>
  <c r="K1612" i="1"/>
  <c r="K1622" i="1"/>
  <c r="K1632" i="1"/>
  <c r="K1642" i="1"/>
  <c r="K1652" i="1"/>
  <c r="K1662" i="1"/>
  <c r="K1672" i="1"/>
  <c r="K1682" i="1"/>
  <c r="K1692" i="1"/>
  <c r="K1702" i="1"/>
  <c r="K1712" i="1"/>
  <c r="K1722" i="1"/>
  <c r="K1732" i="1"/>
  <c r="K1742" i="1"/>
  <c r="K1752" i="1"/>
  <c r="K1762" i="1"/>
  <c r="K1772" i="1"/>
  <c r="K1782" i="1"/>
  <c r="K1792" i="1"/>
  <c r="K1802" i="1"/>
  <c r="J12" i="1"/>
  <c r="J22" i="1"/>
  <c r="J32" i="1"/>
  <c r="J42" i="1"/>
  <c r="J52" i="1"/>
  <c r="J62" i="1"/>
  <c r="J72" i="1"/>
  <c r="J82" i="1"/>
  <c r="J92" i="1"/>
  <c r="J102" i="1"/>
  <c r="J112" i="1"/>
  <c r="J122" i="1"/>
  <c r="J132" i="1"/>
  <c r="J142" i="1"/>
  <c r="J152" i="1"/>
  <c r="J162" i="1"/>
  <c r="J172" i="1"/>
  <c r="J182" i="1"/>
  <c r="J192" i="1"/>
  <c r="J202" i="1"/>
  <c r="J212" i="1"/>
  <c r="J222" i="1"/>
  <c r="J232" i="1"/>
  <c r="J242" i="1"/>
  <c r="J252" i="1"/>
  <c r="J262" i="1"/>
  <c r="J272" i="1"/>
  <c r="J282" i="1"/>
  <c r="J292" i="1"/>
  <c r="J302" i="1"/>
  <c r="J312" i="1"/>
  <c r="J322" i="1"/>
  <c r="J332" i="1"/>
  <c r="J342" i="1"/>
  <c r="J352" i="1"/>
  <c r="J362" i="1"/>
  <c r="J372" i="1"/>
  <c r="J382" i="1"/>
  <c r="J392" i="1"/>
  <c r="J402" i="1"/>
  <c r="J412" i="1"/>
  <c r="J422" i="1"/>
  <c r="J432" i="1"/>
  <c r="J442" i="1"/>
  <c r="J452" i="1"/>
  <c r="J462" i="1"/>
  <c r="J472" i="1"/>
  <c r="J482" i="1"/>
  <c r="J492" i="1"/>
  <c r="J502" i="1"/>
  <c r="J512" i="1"/>
  <c r="J522" i="1"/>
  <c r="J532" i="1"/>
  <c r="J542" i="1"/>
  <c r="J552" i="1"/>
  <c r="J562" i="1"/>
  <c r="J572" i="1"/>
  <c r="J582" i="1"/>
  <c r="J592" i="1"/>
  <c r="J602" i="1"/>
  <c r="J612" i="1"/>
  <c r="J622" i="1"/>
  <c r="J632" i="1"/>
  <c r="J642" i="1"/>
  <c r="J652" i="1"/>
  <c r="J662" i="1"/>
  <c r="J672" i="1"/>
  <c r="J682" i="1"/>
  <c r="J692" i="1"/>
  <c r="J702" i="1"/>
  <c r="J712" i="1"/>
  <c r="J722" i="1"/>
  <c r="J732" i="1"/>
  <c r="J742" i="1"/>
  <c r="J752" i="1"/>
  <c r="J762" i="1"/>
  <c r="J772" i="1"/>
  <c r="J782" i="1"/>
  <c r="J792" i="1"/>
  <c r="J802" i="1"/>
  <c r="J812" i="1"/>
  <c r="J822" i="1"/>
  <c r="J832" i="1"/>
  <c r="K565" i="1"/>
  <c r="K589" i="1"/>
  <c r="K615" i="1"/>
  <c r="K636" i="1"/>
  <c r="K655" i="1"/>
  <c r="K672" i="1"/>
  <c r="K688" i="1"/>
  <c r="K704" i="1"/>
  <c r="K718" i="1"/>
  <c r="K731" i="1"/>
  <c r="K743" i="1"/>
  <c r="K755" i="1"/>
  <c r="K768" i="1"/>
  <c r="K781" i="1"/>
  <c r="K793" i="1"/>
  <c r="K805" i="1"/>
  <c r="K818" i="1"/>
  <c r="K831" i="1"/>
  <c r="K843" i="1"/>
  <c r="K855" i="1"/>
  <c r="K868" i="1"/>
  <c r="K881" i="1"/>
  <c r="K892" i="1"/>
  <c r="K903" i="1"/>
  <c r="K914" i="1"/>
  <c r="K925" i="1"/>
  <c r="K936" i="1"/>
  <c r="K947" i="1"/>
  <c r="K958" i="1"/>
  <c r="K969" i="1"/>
  <c r="K981" i="1"/>
  <c r="K992" i="1"/>
  <c r="K1003" i="1"/>
  <c r="K1013" i="1"/>
  <c r="K1023" i="1"/>
  <c r="K1033" i="1"/>
  <c r="K1043" i="1"/>
  <c r="K1053" i="1"/>
  <c r="K1063" i="1"/>
  <c r="K1073" i="1"/>
  <c r="K1083" i="1"/>
  <c r="K1093" i="1"/>
  <c r="K1103" i="1"/>
  <c r="K1113" i="1"/>
  <c r="K1123" i="1"/>
  <c r="K1133" i="1"/>
  <c r="K1143" i="1"/>
  <c r="K1153" i="1"/>
  <c r="K1163" i="1"/>
  <c r="K1173" i="1"/>
  <c r="K1183" i="1"/>
  <c r="K1193" i="1"/>
  <c r="K1203" i="1"/>
  <c r="K1213" i="1"/>
  <c r="K1223" i="1"/>
  <c r="K1233" i="1"/>
  <c r="K1243" i="1"/>
  <c r="K1253" i="1"/>
  <c r="K1263" i="1"/>
  <c r="K1273" i="1"/>
  <c r="K1283" i="1"/>
  <c r="K1293" i="1"/>
  <c r="K1303" i="1"/>
  <c r="K1313" i="1"/>
  <c r="K1323" i="1"/>
  <c r="K1333" i="1"/>
  <c r="K1343" i="1"/>
  <c r="K1353" i="1"/>
  <c r="K1363" i="1"/>
  <c r="K1373" i="1"/>
  <c r="K1383" i="1"/>
  <c r="K1393" i="1"/>
  <c r="K1403" i="1"/>
  <c r="K1413" i="1"/>
  <c r="K1423" i="1"/>
  <c r="K1433" i="1"/>
  <c r="K1443" i="1"/>
  <c r="K1453" i="1"/>
  <c r="K1463" i="1"/>
  <c r="K1473" i="1"/>
  <c r="K1483" i="1"/>
  <c r="K1493" i="1"/>
  <c r="K1503" i="1"/>
  <c r="K1513" i="1"/>
  <c r="K1523" i="1"/>
  <c r="K1533" i="1"/>
  <c r="K1543" i="1"/>
  <c r="K1553" i="1"/>
  <c r="K1563" i="1"/>
  <c r="K1573" i="1"/>
  <c r="K1583" i="1"/>
  <c r="K1593" i="1"/>
  <c r="K1603" i="1"/>
  <c r="K1613" i="1"/>
  <c r="K1623" i="1"/>
  <c r="K1633" i="1"/>
  <c r="K1643" i="1"/>
  <c r="K1653" i="1"/>
  <c r="K1663" i="1"/>
  <c r="K1673" i="1"/>
  <c r="K1683" i="1"/>
  <c r="K1693" i="1"/>
  <c r="K1703" i="1"/>
  <c r="K1713" i="1"/>
  <c r="K1723" i="1"/>
  <c r="K1733" i="1"/>
  <c r="K1743" i="1"/>
  <c r="K1753" i="1"/>
  <c r="K1763" i="1"/>
  <c r="K1773" i="1"/>
  <c r="K1783" i="1"/>
  <c r="K1793" i="1"/>
  <c r="J3" i="1"/>
  <c r="J13" i="1"/>
  <c r="J23" i="1"/>
  <c r="J33" i="1"/>
  <c r="J43" i="1"/>
  <c r="J53" i="1"/>
  <c r="J63" i="1"/>
  <c r="J73" i="1"/>
  <c r="J83" i="1"/>
  <c r="J93" i="1"/>
  <c r="J103" i="1"/>
  <c r="J113" i="1"/>
  <c r="J123" i="1"/>
  <c r="J133" i="1"/>
  <c r="J143" i="1"/>
  <c r="J153" i="1"/>
  <c r="J163" i="1"/>
  <c r="J173" i="1"/>
  <c r="J183" i="1"/>
  <c r="J193" i="1"/>
  <c r="J203" i="1"/>
  <c r="J213" i="1"/>
  <c r="J223" i="1"/>
  <c r="J233" i="1"/>
  <c r="J243" i="1"/>
  <c r="J253" i="1"/>
  <c r="J263" i="1"/>
  <c r="J273" i="1"/>
  <c r="J283" i="1"/>
  <c r="J293" i="1"/>
  <c r="J303" i="1"/>
  <c r="J313" i="1"/>
  <c r="J323" i="1"/>
  <c r="J333" i="1"/>
  <c r="J343" i="1"/>
  <c r="J353" i="1"/>
  <c r="J363" i="1"/>
  <c r="J373" i="1"/>
  <c r="J383" i="1"/>
  <c r="J393" i="1"/>
  <c r="J403" i="1"/>
  <c r="J413" i="1"/>
  <c r="J423" i="1"/>
  <c r="J433" i="1"/>
  <c r="J443" i="1"/>
  <c r="J453" i="1"/>
  <c r="J463" i="1"/>
  <c r="J473" i="1"/>
  <c r="J483" i="1"/>
  <c r="J493" i="1"/>
  <c r="J503" i="1"/>
  <c r="J513" i="1"/>
  <c r="J523" i="1"/>
  <c r="J533" i="1"/>
  <c r="J543" i="1"/>
  <c r="J553" i="1"/>
  <c r="J563" i="1"/>
  <c r="J573" i="1"/>
  <c r="J583" i="1"/>
  <c r="J593" i="1"/>
  <c r="J603" i="1"/>
  <c r="J613" i="1"/>
  <c r="J623" i="1"/>
  <c r="J633" i="1"/>
  <c r="J643" i="1"/>
  <c r="J653" i="1"/>
  <c r="J663" i="1"/>
  <c r="J673" i="1"/>
  <c r="J683" i="1"/>
  <c r="J693" i="1"/>
  <c r="J703" i="1"/>
  <c r="J713" i="1"/>
  <c r="J723" i="1"/>
  <c r="J733" i="1"/>
  <c r="J743" i="1"/>
  <c r="J753" i="1"/>
  <c r="J763" i="1"/>
  <c r="J773" i="1"/>
  <c r="J783" i="1"/>
  <c r="J793" i="1"/>
  <c r="J803" i="1"/>
  <c r="J813" i="1"/>
  <c r="J823" i="1"/>
  <c r="J833" i="1"/>
  <c r="J843" i="1"/>
  <c r="J853" i="1"/>
  <c r="J863" i="1"/>
  <c r="J873" i="1"/>
  <c r="J883" i="1"/>
  <c r="J893" i="1"/>
  <c r="J903" i="1"/>
  <c r="J913" i="1"/>
  <c r="J923" i="1"/>
  <c r="J933" i="1"/>
  <c r="J943" i="1"/>
  <c r="J953" i="1"/>
  <c r="J963" i="1"/>
  <c r="J973" i="1"/>
  <c r="J983" i="1"/>
  <c r="J993" i="1"/>
  <c r="J1003" i="1"/>
  <c r="J824" i="1"/>
  <c r="J865" i="1"/>
  <c r="J902" i="1"/>
  <c r="J934" i="1"/>
  <c r="J965" i="1"/>
  <c r="J994" i="1"/>
  <c r="J1015" i="1"/>
  <c r="J1034" i="1"/>
  <c r="J1052" i="1"/>
  <c r="J1067" i="1"/>
  <c r="J1084" i="1"/>
  <c r="J1101" i="1"/>
  <c r="J1114" i="1"/>
  <c r="J1126" i="1"/>
  <c r="J1138" i="1"/>
  <c r="J1152" i="1"/>
  <c r="J1164" i="1"/>
  <c r="J1176" i="1"/>
  <c r="J1188" i="1"/>
  <c r="J1200" i="1"/>
  <c r="J1211" i="1"/>
  <c r="J1222" i="1"/>
  <c r="J1233" i="1"/>
  <c r="J1244" i="1"/>
  <c r="J1255" i="1"/>
  <c r="J1266" i="1"/>
  <c r="J1277" i="1"/>
  <c r="J1288" i="1"/>
  <c r="J1300" i="1"/>
  <c r="J1311" i="1"/>
  <c r="J1322" i="1"/>
  <c r="J1333" i="1"/>
  <c r="J1344" i="1"/>
  <c r="J1355" i="1"/>
  <c r="J1366" i="1"/>
  <c r="J1377" i="1"/>
  <c r="J1388" i="1"/>
  <c r="J1400" i="1"/>
  <c r="J1411" i="1"/>
  <c r="J1422" i="1"/>
  <c r="J1432" i="1"/>
  <c r="J1442" i="1"/>
  <c r="J1452" i="1"/>
  <c r="J1462" i="1"/>
  <c r="J1472" i="1"/>
  <c r="J1482" i="1"/>
  <c r="J1492" i="1"/>
  <c r="J1502" i="1"/>
  <c r="J1512" i="1"/>
  <c r="J1522" i="1"/>
  <c r="J1532" i="1"/>
  <c r="J1542" i="1"/>
  <c r="J1552" i="1"/>
  <c r="J1562" i="1"/>
  <c r="J1572" i="1"/>
  <c r="J1582" i="1"/>
  <c r="J1592" i="1"/>
  <c r="J1602" i="1"/>
  <c r="J1612" i="1"/>
  <c r="J1622" i="1"/>
  <c r="J1632" i="1"/>
  <c r="J1642" i="1"/>
  <c r="J1652" i="1"/>
  <c r="J1662" i="1"/>
  <c r="J1672" i="1"/>
  <c r="J1682" i="1"/>
  <c r="J1692" i="1"/>
  <c r="J1702" i="1"/>
  <c r="J1712" i="1"/>
  <c r="J1722" i="1"/>
  <c r="J1732" i="1"/>
  <c r="J1742" i="1"/>
  <c r="J1752" i="1"/>
  <c r="J1762" i="1"/>
  <c r="J1772" i="1"/>
  <c r="J1782" i="1"/>
  <c r="J1792" i="1"/>
  <c r="J1802" i="1"/>
  <c r="I12" i="1"/>
  <c r="I22" i="1"/>
  <c r="I32" i="1"/>
  <c r="I42" i="1"/>
  <c r="I52" i="1"/>
  <c r="I62" i="1"/>
  <c r="I72" i="1"/>
  <c r="I82" i="1"/>
  <c r="I92" i="1"/>
  <c r="I102" i="1"/>
  <c r="I112" i="1"/>
  <c r="I122" i="1"/>
  <c r="I132" i="1"/>
  <c r="I142" i="1"/>
  <c r="I152" i="1"/>
  <c r="I162" i="1"/>
  <c r="I172" i="1"/>
  <c r="I182" i="1"/>
  <c r="I192" i="1"/>
  <c r="I202" i="1"/>
  <c r="I212" i="1"/>
  <c r="I222" i="1"/>
  <c r="I232" i="1"/>
  <c r="I242" i="1"/>
  <c r="I252" i="1"/>
  <c r="I262" i="1"/>
  <c r="I272" i="1"/>
  <c r="I282" i="1"/>
  <c r="I292" i="1"/>
  <c r="I302" i="1"/>
  <c r="I312" i="1"/>
  <c r="I322" i="1"/>
  <c r="I332" i="1"/>
  <c r="I342" i="1"/>
  <c r="I352" i="1"/>
  <c r="I362" i="1"/>
  <c r="I372" i="1"/>
  <c r="I382" i="1"/>
  <c r="I392" i="1"/>
  <c r="I402" i="1"/>
  <c r="I412" i="1"/>
  <c r="I422" i="1"/>
  <c r="I432" i="1"/>
  <c r="I442" i="1"/>
  <c r="I452" i="1"/>
  <c r="I462" i="1"/>
  <c r="I472" i="1"/>
  <c r="I482" i="1"/>
  <c r="I492" i="1"/>
  <c r="I502" i="1"/>
  <c r="I512" i="1"/>
  <c r="I522" i="1"/>
  <c r="I532" i="1"/>
  <c r="I542" i="1"/>
  <c r="I552" i="1"/>
  <c r="I562" i="1"/>
  <c r="I572" i="1"/>
  <c r="I582" i="1"/>
  <c r="I592" i="1"/>
  <c r="I602" i="1"/>
  <c r="I612" i="1"/>
  <c r="I622" i="1"/>
  <c r="I632" i="1"/>
  <c r="I642" i="1"/>
  <c r="I652" i="1"/>
  <c r="I662" i="1"/>
  <c r="I672" i="1"/>
  <c r="I682" i="1"/>
  <c r="I692" i="1"/>
  <c r="I702" i="1"/>
  <c r="I712" i="1"/>
  <c r="I722" i="1"/>
  <c r="I732" i="1"/>
  <c r="I742" i="1"/>
  <c r="I752" i="1"/>
  <c r="I762" i="1"/>
  <c r="I772" i="1"/>
  <c r="I782" i="1"/>
  <c r="I792" i="1"/>
  <c r="I802" i="1"/>
  <c r="I812" i="1"/>
  <c r="I822" i="1"/>
  <c r="I832" i="1"/>
  <c r="I842" i="1"/>
  <c r="I852" i="1"/>
  <c r="I862" i="1"/>
  <c r="I872" i="1"/>
  <c r="I882" i="1"/>
  <c r="I892" i="1"/>
  <c r="I902" i="1"/>
  <c r="I912" i="1"/>
  <c r="I922" i="1"/>
  <c r="I932" i="1"/>
  <c r="I942" i="1"/>
  <c r="I952" i="1"/>
  <c r="I962" i="1"/>
  <c r="I972" i="1"/>
  <c r="I982" i="1"/>
  <c r="I992" i="1"/>
  <c r="I1002" i="1"/>
  <c r="I1012" i="1"/>
  <c r="I1022" i="1"/>
  <c r="I1032" i="1"/>
  <c r="I1042" i="1"/>
  <c r="I1052" i="1"/>
  <c r="I1062" i="1"/>
  <c r="I1072" i="1"/>
  <c r="I1082" i="1"/>
  <c r="I1092" i="1"/>
  <c r="I1102" i="1"/>
  <c r="I1112" i="1"/>
  <c r="I1122" i="1"/>
  <c r="I1132" i="1"/>
  <c r="I1142" i="1"/>
  <c r="I1152" i="1"/>
  <c r="I1162" i="1"/>
  <c r="I1172" i="1"/>
  <c r="I1182" i="1"/>
  <c r="I1192" i="1"/>
  <c r="I1202" i="1"/>
  <c r="I1212" i="1"/>
  <c r="I1222" i="1"/>
  <c r="I1232" i="1"/>
  <c r="I1242" i="1"/>
  <c r="I1252" i="1"/>
  <c r="I1262" i="1"/>
  <c r="I1272" i="1"/>
  <c r="I1282" i="1"/>
  <c r="I1292" i="1"/>
  <c r="I1302" i="1"/>
  <c r="I1312" i="1"/>
  <c r="I1322" i="1"/>
  <c r="I1332" i="1"/>
  <c r="I1342" i="1"/>
  <c r="I1352" i="1"/>
  <c r="I1362" i="1"/>
  <c r="I1372" i="1"/>
  <c r="I1382" i="1"/>
  <c r="I1392" i="1"/>
  <c r="I1402" i="1"/>
  <c r="I1412" i="1"/>
  <c r="I1422" i="1"/>
  <c r="I1432" i="1"/>
  <c r="I1442" i="1"/>
  <c r="I1452" i="1"/>
  <c r="I1462" i="1"/>
  <c r="J834" i="1"/>
  <c r="J872" i="1"/>
  <c r="J904" i="1"/>
  <c r="J935" i="1"/>
  <c r="J972" i="1"/>
  <c r="J995" i="1"/>
  <c r="J1018" i="1"/>
  <c r="J1035" i="1"/>
  <c r="J1053" i="1"/>
  <c r="J1068" i="1"/>
  <c r="J1085" i="1"/>
  <c r="J1102" i="1"/>
  <c r="J1115" i="1"/>
  <c r="J1127" i="1"/>
  <c r="J1141" i="1"/>
  <c r="J1153" i="1"/>
  <c r="J1165" i="1"/>
  <c r="J1177" i="1"/>
  <c r="J1190" i="1"/>
  <c r="J1201" i="1"/>
  <c r="J1212" i="1"/>
  <c r="J1223" i="1"/>
  <c r="J1234" i="1"/>
  <c r="J1245" i="1"/>
  <c r="J1256" i="1"/>
  <c r="J1267" i="1"/>
  <c r="J1278" i="1"/>
  <c r="J1290" i="1"/>
  <c r="J1301" i="1"/>
  <c r="J1312" i="1"/>
  <c r="J1323" i="1"/>
  <c r="J1334" i="1"/>
  <c r="J1345" i="1"/>
  <c r="J1356" i="1"/>
  <c r="J1367" i="1"/>
  <c r="J1378" i="1"/>
  <c r="J1390" i="1"/>
  <c r="J1401" i="1"/>
  <c r="J1412" i="1"/>
  <c r="J1423" i="1"/>
  <c r="J1433" i="1"/>
  <c r="J1443" i="1"/>
  <c r="J1453" i="1"/>
  <c r="J1463" i="1"/>
  <c r="J1473" i="1"/>
  <c r="J1483" i="1"/>
  <c r="J1493" i="1"/>
  <c r="J1503" i="1"/>
  <c r="J1513" i="1"/>
  <c r="J1523" i="1"/>
  <c r="J1533" i="1"/>
  <c r="J1543" i="1"/>
  <c r="J1553" i="1"/>
  <c r="J1563" i="1"/>
  <c r="J1573" i="1"/>
  <c r="J1583" i="1"/>
  <c r="J1593" i="1"/>
  <c r="J1603" i="1"/>
  <c r="J1613" i="1"/>
  <c r="J1623" i="1"/>
  <c r="J1633" i="1"/>
  <c r="J1643" i="1"/>
  <c r="J1653" i="1"/>
  <c r="J1663" i="1"/>
  <c r="J1673" i="1"/>
  <c r="J1683" i="1"/>
  <c r="J1693" i="1"/>
  <c r="J1703" i="1"/>
  <c r="J1713" i="1"/>
  <c r="J1723" i="1"/>
  <c r="J1733" i="1"/>
  <c r="J1743" i="1"/>
  <c r="J1753" i="1"/>
  <c r="J1763" i="1"/>
  <c r="J1773" i="1"/>
  <c r="J1783" i="1"/>
  <c r="J1793" i="1"/>
  <c r="I3" i="1"/>
  <c r="I13" i="1"/>
  <c r="I23" i="1"/>
  <c r="I33" i="1"/>
  <c r="I43" i="1"/>
  <c r="I53" i="1"/>
  <c r="I63" i="1"/>
  <c r="I73" i="1"/>
  <c r="I83" i="1"/>
  <c r="I93" i="1"/>
  <c r="I103" i="1"/>
  <c r="I113" i="1"/>
  <c r="I123" i="1"/>
  <c r="I133" i="1"/>
  <c r="I143" i="1"/>
  <c r="I153" i="1"/>
  <c r="I163" i="1"/>
  <c r="I173" i="1"/>
  <c r="I183" i="1"/>
  <c r="I193" i="1"/>
  <c r="I203" i="1"/>
  <c r="I213" i="1"/>
  <c r="I223" i="1"/>
  <c r="I233" i="1"/>
  <c r="I243" i="1"/>
  <c r="I253" i="1"/>
  <c r="I263" i="1"/>
  <c r="I273" i="1"/>
  <c r="I283" i="1"/>
  <c r="I293" i="1"/>
  <c r="I303" i="1"/>
  <c r="I313" i="1"/>
  <c r="I323" i="1"/>
  <c r="I333" i="1"/>
  <c r="I343" i="1"/>
  <c r="I353" i="1"/>
  <c r="I363" i="1"/>
  <c r="I373" i="1"/>
  <c r="I383" i="1"/>
  <c r="I393" i="1"/>
  <c r="I403" i="1"/>
  <c r="I413" i="1"/>
  <c r="I423" i="1"/>
  <c r="I433" i="1"/>
  <c r="I443" i="1"/>
  <c r="I453" i="1"/>
  <c r="I463" i="1"/>
  <c r="I473" i="1"/>
  <c r="I483" i="1"/>
  <c r="I493" i="1"/>
  <c r="I503" i="1"/>
  <c r="I513" i="1"/>
  <c r="I523" i="1"/>
  <c r="I533" i="1"/>
  <c r="I543" i="1"/>
  <c r="I553" i="1"/>
  <c r="I563" i="1"/>
  <c r="I573" i="1"/>
  <c r="I583" i="1"/>
  <c r="I593" i="1"/>
  <c r="I603" i="1"/>
  <c r="I613" i="1"/>
  <c r="I623" i="1"/>
  <c r="I633" i="1"/>
  <c r="I643" i="1"/>
  <c r="I653" i="1"/>
  <c r="I663" i="1"/>
  <c r="I673" i="1"/>
  <c r="I683" i="1"/>
  <c r="I693" i="1"/>
  <c r="I703" i="1"/>
  <c r="I713" i="1"/>
  <c r="I723" i="1"/>
  <c r="I733" i="1"/>
  <c r="I743" i="1"/>
  <c r="I753" i="1"/>
  <c r="I763" i="1"/>
  <c r="I773" i="1"/>
  <c r="I783" i="1"/>
  <c r="I793" i="1"/>
  <c r="I803" i="1"/>
  <c r="I813" i="1"/>
  <c r="I823" i="1"/>
  <c r="I833" i="1"/>
  <c r="I843" i="1"/>
  <c r="I853" i="1"/>
  <c r="I863" i="1"/>
  <c r="I873" i="1"/>
  <c r="I883" i="1"/>
  <c r="I893" i="1"/>
  <c r="I903" i="1"/>
  <c r="I913" i="1"/>
  <c r="I923" i="1"/>
  <c r="I933" i="1"/>
  <c r="I943" i="1"/>
  <c r="I953" i="1"/>
  <c r="I963" i="1"/>
  <c r="I973" i="1"/>
  <c r="I983" i="1"/>
  <c r="I993" i="1"/>
  <c r="I1003" i="1"/>
  <c r="I1013" i="1"/>
  <c r="I1023" i="1"/>
  <c r="I1033" i="1"/>
  <c r="I1043" i="1"/>
  <c r="I1053" i="1"/>
  <c r="I1063" i="1"/>
  <c r="I1073" i="1"/>
  <c r="I1083" i="1"/>
  <c r="I1093" i="1"/>
  <c r="I1103" i="1"/>
  <c r="I1113" i="1"/>
  <c r="I1123" i="1"/>
  <c r="I1133" i="1"/>
  <c r="I1143" i="1"/>
  <c r="I1153" i="1"/>
  <c r="I1163" i="1"/>
  <c r="I1173" i="1"/>
  <c r="I1183" i="1"/>
  <c r="I1193" i="1"/>
  <c r="I1203" i="1"/>
  <c r="I1213" i="1"/>
  <c r="I1223" i="1"/>
  <c r="I1233" i="1"/>
  <c r="I1243" i="1"/>
  <c r="I1253" i="1"/>
  <c r="I1263" i="1"/>
  <c r="I1273" i="1"/>
  <c r="I1283" i="1"/>
  <c r="I1293" i="1"/>
  <c r="I1303" i="1"/>
  <c r="I1313" i="1"/>
  <c r="I1323" i="1"/>
  <c r="I1333" i="1"/>
  <c r="I1343" i="1"/>
  <c r="I1353" i="1"/>
  <c r="I1363" i="1"/>
  <c r="I1373" i="1"/>
  <c r="I1383" i="1"/>
  <c r="I1393" i="1"/>
  <c r="I1403" i="1"/>
  <c r="I1413" i="1"/>
  <c r="I1423" i="1"/>
  <c r="I1433" i="1"/>
  <c r="I1443" i="1"/>
  <c r="I1453" i="1"/>
  <c r="I1463" i="1"/>
  <c r="I1473" i="1"/>
  <c r="I1483" i="1"/>
  <c r="I1493" i="1"/>
  <c r="I1503" i="1"/>
  <c r="I1513" i="1"/>
  <c r="I1523" i="1"/>
  <c r="I1533" i="1"/>
  <c r="I1543" i="1"/>
  <c r="I1553" i="1"/>
  <c r="I1563" i="1"/>
  <c r="I1573" i="1"/>
  <c r="I1583" i="1"/>
  <c r="J842" i="1"/>
  <c r="J874" i="1"/>
  <c r="J905" i="1"/>
  <c r="J942" i="1"/>
  <c r="J974" i="1"/>
  <c r="J998" i="1"/>
  <c r="J1022" i="1"/>
  <c r="J1037" i="1"/>
  <c r="J1054" i="1"/>
  <c r="J1072" i="1"/>
  <c r="J1087" i="1"/>
  <c r="J1103" i="1"/>
  <c r="J1116" i="1"/>
  <c r="J1128" i="1"/>
  <c r="J1142" i="1"/>
  <c r="J1154" i="1"/>
  <c r="J1166" i="1"/>
  <c r="J1178" i="1"/>
  <c r="J1191" i="1"/>
  <c r="J1202" i="1"/>
  <c r="J1213" i="1"/>
  <c r="J1224" i="1"/>
  <c r="J1235" i="1"/>
  <c r="J1246" i="1"/>
  <c r="J1257" i="1"/>
  <c r="J1268" i="1"/>
  <c r="J1280" i="1"/>
  <c r="J1291" i="1"/>
  <c r="J1302" i="1"/>
  <c r="J1313" i="1"/>
  <c r="J1324" i="1"/>
  <c r="J1335" i="1"/>
  <c r="J1346" i="1"/>
  <c r="J1357" i="1"/>
  <c r="J1368" i="1"/>
  <c r="J1380" i="1"/>
  <c r="J1391" i="1"/>
  <c r="J1402" i="1"/>
  <c r="J1413" i="1"/>
  <c r="J1424" i="1"/>
  <c r="J1434" i="1"/>
  <c r="J1444" i="1"/>
  <c r="J1454" i="1"/>
  <c r="J1464" i="1"/>
  <c r="J1474" i="1"/>
  <c r="J1484" i="1"/>
  <c r="J1494" i="1"/>
  <c r="J1504" i="1"/>
  <c r="J1514" i="1"/>
  <c r="J1524" i="1"/>
  <c r="J1534" i="1"/>
  <c r="J1544" i="1"/>
  <c r="J1554" i="1"/>
  <c r="J1564" i="1"/>
  <c r="J1574" i="1"/>
  <c r="J1584" i="1"/>
  <c r="J1594" i="1"/>
  <c r="J1604" i="1"/>
  <c r="J1614" i="1"/>
  <c r="J1624" i="1"/>
  <c r="J1634" i="1"/>
  <c r="J1644" i="1"/>
  <c r="J1654" i="1"/>
  <c r="J1664" i="1"/>
  <c r="J1674" i="1"/>
  <c r="J1684" i="1"/>
  <c r="J1694" i="1"/>
  <c r="J1704" i="1"/>
  <c r="J1714" i="1"/>
  <c r="J1724" i="1"/>
  <c r="J1734" i="1"/>
  <c r="J1744" i="1"/>
  <c r="J1754" i="1"/>
  <c r="J1764" i="1"/>
  <c r="J1774" i="1"/>
  <c r="J1784" i="1"/>
  <c r="J1794" i="1"/>
  <c r="I4" i="1"/>
  <c r="I14" i="1"/>
  <c r="I24" i="1"/>
  <c r="I34" i="1"/>
  <c r="I44" i="1"/>
  <c r="I54" i="1"/>
  <c r="I64" i="1"/>
  <c r="I74" i="1"/>
  <c r="I84" i="1"/>
  <c r="I94" i="1"/>
  <c r="I104" i="1"/>
  <c r="I114" i="1"/>
  <c r="I124" i="1"/>
  <c r="I134" i="1"/>
  <c r="I144" i="1"/>
  <c r="I154" i="1"/>
  <c r="I164" i="1"/>
  <c r="I174" i="1"/>
  <c r="I184" i="1"/>
  <c r="I194" i="1"/>
  <c r="I204" i="1"/>
  <c r="I214" i="1"/>
  <c r="I224" i="1"/>
  <c r="I234" i="1"/>
  <c r="I244" i="1"/>
  <c r="I254" i="1"/>
  <c r="I264" i="1"/>
  <c r="I274" i="1"/>
  <c r="I284" i="1"/>
  <c r="I294" i="1"/>
  <c r="I304" i="1"/>
  <c r="I314" i="1"/>
  <c r="I324" i="1"/>
  <c r="I334" i="1"/>
  <c r="I344" i="1"/>
  <c r="I354" i="1"/>
  <c r="I364" i="1"/>
  <c r="I374" i="1"/>
  <c r="I384" i="1"/>
  <c r="I394" i="1"/>
  <c r="I404" i="1"/>
  <c r="I414" i="1"/>
  <c r="I424" i="1"/>
  <c r="I434" i="1"/>
  <c r="I444" i="1"/>
  <c r="I454" i="1"/>
  <c r="I464" i="1"/>
  <c r="I474" i="1"/>
  <c r="I484" i="1"/>
  <c r="I494" i="1"/>
  <c r="I504" i="1"/>
  <c r="I514" i="1"/>
  <c r="I524" i="1"/>
  <c r="I534" i="1"/>
  <c r="I544" i="1"/>
  <c r="I554" i="1"/>
  <c r="I564" i="1"/>
  <c r="I574" i="1"/>
  <c r="I584" i="1"/>
  <c r="I594" i="1"/>
  <c r="I604" i="1"/>
  <c r="I614" i="1"/>
  <c r="I624" i="1"/>
  <c r="I634" i="1"/>
  <c r="I644" i="1"/>
  <c r="I654" i="1"/>
  <c r="I664" i="1"/>
  <c r="I674" i="1"/>
  <c r="I684" i="1"/>
  <c r="I694" i="1"/>
  <c r="I704" i="1"/>
  <c r="I714" i="1"/>
  <c r="I724" i="1"/>
  <c r="I734" i="1"/>
  <c r="I744" i="1"/>
  <c r="I754" i="1"/>
  <c r="I764" i="1"/>
  <c r="I774" i="1"/>
  <c r="I784" i="1"/>
  <c r="I794" i="1"/>
  <c r="I804" i="1"/>
  <c r="I814" i="1"/>
  <c r="I824" i="1"/>
  <c r="I834" i="1"/>
  <c r="I844" i="1"/>
  <c r="I854" i="1"/>
  <c r="I864" i="1"/>
  <c r="I874" i="1"/>
  <c r="I884" i="1"/>
  <c r="I894" i="1"/>
  <c r="I904" i="1"/>
  <c r="I914" i="1"/>
  <c r="I924" i="1"/>
  <c r="I934" i="1"/>
  <c r="I944" i="1"/>
  <c r="I954" i="1"/>
  <c r="I964" i="1"/>
  <c r="I974" i="1"/>
  <c r="I984" i="1"/>
  <c r="I994" i="1"/>
  <c r="I1004" i="1"/>
  <c r="I1014" i="1"/>
  <c r="I1024" i="1"/>
  <c r="I1034" i="1"/>
  <c r="I1044" i="1"/>
  <c r="I1054" i="1"/>
  <c r="I1064" i="1"/>
  <c r="I1074" i="1"/>
  <c r="I1084" i="1"/>
  <c r="I1094" i="1"/>
  <c r="I1104" i="1"/>
  <c r="I1114" i="1"/>
  <c r="I1124" i="1"/>
  <c r="I1134" i="1"/>
  <c r="I1144" i="1"/>
  <c r="I1154" i="1"/>
  <c r="I1164" i="1"/>
  <c r="I1174" i="1"/>
  <c r="I1184" i="1"/>
  <c r="I1194" i="1"/>
  <c r="I1204" i="1"/>
  <c r="I1214" i="1"/>
  <c r="I1224" i="1"/>
  <c r="I1234" i="1"/>
  <c r="I1244" i="1"/>
  <c r="I1254" i="1"/>
  <c r="I1264" i="1"/>
  <c r="I1274" i="1"/>
  <c r="I1284" i="1"/>
  <c r="I1294" i="1"/>
  <c r="I1304" i="1"/>
  <c r="I1314" i="1"/>
  <c r="I1324" i="1"/>
  <c r="I1334" i="1"/>
  <c r="I1344" i="1"/>
  <c r="I1354" i="1"/>
  <c r="I1364" i="1"/>
  <c r="I1374" i="1"/>
  <c r="I1384" i="1"/>
  <c r="I1394" i="1"/>
  <c r="I1404" i="1"/>
  <c r="I1414" i="1"/>
  <c r="I1424" i="1"/>
  <c r="I1434" i="1"/>
  <c r="I1444" i="1"/>
  <c r="I1454" i="1"/>
  <c r="I1464" i="1"/>
  <c r="I1474" i="1"/>
  <c r="I1484" i="1"/>
  <c r="I1494" i="1"/>
  <c r="I1504" i="1"/>
  <c r="I1514" i="1"/>
  <c r="I1524" i="1"/>
  <c r="I1534" i="1"/>
  <c r="I1544" i="1"/>
  <c r="I1554" i="1"/>
  <c r="I1564" i="1"/>
  <c r="I1574" i="1"/>
  <c r="I1584" i="1"/>
  <c r="I1594" i="1"/>
  <c r="I1604" i="1"/>
  <c r="I1614" i="1"/>
  <c r="I1624" i="1"/>
  <c r="I1634" i="1"/>
  <c r="I1644" i="1"/>
  <c r="I1654" i="1"/>
  <c r="I1664" i="1"/>
  <c r="I1674" i="1"/>
  <c r="I1684" i="1"/>
  <c r="I1694" i="1"/>
  <c r="I1704" i="1"/>
  <c r="I1714" i="1"/>
  <c r="I1724" i="1"/>
  <c r="I1734" i="1"/>
  <c r="I1744" i="1"/>
  <c r="I1754" i="1"/>
  <c r="J844" i="1"/>
  <c r="J875" i="1"/>
  <c r="J912" i="1"/>
  <c r="J944" i="1"/>
  <c r="J975" i="1"/>
  <c r="J1002" i="1"/>
  <c r="J1023" i="1"/>
  <c r="J1038" i="1"/>
  <c r="J1055" i="1"/>
  <c r="J1073" i="1"/>
  <c r="J1088" i="1"/>
  <c r="J1104" i="1"/>
  <c r="J1117" i="1"/>
  <c r="J1131" i="1"/>
  <c r="J1143" i="1"/>
  <c r="J1155" i="1"/>
  <c r="J1167" i="1"/>
  <c r="J1181" i="1"/>
  <c r="J1192" i="1"/>
  <c r="J1203" i="1"/>
  <c r="J1214" i="1"/>
  <c r="J1225" i="1"/>
  <c r="J1236" i="1"/>
  <c r="J1247" i="1"/>
  <c r="J1258" i="1"/>
  <c r="J1270" i="1"/>
  <c r="J1281" i="1"/>
  <c r="J1292" i="1"/>
  <c r="J1303" i="1"/>
  <c r="J1314" i="1"/>
  <c r="J1325" i="1"/>
  <c r="J1336" i="1"/>
  <c r="J1347" i="1"/>
  <c r="J1358" i="1"/>
  <c r="J1370" i="1"/>
  <c r="J1381" i="1"/>
  <c r="J1392" i="1"/>
  <c r="J1403" i="1"/>
  <c r="J1414" i="1"/>
  <c r="J1425" i="1"/>
  <c r="J1435" i="1"/>
  <c r="J1445" i="1"/>
  <c r="J1455" i="1"/>
  <c r="J1465" i="1"/>
  <c r="J1475" i="1"/>
  <c r="J1485" i="1"/>
  <c r="J1495" i="1"/>
  <c r="J1505" i="1"/>
  <c r="J1515" i="1"/>
  <c r="J1525" i="1"/>
  <c r="J1535" i="1"/>
  <c r="J1545" i="1"/>
  <c r="J1555" i="1"/>
  <c r="J1565" i="1"/>
  <c r="J1575" i="1"/>
  <c r="J1585" i="1"/>
  <c r="J1595" i="1"/>
  <c r="J1605" i="1"/>
  <c r="J1615" i="1"/>
  <c r="J1625" i="1"/>
  <c r="J1635" i="1"/>
  <c r="J1645" i="1"/>
  <c r="J1655" i="1"/>
  <c r="J1665" i="1"/>
  <c r="J1675" i="1"/>
  <c r="J1685" i="1"/>
  <c r="J1695" i="1"/>
  <c r="J1705" i="1"/>
  <c r="J1715" i="1"/>
  <c r="J1725" i="1"/>
  <c r="J1735" i="1"/>
  <c r="J1745" i="1"/>
  <c r="J1755" i="1"/>
  <c r="J1765" i="1"/>
  <c r="J1775" i="1"/>
  <c r="J1785" i="1"/>
  <c r="J1795" i="1"/>
  <c r="I5" i="1"/>
  <c r="I15" i="1"/>
  <c r="I25" i="1"/>
  <c r="I35" i="1"/>
  <c r="I45" i="1"/>
  <c r="I55" i="1"/>
  <c r="I65" i="1"/>
  <c r="I75" i="1"/>
  <c r="I85" i="1"/>
  <c r="I95" i="1"/>
  <c r="I105" i="1"/>
  <c r="I115" i="1"/>
  <c r="I125" i="1"/>
  <c r="I135" i="1"/>
  <c r="I145" i="1"/>
  <c r="I155" i="1"/>
  <c r="I165" i="1"/>
  <c r="I175" i="1"/>
  <c r="I185" i="1"/>
  <c r="I195" i="1"/>
  <c r="I205" i="1"/>
  <c r="I215" i="1"/>
  <c r="I225" i="1"/>
  <c r="I235" i="1"/>
  <c r="I245" i="1"/>
  <c r="I255" i="1"/>
  <c r="I265" i="1"/>
  <c r="I275" i="1"/>
  <c r="I285" i="1"/>
  <c r="I295" i="1"/>
  <c r="I305" i="1"/>
  <c r="I315" i="1"/>
  <c r="I325" i="1"/>
  <c r="I335" i="1"/>
  <c r="I345" i="1"/>
  <c r="I355" i="1"/>
  <c r="I365" i="1"/>
  <c r="I375" i="1"/>
  <c r="I385" i="1"/>
  <c r="I395" i="1"/>
  <c r="I405" i="1"/>
  <c r="I415" i="1"/>
  <c r="I425" i="1"/>
  <c r="I435" i="1"/>
  <c r="I445" i="1"/>
  <c r="I455" i="1"/>
  <c r="I465" i="1"/>
  <c r="I475" i="1"/>
  <c r="I485" i="1"/>
  <c r="I495" i="1"/>
  <c r="I505" i="1"/>
  <c r="I515" i="1"/>
  <c r="I525" i="1"/>
  <c r="I535" i="1"/>
  <c r="I545" i="1"/>
  <c r="I555" i="1"/>
  <c r="I565" i="1"/>
  <c r="I575" i="1"/>
  <c r="I585" i="1"/>
  <c r="I595" i="1"/>
  <c r="I605" i="1"/>
  <c r="I615" i="1"/>
  <c r="I625" i="1"/>
  <c r="I635" i="1"/>
  <c r="I645" i="1"/>
  <c r="I655" i="1"/>
  <c r="I665" i="1"/>
  <c r="I675" i="1"/>
  <c r="I685" i="1"/>
  <c r="I695" i="1"/>
  <c r="I705" i="1"/>
  <c r="I715" i="1"/>
  <c r="I725" i="1"/>
  <c r="I735" i="1"/>
  <c r="I745" i="1"/>
  <c r="I755" i="1"/>
  <c r="I765" i="1"/>
  <c r="I775" i="1"/>
  <c r="I785" i="1"/>
  <c r="I795" i="1"/>
  <c r="I805" i="1"/>
  <c r="I815" i="1"/>
  <c r="I825" i="1"/>
  <c r="I835" i="1"/>
  <c r="I845" i="1"/>
  <c r="I855" i="1"/>
  <c r="I865" i="1"/>
  <c r="I875" i="1"/>
  <c r="I885" i="1"/>
  <c r="I895" i="1"/>
  <c r="I905" i="1"/>
  <c r="I915" i="1"/>
  <c r="I925" i="1"/>
  <c r="I935" i="1"/>
  <c r="I945" i="1"/>
  <c r="I955" i="1"/>
  <c r="I965" i="1"/>
  <c r="I975" i="1"/>
  <c r="I985" i="1"/>
  <c r="I995" i="1"/>
  <c r="I1005" i="1"/>
  <c r="I1015" i="1"/>
  <c r="I1025" i="1"/>
  <c r="I1035" i="1"/>
  <c r="I1045" i="1"/>
  <c r="I1055" i="1"/>
  <c r="I1065" i="1"/>
  <c r="I1075" i="1"/>
  <c r="I1085" i="1"/>
  <c r="I1095" i="1"/>
  <c r="I1105" i="1"/>
  <c r="I1115" i="1"/>
  <c r="I1125" i="1"/>
  <c r="I1135" i="1"/>
  <c r="I1145" i="1"/>
  <c r="I1155" i="1"/>
  <c r="I1165" i="1"/>
  <c r="I1175" i="1"/>
  <c r="I1185" i="1"/>
  <c r="I1195" i="1"/>
  <c r="I1205" i="1"/>
  <c r="I1215" i="1"/>
  <c r="I1225" i="1"/>
  <c r="I1235" i="1"/>
  <c r="I1245" i="1"/>
  <c r="I1255" i="1"/>
  <c r="I1265" i="1"/>
  <c r="I1275" i="1"/>
  <c r="I1285" i="1"/>
  <c r="I1295" i="1"/>
  <c r="I1305" i="1"/>
  <c r="I1315" i="1"/>
  <c r="I1325" i="1"/>
  <c r="J845" i="1"/>
  <c r="J882" i="1"/>
  <c r="J914" i="1"/>
  <c r="J945" i="1"/>
  <c r="J978" i="1"/>
  <c r="J1004" i="1"/>
  <c r="J1024" i="1"/>
  <c r="J1042" i="1"/>
  <c r="J1057" i="1"/>
  <c r="J1074" i="1"/>
  <c r="J1092" i="1"/>
  <c r="J1105" i="1"/>
  <c r="J1118" i="1"/>
  <c r="J1132" i="1"/>
  <c r="J1144" i="1"/>
  <c r="J1156" i="1"/>
  <c r="J1168" i="1"/>
  <c r="J1182" i="1"/>
  <c r="J1193" i="1"/>
  <c r="J1204" i="1"/>
  <c r="J1215" i="1"/>
  <c r="J1226" i="1"/>
  <c r="J1237" i="1"/>
  <c r="J1248" i="1"/>
  <c r="J1260" i="1"/>
  <c r="J1271" i="1"/>
  <c r="J1282" i="1"/>
  <c r="J1293" i="1"/>
  <c r="J1304" i="1"/>
  <c r="J1315" i="1"/>
  <c r="J1326" i="1"/>
  <c r="J1337" i="1"/>
  <c r="J1348" i="1"/>
  <c r="J1360" i="1"/>
  <c r="J1371" i="1"/>
  <c r="J1382" i="1"/>
  <c r="J1393" i="1"/>
  <c r="J1404" i="1"/>
  <c r="J1415" i="1"/>
  <c r="J1426" i="1"/>
  <c r="J1436" i="1"/>
  <c r="J1446" i="1"/>
  <c r="J1456" i="1"/>
  <c r="J1466" i="1"/>
  <c r="J1476" i="1"/>
  <c r="J1486" i="1"/>
  <c r="J1496" i="1"/>
  <c r="J1506" i="1"/>
  <c r="J1516" i="1"/>
  <c r="J1526" i="1"/>
  <c r="J1536" i="1"/>
  <c r="J1546" i="1"/>
  <c r="J1556" i="1"/>
  <c r="J1566" i="1"/>
  <c r="J1576" i="1"/>
  <c r="J1586" i="1"/>
  <c r="J1596" i="1"/>
  <c r="J1606" i="1"/>
  <c r="J1616" i="1"/>
  <c r="J1626" i="1"/>
  <c r="J1636" i="1"/>
  <c r="J1646" i="1"/>
  <c r="J1656" i="1"/>
  <c r="J1666" i="1"/>
  <c r="J1676" i="1"/>
  <c r="J1686" i="1"/>
  <c r="J1696" i="1"/>
  <c r="J1706" i="1"/>
  <c r="J1716" i="1"/>
  <c r="J1726" i="1"/>
  <c r="J1736" i="1"/>
  <c r="J1746" i="1"/>
  <c r="J1756" i="1"/>
  <c r="J1766" i="1"/>
  <c r="J1776" i="1"/>
  <c r="J1786" i="1"/>
  <c r="J1796" i="1"/>
  <c r="I6" i="1"/>
  <c r="I16" i="1"/>
  <c r="I26" i="1"/>
  <c r="I36" i="1"/>
  <c r="I46" i="1"/>
  <c r="I56" i="1"/>
  <c r="I66" i="1"/>
  <c r="I76" i="1"/>
  <c r="I86" i="1"/>
  <c r="I96" i="1"/>
  <c r="I106" i="1"/>
  <c r="I116" i="1"/>
  <c r="I126" i="1"/>
  <c r="I136" i="1"/>
  <c r="I146" i="1"/>
  <c r="I156" i="1"/>
  <c r="I166" i="1"/>
  <c r="I176" i="1"/>
  <c r="I186" i="1"/>
  <c r="I196" i="1"/>
  <c r="I206" i="1"/>
  <c r="I216" i="1"/>
  <c r="I226" i="1"/>
  <c r="I236" i="1"/>
  <c r="I246" i="1"/>
  <c r="I256" i="1"/>
  <c r="I266" i="1"/>
  <c r="I276" i="1"/>
  <c r="I286" i="1"/>
  <c r="I296" i="1"/>
  <c r="I306" i="1"/>
  <c r="I316" i="1"/>
  <c r="I326" i="1"/>
  <c r="I336" i="1"/>
  <c r="I346" i="1"/>
  <c r="I356" i="1"/>
  <c r="I366" i="1"/>
  <c r="I376" i="1"/>
  <c r="I386" i="1"/>
  <c r="I396" i="1"/>
  <c r="I406" i="1"/>
  <c r="I416" i="1"/>
  <c r="I426" i="1"/>
  <c r="I436" i="1"/>
  <c r="I446" i="1"/>
  <c r="I456" i="1"/>
  <c r="I466" i="1"/>
  <c r="I476" i="1"/>
  <c r="I486" i="1"/>
  <c r="I496" i="1"/>
  <c r="I506" i="1"/>
  <c r="I516" i="1"/>
  <c r="I526" i="1"/>
  <c r="I536" i="1"/>
  <c r="I546" i="1"/>
  <c r="I556" i="1"/>
  <c r="I566" i="1"/>
  <c r="I576" i="1"/>
  <c r="I586" i="1"/>
  <c r="I596" i="1"/>
  <c r="I606" i="1"/>
  <c r="I616" i="1"/>
  <c r="I626" i="1"/>
  <c r="I636" i="1"/>
  <c r="I646" i="1"/>
  <c r="I656" i="1"/>
  <c r="I666" i="1"/>
  <c r="I676" i="1"/>
  <c r="I686" i="1"/>
  <c r="I696" i="1"/>
  <c r="I706" i="1"/>
  <c r="I716" i="1"/>
  <c r="I726" i="1"/>
  <c r="I736" i="1"/>
  <c r="I746" i="1"/>
  <c r="I756" i="1"/>
  <c r="I766" i="1"/>
  <c r="I776" i="1"/>
  <c r="I786" i="1"/>
  <c r="I796" i="1"/>
  <c r="I806" i="1"/>
  <c r="I816" i="1"/>
  <c r="I826" i="1"/>
  <c r="I836" i="1"/>
  <c r="I846" i="1"/>
  <c r="I856" i="1"/>
  <c r="I866" i="1"/>
  <c r="I876" i="1"/>
  <c r="I886" i="1"/>
  <c r="I896" i="1"/>
  <c r="I906" i="1"/>
  <c r="I916" i="1"/>
  <c r="I926" i="1"/>
  <c r="I936" i="1"/>
  <c r="I946" i="1"/>
  <c r="I956" i="1"/>
  <c r="I966" i="1"/>
  <c r="I976" i="1"/>
  <c r="I986" i="1"/>
  <c r="I996" i="1"/>
  <c r="I1006" i="1"/>
  <c r="I1016" i="1"/>
  <c r="I1026" i="1"/>
  <c r="I1036" i="1"/>
  <c r="I1046" i="1"/>
  <c r="I1056" i="1"/>
  <c r="I1066" i="1"/>
  <c r="I1076" i="1"/>
  <c r="I1086" i="1"/>
  <c r="I1096" i="1"/>
  <c r="I1106" i="1"/>
  <c r="I1116" i="1"/>
  <c r="I1126" i="1"/>
  <c r="I1136" i="1"/>
  <c r="I1146" i="1"/>
  <c r="I1156" i="1"/>
  <c r="I1166" i="1"/>
  <c r="I1176" i="1"/>
  <c r="I1186" i="1"/>
  <c r="I1196" i="1"/>
  <c r="I1206" i="1"/>
  <c r="I1216" i="1"/>
  <c r="I1226" i="1"/>
  <c r="I1236" i="1"/>
  <c r="I1246" i="1"/>
  <c r="I1256" i="1"/>
  <c r="I1266" i="1"/>
  <c r="I1276" i="1"/>
  <c r="I1286" i="1"/>
  <c r="I1296" i="1"/>
  <c r="I1306" i="1"/>
  <c r="I1316" i="1"/>
  <c r="I1326" i="1"/>
  <c r="I1336" i="1"/>
  <c r="I1346" i="1"/>
  <c r="I1356" i="1"/>
  <c r="I1366" i="1"/>
  <c r="I1376" i="1"/>
  <c r="I1386" i="1"/>
  <c r="I1396" i="1"/>
  <c r="I1406" i="1"/>
  <c r="I1416" i="1"/>
  <c r="I1426" i="1"/>
  <c r="I1436" i="1"/>
  <c r="I1446" i="1"/>
  <c r="I1456" i="1"/>
  <c r="I1466" i="1"/>
  <c r="I1476" i="1"/>
  <c r="I1486" i="1"/>
  <c r="I1496" i="1"/>
  <c r="I1506" i="1"/>
  <c r="I1516" i="1"/>
  <c r="I1526" i="1"/>
  <c r="I1536" i="1"/>
  <c r="I1546" i="1"/>
  <c r="I1556" i="1"/>
  <c r="I1566" i="1"/>
  <c r="I1576" i="1"/>
  <c r="I1586" i="1"/>
  <c r="I1596" i="1"/>
  <c r="I1606" i="1"/>
  <c r="I1616" i="1"/>
  <c r="I1626" i="1"/>
  <c r="I1636" i="1"/>
  <c r="I1646" i="1"/>
  <c r="I1656" i="1"/>
  <c r="I1666" i="1"/>
  <c r="I1676" i="1"/>
  <c r="I1686" i="1"/>
  <c r="I1696" i="1"/>
  <c r="I1706" i="1"/>
  <c r="I1716" i="1"/>
  <c r="I1726" i="1"/>
  <c r="I1736" i="1"/>
  <c r="I1746" i="1"/>
  <c r="I1756" i="1"/>
  <c r="I1766" i="1"/>
  <c r="I1776" i="1"/>
  <c r="J852" i="1"/>
  <c r="J884" i="1"/>
  <c r="J915" i="1"/>
  <c r="J952" i="1"/>
  <c r="J982" i="1"/>
  <c r="J1005" i="1"/>
  <c r="J1025" i="1"/>
  <c r="J1043" i="1"/>
  <c r="J1058" i="1"/>
  <c r="J1075" i="1"/>
  <c r="J1093" i="1"/>
  <c r="J1107" i="1"/>
  <c r="J1121" i="1"/>
  <c r="J1133" i="1"/>
  <c r="J1145" i="1"/>
  <c r="J1157" i="1"/>
  <c r="J1171" i="1"/>
  <c r="J1183" i="1"/>
  <c r="J1194" i="1"/>
  <c r="J1205" i="1"/>
  <c r="J1216" i="1"/>
  <c r="J1227" i="1"/>
  <c r="J1238" i="1"/>
  <c r="J1250" i="1"/>
  <c r="J1261" i="1"/>
  <c r="J1272" i="1"/>
  <c r="J1283" i="1"/>
  <c r="J1294" i="1"/>
  <c r="J1305" i="1"/>
  <c r="J1316" i="1"/>
  <c r="J1327" i="1"/>
  <c r="J1338" i="1"/>
  <c r="J1350" i="1"/>
  <c r="J1361" i="1"/>
  <c r="J1372" i="1"/>
  <c r="J1383" i="1"/>
  <c r="J1394" i="1"/>
  <c r="J1405" i="1"/>
  <c r="J1416" i="1"/>
  <c r="J1427" i="1"/>
  <c r="J1437" i="1"/>
  <c r="J1447" i="1"/>
  <c r="J1457" i="1"/>
  <c r="J1467" i="1"/>
  <c r="J1477" i="1"/>
  <c r="J1487" i="1"/>
  <c r="J1497" i="1"/>
  <c r="J1507" i="1"/>
  <c r="J1517" i="1"/>
  <c r="J1527" i="1"/>
  <c r="J1537" i="1"/>
  <c r="J1547" i="1"/>
  <c r="J1557" i="1"/>
  <c r="J1567" i="1"/>
  <c r="J1577" i="1"/>
  <c r="J1587" i="1"/>
  <c r="J1597" i="1"/>
  <c r="J1607" i="1"/>
  <c r="J1617" i="1"/>
  <c r="J1627" i="1"/>
  <c r="J1637" i="1"/>
  <c r="J1647" i="1"/>
  <c r="J1657" i="1"/>
  <c r="J1667" i="1"/>
  <c r="J1677" i="1"/>
  <c r="J1687" i="1"/>
  <c r="J1697" i="1"/>
  <c r="J1707" i="1"/>
  <c r="J1717" i="1"/>
  <c r="J1727" i="1"/>
  <c r="J1737" i="1"/>
  <c r="J1747" i="1"/>
  <c r="J1757" i="1"/>
  <c r="J1767" i="1"/>
  <c r="J1777" i="1"/>
  <c r="J1787" i="1"/>
  <c r="J1797" i="1"/>
  <c r="I7" i="1"/>
  <c r="I17" i="1"/>
  <c r="I27" i="1"/>
  <c r="I37" i="1"/>
  <c r="I47" i="1"/>
  <c r="I57" i="1"/>
  <c r="I67" i="1"/>
  <c r="I77" i="1"/>
  <c r="I87" i="1"/>
  <c r="I97" i="1"/>
  <c r="I107" i="1"/>
  <c r="I117" i="1"/>
  <c r="I127" i="1"/>
  <c r="I137" i="1"/>
  <c r="I147" i="1"/>
  <c r="I157" i="1"/>
  <c r="I167" i="1"/>
  <c r="I177" i="1"/>
  <c r="I187" i="1"/>
  <c r="I197" i="1"/>
  <c r="I207" i="1"/>
  <c r="I217" i="1"/>
  <c r="I227" i="1"/>
  <c r="I237" i="1"/>
  <c r="I247" i="1"/>
  <c r="I257" i="1"/>
  <c r="I267" i="1"/>
  <c r="I277" i="1"/>
  <c r="I287" i="1"/>
  <c r="I297" i="1"/>
  <c r="I307" i="1"/>
  <c r="I317" i="1"/>
  <c r="I327" i="1"/>
  <c r="I337" i="1"/>
  <c r="I347" i="1"/>
  <c r="I357" i="1"/>
  <c r="I367" i="1"/>
  <c r="I377" i="1"/>
  <c r="I387" i="1"/>
  <c r="I397" i="1"/>
  <c r="I407" i="1"/>
  <c r="I417" i="1"/>
  <c r="I427" i="1"/>
  <c r="I437" i="1"/>
  <c r="I447" i="1"/>
  <c r="I457" i="1"/>
  <c r="I467" i="1"/>
  <c r="I477" i="1"/>
  <c r="I487" i="1"/>
  <c r="I497" i="1"/>
  <c r="I507" i="1"/>
  <c r="I517" i="1"/>
  <c r="I527" i="1"/>
  <c r="I537" i="1"/>
  <c r="I547" i="1"/>
  <c r="I557" i="1"/>
  <c r="I567" i="1"/>
  <c r="I577" i="1"/>
  <c r="I587" i="1"/>
  <c r="I597" i="1"/>
  <c r="I607" i="1"/>
  <c r="I617" i="1"/>
  <c r="I627" i="1"/>
  <c r="I637" i="1"/>
  <c r="I647" i="1"/>
  <c r="I657" i="1"/>
  <c r="I667" i="1"/>
  <c r="I677" i="1"/>
  <c r="I687" i="1"/>
  <c r="I697" i="1"/>
  <c r="I707" i="1"/>
  <c r="I717" i="1"/>
  <c r="I727" i="1"/>
  <c r="I737" i="1"/>
  <c r="I747" i="1"/>
  <c r="I757" i="1"/>
  <c r="I767" i="1"/>
  <c r="I777" i="1"/>
  <c r="I787" i="1"/>
  <c r="I797" i="1"/>
  <c r="I807" i="1"/>
  <c r="I817" i="1"/>
  <c r="I827" i="1"/>
  <c r="I837" i="1"/>
  <c r="I847" i="1"/>
  <c r="I857" i="1"/>
  <c r="I867" i="1"/>
  <c r="I877" i="1"/>
  <c r="I887" i="1"/>
  <c r="I897" i="1"/>
  <c r="I907" i="1"/>
  <c r="I917" i="1"/>
  <c r="I927" i="1"/>
  <c r="I937" i="1"/>
  <c r="I947" i="1"/>
  <c r="I957" i="1"/>
  <c r="I967" i="1"/>
  <c r="I977" i="1"/>
  <c r="I987" i="1"/>
  <c r="I997" i="1"/>
  <c r="I1007" i="1"/>
  <c r="I1017" i="1"/>
  <c r="I1027" i="1"/>
  <c r="I1037" i="1"/>
  <c r="I1047" i="1"/>
  <c r="I1057" i="1"/>
  <c r="I1067" i="1"/>
  <c r="I1077" i="1"/>
  <c r="I1087" i="1"/>
  <c r="I1097" i="1"/>
  <c r="I1107" i="1"/>
  <c r="I1117" i="1"/>
  <c r="I1127" i="1"/>
  <c r="I1137" i="1"/>
  <c r="I1147" i="1"/>
  <c r="I1157" i="1"/>
  <c r="I1167" i="1"/>
  <c r="I1177" i="1"/>
  <c r="I1187" i="1"/>
  <c r="I1197" i="1"/>
  <c r="I1207" i="1"/>
  <c r="I1217" i="1"/>
  <c r="I1227" i="1"/>
  <c r="I1237" i="1"/>
  <c r="I1247" i="1"/>
  <c r="I1257" i="1"/>
  <c r="I1267" i="1"/>
  <c r="I1277" i="1"/>
  <c r="I1287" i="1"/>
  <c r="I1297" i="1"/>
  <c r="I1307" i="1"/>
  <c r="I1317" i="1"/>
  <c r="I1327" i="1"/>
  <c r="I1337" i="1"/>
  <c r="I1347" i="1"/>
  <c r="I1357" i="1"/>
  <c r="I1367" i="1"/>
  <c r="I1377" i="1"/>
  <c r="I1387" i="1"/>
  <c r="I1397" i="1"/>
  <c r="I1407" i="1"/>
  <c r="I1417" i="1"/>
  <c r="I1427" i="1"/>
  <c r="I1437" i="1"/>
  <c r="I1447" i="1"/>
  <c r="I1457" i="1"/>
  <c r="I1467" i="1"/>
  <c r="I1477" i="1"/>
  <c r="I1487" i="1"/>
  <c r="I1497" i="1"/>
  <c r="I1507" i="1"/>
  <c r="I1517" i="1"/>
  <c r="I1527" i="1"/>
  <c r="I1537" i="1"/>
  <c r="J854" i="1"/>
  <c r="J885" i="1"/>
  <c r="J922" i="1"/>
  <c r="J954" i="1"/>
  <c r="J984" i="1"/>
  <c r="J1008" i="1"/>
  <c r="J1027" i="1"/>
  <c r="J1044" i="1"/>
  <c r="J1062" i="1"/>
  <c r="J1077" i="1"/>
  <c r="J1094" i="1"/>
  <c r="J1108" i="1"/>
  <c r="J1122" i="1"/>
  <c r="J1134" i="1"/>
  <c r="J1146" i="1"/>
  <c r="J1158" i="1"/>
  <c r="J1172" i="1"/>
  <c r="J1184" i="1"/>
  <c r="J1195" i="1"/>
  <c r="J1206" i="1"/>
  <c r="J1217" i="1"/>
  <c r="J1228" i="1"/>
  <c r="J1240" i="1"/>
  <c r="J1251" i="1"/>
  <c r="J1262" i="1"/>
  <c r="J1273" i="1"/>
  <c r="J1284" i="1"/>
  <c r="J1295" i="1"/>
  <c r="J1306" i="1"/>
  <c r="J1317" i="1"/>
  <c r="J1328" i="1"/>
  <c r="J1340" i="1"/>
  <c r="J1351" i="1"/>
  <c r="J1362" i="1"/>
  <c r="J1373" i="1"/>
  <c r="J1384" i="1"/>
  <c r="J1395" i="1"/>
  <c r="J1406" i="1"/>
  <c r="J1417" i="1"/>
  <c r="J1428" i="1"/>
  <c r="J1438" i="1"/>
  <c r="J1448" i="1"/>
  <c r="J1458" i="1"/>
  <c r="J1468" i="1"/>
  <c r="J1478" i="1"/>
  <c r="J1488" i="1"/>
  <c r="J1498" i="1"/>
  <c r="J1508" i="1"/>
  <c r="J1518" i="1"/>
  <c r="J1528" i="1"/>
  <c r="J1538" i="1"/>
  <c r="J1548" i="1"/>
  <c r="J1558" i="1"/>
  <c r="J1568" i="1"/>
  <c r="J1578" i="1"/>
  <c r="J1588" i="1"/>
  <c r="J1598" i="1"/>
  <c r="J1608" i="1"/>
  <c r="J1618" i="1"/>
  <c r="J1628" i="1"/>
  <c r="J1638" i="1"/>
  <c r="J1648" i="1"/>
  <c r="J1658" i="1"/>
  <c r="J1668" i="1"/>
  <c r="J1678" i="1"/>
  <c r="J1688" i="1"/>
  <c r="J1698" i="1"/>
  <c r="J1708" i="1"/>
  <c r="J1718" i="1"/>
  <c r="J1728" i="1"/>
  <c r="J1738" i="1"/>
  <c r="J1748" i="1"/>
  <c r="J1758" i="1"/>
  <c r="J1768" i="1"/>
  <c r="J1778" i="1"/>
  <c r="J1788" i="1"/>
  <c r="J1798" i="1"/>
  <c r="I8" i="1"/>
  <c r="I18" i="1"/>
  <c r="I28" i="1"/>
  <c r="I38" i="1"/>
  <c r="I48" i="1"/>
  <c r="I58" i="1"/>
  <c r="I68" i="1"/>
  <c r="I78" i="1"/>
  <c r="I88" i="1"/>
  <c r="I98" i="1"/>
  <c r="I108" i="1"/>
  <c r="I118" i="1"/>
  <c r="I128" i="1"/>
  <c r="I138" i="1"/>
  <c r="I148" i="1"/>
  <c r="I158" i="1"/>
  <c r="I168" i="1"/>
  <c r="I178" i="1"/>
  <c r="I188" i="1"/>
  <c r="I198" i="1"/>
  <c r="I208" i="1"/>
  <c r="I218" i="1"/>
  <c r="I228" i="1"/>
  <c r="I238" i="1"/>
  <c r="I248" i="1"/>
  <c r="I258" i="1"/>
  <c r="I268" i="1"/>
  <c r="I278" i="1"/>
  <c r="I288" i="1"/>
  <c r="I298" i="1"/>
  <c r="I308" i="1"/>
  <c r="I318" i="1"/>
  <c r="I328" i="1"/>
  <c r="I338" i="1"/>
  <c r="I348" i="1"/>
  <c r="I358" i="1"/>
  <c r="I368" i="1"/>
  <c r="I378" i="1"/>
  <c r="I388" i="1"/>
  <c r="I398" i="1"/>
  <c r="I408" i="1"/>
  <c r="I418" i="1"/>
  <c r="I428" i="1"/>
  <c r="I438" i="1"/>
  <c r="I448" i="1"/>
  <c r="I458" i="1"/>
  <c r="I468" i="1"/>
  <c r="I478" i="1"/>
  <c r="I488" i="1"/>
  <c r="I498" i="1"/>
  <c r="I508" i="1"/>
  <c r="I518" i="1"/>
  <c r="I528" i="1"/>
  <c r="I538" i="1"/>
  <c r="I548" i="1"/>
  <c r="I558" i="1"/>
  <c r="I568" i="1"/>
  <c r="I578" i="1"/>
  <c r="I588" i="1"/>
  <c r="I598" i="1"/>
  <c r="I608" i="1"/>
  <c r="I618" i="1"/>
  <c r="I628" i="1"/>
  <c r="I638" i="1"/>
  <c r="I648" i="1"/>
  <c r="I658" i="1"/>
  <c r="I668" i="1"/>
  <c r="I678" i="1"/>
  <c r="I688" i="1"/>
  <c r="I698" i="1"/>
  <c r="I708" i="1"/>
  <c r="I718" i="1"/>
  <c r="I728" i="1"/>
  <c r="I738" i="1"/>
  <c r="I748" i="1"/>
  <c r="I758" i="1"/>
  <c r="I768" i="1"/>
  <c r="I778" i="1"/>
  <c r="I788" i="1"/>
  <c r="I798" i="1"/>
  <c r="I808" i="1"/>
  <c r="I818" i="1"/>
  <c r="I828" i="1"/>
  <c r="I838" i="1"/>
  <c r="I848" i="1"/>
  <c r="I858" i="1"/>
  <c r="I868" i="1"/>
  <c r="I878" i="1"/>
  <c r="I888" i="1"/>
  <c r="I898" i="1"/>
  <c r="I908" i="1"/>
  <c r="I918" i="1"/>
  <c r="I928" i="1"/>
  <c r="I938" i="1"/>
  <c r="I948" i="1"/>
  <c r="I958" i="1"/>
  <c r="I968" i="1"/>
  <c r="I978" i="1"/>
  <c r="I988" i="1"/>
  <c r="I998" i="1"/>
  <c r="I1008" i="1"/>
  <c r="I1018" i="1"/>
  <c r="I1028" i="1"/>
  <c r="I1038" i="1"/>
  <c r="I1048" i="1"/>
  <c r="I1058" i="1"/>
  <c r="I1068" i="1"/>
  <c r="I1078" i="1"/>
  <c r="I1088" i="1"/>
  <c r="I1098" i="1"/>
  <c r="I1108" i="1"/>
  <c r="I1118" i="1"/>
  <c r="I1128" i="1"/>
  <c r="I1138" i="1"/>
  <c r="I1148" i="1"/>
  <c r="I1158" i="1"/>
  <c r="I1168" i="1"/>
  <c r="I1178" i="1"/>
  <c r="I1188" i="1"/>
  <c r="I1198" i="1"/>
  <c r="I1208" i="1"/>
  <c r="I1218" i="1"/>
  <c r="I1228" i="1"/>
  <c r="I1238" i="1"/>
  <c r="I1248" i="1"/>
  <c r="I1258" i="1"/>
  <c r="I1268" i="1"/>
  <c r="I1278" i="1"/>
  <c r="I1288" i="1"/>
  <c r="I1298" i="1"/>
  <c r="I1308" i="1"/>
  <c r="I1318" i="1"/>
  <c r="I1328" i="1"/>
  <c r="I1338" i="1"/>
  <c r="I1348" i="1"/>
  <c r="I1358" i="1"/>
  <c r="I1368" i="1"/>
  <c r="I1378" i="1"/>
  <c r="I1388" i="1"/>
  <c r="I1398" i="1"/>
  <c r="I1408" i="1"/>
  <c r="I1418" i="1"/>
  <c r="I1428" i="1"/>
  <c r="I1438" i="1"/>
  <c r="I1448" i="1"/>
  <c r="I1458" i="1"/>
  <c r="I1468" i="1"/>
  <c r="I1478" i="1"/>
  <c r="I1488" i="1"/>
  <c r="I1498" i="1"/>
  <c r="I1508" i="1"/>
  <c r="I1518" i="1"/>
  <c r="I1528" i="1"/>
  <c r="J855" i="1"/>
  <c r="J892" i="1"/>
  <c r="J924" i="1"/>
  <c r="J955" i="1"/>
  <c r="J985" i="1"/>
  <c r="J1012" i="1"/>
  <c r="J1028" i="1"/>
  <c r="J1045" i="1"/>
  <c r="J1063" i="1"/>
  <c r="J1078" i="1"/>
  <c r="J1095" i="1"/>
  <c r="J1111" i="1"/>
  <c r="J1123" i="1"/>
  <c r="J1135" i="1"/>
  <c r="J1147" i="1"/>
  <c r="J1161" i="1"/>
  <c r="J1173" i="1"/>
  <c r="J1185" i="1"/>
  <c r="J1196" i="1"/>
  <c r="J1207" i="1"/>
  <c r="J1218" i="1"/>
  <c r="J1230" i="1"/>
  <c r="J1241" i="1"/>
  <c r="J1252" i="1"/>
  <c r="J1263" i="1"/>
  <c r="J1274" i="1"/>
  <c r="J1285" i="1"/>
  <c r="J1296" i="1"/>
  <c r="J1307" i="1"/>
  <c r="J1318" i="1"/>
  <c r="J1330" i="1"/>
  <c r="J1341" i="1"/>
  <c r="J1352" i="1"/>
  <c r="J1363" i="1"/>
  <c r="J1374" i="1"/>
  <c r="J1385" i="1"/>
  <c r="J1396" i="1"/>
  <c r="J1407" i="1"/>
  <c r="J1418" i="1"/>
  <c r="J1429" i="1"/>
  <c r="J1439" i="1"/>
  <c r="J1449" i="1"/>
  <c r="J1459" i="1"/>
  <c r="J1469" i="1"/>
  <c r="J1479" i="1"/>
  <c r="J1489" i="1"/>
  <c r="J1499" i="1"/>
  <c r="J1509" i="1"/>
  <c r="J1519" i="1"/>
  <c r="J1529" i="1"/>
  <c r="J1539" i="1"/>
  <c r="J1549" i="1"/>
  <c r="J1559" i="1"/>
  <c r="J1569" i="1"/>
  <c r="J1579" i="1"/>
  <c r="J1589" i="1"/>
  <c r="J1599" i="1"/>
  <c r="J1609" i="1"/>
  <c r="J1619" i="1"/>
  <c r="J1629" i="1"/>
  <c r="J1639" i="1"/>
  <c r="J1649" i="1"/>
  <c r="J1659" i="1"/>
  <c r="J1669" i="1"/>
  <c r="J1679" i="1"/>
  <c r="J1689" i="1"/>
  <c r="J1699" i="1"/>
  <c r="J1709" i="1"/>
  <c r="J1719" i="1"/>
  <c r="J1729" i="1"/>
  <c r="J1739" i="1"/>
  <c r="J1749" i="1"/>
  <c r="J1759" i="1"/>
  <c r="J1769" i="1"/>
  <c r="J1779" i="1"/>
  <c r="J1789" i="1"/>
  <c r="J1799" i="1"/>
  <c r="I9" i="1"/>
  <c r="I19" i="1"/>
  <c r="I29" i="1"/>
  <c r="I39" i="1"/>
  <c r="I49" i="1"/>
  <c r="I59" i="1"/>
  <c r="I69" i="1"/>
  <c r="I79" i="1"/>
  <c r="I89" i="1"/>
  <c r="I99" i="1"/>
  <c r="I109" i="1"/>
  <c r="I119" i="1"/>
  <c r="I129" i="1"/>
  <c r="I139" i="1"/>
  <c r="I149" i="1"/>
  <c r="I159" i="1"/>
  <c r="I169" i="1"/>
  <c r="I179" i="1"/>
  <c r="I189" i="1"/>
  <c r="I199" i="1"/>
  <c r="I209" i="1"/>
  <c r="I219" i="1"/>
  <c r="I229" i="1"/>
  <c r="I239" i="1"/>
  <c r="I249" i="1"/>
  <c r="I259" i="1"/>
  <c r="I269" i="1"/>
  <c r="I279" i="1"/>
  <c r="I289" i="1"/>
  <c r="I299" i="1"/>
  <c r="I309" i="1"/>
  <c r="I319" i="1"/>
  <c r="I329" i="1"/>
  <c r="I339" i="1"/>
  <c r="I349" i="1"/>
  <c r="I359" i="1"/>
  <c r="I369" i="1"/>
  <c r="I379" i="1"/>
  <c r="I389" i="1"/>
  <c r="I399" i="1"/>
  <c r="I409" i="1"/>
  <c r="I419" i="1"/>
  <c r="I429" i="1"/>
  <c r="I439" i="1"/>
  <c r="I449" i="1"/>
  <c r="I459" i="1"/>
  <c r="I469" i="1"/>
  <c r="I479" i="1"/>
  <c r="I489" i="1"/>
  <c r="I499" i="1"/>
  <c r="I509" i="1"/>
  <c r="I519" i="1"/>
  <c r="I529" i="1"/>
  <c r="I539" i="1"/>
  <c r="I549" i="1"/>
  <c r="I559" i="1"/>
  <c r="I569" i="1"/>
  <c r="I579" i="1"/>
  <c r="I589" i="1"/>
  <c r="I599" i="1"/>
  <c r="I609" i="1"/>
  <c r="I619" i="1"/>
  <c r="I629" i="1"/>
  <c r="I639" i="1"/>
  <c r="I649" i="1"/>
  <c r="I659" i="1"/>
  <c r="I669" i="1"/>
  <c r="I679" i="1"/>
  <c r="I689" i="1"/>
  <c r="I699" i="1"/>
  <c r="I709" i="1"/>
  <c r="I719" i="1"/>
  <c r="I729" i="1"/>
  <c r="I739" i="1"/>
  <c r="I749" i="1"/>
  <c r="I759" i="1"/>
  <c r="I769" i="1"/>
  <c r="I779" i="1"/>
  <c r="I789" i="1"/>
  <c r="I799" i="1"/>
  <c r="I809" i="1"/>
  <c r="I819" i="1"/>
  <c r="I829" i="1"/>
  <c r="I839" i="1"/>
  <c r="I849" i="1"/>
  <c r="I859" i="1"/>
  <c r="I869" i="1"/>
  <c r="I879" i="1"/>
  <c r="I889" i="1"/>
  <c r="I899" i="1"/>
  <c r="I909" i="1"/>
  <c r="I919" i="1"/>
  <c r="I929" i="1"/>
  <c r="I939" i="1"/>
  <c r="I949" i="1"/>
  <c r="I959" i="1"/>
  <c r="I969" i="1"/>
  <c r="I979" i="1"/>
  <c r="I989" i="1"/>
  <c r="I999" i="1"/>
  <c r="I1009" i="1"/>
  <c r="I1019" i="1"/>
  <c r="I1029" i="1"/>
  <c r="I1039" i="1"/>
  <c r="I1049" i="1"/>
  <c r="I1059" i="1"/>
  <c r="I1069" i="1"/>
  <c r="I1079" i="1"/>
  <c r="I1089" i="1"/>
  <c r="I1099" i="1"/>
  <c r="I1109" i="1"/>
  <c r="I1119" i="1"/>
  <c r="I1129" i="1"/>
  <c r="I1139" i="1"/>
  <c r="I1149" i="1"/>
  <c r="I1159" i="1"/>
  <c r="I1169" i="1"/>
  <c r="I1179" i="1"/>
  <c r="I1189" i="1"/>
  <c r="I1199" i="1"/>
  <c r="I1209" i="1"/>
  <c r="I1219" i="1"/>
  <c r="I1229" i="1"/>
  <c r="I1239" i="1"/>
  <c r="I1249" i="1"/>
  <c r="I1259" i="1"/>
  <c r="I1269" i="1"/>
  <c r="I1279" i="1"/>
  <c r="I1289" i="1"/>
  <c r="I1299" i="1"/>
  <c r="I1309" i="1"/>
  <c r="I1319" i="1"/>
  <c r="I1329" i="1"/>
  <c r="I1339" i="1"/>
  <c r="I1349" i="1"/>
  <c r="I1359" i="1"/>
  <c r="I1369" i="1"/>
  <c r="I1379" i="1"/>
  <c r="I1389" i="1"/>
  <c r="I1399" i="1"/>
  <c r="I1409" i="1"/>
  <c r="I1419" i="1"/>
  <c r="I1429" i="1"/>
  <c r="I1439" i="1"/>
  <c r="I1449" i="1"/>
  <c r="I1459" i="1"/>
  <c r="I1469" i="1"/>
  <c r="I1479" i="1"/>
  <c r="I1489" i="1"/>
  <c r="I1499" i="1"/>
  <c r="J862" i="1"/>
  <c r="J894" i="1"/>
  <c r="J925" i="1"/>
  <c r="J962" i="1"/>
  <c r="J988" i="1"/>
  <c r="J1013" i="1"/>
  <c r="J1032" i="1"/>
  <c r="J1047" i="1"/>
  <c r="J1064" i="1"/>
  <c r="J1082" i="1"/>
  <c r="J1097" i="1"/>
  <c r="J1112" i="1"/>
  <c r="J1124" i="1"/>
  <c r="J1136" i="1"/>
  <c r="J1148" i="1"/>
  <c r="J1162" i="1"/>
  <c r="J1174" i="1"/>
  <c r="J1186" i="1"/>
  <c r="J1197" i="1"/>
  <c r="J1208" i="1"/>
  <c r="J1220" i="1"/>
  <c r="J1231" i="1"/>
  <c r="J1242" i="1"/>
  <c r="J1253" i="1"/>
  <c r="J1264" i="1"/>
  <c r="J1275" i="1"/>
  <c r="J1286" i="1"/>
  <c r="J1297" i="1"/>
  <c r="J1308" i="1"/>
  <c r="J1320" i="1"/>
  <c r="J1331" i="1"/>
  <c r="J1342" i="1"/>
  <c r="J1353" i="1"/>
  <c r="J1364" i="1"/>
  <c r="J1375" i="1"/>
  <c r="J1386" i="1"/>
  <c r="J1397" i="1"/>
  <c r="J1408" i="1"/>
  <c r="J1420" i="1"/>
  <c r="J1430" i="1"/>
  <c r="J1440" i="1"/>
  <c r="J1450" i="1"/>
  <c r="J1460" i="1"/>
  <c r="J1470" i="1"/>
  <c r="J1480" i="1"/>
  <c r="J1490" i="1"/>
  <c r="J1500" i="1"/>
  <c r="J1510" i="1"/>
  <c r="J1520" i="1"/>
  <c r="J1530" i="1"/>
  <c r="J1540" i="1"/>
  <c r="J1550" i="1"/>
  <c r="J1560" i="1"/>
  <c r="J1570" i="1"/>
  <c r="J1580" i="1"/>
  <c r="J1590" i="1"/>
  <c r="J1600" i="1"/>
  <c r="J1610" i="1"/>
  <c r="J1620" i="1"/>
  <c r="J1630" i="1"/>
  <c r="J1640" i="1"/>
  <c r="J1650" i="1"/>
  <c r="J1660" i="1"/>
  <c r="J1670" i="1"/>
  <c r="J1680" i="1"/>
  <c r="J1690" i="1"/>
  <c r="J1700" i="1"/>
  <c r="J1710" i="1"/>
  <c r="J1720" i="1"/>
  <c r="J1730" i="1"/>
  <c r="J1740" i="1"/>
  <c r="J1750" i="1"/>
  <c r="J1760" i="1"/>
  <c r="J1770" i="1"/>
  <c r="J1780" i="1"/>
  <c r="J1790" i="1"/>
  <c r="J1800" i="1"/>
  <c r="I10" i="1"/>
  <c r="I20" i="1"/>
  <c r="I30" i="1"/>
  <c r="I40" i="1"/>
  <c r="I50" i="1"/>
  <c r="I60" i="1"/>
  <c r="I70" i="1"/>
  <c r="I80" i="1"/>
  <c r="I90" i="1"/>
  <c r="I100" i="1"/>
  <c r="I110" i="1"/>
  <c r="I120" i="1"/>
  <c r="I130" i="1"/>
  <c r="I140" i="1"/>
  <c r="I150" i="1"/>
  <c r="I160" i="1"/>
  <c r="I170" i="1"/>
  <c r="I180" i="1"/>
  <c r="I190" i="1"/>
  <c r="I200" i="1"/>
  <c r="I210" i="1"/>
  <c r="I220" i="1"/>
  <c r="I230" i="1"/>
  <c r="I240" i="1"/>
  <c r="I250" i="1"/>
  <c r="I260" i="1"/>
  <c r="I270" i="1"/>
  <c r="I280" i="1"/>
  <c r="I290" i="1"/>
  <c r="I300" i="1"/>
  <c r="I310" i="1"/>
  <c r="I320" i="1"/>
  <c r="I330" i="1"/>
  <c r="I340" i="1"/>
  <c r="I350" i="1"/>
  <c r="I360" i="1"/>
  <c r="I370" i="1"/>
  <c r="I380" i="1"/>
  <c r="I390" i="1"/>
  <c r="I400" i="1"/>
  <c r="I410" i="1"/>
  <c r="I420" i="1"/>
  <c r="I430" i="1"/>
  <c r="I440" i="1"/>
  <c r="I450" i="1"/>
  <c r="I460" i="1"/>
  <c r="I470" i="1"/>
  <c r="I480" i="1"/>
  <c r="I490" i="1"/>
  <c r="I500" i="1"/>
  <c r="I510" i="1"/>
  <c r="I520" i="1"/>
  <c r="I530" i="1"/>
  <c r="I540" i="1"/>
  <c r="I550" i="1"/>
  <c r="I560" i="1"/>
  <c r="I570" i="1"/>
  <c r="I580" i="1"/>
  <c r="I590" i="1"/>
  <c r="I600" i="1"/>
  <c r="I610" i="1"/>
  <c r="I620" i="1"/>
  <c r="I630" i="1"/>
  <c r="I640" i="1"/>
  <c r="I650" i="1"/>
  <c r="I660" i="1"/>
  <c r="I670" i="1"/>
  <c r="I680" i="1"/>
  <c r="I690" i="1"/>
  <c r="I700" i="1"/>
  <c r="I710" i="1"/>
  <c r="I720" i="1"/>
  <c r="I730" i="1"/>
  <c r="I740" i="1"/>
  <c r="I750" i="1"/>
  <c r="I760" i="1"/>
  <c r="I770" i="1"/>
  <c r="I780" i="1"/>
  <c r="I790" i="1"/>
  <c r="I800" i="1"/>
  <c r="I810" i="1"/>
  <c r="I820" i="1"/>
  <c r="I830" i="1"/>
  <c r="I840" i="1"/>
  <c r="I850" i="1"/>
  <c r="I860" i="1"/>
  <c r="I870" i="1"/>
  <c r="I880" i="1"/>
  <c r="I890" i="1"/>
  <c r="I900" i="1"/>
  <c r="I910" i="1"/>
  <c r="I920" i="1"/>
  <c r="I930" i="1"/>
  <c r="I940" i="1"/>
  <c r="I950" i="1"/>
  <c r="I960" i="1"/>
  <c r="I970" i="1"/>
  <c r="I980" i="1"/>
  <c r="I990" i="1"/>
  <c r="I1000" i="1"/>
  <c r="I1010" i="1"/>
  <c r="I1020" i="1"/>
  <c r="I1030" i="1"/>
  <c r="I1040" i="1"/>
  <c r="I1050" i="1"/>
  <c r="I1060" i="1"/>
  <c r="I1070" i="1"/>
  <c r="I1080" i="1"/>
  <c r="I1090" i="1"/>
  <c r="I1100" i="1"/>
  <c r="I1110" i="1"/>
  <c r="I1120" i="1"/>
  <c r="I1130" i="1"/>
  <c r="I1140" i="1"/>
  <c r="I1150" i="1"/>
  <c r="I1160" i="1"/>
  <c r="I1170" i="1"/>
  <c r="I1180" i="1"/>
  <c r="I1190" i="1"/>
  <c r="I1200" i="1"/>
  <c r="I1210" i="1"/>
  <c r="I1220" i="1"/>
  <c r="I1230" i="1"/>
  <c r="I1240" i="1"/>
  <c r="I1250" i="1"/>
  <c r="I1260" i="1"/>
  <c r="I1270" i="1"/>
  <c r="I1280" i="1"/>
  <c r="I1290" i="1"/>
  <c r="I1300" i="1"/>
  <c r="I1310" i="1"/>
  <c r="I1320" i="1"/>
  <c r="I1330" i="1"/>
  <c r="I1340" i="1"/>
  <c r="I1350" i="1"/>
  <c r="I1360" i="1"/>
  <c r="I1370" i="1"/>
  <c r="I1380" i="1"/>
  <c r="I1390" i="1"/>
  <c r="I1400" i="1"/>
  <c r="I1410" i="1"/>
  <c r="I1420" i="1"/>
  <c r="I1430" i="1"/>
  <c r="I1440" i="1"/>
  <c r="I1450" i="1"/>
  <c r="I1460" i="1"/>
  <c r="I1470" i="1"/>
  <c r="I1480" i="1"/>
  <c r="I1490" i="1"/>
  <c r="I1500" i="1"/>
  <c r="I1510" i="1"/>
  <c r="I1520" i="1"/>
  <c r="I1530" i="1"/>
  <c r="I1540" i="1"/>
  <c r="I1550" i="1"/>
  <c r="I1560" i="1"/>
  <c r="I1570" i="1"/>
  <c r="I1580" i="1"/>
  <c r="I1590" i="1"/>
  <c r="I1600" i="1"/>
  <c r="I1610" i="1"/>
  <c r="I1620" i="1"/>
  <c r="I1630" i="1"/>
  <c r="I1640" i="1"/>
  <c r="J864" i="1"/>
  <c r="J895" i="1"/>
  <c r="J932" i="1"/>
  <c r="J964" i="1"/>
  <c r="J992" i="1"/>
  <c r="J1014" i="1"/>
  <c r="J1033" i="1"/>
  <c r="J1048" i="1"/>
  <c r="J1065" i="1"/>
  <c r="J1083" i="1"/>
  <c r="J1098" i="1"/>
  <c r="J1113" i="1"/>
  <c r="J1125" i="1"/>
  <c r="J1137" i="1"/>
  <c r="J1151" i="1"/>
  <c r="J1163" i="1"/>
  <c r="J1175" i="1"/>
  <c r="J1187" i="1"/>
  <c r="J1198" i="1"/>
  <c r="J1210" i="1"/>
  <c r="J1221" i="1"/>
  <c r="J1232" i="1"/>
  <c r="J1243" i="1"/>
  <c r="J1254" i="1"/>
  <c r="J1265" i="1"/>
  <c r="J1276" i="1"/>
  <c r="J1287" i="1"/>
  <c r="J1298" i="1"/>
  <c r="J1310" i="1"/>
  <c r="J1321" i="1"/>
  <c r="J1332" i="1"/>
  <c r="J1343" i="1"/>
  <c r="J1354" i="1"/>
  <c r="J1365" i="1"/>
  <c r="J1376" i="1"/>
  <c r="J1387" i="1"/>
  <c r="J1398" i="1"/>
  <c r="J1410" i="1"/>
  <c r="J1421" i="1"/>
  <c r="J1431" i="1"/>
  <c r="J1441" i="1"/>
  <c r="J1451" i="1"/>
  <c r="J1461" i="1"/>
  <c r="J1471" i="1"/>
  <c r="J1481" i="1"/>
  <c r="J1491" i="1"/>
  <c r="J1501" i="1"/>
  <c r="J1511" i="1"/>
  <c r="J1521" i="1"/>
  <c r="J1531" i="1"/>
  <c r="J1541" i="1"/>
  <c r="J1551" i="1"/>
  <c r="J1561" i="1"/>
  <c r="J1571" i="1"/>
  <c r="J1581" i="1"/>
  <c r="J1591" i="1"/>
  <c r="J1601" i="1"/>
  <c r="J1611" i="1"/>
  <c r="J1621" i="1"/>
  <c r="J1631" i="1"/>
  <c r="J1641" i="1"/>
  <c r="J1651" i="1"/>
  <c r="J1661" i="1"/>
  <c r="J1671" i="1"/>
  <c r="J1681" i="1"/>
  <c r="J1691" i="1"/>
  <c r="J1701" i="1"/>
  <c r="J1711" i="1"/>
  <c r="J1721" i="1"/>
  <c r="J1731" i="1"/>
  <c r="J1741" i="1"/>
  <c r="J1751" i="1"/>
  <c r="J1761" i="1"/>
  <c r="J1771" i="1"/>
  <c r="J1781" i="1"/>
  <c r="J1791" i="1"/>
  <c r="J1801" i="1"/>
  <c r="I11" i="1"/>
  <c r="I21" i="1"/>
  <c r="I31" i="1"/>
  <c r="I41" i="1"/>
  <c r="I51" i="1"/>
  <c r="I61" i="1"/>
  <c r="I71" i="1"/>
  <c r="I81" i="1"/>
  <c r="I91" i="1"/>
  <c r="I101" i="1"/>
  <c r="I111" i="1"/>
  <c r="I121" i="1"/>
  <c r="I131" i="1"/>
  <c r="I141" i="1"/>
  <c r="I151" i="1"/>
  <c r="I161" i="1"/>
  <c r="I171" i="1"/>
  <c r="I181" i="1"/>
  <c r="I191" i="1"/>
  <c r="I201" i="1"/>
  <c r="I211" i="1"/>
  <c r="I221" i="1"/>
  <c r="I231" i="1"/>
  <c r="I241" i="1"/>
  <c r="I251" i="1"/>
  <c r="I261" i="1"/>
  <c r="I271" i="1"/>
  <c r="I281" i="1"/>
  <c r="I291" i="1"/>
  <c r="I301" i="1"/>
  <c r="I311" i="1"/>
  <c r="I321" i="1"/>
  <c r="I331" i="1"/>
  <c r="I341" i="1"/>
  <c r="I351" i="1"/>
  <c r="I361" i="1"/>
  <c r="I371" i="1"/>
  <c r="I381" i="1"/>
  <c r="I391" i="1"/>
  <c r="I401" i="1"/>
  <c r="I411" i="1"/>
  <c r="I421" i="1"/>
  <c r="I431" i="1"/>
  <c r="I441" i="1"/>
  <c r="I451" i="1"/>
  <c r="I461" i="1"/>
  <c r="I471" i="1"/>
  <c r="I481" i="1"/>
  <c r="I491" i="1"/>
  <c r="I501" i="1"/>
  <c r="I511" i="1"/>
  <c r="I521" i="1"/>
  <c r="I531" i="1"/>
  <c r="I541" i="1"/>
  <c r="I551" i="1"/>
  <c r="I561" i="1"/>
  <c r="I571" i="1"/>
  <c r="I581" i="1"/>
  <c r="I591" i="1"/>
  <c r="I601" i="1"/>
  <c r="I611" i="1"/>
  <c r="I621" i="1"/>
  <c r="I631" i="1"/>
  <c r="I641" i="1"/>
  <c r="I651" i="1"/>
  <c r="I661" i="1"/>
  <c r="I671" i="1"/>
  <c r="I681" i="1"/>
  <c r="I691" i="1"/>
  <c r="I701" i="1"/>
  <c r="I711" i="1"/>
  <c r="I721" i="1"/>
  <c r="I731" i="1"/>
  <c r="I741" i="1"/>
  <c r="I751" i="1"/>
  <c r="I761" i="1"/>
  <c r="I771" i="1"/>
  <c r="I781" i="1"/>
  <c r="I791" i="1"/>
  <c r="I801" i="1"/>
  <c r="I811" i="1"/>
  <c r="I821" i="1"/>
  <c r="I831" i="1"/>
  <c r="I841" i="1"/>
  <c r="I851" i="1"/>
  <c r="I861" i="1"/>
  <c r="I871" i="1"/>
  <c r="I881" i="1"/>
  <c r="I891" i="1"/>
  <c r="I901" i="1"/>
  <c r="I911" i="1"/>
  <c r="I921" i="1"/>
  <c r="I931" i="1"/>
  <c r="I941" i="1"/>
  <c r="I951" i="1"/>
  <c r="I961" i="1"/>
  <c r="I971" i="1"/>
  <c r="I981" i="1"/>
  <c r="I991" i="1"/>
  <c r="I1001" i="1"/>
  <c r="I1011" i="1"/>
  <c r="I1021" i="1"/>
  <c r="I1031" i="1"/>
  <c r="I1041" i="1"/>
  <c r="I1051" i="1"/>
  <c r="I1061" i="1"/>
  <c r="I1071" i="1"/>
  <c r="I1081" i="1"/>
  <c r="I1091" i="1"/>
  <c r="I1101" i="1"/>
  <c r="I1111" i="1"/>
  <c r="I1121" i="1"/>
  <c r="I1131" i="1"/>
  <c r="I1141" i="1"/>
  <c r="I1151" i="1"/>
  <c r="I1161" i="1"/>
  <c r="I1171" i="1"/>
  <c r="I1181" i="1"/>
  <c r="I1191" i="1"/>
  <c r="I1201" i="1"/>
  <c r="I1211" i="1"/>
  <c r="I1221" i="1"/>
  <c r="I1231" i="1"/>
  <c r="I1241" i="1"/>
  <c r="I1251" i="1"/>
  <c r="I1261" i="1"/>
  <c r="I1345" i="1"/>
  <c r="I1395" i="1"/>
  <c r="I1445" i="1"/>
  <c r="I1485" i="1"/>
  <c r="I1515" i="1"/>
  <c r="I1539" i="1"/>
  <c r="I1557" i="1"/>
  <c r="I1572" i="1"/>
  <c r="I1589" i="1"/>
  <c r="I1603" i="1"/>
  <c r="I1618" i="1"/>
  <c r="I1632" i="1"/>
  <c r="I1647" i="1"/>
  <c r="I1659" i="1"/>
  <c r="I1671" i="1"/>
  <c r="I1683" i="1"/>
  <c r="I1697" i="1"/>
  <c r="I1709" i="1"/>
  <c r="I1721" i="1"/>
  <c r="I1733" i="1"/>
  <c r="I1747" i="1"/>
  <c r="I1759" i="1"/>
  <c r="I1770" i="1"/>
  <c r="I1781" i="1"/>
  <c r="I1791" i="1"/>
  <c r="I1801" i="1"/>
  <c r="H11" i="1"/>
  <c r="H21" i="1"/>
  <c r="H31" i="1"/>
  <c r="H41" i="1"/>
  <c r="H51" i="1"/>
  <c r="H61" i="1"/>
  <c r="H71" i="1"/>
  <c r="H81" i="1"/>
  <c r="H91" i="1"/>
  <c r="H101" i="1"/>
  <c r="H111" i="1"/>
  <c r="H121" i="1"/>
  <c r="H131" i="1"/>
  <c r="H141" i="1"/>
  <c r="H151" i="1"/>
  <c r="H161" i="1"/>
  <c r="H171" i="1"/>
  <c r="H181" i="1"/>
  <c r="H191" i="1"/>
  <c r="H201" i="1"/>
  <c r="H211" i="1"/>
  <c r="H221" i="1"/>
  <c r="H231" i="1"/>
  <c r="H241" i="1"/>
  <c r="H251" i="1"/>
  <c r="H261" i="1"/>
  <c r="H271" i="1"/>
  <c r="H281" i="1"/>
  <c r="H291" i="1"/>
  <c r="H301" i="1"/>
  <c r="H311" i="1"/>
  <c r="H321" i="1"/>
  <c r="H331" i="1"/>
  <c r="H341" i="1"/>
  <c r="H351" i="1"/>
  <c r="H361" i="1"/>
  <c r="H371" i="1"/>
  <c r="H381" i="1"/>
  <c r="H391" i="1"/>
  <c r="H401" i="1"/>
  <c r="H411" i="1"/>
  <c r="H421" i="1"/>
  <c r="H431" i="1"/>
  <c r="H441" i="1"/>
  <c r="H451" i="1"/>
  <c r="H461" i="1"/>
  <c r="H471" i="1"/>
  <c r="H481" i="1"/>
  <c r="H491" i="1"/>
  <c r="H501" i="1"/>
  <c r="H511" i="1"/>
  <c r="H521" i="1"/>
  <c r="H531" i="1"/>
  <c r="H541" i="1"/>
  <c r="H551" i="1"/>
  <c r="H561" i="1"/>
  <c r="H571" i="1"/>
  <c r="H581" i="1"/>
  <c r="H591" i="1"/>
  <c r="H601" i="1"/>
  <c r="H611" i="1"/>
  <c r="H621" i="1"/>
  <c r="H631" i="1"/>
  <c r="H641" i="1"/>
  <c r="H651" i="1"/>
  <c r="H661" i="1"/>
  <c r="H671" i="1"/>
  <c r="H681" i="1"/>
  <c r="H691" i="1"/>
  <c r="H701" i="1"/>
  <c r="H711" i="1"/>
  <c r="H721" i="1"/>
  <c r="H731" i="1"/>
  <c r="H741" i="1"/>
  <c r="H751" i="1"/>
  <c r="H761" i="1"/>
  <c r="H771" i="1"/>
  <c r="H781" i="1"/>
  <c r="H791" i="1"/>
  <c r="H801" i="1"/>
  <c r="H811" i="1"/>
  <c r="H821" i="1"/>
  <c r="H831" i="1"/>
  <c r="H841" i="1"/>
  <c r="H851" i="1"/>
  <c r="H861" i="1"/>
  <c r="H871" i="1"/>
  <c r="H881" i="1"/>
  <c r="H891" i="1"/>
  <c r="H901" i="1"/>
  <c r="H911" i="1"/>
  <c r="H921" i="1"/>
  <c r="H931" i="1"/>
  <c r="H941" i="1"/>
  <c r="H951" i="1"/>
  <c r="H961" i="1"/>
  <c r="H971" i="1"/>
  <c r="H981" i="1"/>
  <c r="H991" i="1"/>
  <c r="H1001" i="1"/>
  <c r="H1011" i="1"/>
  <c r="H1021" i="1"/>
  <c r="H1031" i="1"/>
  <c r="H1041" i="1"/>
  <c r="H1051" i="1"/>
  <c r="H1061" i="1"/>
  <c r="H1071" i="1"/>
  <c r="H1081" i="1"/>
  <c r="H1091" i="1"/>
  <c r="H1101" i="1"/>
  <c r="H1111" i="1"/>
  <c r="H1121" i="1"/>
  <c r="H1131" i="1"/>
  <c r="H1141" i="1"/>
  <c r="H1151" i="1"/>
  <c r="H1161" i="1"/>
  <c r="H1171" i="1"/>
  <c r="H1181" i="1"/>
  <c r="H1191" i="1"/>
  <c r="H1201" i="1"/>
  <c r="H1211" i="1"/>
  <c r="H1221" i="1"/>
  <c r="H1231" i="1"/>
  <c r="H1241" i="1"/>
  <c r="H1251" i="1"/>
  <c r="H1261" i="1"/>
  <c r="H1271" i="1"/>
  <c r="H1281" i="1"/>
  <c r="H1291" i="1"/>
  <c r="H1301" i="1"/>
  <c r="H1311" i="1"/>
  <c r="H1321" i="1"/>
  <c r="H1331" i="1"/>
  <c r="H1341" i="1"/>
  <c r="H1351" i="1"/>
  <c r="H1361" i="1"/>
  <c r="H1371" i="1"/>
  <c r="H1381" i="1"/>
  <c r="H1391" i="1"/>
  <c r="H1401" i="1"/>
  <c r="H1411" i="1"/>
  <c r="H1421" i="1"/>
  <c r="H1431" i="1"/>
  <c r="H1441" i="1"/>
  <c r="H1451" i="1"/>
  <c r="H1461" i="1"/>
  <c r="H1471" i="1"/>
  <c r="H1481" i="1"/>
  <c r="H1491" i="1"/>
  <c r="H1501" i="1"/>
  <c r="H1511" i="1"/>
  <c r="H1521" i="1"/>
  <c r="H1531" i="1"/>
  <c r="H1541" i="1"/>
  <c r="H1551" i="1"/>
  <c r="H1561" i="1"/>
  <c r="H1571" i="1"/>
  <c r="H1581" i="1"/>
  <c r="H1591" i="1"/>
  <c r="H1601" i="1"/>
  <c r="H1611" i="1"/>
  <c r="H1621" i="1"/>
  <c r="H1631" i="1"/>
  <c r="H1641" i="1"/>
  <c r="H1651" i="1"/>
  <c r="H1661" i="1"/>
  <c r="H1671" i="1"/>
  <c r="H1681" i="1"/>
  <c r="H1691" i="1"/>
  <c r="H1701" i="1"/>
  <c r="H1711" i="1"/>
  <c r="H1721" i="1"/>
  <c r="H1731" i="1"/>
  <c r="H1741" i="1"/>
  <c r="H1751" i="1"/>
  <c r="H1761" i="1"/>
  <c r="H1771" i="1"/>
  <c r="H1781" i="1"/>
  <c r="H1791" i="1"/>
  <c r="H1801" i="1"/>
  <c r="G11" i="1"/>
  <c r="G21" i="1"/>
  <c r="G31" i="1"/>
  <c r="I1271" i="1"/>
  <c r="I1351" i="1"/>
  <c r="I1401" i="1"/>
  <c r="I1451" i="1"/>
  <c r="I1491" i="1"/>
  <c r="I1519" i="1"/>
  <c r="I1541" i="1"/>
  <c r="I1558" i="1"/>
  <c r="I1575" i="1"/>
  <c r="I1591" i="1"/>
  <c r="I1605" i="1"/>
  <c r="I1619" i="1"/>
  <c r="I1633" i="1"/>
  <c r="I1648" i="1"/>
  <c r="I1660" i="1"/>
  <c r="I1672" i="1"/>
  <c r="I1685" i="1"/>
  <c r="I1698" i="1"/>
  <c r="I1710" i="1"/>
  <c r="I1722" i="1"/>
  <c r="I1735" i="1"/>
  <c r="I1748" i="1"/>
  <c r="I1760" i="1"/>
  <c r="I1771" i="1"/>
  <c r="I1782" i="1"/>
  <c r="I1792" i="1"/>
  <c r="I1802" i="1"/>
  <c r="H12" i="1"/>
  <c r="H22" i="1"/>
  <c r="H32" i="1"/>
  <c r="H42" i="1"/>
  <c r="H52" i="1"/>
  <c r="H62" i="1"/>
  <c r="H72" i="1"/>
  <c r="H82" i="1"/>
  <c r="H92" i="1"/>
  <c r="H102" i="1"/>
  <c r="H112" i="1"/>
  <c r="H122" i="1"/>
  <c r="H132" i="1"/>
  <c r="H142" i="1"/>
  <c r="H152" i="1"/>
  <c r="H162" i="1"/>
  <c r="H172" i="1"/>
  <c r="H182" i="1"/>
  <c r="H192" i="1"/>
  <c r="H202" i="1"/>
  <c r="H212" i="1"/>
  <c r="H222" i="1"/>
  <c r="H232" i="1"/>
  <c r="H242" i="1"/>
  <c r="H252" i="1"/>
  <c r="H262" i="1"/>
  <c r="H272" i="1"/>
  <c r="H282" i="1"/>
  <c r="H292" i="1"/>
  <c r="H302" i="1"/>
  <c r="H312" i="1"/>
  <c r="H322" i="1"/>
  <c r="H332" i="1"/>
  <c r="H342" i="1"/>
  <c r="H352" i="1"/>
  <c r="H362" i="1"/>
  <c r="H372" i="1"/>
  <c r="H382" i="1"/>
  <c r="H392" i="1"/>
  <c r="H402" i="1"/>
  <c r="H412" i="1"/>
  <c r="H422" i="1"/>
  <c r="H432" i="1"/>
  <c r="H442" i="1"/>
  <c r="H452" i="1"/>
  <c r="H462" i="1"/>
  <c r="H472" i="1"/>
  <c r="H482" i="1"/>
  <c r="H492" i="1"/>
  <c r="H502" i="1"/>
  <c r="H512" i="1"/>
  <c r="H522" i="1"/>
  <c r="H532" i="1"/>
  <c r="H542" i="1"/>
  <c r="H552" i="1"/>
  <c r="H562" i="1"/>
  <c r="H572" i="1"/>
  <c r="H582" i="1"/>
  <c r="H592" i="1"/>
  <c r="H602" i="1"/>
  <c r="H612" i="1"/>
  <c r="H622" i="1"/>
  <c r="H632" i="1"/>
  <c r="H642" i="1"/>
  <c r="H652" i="1"/>
  <c r="H662" i="1"/>
  <c r="H672" i="1"/>
  <c r="H682" i="1"/>
  <c r="H692" i="1"/>
  <c r="H702" i="1"/>
  <c r="H712" i="1"/>
  <c r="H722" i="1"/>
  <c r="H732" i="1"/>
  <c r="H742" i="1"/>
  <c r="H752" i="1"/>
  <c r="H762" i="1"/>
  <c r="H772" i="1"/>
  <c r="H782" i="1"/>
  <c r="H792" i="1"/>
  <c r="H802" i="1"/>
  <c r="H812" i="1"/>
  <c r="H822" i="1"/>
  <c r="H832" i="1"/>
  <c r="H842" i="1"/>
  <c r="H852" i="1"/>
  <c r="H862" i="1"/>
  <c r="H872" i="1"/>
  <c r="H882" i="1"/>
  <c r="H892" i="1"/>
  <c r="H902" i="1"/>
  <c r="H912" i="1"/>
  <c r="H922" i="1"/>
  <c r="H932" i="1"/>
  <c r="H942" i="1"/>
  <c r="H952" i="1"/>
  <c r="H962" i="1"/>
  <c r="H972" i="1"/>
  <c r="H982" i="1"/>
  <c r="H992" i="1"/>
  <c r="H1002" i="1"/>
  <c r="H1012" i="1"/>
  <c r="H1022" i="1"/>
  <c r="H1032" i="1"/>
  <c r="H1042" i="1"/>
  <c r="H1052" i="1"/>
  <c r="H1062" i="1"/>
  <c r="H1072" i="1"/>
  <c r="H1082" i="1"/>
  <c r="H1092" i="1"/>
  <c r="H1102" i="1"/>
  <c r="H1112" i="1"/>
  <c r="H1122" i="1"/>
  <c r="H1132" i="1"/>
  <c r="H1142" i="1"/>
  <c r="H1152" i="1"/>
  <c r="H1162" i="1"/>
  <c r="H1172" i="1"/>
  <c r="H1182" i="1"/>
  <c r="H1192" i="1"/>
  <c r="H1202" i="1"/>
  <c r="H1212" i="1"/>
  <c r="H1222" i="1"/>
  <c r="H1232" i="1"/>
  <c r="H1242" i="1"/>
  <c r="H1252" i="1"/>
  <c r="H1262" i="1"/>
  <c r="H1272" i="1"/>
  <c r="H1282" i="1"/>
  <c r="H1292" i="1"/>
  <c r="H1302" i="1"/>
  <c r="H1312" i="1"/>
  <c r="H1322" i="1"/>
  <c r="H1332" i="1"/>
  <c r="H1342" i="1"/>
  <c r="H1352" i="1"/>
  <c r="H1362" i="1"/>
  <c r="H1372" i="1"/>
  <c r="H1382" i="1"/>
  <c r="H1392" i="1"/>
  <c r="H1402" i="1"/>
  <c r="H1412" i="1"/>
  <c r="H1422" i="1"/>
  <c r="H1432" i="1"/>
  <c r="H1442" i="1"/>
  <c r="H1452" i="1"/>
  <c r="H1462" i="1"/>
  <c r="H1472" i="1"/>
  <c r="H1482" i="1"/>
  <c r="H1492" i="1"/>
  <c r="H1502" i="1"/>
  <c r="H1512" i="1"/>
  <c r="H1522" i="1"/>
  <c r="H1532" i="1"/>
  <c r="H1542" i="1"/>
  <c r="H1552" i="1"/>
  <c r="H1562" i="1"/>
  <c r="H1572" i="1"/>
  <c r="H1582" i="1"/>
  <c r="H1592" i="1"/>
  <c r="H1602" i="1"/>
  <c r="H1612" i="1"/>
  <c r="H1622" i="1"/>
  <c r="H1632" i="1"/>
  <c r="H1642" i="1"/>
  <c r="H1652" i="1"/>
  <c r="H1662" i="1"/>
  <c r="H1672" i="1"/>
  <c r="H1682" i="1"/>
  <c r="H1692" i="1"/>
  <c r="H1702" i="1"/>
  <c r="H1712" i="1"/>
  <c r="H1722" i="1"/>
  <c r="H1732" i="1"/>
  <c r="H1742" i="1"/>
  <c r="H1752" i="1"/>
  <c r="H1762" i="1"/>
  <c r="H1772" i="1"/>
  <c r="H1782" i="1"/>
  <c r="H1792" i="1"/>
  <c r="H1802" i="1"/>
  <c r="G12" i="1"/>
  <c r="G22" i="1"/>
  <c r="G32" i="1"/>
  <c r="G42" i="1"/>
  <c r="G52" i="1"/>
  <c r="G62" i="1"/>
  <c r="G72" i="1"/>
  <c r="G82" i="1"/>
  <c r="G92" i="1"/>
  <c r="G102" i="1"/>
  <c r="G112" i="1"/>
  <c r="G122" i="1"/>
  <c r="G132" i="1"/>
  <c r="G142" i="1"/>
  <c r="G152" i="1"/>
  <c r="G162" i="1"/>
  <c r="G172" i="1"/>
  <c r="G182" i="1"/>
  <c r="G192" i="1"/>
  <c r="G202" i="1"/>
  <c r="G212" i="1"/>
  <c r="G222" i="1"/>
  <c r="G232" i="1"/>
  <c r="G242" i="1"/>
  <c r="G252" i="1"/>
  <c r="I1281" i="1"/>
  <c r="I1355" i="1"/>
  <c r="I1405" i="1"/>
  <c r="I1455" i="1"/>
  <c r="I1492" i="1"/>
  <c r="I1521" i="1"/>
  <c r="I1542" i="1"/>
  <c r="I1559" i="1"/>
  <c r="I1577" i="1"/>
  <c r="I1592" i="1"/>
  <c r="I1607" i="1"/>
  <c r="I1621" i="1"/>
  <c r="I1635" i="1"/>
  <c r="I1649" i="1"/>
  <c r="I1661" i="1"/>
  <c r="I1673" i="1"/>
  <c r="I1687" i="1"/>
  <c r="I1699" i="1"/>
  <c r="I1711" i="1"/>
  <c r="I1723" i="1"/>
  <c r="I1737" i="1"/>
  <c r="I1749" i="1"/>
  <c r="I1761" i="1"/>
  <c r="I1772" i="1"/>
  <c r="I1783" i="1"/>
  <c r="I1793" i="1"/>
  <c r="H3" i="1"/>
  <c r="H13" i="1"/>
  <c r="H23" i="1"/>
  <c r="H33" i="1"/>
  <c r="H43" i="1"/>
  <c r="H53" i="1"/>
  <c r="H63" i="1"/>
  <c r="H73" i="1"/>
  <c r="H83" i="1"/>
  <c r="H93" i="1"/>
  <c r="H103" i="1"/>
  <c r="H113" i="1"/>
  <c r="H123" i="1"/>
  <c r="H133" i="1"/>
  <c r="H143" i="1"/>
  <c r="H153" i="1"/>
  <c r="H163" i="1"/>
  <c r="H173" i="1"/>
  <c r="H183" i="1"/>
  <c r="H193" i="1"/>
  <c r="H203" i="1"/>
  <c r="H213" i="1"/>
  <c r="H223" i="1"/>
  <c r="H233" i="1"/>
  <c r="H243" i="1"/>
  <c r="H253" i="1"/>
  <c r="H263" i="1"/>
  <c r="H273" i="1"/>
  <c r="H283" i="1"/>
  <c r="H293" i="1"/>
  <c r="H303" i="1"/>
  <c r="H313" i="1"/>
  <c r="H323" i="1"/>
  <c r="H333" i="1"/>
  <c r="H343" i="1"/>
  <c r="H353" i="1"/>
  <c r="H363" i="1"/>
  <c r="H373" i="1"/>
  <c r="H383" i="1"/>
  <c r="H393" i="1"/>
  <c r="H403" i="1"/>
  <c r="H413" i="1"/>
  <c r="H423" i="1"/>
  <c r="H433" i="1"/>
  <c r="H443" i="1"/>
  <c r="H453" i="1"/>
  <c r="H463" i="1"/>
  <c r="H473" i="1"/>
  <c r="H483" i="1"/>
  <c r="H493" i="1"/>
  <c r="H503" i="1"/>
  <c r="H513" i="1"/>
  <c r="H523" i="1"/>
  <c r="H533" i="1"/>
  <c r="H543" i="1"/>
  <c r="H553" i="1"/>
  <c r="H563" i="1"/>
  <c r="H573" i="1"/>
  <c r="H583" i="1"/>
  <c r="H593" i="1"/>
  <c r="H603" i="1"/>
  <c r="H613" i="1"/>
  <c r="H623" i="1"/>
  <c r="H633" i="1"/>
  <c r="H643" i="1"/>
  <c r="H653" i="1"/>
  <c r="H663" i="1"/>
  <c r="H673" i="1"/>
  <c r="H683" i="1"/>
  <c r="H693" i="1"/>
  <c r="H703" i="1"/>
  <c r="H713" i="1"/>
  <c r="H723" i="1"/>
  <c r="H733" i="1"/>
  <c r="H743" i="1"/>
  <c r="H753" i="1"/>
  <c r="H763" i="1"/>
  <c r="H773" i="1"/>
  <c r="H783" i="1"/>
  <c r="H793" i="1"/>
  <c r="H803" i="1"/>
  <c r="H813" i="1"/>
  <c r="H823" i="1"/>
  <c r="H833" i="1"/>
  <c r="H843" i="1"/>
  <c r="H853" i="1"/>
  <c r="H863" i="1"/>
  <c r="H873" i="1"/>
  <c r="H883" i="1"/>
  <c r="H893" i="1"/>
  <c r="H903" i="1"/>
  <c r="H913" i="1"/>
  <c r="H923" i="1"/>
  <c r="H933" i="1"/>
  <c r="H943" i="1"/>
  <c r="H953" i="1"/>
  <c r="H963" i="1"/>
  <c r="H973" i="1"/>
  <c r="H983" i="1"/>
  <c r="H993" i="1"/>
  <c r="H1003" i="1"/>
  <c r="H1013" i="1"/>
  <c r="H1023" i="1"/>
  <c r="H1033" i="1"/>
  <c r="H1043" i="1"/>
  <c r="H1053" i="1"/>
  <c r="H1063" i="1"/>
  <c r="H1073" i="1"/>
  <c r="H1083" i="1"/>
  <c r="H1093" i="1"/>
  <c r="H1103" i="1"/>
  <c r="H1113" i="1"/>
  <c r="H1123" i="1"/>
  <c r="H1133" i="1"/>
  <c r="H1143" i="1"/>
  <c r="H1153" i="1"/>
  <c r="H1163" i="1"/>
  <c r="H1173" i="1"/>
  <c r="H1183" i="1"/>
  <c r="H1193" i="1"/>
  <c r="H1203" i="1"/>
  <c r="H1213" i="1"/>
  <c r="H1223" i="1"/>
  <c r="H1233" i="1"/>
  <c r="H1243" i="1"/>
  <c r="H1253" i="1"/>
  <c r="H1263" i="1"/>
  <c r="H1273" i="1"/>
  <c r="H1283" i="1"/>
  <c r="H1293" i="1"/>
  <c r="H1303" i="1"/>
  <c r="H1313" i="1"/>
  <c r="H1323" i="1"/>
  <c r="H1333" i="1"/>
  <c r="H1343" i="1"/>
  <c r="H1353" i="1"/>
  <c r="H1363" i="1"/>
  <c r="H1373" i="1"/>
  <c r="H1383" i="1"/>
  <c r="H1393" i="1"/>
  <c r="H1403" i="1"/>
  <c r="H1413" i="1"/>
  <c r="H1423" i="1"/>
  <c r="H1433" i="1"/>
  <c r="H1443" i="1"/>
  <c r="H1453" i="1"/>
  <c r="H1463" i="1"/>
  <c r="H1473" i="1"/>
  <c r="H1483" i="1"/>
  <c r="H1493" i="1"/>
  <c r="H1503" i="1"/>
  <c r="H1513" i="1"/>
  <c r="H1523" i="1"/>
  <c r="H1533" i="1"/>
  <c r="H1543" i="1"/>
  <c r="H1553" i="1"/>
  <c r="H1563" i="1"/>
  <c r="H1573" i="1"/>
  <c r="H1583" i="1"/>
  <c r="H1593" i="1"/>
  <c r="H1603" i="1"/>
  <c r="H1613" i="1"/>
  <c r="H1623" i="1"/>
  <c r="H1633" i="1"/>
  <c r="H1643" i="1"/>
  <c r="H1653" i="1"/>
  <c r="H1663" i="1"/>
  <c r="H1673" i="1"/>
  <c r="H1683" i="1"/>
  <c r="H1693" i="1"/>
  <c r="H1703" i="1"/>
  <c r="H1713" i="1"/>
  <c r="H1723" i="1"/>
  <c r="H1733" i="1"/>
  <c r="H1743" i="1"/>
  <c r="H1753" i="1"/>
  <c r="H1763" i="1"/>
  <c r="H1773" i="1"/>
  <c r="H1783" i="1"/>
  <c r="H1793" i="1"/>
  <c r="G3" i="1"/>
  <c r="G13" i="1"/>
  <c r="G23" i="1"/>
  <c r="G33" i="1"/>
  <c r="G43" i="1"/>
  <c r="G53" i="1"/>
  <c r="G63" i="1"/>
  <c r="G73" i="1"/>
  <c r="G83" i="1"/>
  <c r="G93" i="1"/>
  <c r="G103" i="1"/>
  <c r="G113" i="1"/>
  <c r="G123" i="1"/>
  <c r="G133" i="1"/>
  <c r="G143" i="1"/>
  <c r="G153" i="1"/>
  <c r="G163" i="1"/>
  <c r="G173" i="1"/>
  <c r="G183" i="1"/>
  <c r="G193" i="1"/>
  <c r="G203" i="1"/>
  <c r="G213" i="1"/>
  <c r="G223" i="1"/>
  <c r="G233" i="1"/>
  <c r="G243" i="1"/>
  <c r="G253" i="1"/>
  <c r="G263" i="1"/>
  <c r="G273" i="1"/>
  <c r="G283" i="1"/>
  <c r="G293" i="1"/>
  <c r="G303" i="1"/>
  <c r="G313" i="1"/>
  <c r="G323" i="1"/>
  <c r="G333" i="1"/>
  <c r="G343" i="1"/>
  <c r="G353" i="1"/>
  <c r="G363" i="1"/>
  <c r="G373" i="1"/>
  <c r="G383" i="1"/>
  <c r="G393" i="1"/>
  <c r="G403" i="1"/>
  <c r="G413" i="1"/>
  <c r="G423" i="1"/>
  <c r="G433" i="1"/>
  <c r="G443" i="1"/>
  <c r="G453" i="1"/>
  <c r="G463" i="1"/>
  <c r="G473" i="1"/>
  <c r="G483" i="1"/>
  <c r="I1291" i="1"/>
  <c r="I1361" i="1"/>
  <c r="I1411" i="1"/>
  <c r="I1461" i="1"/>
  <c r="I1495" i="1"/>
  <c r="I1522" i="1"/>
  <c r="I1545" i="1"/>
  <c r="I1561" i="1"/>
  <c r="I1578" i="1"/>
  <c r="I1593" i="1"/>
  <c r="I1608" i="1"/>
  <c r="I1622" i="1"/>
  <c r="I1637" i="1"/>
  <c r="I1650" i="1"/>
  <c r="I1662" i="1"/>
  <c r="I1675" i="1"/>
  <c r="I1688" i="1"/>
  <c r="I1700" i="1"/>
  <c r="I1712" i="1"/>
  <c r="I1725" i="1"/>
  <c r="I1738" i="1"/>
  <c r="I1750" i="1"/>
  <c r="I1762" i="1"/>
  <c r="I1773" i="1"/>
  <c r="I1784" i="1"/>
  <c r="I1794" i="1"/>
  <c r="H4" i="1"/>
  <c r="H14" i="1"/>
  <c r="H24" i="1"/>
  <c r="H34" i="1"/>
  <c r="H44" i="1"/>
  <c r="H54" i="1"/>
  <c r="H64" i="1"/>
  <c r="H74" i="1"/>
  <c r="H84" i="1"/>
  <c r="H94" i="1"/>
  <c r="H104" i="1"/>
  <c r="H114" i="1"/>
  <c r="H124" i="1"/>
  <c r="H134" i="1"/>
  <c r="H144" i="1"/>
  <c r="H154" i="1"/>
  <c r="H164" i="1"/>
  <c r="H174" i="1"/>
  <c r="H184" i="1"/>
  <c r="H194" i="1"/>
  <c r="H204" i="1"/>
  <c r="H214" i="1"/>
  <c r="H224" i="1"/>
  <c r="H234" i="1"/>
  <c r="H244" i="1"/>
  <c r="H254" i="1"/>
  <c r="H264" i="1"/>
  <c r="H274" i="1"/>
  <c r="H284" i="1"/>
  <c r="H294" i="1"/>
  <c r="H304" i="1"/>
  <c r="H314" i="1"/>
  <c r="H324" i="1"/>
  <c r="H334" i="1"/>
  <c r="H344" i="1"/>
  <c r="H354" i="1"/>
  <c r="H364" i="1"/>
  <c r="H374" i="1"/>
  <c r="H384" i="1"/>
  <c r="H394" i="1"/>
  <c r="H404" i="1"/>
  <c r="H414" i="1"/>
  <c r="H424" i="1"/>
  <c r="H434" i="1"/>
  <c r="H444" i="1"/>
  <c r="H454" i="1"/>
  <c r="H464" i="1"/>
  <c r="H474" i="1"/>
  <c r="H484" i="1"/>
  <c r="H494" i="1"/>
  <c r="H504" i="1"/>
  <c r="H514" i="1"/>
  <c r="H524" i="1"/>
  <c r="H534" i="1"/>
  <c r="H544" i="1"/>
  <c r="H554" i="1"/>
  <c r="H564" i="1"/>
  <c r="H574" i="1"/>
  <c r="H584" i="1"/>
  <c r="H594" i="1"/>
  <c r="H604" i="1"/>
  <c r="H614" i="1"/>
  <c r="H624" i="1"/>
  <c r="H634" i="1"/>
  <c r="H644" i="1"/>
  <c r="H654" i="1"/>
  <c r="H664" i="1"/>
  <c r="H674" i="1"/>
  <c r="H684" i="1"/>
  <c r="H694" i="1"/>
  <c r="H704" i="1"/>
  <c r="H714" i="1"/>
  <c r="H724" i="1"/>
  <c r="H734" i="1"/>
  <c r="H744" i="1"/>
  <c r="H754" i="1"/>
  <c r="H764" i="1"/>
  <c r="H774" i="1"/>
  <c r="H784" i="1"/>
  <c r="H794" i="1"/>
  <c r="H804" i="1"/>
  <c r="H814" i="1"/>
  <c r="H824" i="1"/>
  <c r="H834" i="1"/>
  <c r="H844" i="1"/>
  <c r="H854" i="1"/>
  <c r="H864" i="1"/>
  <c r="H874" i="1"/>
  <c r="H884" i="1"/>
  <c r="H894" i="1"/>
  <c r="H904" i="1"/>
  <c r="H914" i="1"/>
  <c r="H924" i="1"/>
  <c r="H934" i="1"/>
  <c r="H944" i="1"/>
  <c r="H954" i="1"/>
  <c r="H964" i="1"/>
  <c r="H974" i="1"/>
  <c r="H984" i="1"/>
  <c r="H994" i="1"/>
  <c r="H1004" i="1"/>
  <c r="H1014" i="1"/>
  <c r="H1024" i="1"/>
  <c r="H1034" i="1"/>
  <c r="H1044" i="1"/>
  <c r="H1054" i="1"/>
  <c r="H1064" i="1"/>
  <c r="H1074" i="1"/>
  <c r="H1084" i="1"/>
  <c r="H1094" i="1"/>
  <c r="H1104" i="1"/>
  <c r="H1114" i="1"/>
  <c r="H1124" i="1"/>
  <c r="H1134" i="1"/>
  <c r="H1144" i="1"/>
  <c r="H1154" i="1"/>
  <c r="H1164" i="1"/>
  <c r="H1174" i="1"/>
  <c r="H1184" i="1"/>
  <c r="H1194" i="1"/>
  <c r="H1204" i="1"/>
  <c r="H1214" i="1"/>
  <c r="H1224" i="1"/>
  <c r="H1234" i="1"/>
  <c r="H1244" i="1"/>
  <c r="H1254" i="1"/>
  <c r="H1264" i="1"/>
  <c r="H1274" i="1"/>
  <c r="H1284" i="1"/>
  <c r="H1294" i="1"/>
  <c r="H1304" i="1"/>
  <c r="H1314" i="1"/>
  <c r="H1324" i="1"/>
  <c r="H1334" i="1"/>
  <c r="H1344" i="1"/>
  <c r="H1354" i="1"/>
  <c r="H1364" i="1"/>
  <c r="H1374" i="1"/>
  <c r="H1384" i="1"/>
  <c r="H1394" i="1"/>
  <c r="H1404" i="1"/>
  <c r="H1414" i="1"/>
  <c r="H1424" i="1"/>
  <c r="H1434" i="1"/>
  <c r="H1444" i="1"/>
  <c r="H1454" i="1"/>
  <c r="H1464" i="1"/>
  <c r="H1474" i="1"/>
  <c r="H1484" i="1"/>
  <c r="H1494" i="1"/>
  <c r="H1504" i="1"/>
  <c r="H1514" i="1"/>
  <c r="H1524" i="1"/>
  <c r="H1534" i="1"/>
  <c r="H1544" i="1"/>
  <c r="H1554" i="1"/>
  <c r="H1564" i="1"/>
  <c r="H1574" i="1"/>
  <c r="H1584" i="1"/>
  <c r="H1594" i="1"/>
  <c r="H1604" i="1"/>
  <c r="H1614" i="1"/>
  <c r="H1624" i="1"/>
  <c r="H1634" i="1"/>
  <c r="H1644" i="1"/>
  <c r="H1654" i="1"/>
  <c r="H1664" i="1"/>
  <c r="H1674" i="1"/>
  <c r="H1684" i="1"/>
  <c r="H1694" i="1"/>
  <c r="H1704" i="1"/>
  <c r="H1714" i="1"/>
  <c r="H1724" i="1"/>
  <c r="H1734" i="1"/>
  <c r="H1744" i="1"/>
  <c r="H1754" i="1"/>
  <c r="H1764" i="1"/>
  <c r="H1774" i="1"/>
  <c r="H1784" i="1"/>
  <c r="H1794" i="1"/>
  <c r="G4" i="1"/>
  <c r="G14" i="1"/>
  <c r="G24" i="1"/>
  <c r="G34" i="1"/>
  <c r="G44" i="1"/>
  <c r="G54" i="1"/>
  <c r="G64" i="1"/>
  <c r="G74" i="1"/>
  <c r="G84" i="1"/>
  <c r="G94" i="1"/>
  <c r="I1301" i="1"/>
  <c r="I1365" i="1"/>
  <c r="I1415" i="1"/>
  <c r="I1465" i="1"/>
  <c r="I1501" i="1"/>
  <c r="I1525" i="1"/>
  <c r="I1547" i="1"/>
  <c r="I1562" i="1"/>
  <c r="I1579" i="1"/>
  <c r="I1595" i="1"/>
  <c r="I1609" i="1"/>
  <c r="I1623" i="1"/>
  <c r="I1638" i="1"/>
  <c r="I1651" i="1"/>
  <c r="I1663" i="1"/>
  <c r="I1677" i="1"/>
  <c r="I1689" i="1"/>
  <c r="I1701" i="1"/>
  <c r="I1713" i="1"/>
  <c r="I1727" i="1"/>
  <c r="I1739" i="1"/>
  <c r="I1751" i="1"/>
  <c r="I1763" i="1"/>
  <c r="I1774" i="1"/>
  <c r="I1785" i="1"/>
  <c r="I1795" i="1"/>
  <c r="H5" i="1"/>
  <c r="H15" i="1"/>
  <c r="H25" i="1"/>
  <c r="H35" i="1"/>
  <c r="H45" i="1"/>
  <c r="H55" i="1"/>
  <c r="H65" i="1"/>
  <c r="H75" i="1"/>
  <c r="H85" i="1"/>
  <c r="H95" i="1"/>
  <c r="H105" i="1"/>
  <c r="H115" i="1"/>
  <c r="H125" i="1"/>
  <c r="H135" i="1"/>
  <c r="H145" i="1"/>
  <c r="H155" i="1"/>
  <c r="H165" i="1"/>
  <c r="H175" i="1"/>
  <c r="H185" i="1"/>
  <c r="H195" i="1"/>
  <c r="H205" i="1"/>
  <c r="H215" i="1"/>
  <c r="H225" i="1"/>
  <c r="H235" i="1"/>
  <c r="H245" i="1"/>
  <c r="H255" i="1"/>
  <c r="H265" i="1"/>
  <c r="H275" i="1"/>
  <c r="H285" i="1"/>
  <c r="H295" i="1"/>
  <c r="H305" i="1"/>
  <c r="H315" i="1"/>
  <c r="H325" i="1"/>
  <c r="H335" i="1"/>
  <c r="H345" i="1"/>
  <c r="H355" i="1"/>
  <c r="H365" i="1"/>
  <c r="H375" i="1"/>
  <c r="H385" i="1"/>
  <c r="H395" i="1"/>
  <c r="H405" i="1"/>
  <c r="H415" i="1"/>
  <c r="H425" i="1"/>
  <c r="H435" i="1"/>
  <c r="H445" i="1"/>
  <c r="H455" i="1"/>
  <c r="H465" i="1"/>
  <c r="H475" i="1"/>
  <c r="H485" i="1"/>
  <c r="H495" i="1"/>
  <c r="H505" i="1"/>
  <c r="H515" i="1"/>
  <c r="H525" i="1"/>
  <c r="H535" i="1"/>
  <c r="H545" i="1"/>
  <c r="H555" i="1"/>
  <c r="H565" i="1"/>
  <c r="H575" i="1"/>
  <c r="H585" i="1"/>
  <c r="H595" i="1"/>
  <c r="H605" i="1"/>
  <c r="H615" i="1"/>
  <c r="H625" i="1"/>
  <c r="H635" i="1"/>
  <c r="H645" i="1"/>
  <c r="H655" i="1"/>
  <c r="H665" i="1"/>
  <c r="H675" i="1"/>
  <c r="H685" i="1"/>
  <c r="H695" i="1"/>
  <c r="H705" i="1"/>
  <c r="H715" i="1"/>
  <c r="H725" i="1"/>
  <c r="H735" i="1"/>
  <c r="H745" i="1"/>
  <c r="H755" i="1"/>
  <c r="H765" i="1"/>
  <c r="H775" i="1"/>
  <c r="H785" i="1"/>
  <c r="H795" i="1"/>
  <c r="H805" i="1"/>
  <c r="H815" i="1"/>
  <c r="H825" i="1"/>
  <c r="H835" i="1"/>
  <c r="H845" i="1"/>
  <c r="H855" i="1"/>
  <c r="H865" i="1"/>
  <c r="H875" i="1"/>
  <c r="H885" i="1"/>
  <c r="H895" i="1"/>
  <c r="H905" i="1"/>
  <c r="H915" i="1"/>
  <c r="H925" i="1"/>
  <c r="H935" i="1"/>
  <c r="H945" i="1"/>
  <c r="H955" i="1"/>
  <c r="H965" i="1"/>
  <c r="H975" i="1"/>
  <c r="H985" i="1"/>
  <c r="H995" i="1"/>
  <c r="H1005" i="1"/>
  <c r="H1015" i="1"/>
  <c r="H1025" i="1"/>
  <c r="H1035" i="1"/>
  <c r="H1045" i="1"/>
  <c r="H1055" i="1"/>
  <c r="H1065" i="1"/>
  <c r="H1075" i="1"/>
  <c r="H1085" i="1"/>
  <c r="H1095" i="1"/>
  <c r="H1105" i="1"/>
  <c r="H1115" i="1"/>
  <c r="H1125" i="1"/>
  <c r="H1135" i="1"/>
  <c r="H1145" i="1"/>
  <c r="H1155" i="1"/>
  <c r="H1165" i="1"/>
  <c r="H1175" i="1"/>
  <c r="H1185" i="1"/>
  <c r="H1195" i="1"/>
  <c r="H1205" i="1"/>
  <c r="H1215" i="1"/>
  <c r="H1225" i="1"/>
  <c r="H1235" i="1"/>
  <c r="H1245" i="1"/>
  <c r="H1255" i="1"/>
  <c r="H1265" i="1"/>
  <c r="H1275" i="1"/>
  <c r="H1285" i="1"/>
  <c r="H1295" i="1"/>
  <c r="H1305" i="1"/>
  <c r="H1315" i="1"/>
  <c r="H1325" i="1"/>
  <c r="H1335" i="1"/>
  <c r="H1345" i="1"/>
  <c r="H1355" i="1"/>
  <c r="H1365" i="1"/>
  <c r="H1375" i="1"/>
  <c r="H1385" i="1"/>
  <c r="H1395" i="1"/>
  <c r="H1405" i="1"/>
  <c r="H1415" i="1"/>
  <c r="H1425" i="1"/>
  <c r="H1435" i="1"/>
  <c r="H1445" i="1"/>
  <c r="H1455" i="1"/>
  <c r="H1465" i="1"/>
  <c r="H1475" i="1"/>
  <c r="H1485" i="1"/>
  <c r="H1495" i="1"/>
  <c r="H1505" i="1"/>
  <c r="H1515" i="1"/>
  <c r="H1525" i="1"/>
  <c r="H1535" i="1"/>
  <c r="H1545" i="1"/>
  <c r="H1555" i="1"/>
  <c r="H1565" i="1"/>
  <c r="H1575" i="1"/>
  <c r="H1585" i="1"/>
  <c r="H1595" i="1"/>
  <c r="H1605" i="1"/>
  <c r="H1615" i="1"/>
  <c r="H1625" i="1"/>
  <c r="H1635" i="1"/>
  <c r="H1645" i="1"/>
  <c r="H1655" i="1"/>
  <c r="H1665" i="1"/>
  <c r="H1675" i="1"/>
  <c r="H1685" i="1"/>
  <c r="H1695" i="1"/>
  <c r="H1705" i="1"/>
  <c r="H1715" i="1"/>
  <c r="H1725" i="1"/>
  <c r="H1735" i="1"/>
  <c r="H1745" i="1"/>
  <c r="H1755" i="1"/>
  <c r="H1765" i="1"/>
  <c r="H1775" i="1"/>
  <c r="H1785" i="1"/>
  <c r="H1795" i="1"/>
  <c r="G5" i="1"/>
  <c r="G15" i="1"/>
  <c r="G25" i="1"/>
  <c r="G35" i="1"/>
  <c r="G45" i="1"/>
  <c r="G55" i="1"/>
  <c r="G65" i="1"/>
  <c r="G75" i="1"/>
  <c r="G85" i="1"/>
  <c r="G95" i="1"/>
  <c r="G105" i="1"/>
  <c r="G115" i="1"/>
  <c r="G125" i="1"/>
  <c r="G135" i="1"/>
  <c r="G145" i="1"/>
  <c r="G155" i="1"/>
  <c r="G165" i="1"/>
  <c r="G175" i="1"/>
  <c r="G185" i="1"/>
  <c r="G195" i="1"/>
  <c r="G205" i="1"/>
  <c r="G215" i="1"/>
  <c r="G225" i="1"/>
  <c r="G235" i="1"/>
  <c r="G245" i="1"/>
  <c r="G255" i="1"/>
  <c r="G265" i="1"/>
  <c r="G275" i="1"/>
  <c r="G285" i="1"/>
  <c r="G295" i="1"/>
  <c r="G305" i="1"/>
  <c r="G315" i="1"/>
  <c r="G325" i="1"/>
  <c r="G335" i="1"/>
  <c r="G345" i="1"/>
  <c r="G355" i="1"/>
  <c r="G365" i="1"/>
  <c r="G375" i="1"/>
  <c r="G385" i="1"/>
  <c r="G395" i="1"/>
  <c r="G405" i="1"/>
  <c r="G415" i="1"/>
  <c r="G425" i="1"/>
  <c r="G435" i="1"/>
  <c r="G445" i="1"/>
  <c r="G455" i="1"/>
  <c r="G465" i="1"/>
  <c r="G475" i="1"/>
  <c r="G485" i="1"/>
  <c r="G495" i="1"/>
  <c r="G505" i="1"/>
  <c r="G515" i="1"/>
  <c r="G525" i="1"/>
  <c r="G535" i="1"/>
  <c r="G545" i="1"/>
  <c r="G555" i="1"/>
  <c r="G565" i="1"/>
  <c r="G575" i="1"/>
  <c r="G585" i="1"/>
  <c r="G595" i="1"/>
  <c r="G605" i="1"/>
  <c r="G615" i="1"/>
  <c r="G625" i="1"/>
  <c r="G635" i="1"/>
  <c r="G645" i="1"/>
  <c r="I1311" i="1"/>
  <c r="I1371" i="1"/>
  <c r="I1421" i="1"/>
  <c r="I1471" i="1"/>
  <c r="I1502" i="1"/>
  <c r="I1529" i="1"/>
  <c r="I1548" i="1"/>
  <c r="I1565" i="1"/>
  <c r="I1581" i="1"/>
  <c r="I1597" i="1"/>
  <c r="I1611" i="1"/>
  <c r="I1625" i="1"/>
  <c r="I1639" i="1"/>
  <c r="I1652" i="1"/>
  <c r="I1665" i="1"/>
  <c r="I1678" i="1"/>
  <c r="I1690" i="1"/>
  <c r="I1702" i="1"/>
  <c r="I1715" i="1"/>
  <c r="I1728" i="1"/>
  <c r="I1740" i="1"/>
  <c r="I1752" i="1"/>
  <c r="I1764" i="1"/>
  <c r="I1775" i="1"/>
  <c r="I1786" i="1"/>
  <c r="I1796" i="1"/>
  <c r="H6" i="1"/>
  <c r="H16" i="1"/>
  <c r="H26" i="1"/>
  <c r="H36" i="1"/>
  <c r="H46" i="1"/>
  <c r="H56" i="1"/>
  <c r="H66" i="1"/>
  <c r="H76" i="1"/>
  <c r="H86" i="1"/>
  <c r="H96" i="1"/>
  <c r="H106" i="1"/>
  <c r="H116" i="1"/>
  <c r="H126" i="1"/>
  <c r="H136" i="1"/>
  <c r="H146" i="1"/>
  <c r="H156" i="1"/>
  <c r="H166" i="1"/>
  <c r="H176" i="1"/>
  <c r="H186" i="1"/>
  <c r="H196" i="1"/>
  <c r="H206" i="1"/>
  <c r="H216" i="1"/>
  <c r="H226" i="1"/>
  <c r="H236" i="1"/>
  <c r="H246" i="1"/>
  <c r="H256" i="1"/>
  <c r="H266" i="1"/>
  <c r="H276" i="1"/>
  <c r="H286" i="1"/>
  <c r="H296" i="1"/>
  <c r="H306" i="1"/>
  <c r="H316" i="1"/>
  <c r="H326" i="1"/>
  <c r="H336" i="1"/>
  <c r="H346" i="1"/>
  <c r="H356" i="1"/>
  <c r="H366" i="1"/>
  <c r="H376" i="1"/>
  <c r="H386" i="1"/>
  <c r="H396" i="1"/>
  <c r="H406" i="1"/>
  <c r="H416" i="1"/>
  <c r="H426" i="1"/>
  <c r="H436" i="1"/>
  <c r="H446" i="1"/>
  <c r="H456" i="1"/>
  <c r="H466" i="1"/>
  <c r="H476" i="1"/>
  <c r="H486" i="1"/>
  <c r="H496" i="1"/>
  <c r="H506" i="1"/>
  <c r="H516" i="1"/>
  <c r="H526" i="1"/>
  <c r="H536" i="1"/>
  <c r="H546" i="1"/>
  <c r="H556" i="1"/>
  <c r="H566" i="1"/>
  <c r="H576" i="1"/>
  <c r="H586" i="1"/>
  <c r="H596" i="1"/>
  <c r="H606" i="1"/>
  <c r="H616" i="1"/>
  <c r="H626" i="1"/>
  <c r="H636" i="1"/>
  <c r="H646" i="1"/>
  <c r="H656" i="1"/>
  <c r="H666" i="1"/>
  <c r="H676" i="1"/>
  <c r="H686" i="1"/>
  <c r="H696" i="1"/>
  <c r="H706" i="1"/>
  <c r="H716" i="1"/>
  <c r="H726" i="1"/>
  <c r="H736" i="1"/>
  <c r="H746" i="1"/>
  <c r="H756" i="1"/>
  <c r="H766" i="1"/>
  <c r="H776" i="1"/>
  <c r="H786" i="1"/>
  <c r="H796" i="1"/>
  <c r="H806" i="1"/>
  <c r="H816" i="1"/>
  <c r="H826" i="1"/>
  <c r="H836" i="1"/>
  <c r="H846" i="1"/>
  <c r="H856" i="1"/>
  <c r="H866" i="1"/>
  <c r="H876" i="1"/>
  <c r="H886" i="1"/>
  <c r="H896" i="1"/>
  <c r="H906" i="1"/>
  <c r="H916" i="1"/>
  <c r="H926" i="1"/>
  <c r="H936" i="1"/>
  <c r="H946" i="1"/>
  <c r="H956" i="1"/>
  <c r="H966" i="1"/>
  <c r="H976" i="1"/>
  <c r="H986" i="1"/>
  <c r="H996" i="1"/>
  <c r="H1006" i="1"/>
  <c r="H1016" i="1"/>
  <c r="H1026" i="1"/>
  <c r="H1036" i="1"/>
  <c r="H1046" i="1"/>
  <c r="H1056" i="1"/>
  <c r="H1066" i="1"/>
  <c r="H1076" i="1"/>
  <c r="H1086" i="1"/>
  <c r="H1096" i="1"/>
  <c r="H1106" i="1"/>
  <c r="H1116" i="1"/>
  <c r="H1126" i="1"/>
  <c r="H1136" i="1"/>
  <c r="H1146" i="1"/>
  <c r="H1156" i="1"/>
  <c r="H1166" i="1"/>
  <c r="H1176" i="1"/>
  <c r="H1186" i="1"/>
  <c r="H1196" i="1"/>
  <c r="H1206" i="1"/>
  <c r="H1216" i="1"/>
  <c r="H1226" i="1"/>
  <c r="H1236" i="1"/>
  <c r="H1246" i="1"/>
  <c r="H1256" i="1"/>
  <c r="H1266" i="1"/>
  <c r="H1276" i="1"/>
  <c r="H1286" i="1"/>
  <c r="H1296" i="1"/>
  <c r="H1306" i="1"/>
  <c r="H1316" i="1"/>
  <c r="H1326" i="1"/>
  <c r="H1336" i="1"/>
  <c r="H1346" i="1"/>
  <c r="H1356" i="1"/>
  <c r="H1366" i="1"/>
  <c r="H1376" i="1"/>
  <c r="H1386" i="1"/>
  <c r="H1396" i="1"/>
  <c r="H1406" i="1"/>
  <c r="H1416" i="1"/>
  <c r="H1426" i="1"/>
  <c r="H1436" i="1"/>
  <c r="H1446" i="1"/>
  <c r="H1456" i="1"/>
  <c r="H1466" i="1"/>
  <c r="H1476" i="1"/>
  <c r="H1486" i="1"/>
  <c r="H1496" i="1"/>
  <c r="H1506" i="1"/>
  <c r="H1516" i="1"/>
  <c r="H1526" i="1"/>
  <c r="H1536" i="1"/>
  <c r="H1546" i="1"/>
  <c r="H1556" i="1"/>
  <c r="H1566" i="1"/>
  <c r="H1576" i="1"/>
  <c r="H1586" i="1"/>
  <c r="H1596" i="1"/>
  <c r="H1606" i="1"/>
  <c r="H1616" i="1"/>
  <c r="H1626" i="1"/>
  <c r="H1636" i="1"/>
  <c r="H1646" i="1"/>
  <c r="H1656" i="1"/>
  <c r="H1666" i="1"/>
  <c r="H1676" i="1"/>
  <c r="H1686" i="1"/>
  <c r="H1696" i="1"/>
  <c r="H1706" i="1"/>
  <c r="H1716" i="1"/>
  <c r="H1726" i="1"/>
  <c r="H1736" i="1"/>
  <c r="H1746" i="1"/>
  <c r="H1756" i="1"/>
  <c r="H1766" i="1"/>
  <c r="H1776" i="1"/>
  <c r="H1786" i="1"/>
  <c r="H1796" i="1"/>
  <c r="G6" i="1"/>
  <c r="G16" i="1"/>
  <c r="G26" i="1"/>
  <c r="G36" i="1"/>
  <c r="G46" i="1"/>
  <c r="G56" i="1"/>
  <c r="G66" i="1"/>
  <c r="G76" i="1"/>
  <c r="G86" i="1"/>
  <c r="G96" i="1"/>
  <c r="G106" i="1"/>
  <c r="G116" i="1"/>
  <c r="G126" i="1"/>
  <c r="G136" i="1"/>
  <c r="G146" i="1"/>
  <c r="G156" i="1"/>
  <c r="G166" i="1"/>
  <c r="G176" i="1"/>
  <c r="G186" i="1"/>
  <c r="G196" i="1"/>
  <c r="G206" i="1"/>
  <c r="I1321" i="1"/>
  <c r="I1375" i="1"/>
  <c r="I1425" i="1"/>
  <c r="I1472" i="1"/>
  <c r="I1505" i="1"/>
  <c r="I1531" i="1"/>
  <c r="I1549" i="1"/>
  <c r="I1567" i="1"/>
  <c r="I1582" i="1"/>
  <c r="I1598" i="1"/>
  <c r="I1612" i="1"/>
  <c r="I1627" i="1"/>
  <c r="I1641" i="1"/>
  <c r="I1653" i="1"/>
  <c r="I1667" i="1"/>
  <c r="I1679" i="1"/>
  <c r="I1691" i="1"/>
  <c r="I1703" i="1"/>
  <c r="I1717" i="1"/>
  <c r="I1729" i="1"/>
  <c r="I1741" i="1"/>
  <c r="I1753" i="1"/>
  <c r="I1765" i="1"/>
  <c r="I1777" i="1"/>
  <c r="I1787" i="1"/>
  <c r="I1797" i="1"/>
  <c r="H7" i="1"/>
  <c r="H17" i="1"/>
  <c r="H27" i="1"/>
  <c r="H37" i="1"/>
  <c r="H47" i="1"/>
  <c r="H57" i="1"/>
  <c r="H67" i="1"/>
  <c r="H77" i="1"/>
  <c r="H87" i="1"/>
  <c r="H97" i="1"/>
  <c r="H107" i="1"/>
  <c r="H117" i="1"/>
  <c r="H127" i="1"/>
  <c r="H137" i="1"/>
  <c r="H147" i="1"/>
  <c r="H157" i="1"/>
  <c r="H167" i="1"/>
  <c r="H177" i="1"/>
  <c r="H187" i="1"/>
  <c r="H197" i="1"/>
  <c r="H207" i="1"/>
  <c r="H217" i="1"/>
  <c r="H227" i="1"/>
  <c r="H237" i="1"/>
  <c r="H247" i="1"/>
  <c r="H257" i="1"/>
  <c r="H267" i="1"/>
  <c r="H277" i="1"/>
  <c r="H287" i="1"/>
  <c r="H297" i="1"/>
  <c r="H307" i="1"/>
  <c r="H317" i="1"/>
  <c r="H327" i="1"/>
  <c r="H337" i="1"/>
  <c r="H347" i="1"/>
  <c r="H357" i="1"/>
  <c r="H367" i="1"/>
  <c r="H377" i="1"/>
  <c r="H387" i="1"/>
  <c r="H397" i="1"/>
  <c r="H407" i="1"/>
  <c r="H417" i="1"/>
  <c r="H427" i="1"/>
  <c r="H437" i="1"/>
  <c r="H447" i="1"/>
  <c r="H457" i="1"/>
  <c r="H467" i="1"/>
  <c r="H477" i="1"/>
  <c r="H487" i="1"/>
  <c r="H497" i="1"/>
  <c r="H507" i="1"/>
  <c r="H517" i="1"/>
  <c r="H527" i="1"/>
  <c r="H537" i="1"/>
  <c r="H547" i="1"/>
  <c r="H557" i="1"/>
  <c r="H567" i="1"/>
  <c r="H577" i="1"/>
  <c r="H587" i="1"/>
  <c r="H597" i="1"/>
  <c r="H607" i="1"/>
  <c r="H617" i="1"/>
  <c r="H627" i="1"/>
  <c r="H637" i="1"/>
  <c r="H647" i="1"/>
  <c r="H657" i="1"/>
  <c r="H667" i="1"/>
  <c r="H677" i="1"/>
  <c r="H687" i="1"/>
  <c r="H697" i="1"/>
  <c r="H707" i="1"/>
  <c r="H717" i="1"/>
  <c r="H727" i="1"/>
  <c r="H737" i="1"/>
  <c r="H747" i="1"/>
  <c r="H757" i="1"/>
  <c r="H767" i="1"/>
  <c r="H777" i="1"/>
  <c r="H787" i="1"/>
  <c r="H797" i="1"/>
  <c r="H807" i="1"/>
  <c r="H817" i="1"/>
  <c r="H827" i="1"/>
  <c r="H837" i="1"/>
  <c r="H847" i="1"/>
  <c r="H857" i="1"/>
  <c r="H867" i="1"/>
  <c r="H877" i="1"/>
  <c r="H887" i="1"/>
  <c r="H897" i="1"/>
  <c r="H907" i="1"/>
  <c r="H917" i="1"/>
  <c r="H927" i="1"/>
  <c r="H937" i="1"/>
  <c r="H947" i="1"/>
  <c r="H957" i="1"/>
  <c r="H967" i="1"/>
  <c r="H977" i="1"/>
  <c r="H987" i="1"/>
  <c r="H997" i="1"/>
  <c r="H1007" i="1"/>
  <c r="H1017" i="1"/>
  <c r="H1027" i="1"/>
  <c r="H1037" i="1"/>
  <c r="H1047" i="1"/>
  <c r="H1057" i="1"/>
  <c r="H1067" i="1"/>
  <c r="H1077" i="1"/>
  <c r="H1087" i="1"/>
  <c r="H1097" i="1"/>
  <c r="H1107" i="1"/>
  <c r="H1117" i="1"/>
  <c r="H1127" i="1"/>
  <c r="H1137" i="1"/>
  <c r="H1147" i="1"/>
  <c r="H1157" i="1"/>
  <c r="H1167" i="1"/>
  <c r="H1177" i="1"/>
  <c r="H1187" i="1"/>
  <c r="H1197" i="1"/>
  <c r="H1207" i="1"/>
  <c r="H1217" i="1"/>
  <c r="H1227" i="1"/>
  <c r="H1237" i="1"/>
  <c r="H1247" i="1"/>
  <c r="H1257" i="1"/>
  <c r="H1267" i="1"/>
  <c r="H1277" i="1"/>
  <c r="H1287" i="1"/>
  <c r="H1297" i="1"/>
  <c r="H1307" i="1"/>
  <c r="H1317" i="1"/>
  <c r="H1327" i="1"/>
  <c r="H1337" i="1"/>
  <c r="H1347" i="1"/>
  <c r="H1357" i="1"/>
  <c r="H1367" i="1"/>
  <c r="H1377" i="1"/>
  <c r="H1387" i="1"/>
  <c r="H1397" i="1"/>
  <c r="H1407" i="1"/>
  <c r="H1417" i="1"/>
  <c r="H1427" i="1"/>
  <c r="H1437" i="1"/>
  <c r="H1447" i="1"/>
  <c r="H1457" i="1"/>
  <c r="H1467" i="1"/>
  <c r="H1477" i="1"/>
  <c r="H1487" i="1"/>
  <c r="H1497" i="1"/>
  <c r="H1507" i="1"/>
  <c r="H1517" i="1"/>
  <c r="H1527" i="1"/>
  <c r="H1537" i="1"/>
  <c r="H1547" i="1"/>
  <c r="H1557" i="1"/>
  <c r="H1567" i="1"/>
  <c r="H1577" i="1"/>
  <c r="H1587" i="1"/>
  <c r="H1597" i="1"/>
  <c r="H1607" i="1"/>
  <c r="H1617" i="1"/>
  <c r="H1627" i="1"/>
  <c r="H1637" i="1"/>
  <c r="H1647" i="1"/>
  <c r="H1657" i="1"/>
  <c r="H1667" i="1"/>
  <c r="H1677" i="1"/>
  <c r="H1687" i="1"/>
  <c r="H1697" i="1"/>
  <c r="H1707" i="1"/>
  <c r="H1717" i="1"/>
  <c r="H1727" i="1"/>
  <c r="H1737" i="1"/>
  <c r="H1747" i="1"/>
  <c r="H1757" i="1"/>
  <c r="H1767" i="1"/>
  <c r="H1777" i="1"/>
  <c r="H1787" i="1"/>
  <c r="I1331" i="1"/>
  <c r="I1381" i="1"/>
  <c r="I1431" i="1"/>
  <c r="I1475" i="1"/>
  <c r="I1509" i="1"/>
  <c r="I1532" i="1"/>
  <c r="I1551" i="1"/>
  <c r="I1568" i="1"/>
  <c r="I1585" i="1"/>
  <c r="I1599" i="1"/>
  <c r="I1613" i="1"/>
  <c r="I1628" i="1"/>
  <c r="I1642" i="1"/>
  <c r="I1655" i="1"/>
  <c r="I1668" i="1"/>
  <c r="I1680" i="1"/>
  <c r="I1692" i="1"/>
  <c r="I1705" i="1"/>
  <c r="I1718" i="1"/>
  <c r="I1730" i="1"/>
  <c r="I1742" i="1"/>
  <c r="I1755" i="1"/>
  <c r="I1767" i="1"/>
  <c r="I1778" i="1"/>
  <c r="I1788" i="1"/>
  <c r="I1798" i="1"/>
  <c r="H8" i="1"/>
  <c r="H18" i="1"/>
  <c r="H28" i="1"/>
  <c r="H38" i="1"/>
  <c r="H48" i="1"/>
  <c r="H58" i="1"/>
  <c r="H68" i="1"/>
  <c r="H78" i="1"/>
  <c r="H88" i="1"/>
  <c r="H98" i="1"/>
  <c r="H108" i="1"/>
  <c r="H118" i="1"/>
  <c r="H128" i="1"/>
  <c r="H138" i="1"/>
  <c r="H148" i="1"/>
  <c r="H158" i="1"/>
  <c r="H168" i="1"/>
  <c r="H178" i="1"/>
  <c r="H188" i="1"/>
  <c r="H198" i="1"/>
  <c r="H208" i="1"/>
  <c r="H218" i="1"/>
  <c r="H228" i="1"/>
  <c r="H238" i="1"/>
  <c r="H248" i="1"/>
  <c r="H258" i="1"/>
  <c r="H268" i="1"/>
  <c r="H278" i="1"/>
  <c r="H288" i="1"/>
  <c r="H298" i="1"/>
  <c r="H308" i="1"/>
  <c r="H318" i="1"/>
  <c r="H328" i="1"/>
  <c r="H338" i="1"/>
  <c r="H348" i="1"/>
  <c r="H358" i="1"/>
  <c r="H368" i="1"/>
  <c r="H378" i="1"/>
  <c r="H388" i="1"/>
  <c r="H398" i="1"/>
  <c r="H408" i="1"/>
  <c r="H418" i="1"/>
  <c r="H428" i="1"/>
  <c r="H438" i="1"/>
  <c r="H448" i="1"/>
  <c r="H458" i="1"/>
  <c r="H468" i="1"/>
  <c r="H478" i="1"/>
  <c r="H488" i="1"/>
  <c r="H498" i="1"/>
  <c r="H508" i="1"/>
  <c r="H518" i="1"/>
  <c r="H528" i="1"/>
  <c r="H538" i="1"/>
  <c r="H548" i="1"/>
  <c r="H558" i="1"/>
  <c r="H568" i="1"/>
  <c r="H578" i="1"/>
  <c r="H588" i="1"/>
  <c r="H598" i="1"/>
  <c r="H608" i="1"/>
  <c r="H618" i="1"/>
  <c r="H628" i="1"/>
  <c r="H638" i="1"/>
  <c r="H648" i="1"/>
  <c r="H658" i="1"/>
  <c r="H668" i="1"/>
  <c r="H678" i="1"/>
  <c r="H688" i="1"/>
  <c r="H698" i="1"/>
  <c r="H708" i="1"/>
  <c r="H718" i="1"/>
  <c r="H728" i="1"/>
  <c r="H738" i="1"/>
  <c r="H748" i="1"/>
  <c r="H758" i="1"/>
  <c r="H768" i="1"/>
  <c r="H778" i="1"/>
  <c r="H788" i="1"/>
  <c r="H798" i="1"/>
  <c r="H808" i="1"/>
  <c r="H818" i="1"/>
  <c r="H828" i="1"/>
  <c r="H838" i="1"/>
  <c r="H848" i="1"/>
  <c r="H858" i="1"/>
  <c r="H868" i="1"/>
  <c r="H878" i="1"/>
  <c r="H888" i="1"/>
  <c r="H898" i="1"/>
  <c r="H908" i="1"/>
  <c r="H918" i="1"/>
  <c r="H928" i="1"/>
  <c r="H938" i="1"/>
  <c r="H948" i="1"/>
  <c r="H958" i="1"/>
  <c r="H968" i="1"/>
  <c r="H978" i="1"/>
  <c r="H988" i="1"/>
  <c r="H998" i="1"/>
  <c r="H1008" i="1"/>
  <c r="H1018" i="1"/>
  <c r="H1028" i="1"/>
  <c r="H1038" i="1"/>
  <c r="H1048" i="1"/>
  <c r="H1058" i="1"/>
  <c r="H1068" i="1"/>
  <c r="H1078" i="1"/>
  <c r="H1088" i="1"/>
  <c r="H1098" i="1"/>
  <c r="H1108" i="1"/>
  <c r="H1118" i="1"/>
  <c r="H1128" i="1"/>
  <c r="H1138" i="1"/>
  <c r="H1148" i="1"/>
  <c r="H1158" i="1"/>
  <c r="H1168" i="1"/>
  <c r="H1178" i="1"/>
  <c r="H1188" i="1"/>
  <c r="H1198" i="1"/>
  <c r="H1208" i="1"/>
  <c r="H1218" i="1"/>
  <c r="H1228" i="1"/>
  <c r="H1238" i="1"/>
  <c r="H1248" i="1"/>
  <c r="H1258" i="1"/>
  <c r="H1268" i="1"/>
  <c r="H1278" i="1"/>
  <c r="H1288" i="1"/>
  <c r="H1298" i="1"/>
  <c r="H1308" i="1"/>
  <c r="H1318" i="1"/>
  <c r="H1328" i="1"/>
  <c r="H1338" i="1"/>
  <c r="H1348" i="1"/>
  <c r="H1358" i="1"/>
  <c r="H1368" i="1"/>
  <c r="H1378" i="1"/>
  <c r="H1388" i="1"/>
  <c r="H1398" i="1"/>
  <c r="H1408" i="1"/>
  <c r="H1418" i="1"/>
  <c r="H1428" i="1"/>
  <c r="H1438" i="1"/>
  <c r="H1448" i="1"/>
  <c r="H1458" i="1"/>
  <c r="H1468" i="1"/>
  <c r="H1478" i="1"/>
  <c r="H1488" i="1"/>
  <c r="H1498" i="1"/>
  <c r="H1508" i="1"/>
  <c r="H1518" i="1"/>
  <c r="H1528" i="1"/>
  <c r="H1538" i="1"/>
  <c r="H1548" i="1"/>
  <c r="H1558" i="1"/>
  <c r="H1568" i="1"/>
  <c r="H1578" i="1"/>
  <c r="H1588" i="1"/>
  <c r="H1598" i="1"/>
  <c r="H1608" i="1"/>
  <c r="H1618" i="1"/>
  <c r="H1628" i="1"/>
  <c r="H1638" i="1"/>
  <c r="H1648" i="1"/>
  <c r="H1658" i="1"/>
  <c r="H1668" i="1"/>
  <c r="H1678" i="1"/>
  <c r="H1688" i="1"/>
  <c r="H1698" i="1"/>
  <c r="H1708" i="1"/>
  <c r="H1718" i="1"/>
  <c r="H1728" i="1"/>
  <c r="H1738" i="1"/>
  <c r="H1748" i="1"/>
  <c r="H1758" i="1"/>
  <c r="H1768" i="1"/>
  <c r="H1778" i="1"/>
  <c r="H1788" i="1"/>
  <c r="H1798" i="1"/>
  <c r="G8" i="1"/>
  <c r="G18" i="1"/>
  <c r="G28" i="1"/>
  <c r="G38" i="1"/>
  <c r="G48" i="1"/>
  <c r="G58" i="1"/>
  <c r="G68" i="1"/>
  <c r="G78" i="1"/>
  <c r="G88" i="1"/>
  <c r="G98" i="1"/>
  <c r="G108" i="1"/>
  <c r="G118" i="1"/>
  <c r="G128" i="1"/>
  <c r="G138" i="1"/>
  <c r="G148" i="1"/>
  <c r="G158" i="1"/>
  <c r="G168" i="1"/>
  <c r="G178" i="1"/>
  <c r="G188" i="1"/>
  <c r="G198" i="1"/>
  <c r="G208" i="1"/>
  <c r="G218" i="1"/>
  <c r="G228" i="1"/>
  <c r="G238" i="1"/>
  <c r="G248" i="1"/>
  <c r="G258" i="1"/>
  <c r="G268" i="1"/>
  <c r="G278" i="1"/>
  <c r="G288" i="1"/>
  <c r="G298" i="1"/>
  <c r="G308" i="1"/>
  <c r="G318" i="1"/>
  <c r="G328" i="1"/>
  <c r="I1335" i="1"/>
  <c r="I1385" i="1"/>
  <c r="I1435" i="1"/>
  <c r="I1481" i="1"/>
  <c r="I1511" i="1"/>
  <c r="I1535" i="1"/>
  <c r="I1552" i="1"/>
  <c r="I1569" i="1"/>
  <c r="I1587" i="1"/>
  <c r="I1601" i="1"/>
  <c r="I1615" i="1"/>
  <c r="I1629" i="1"/>
  <c r="I1643" i="1"/>
  <c r="I1657" i="1"/>
  <c r="I1669" i="1"/>
  <c r="I1681" i="1"/>
  <c r="I1693" i="1"/>
  <c r="I1707" i="1"/>
  <c r="I1719" i="1"/>
  <c r="I1731" i="1"/>
  <c r="I1743" i="1"/>
  <c r="I1757" i="1"/>
  <c r="I1768" i="1"/>
  <c r="I1779" i="1"/>
  <c r="I1789" i="1"/>
  <c r="I1799" i="1"/>
  <c r="H9" i="1"/>
  <c r="H19" i="1"/>
  <c r="H29" i="1"/>
  <c r="H39" i="1"/>
  <c r="H49" i="1"/>
  <c r="H59" i="1"/>
  <c r="H69" i="1"/>
  <c r="H79" i="1"/>
  <c r="H89" i="1"/>
  <c r="H99" i="1"/>
  <c r="H109" i="1"/>
  <c r="H119" i="1"/>
  <c r="H129" i="1"/>
  <c r="H139" i="1"/>
  <c r="H149" i="1"/>
  <c r="H159" i="1"/>
  <c r="H169" i="1"/>
  <c r="H179" i="1"/>
  <c r="H189" i="1"/>
  <c r="H199" i="1"/>
  <c r="H209" i="1"/>
  <c r="H219" i="1"/>
  <c r="H229" i="1"/>
  <c r="H239" i="1"/>
  <c r="H249" i="1"/>
  <c r="H259" i="1"/>
  <c r="H269" i="1"/>
  <c r="H279" i="1"/>
  <c r="H289" i="1"/>
  <c r="H299" i="1"/>
  <c r="H309" i="1"/>
  <c r="H319" i="1"/>
  <c r="H329" i="1"/>
  <c r="H339" i="1"/>
  <c r="H349" i="1"/>
  <c r="H359" i="1"/>
  <c r="H369" i="1"/>
  <c r="H379" i="1"/>
  <c r="H389" i="1"/>
  <c r="H399" i="1"/>
  <c r="H409" i="1"/>
  <c r="H419" i="1"/>
  <c r="H429" i="1"/>
  <c r="H439" i="1"/>
  <c r="H449" i="1"/>
  <c r="H459" i="1"/>
  <c r="H469" i="1"/>
  <c r="H479" i="1"/>
  <c r="H489" i="1"/>
  <c r="H499" i="1"/>
  <c r="H509" i="1"/>
  <c r="H519" i="1"/>
  <c r="H529" i="1"/>
  <c r="H539" i="1"/>
  <c r="H549" i="1"/>
  <c r="H559" i="1"/>
  <c r="H569" i="1"/>
  <c r="H579" i="1"/>
  <c r="H589" i="1"/>
  <c r="H599" i="1"/>
  <c r="H609" i="1"/>
  <c r="H619" i="1"/>
  <c r="H629" i="1"/>
  <c r="H639" i="1"/>
  <c r="H649" i="1"/>
  <c r="H659" i="1"/>
  <c r="H669" i="1"/>
  <c r="H679" i="1"/>
  <c r="H689" i="1"/>
  <c r="H699" i="1"/>
  <c r="H709" i="1"/>
  <c r="H719" i="1"/>
  <c r="H729" i="1"/>
  <c r="H739" i="1"/>
  <c r="H749" i="1"/>
  <c r="H759" i="1"/>
  <c r="H769" i="1"/>
  <c r="H779" i="1"/>
  <c r="H789" i="1"/>
  <c r="H799" i="1"/>
  <c r="H809" i="1"/>
  <c r="H819" i="1"/>
  <c r="H829" i="1"/>
  <c r="H839" i="1"/>
  <c r="H849" i="1"/>
  <c r="H859" i="1"/>
  <c r="H869" i="1"/>
  <c r="H879" i="1"/>
  <c r="H889" i="1"/>
  <c r="H899" i="1"/>
  <c r="H909" i="1"/>
  <c r="H919" i="1"/>
  <c r="H929" i="1"/>
  <c r="H939" i="1"/>
  <c r="H949" i="1"/>
  <c r="H959" i="1"/>
  <c r="H969" i="1"/>
  <c r="H979" i="1"/>
  <c r="H989" i="1"/>
  <c r="H999" i="1"/>
  <c r="H1009" i="1"/>
  <c r="H1019" i="1"/>
  <c r="H1029" i="1"/>
  <c r="H1039" i="1"/>
  <c r="H1049" i="1"/>
  <c r="H1059" i="1"/>
  <c r="H1069" i="1"/>
  <c r="H1079" i="1"/>
  <c r="H1089" i="1"/>
  <c r="H1099" i="1"/>
  <c r="H1109" i="1"/>
  <c r="H1119" i="1"/>
  <c r="H1129" i="1"/>
  <c r="H1139" i="1"/>
  <c r="H1149" i="1"/>
  <c r="H1159" i="1"/>
  <c r="H1169" i="1"/>
  <c r="H1179" i="1"/>
  <c r="H1189" i="1"/>
  <c r="H1199" i="1"/>
  <c r="H1209" i="1"/>
  <c r="H1219" i="1"/>
  <c r="H1229" i="1"/>
  <c r="H1239" i="1"/>
  <c r="H1249" i="1"/>
  <c r="H1259" i="1"/>
  <c r="H1269" i="1"/>
  <c r="H1279" i="1"/>
  <c r="H1289" i="1"/>
  <c r="H1299" i="1"/>
  <c r="H1309" i="1"/>
  <c r="H1319" i="1"/>
  <c r="H1329" i="1"/>
  <c r="H1339" i="1"/>
  <c r="H1349" i="1"/>
  <c r="H1359" i="1"/>
  <c r="H1369" i="1"/>
  <c r="H1379" i="1"/>
  <c r="H1389" i="1"/>
  <c r="H1399" i="1"/>
  <c r="H1409" i="1"/>
  <c r="H1419" i="1"/>
  <c r="H1429" i="1"/>
  <c r="H1439" i="1"/>
  <c r="H1449" i="1"/>
  <c r="H1459" i="1"/>
  <c r="H1469" i="1"/>
  <c r="H1479" i="1"/>
  <c r="H1489" i="1"/>
  <c r="H1499" i="1"/>
  <c r="H1509" i="1"/>
  <c r="H1519" i="1"/>
  <c r="H1529" i="1"/>
  <c r="H1539" i="1"/>
  <c r="H1549" i="1"/>
  <c r="H1559" i="1"/>
  <c r="H1569" i="1"/>
  <c r="H1579" i="1"/>
  <c r="H1589" i="1"/>
  <c r="H1599" i="1"/>
  <c r="H1609" i="1"/>
  <c r="H1619" i="1"/>
  <c r="H1629" i="1"/>
  <c r="H1639" i="1"/>
  <c r="H1649" i="1"/>
  <c r="H1659" i="1"/>
  <c r="H1669" i="1"/>
  <c r="H1679" i="1"/>
  <c r="H1689" i="1"/>
  <c r="H1699" i="1"/>
  <c r="H1709" i="1"/>
  <c r="H1719" i="1"/>
  <c r="H1729" i="1"/>
  <c r="H1739" i="1"/>
  <c r="H1749" i="1"/>
  <c r="H1759" i="1"/>
  <c r="H1769" i="1"/>
  <c r="H1779" i="1"/>
  <c r="H1789" i="1"/>
  <c r="H1799" i="1"/>
  <c r="G9" i="1"/>
  <c r="G19" i="1"/>
  <c r="G29" i="1"/>
  <c r="G39" i="1"/>
  <c r="G49" i="1"/>
  <c r="G59" i="1"/>
  <c r="G69" i="1"/>
  <c r="G79" i="1"/>
  <c r="G89" i="1"/>
  <c r="G99" i="1"/>
  <c r="G109" i="1"/>
  <c r="G119" i="1"/>
  <c r="G129" i="1"/>
  <c r="G139" i="1"/>
  <c r="G149" i="1"/>
  <c r="G159" i="1"/>
  <c r="G169" i="1"/>
  <c r="G179" i="1"/>
  <c r="G189" i="1"/>
  <c r="G199" i="1"/>
  <c r="G209" i="1"/>
  <c r="G219" i="1"/>
  <c r="G229" i="1"/>
  <c r="G239" i="1"/>
  <c r="G249" i="1"/>
  <c r="G259" i="1"/>
  <c r="G269" i="1"/>
  <c r="G279" i="1"/>
  <c r="G289" i="1"/>
  <c r="G299" i="1"/>
  <c r="G309" i="1"/>
  <c r="G319" i="1"/>
  <c r="G329" i="1"/>
  <c r="G339" i="1"/>
  <c r="G349" i="1"/>
  <c r="G359" i="1"/>
  <c r="G369" i="1"/>
  <c r="G379" i="1"/>
  <c r="G389" i="1"/>
  <c r="G399" i="1"/>
  <c r="G409" i="1"/>
  <c r="G419" i="1"/>
  <c r="I1341" i="1"/>
  <c r="I1391" i="1"/>
  <c r="I1441" i="1"/>
  <c r="I1482" i="1"/>
  <c r="I1512" i="1"/>
  <c r="I1538" i="1"/>
  <c r="I1555" i="1"/>
  <c r="I1571" i="1"/>
  <c r="I1588" i="1"/>
  <c r="I1602" i="1"/>
  <c r="I1617" i="1"/>
  <c r="I1631" i="1"/>
  <c r="I1645" i="1"/>
  <c r="I1658" i="1"/>
  <c r="I1670" i="1"/>
  <c r="I1682" i="1"/>
  <c r="I1695" i="1"/>
  <c r="I1708" i="1"/>
  <c r="I1720" i="1"/>
  <c r="I1732" i="1"/>
  <c r="I1745" i="1"/>
  <c r="I1758" i="1"/>
  <c r="I1769" i="1"/>
  <c r="I1780" i="1"/>
  <c r="I1790" i="1"/>
  <c r="I1800" i="1"/>
  <c r="H10" i="1"/>
  <c r="H20" i="1"/>
  <c r="H30" i="1"/>
  <c r="H40" i="1"/>
  <c r="H50" i="1"/>
  <c r="H60" i="1"/>
  <c r="H70" i="1"/>
  <c r="H80" i="1"/>
  <c r="H90" i="1"/>
  <c r="H100" i="1"/>
  <c r="H110" i="1"/>
  <c r="H120" i="1"/>
  <c r="H130" i="1"/>
  <c r="H140" i="1"/>
  <c r="H150" i="1"/>
  <c r="H160" i="1"/>
  <c r="H170" i="1"/>
  <c r="H180" i="1"/>
  <c r="H190" i="1"/>
  <c r="H200" i="1"/>
  <c r="H210" i="1"/>
  <c r="H220" i="1"/>
  <c r="H230" i="1"/>
  <c r="H240" i="1"/>
  <c r="H250" i="1"/>
  <c r="H260" i="1"/>
  <c r="H270" i="1"/>
  <c r="H280" i="1"/>
  <c r="H290" i="1"/>
  <c r="H300" i="1"/>
  <c r="H310" i="1"/>
  <c r="H320" i="1"/>
  <c r="H330" i="1"/>
  <c r="H340" i="1"/>
  <c r="H350" i="1"/>
  <c r="H360" i="1"/>
  <c r="H370" i="1"/>
  <c r="H380" i="1"/>
  <c r="H390" i="1"/>
  <c r="H400" i="1"/>
  <c r="H410" i="1"/>
  <c r="H420" i="1"/>
  <c r="H430" i="1"/>
  <c r="H440" i="1"/>
  <c r="H450" i="1"/>
  <c r="H460" i="1"/>
  <c r="H470" i="1"/>
  <c r="H480" i="1"/>
  <c r="H490" i="1"/>
  <c r="H500" i="1"/>
  <c r="H510" i="1"/>
  <c r="H520" i="1"/>
  <c r="H530" i="1"/>
  <c r="H540" i="1"/>
  <c r="H550" i="1"/>
  <c r="H560" i="1"/>
  <c r="H570" i="1"/>
  <c r="H580" i="1"/>
  <c r="H590" i="1"/>
  <c r="H600" i="1"/>
  <c r="H610" i="1"/>
  <c r="H620" i="1"/>
  <c r="H630" i="1"/>
  <c r="H640" i="1"/>
  <c r="H650" i="1"/>
  <c r="H660" i="1"/>
  <c r="H670" i="1"/>
  <c r="H680" i="1"/>
  <c r="H690" i="1"/>
  <c r="H700" i="1"/>
  <c r="H710" i="1"/>
  <c r="H720" i="1"/>
  <c r="H730" i="1"/>
  <c r="H740" i="1"/>
  <c r="H750" i="1"/>
  <c r="H760" i="1"/>
  <c r="H770" i="1"/>
  <c r="H780" i="1"/>
  <c r="H790" i="1"/>
  <c r="H800" i="1"/>
  <c r="H810" i="1"/>
  <c r="H820" i="1"/>
  <c r="H830" i="1"/>
  <c r="H840" i="1"/>
  <c r="H850" i="1"/>
  <c r="H860" i="1"/>
  <c r="H870" i="1"/>
  <c r="H880" i="1"/>
  <c r="H890" i="1"/>
  <c r="H900" i="1"/>
  <c r="H910" i="1"/>
  <c r="H920" i="1"/>
  <c r="H930" i="1"/>
  <c r="H940" i="1"/>
  <c r="H950" i="1"/>
  <c r="H960" i="1"/>
  <c r="H970" i="1"/>
  <c r="H980" i="1"/>
  <c r="H990" i="1"/>
  <c r="H1000" i="1"/>
  <c r="H1010" i="1"/>
  <c r="H1020" i="1"/>
  <c r="H1030" i="1"/>
  <c r="H1040" i="1"/>
  <c r="H1050" i="1"/>
  <c r="H1060" i="1"/>
  <c r="H1070" i="1"/>
  <c r="H1080" i="1"/>
  <c r="H1090" i="1"/>
  <c r="H1100" i="1"/>
  <c r="H1110" i="1"/>
  <c r="H1120" i="1"/>
  <c r="H1130" i="1"/>
  <c r="H1140" i="1"/>
  <c r="H1150" i="1"/>
  <c r="H1160" i="1"/>
  <c r="H1170" i="1"/>
  <c r="H1180" i="1"/>
  <c r="H1190" i="1"/>
  <c r="H1200" i="1"/>
  <c r="H1210" i="1"/>
  <c r="H1220" i="1"/>
  <c r="H1230" i="1"/>
  <c r="H1240" i="1"/>
  <c r="H1250" i="1"/>
  <c r="H1260" i="1"/>
  <c r="H1270" i="1"/>
  <c r="H1280" i="1"/>
  <c r="H1290" i="1"/>
  <c r="H1300" i="1"/>
  <c r="H1310" i="1"/>
  <c r="H1320" i="1"/>
  <c r="H1330" i="1"/>
  <c r="H1340" i="1"/>
  <c r="H1350" i="1"/>
  <c r="H1360" i="1"/>
  <c r="H1370" i="1"/>
  <c r="H1380" i="1"/>
  <c r="H1390" i="1"/>
  <c r="H1400" i="1"/>
  <c r="H1410" i="1"/>
  <c r="H1420" i="1"/>
  <c r="H1430" i="1"/>
  <c r="H1440" i="1"/>
  <c r="H1450" i="1"/>
  <c r="H1460" i="1"/>
  <c r="H1470" i="1"/>
  <c r="H1480" i="1"/>
  <c r="H1490" i="1"/>
  <c r="H1500" i="1"/>
  <c r="H1510" i="1"/>
  <c r="H1520" i="1"/>
  <c r="H1530" i="1"/>
  <c r="H1540" i="1"/>
  <c r="H1550" i="1"/>
  <c r="H1560" i="1"/>
  <c r="H1570" i="1"/>
  <c r="H1580" i="1"/>
  <c r="H1590" i="1"/>
  <c r="H1600" i="1"/>
  <c r="H1610" i="1"/>
  <c r="H1620" i="1"/>
  <c r="H1630" i="1"/>
  <c r="H1640" i="1"/>
  <c r="H1650" i="1"/>
  <c r="H1660" i="1"/>
  <c r="H1670" i="1"/>
  <c r="H1680" i="1"/>
  <c r="H1690" i="1"/>
  <c r="H1700" i="1"/>
  <c r="H1710" i="1"/>
  <c r="H1720" i="1"/>
  <c r="H1730" i="1"/>
  <c r="H1740" i="1"/>
  <c r="H1750" i="1"/>
  <c r="H1760" i="1"/>
  <c r="H1770" i="1"/>
  <c r="H1780" i="1"/>
  <c r="H1790" i="1"/>
  <c r="H1800" i="1"/>
  <c r="G10" i="1"/>
  <c r="G20" i="1"/>
  <c r="G30" i="1"/>
  <c r="G40" i="1"/>
  <c r="G50" i="1"/>
  <c r="G60" i="1"/>
  <c r="G70" i="1"/>
  <c r="G80" i="1"/>
  <c r="G90" i="1"/>
  <c r="G100" i="1"/>
  <c r="G110" i="1"/>
  <c r="G120" i="1"/>
  <c r="G130" i="1"/>
  <c r="G140" i="1"/>
  <c r="G150" i="1"/>
  <c r="G160" i="1"/>
  <c r="G170" i="1"/>
  <c r="G180" i="1"/>
  <c r="G190" i="1"/>
  <c r="G200" i="1"/>
  <c r="G210" i="1"/>
  <c r="G220" i="1"/>
  <c r="G230" i="1"/>
  <c r="G240" i="1"/>
  <c r="G250" i="1"/>
  <c r="G260" i="1"/>
  <c r="G270" i="1"/>
  <c r="G280" i="1"/>
  <c r="G290" i="1"/>
  <c r="G300" i="1"/>
  <c r="H1797" i="1"/>
  <c r="G67" i="1"/>
  <c r="G111" i="1"/>
  <c r="G144" i="1"/>
  <c r="G177" i="1"/>
  <c r="G211" i="1"/>
  <c r="G236" i="1"/>
  <c r="G261" i="1"/>
  <c r="G281" i="1"/>
  <c r="G301" i="1"/>
  <c r="G317" i="1"/>
  <c r="G334" i="1"/>
  <c r="G348" i="1"/>
  <c r="G362" i="1"/>
  <c r="G377" i="1"/>
  <c r="G391" i="1"/>
  <c r="G406" i="1"/>
  <c r="G420" i="1"/>
  <c r="G432" i="1"/>
  <c r="G446" i="1"/>
  <c r="G458" i="1"/>
  <c r="G470" i="1"/>
  <c r="G482" i="1"/>
  <c r="G494" i="1"/>
  <c r="G506" i="1"/>
  <c r="G517" i="1"/>
  <c r="G528" i="1"/>
  <c r="G539" i="1"/>
  <c r="G550" i="1"/>
  <c r="G561" i="1"/>
  <c r="G572" i="1"/>
  <c r="G583" i="1"/>
  <c r="G594" i="1"/>
  <c r="G606" i="1"/>
  <c r="G617" i="1"/>
  <c r="G628" i="1"/>
  <c r="G639" i="1"/>
  <c r="G650" i="1"/>
  <c r="G660" i="1"/>
  <c r="G670" i="1"/>
  <c r="G680" i="1"/>
  <c r="G690" i="1"/>
  <c r="G700" i="1"/>
  <c r="G710" i="1"/>
  <c r="G720" i="1"/>
  <c r="G730" i="1"/>
  <c r="G740" i="1"/>
  <c r="G750" i="1"/>
  <c r="G760" i="1"/>
  <c r="G770" i="1"/>
  <c r="G780" i="1"/>
  <c r="G790" i="1"/>
  <c r="G800" i="1"/>
  <c r="G810" i="1"/>
  <c r="G820" i="1"/>
  <c r="G830" i="1"/>
  <c r="G840" i="1"/>
  <c r="G850" i="1"/>
  <c r="G860" i="1"/>
  <c r="G870" i="1"/>
  <c r="G880" i="1"/>
  <c r="G890" i="1"/>
  <c r="G900" i="1"/>
  <c r="G910" i="1"/>
  <c r="G920" i="1"/>
  <c r="G930" i="1"/>
  <c r="G940" i="1"/>
  <c r="G950" i="1"/>
  <c r="G960" i="1"/>
  <c r="G970" i="1"/>
  <c r="G980" i="1"/>
  <c r="G990" i="1"/>
  <c r="G1000" i="1"/>
  <c r="G1010" i="1"/>
  <c r="G1020" i="1"/>
  <c r="G1030" i="1"/>
  <c r="G1040" i="1"/>
  <c r="G1050" i="1"/>
  <c r="G1060" i="1"/>
  <c r="G1070" i="1"/>
  <c r="G1080" i="1"/>
  <c r="G1090" i="1"/>
  <c r="G1100" i="1"/>
  <c r="G1110" i="1"/>
  <c r="G1120" i="1"/>
  <c r="G1130" i="1"/>
  <c r="G1140" i="1"/>
  <c r="G1150" i="1"/>
  <c r="G1160" i="1"/>
  <c r="G1170" i="1"/>
  <c r="G1180" i="1"/>
  <c r="G1190" i="1"/>
  <c r="G1200" i="1"/>
  <c r="G1210" i="1"/>
  <c r="G1220" i="1"/>
  <c r="G1230" i="1"/>
  <c r="G1240" i="1"/>
  <c r="G1250" i="1"/>
  <c r="G1260" i="1"/>
  <c r="G1270" i="1"/>
  <c r="G1280" i="1"/>
  <c r="G1290" i="1"/>
  <c r="G1300" i="1"/>
  <c r="G1310" i="1"/>
  <c r="G1320" i="1"/>
  <c r="G1330" i="1"/>
  <c r="G1340" i="1"/>
  <c r="G1350" i="1"/>
  <c r="G1360" i="1"/>
  <c r="G1370" i="1"/>
  <c r="G1380" i="1"/>
  <c r="G1390" i="1"/>
  <c r="G1400" i="1"/>
  <c r="G1410" i="1"/>
  <c r="G1420" i="1"/>
  <c r="G1430" i="1"/>
  <c r="G1440" i="1"/>
  <c r="G1450" i="1"/>
  <c r="G1460" i="1"/>
  <c r="G1470" i="1"/>
  <c r="G1480" i="1"/>
  <c r="G1490" i="1"/>
  <c r="G1500" i="1"/>
  <c r="G1510" i="1"/>
  <c r="G1520" i="1"/>
  <c r="G1530" i="1"/>
  <c r="G1540" i="1"/>
  <c r="G1550" i="1"/>
  <c r="G1560" i="1"/>
  <c r="G1570" i="1"/>
  <c r="G1580" i="1"/>
  <c r="G1590" i="1"/>
  <c r="G1600" i="1"/>
  <c r="G1610" i="1"/>
  <c r="G1620" i="1"/>
  <c r="G1630" i="1"/>
  <c r="G1640" i="1"/>
  <c r="G1650" i="1"/>
  <c r="G1660" i="1"/>
  <c r="G1670" i="1"/>
  <c r="G1680" i="1"/>
  <c r="G1690" i="1"/>
  <c r="G1700" i="1"/>
  <c r="G1710" i="1"/>
  <c r="G1720" i="1"/>
  <c r="G1730" i="1"/>
  <c r="G1740" i="1"/>
  <c r="G1750" i="1"/>
  <c r="G1760" i="1"/>
  <c r="G1770" i="1"/>
  <c r="G1780" i="1"/>
  <c r="G1790" i="1"/>
  <c r="G1800" i="1"/>
  <c r="F10" i="1"/>
  <c r="F20" i="1"/>
  <c r="F30" i="1"/>
  <c r="F40" i="1"/>
  <c r="F50" i="1"/>
  <c r="F60" i="1"/>
  <c r="F70" i="1"/>
  <c r="F80" i="1"/>
  <c r="F90" i="1"/>
  <c r="F100" i="1"/>
  <c r="F110" i="1"/>
  <c r="F120" i="1"/>
  <c r="F130" i="1"/>
  <c r="F140" i="1"/>
  <c r="F150" i="1"/>
  <c r="F160" i="1"/>
  <c r="F170" i="1"/>
  <c r="F180" i="1"/>
  <c r="F190" i="1"/>
  <c r="F200" i="1"/>
  <c r="F210" i="1"/>
  <c r="F220" i="1"/>
  <c r="F230" i="1"/>
  <c r="F240" i="1"/>
  <c r="F250" i="1"/>
  <c r="F260" i="1"/>
  <c r="F270" i="1"/>
  <c r="F280" i="1"/>
  <c r="F290" i="1"/>
  <c r="F300" i="1"/>
  <c r="F310" i="1"/>
  <c r="F320" i="1"/>
  <c r="F330" i="1"/>
  <c r="F340" i="1"/>
  <c r="F350" i="1"/>
  <c r="F360" i="1"/>
  <c r="F370" i="1"/>
  <c r="F380" i="1"/>
  <c r="F390" i="1"/>
  <c r="F400" i="1"/>
  <c r="F410" i="1"/>
  <c r="F420" i="1"/>
  <c r="F430" i="1"/>
  <c r="F440" i="1"/>
  <c r="F450" i="1"/>
  <c r="F460" i="1"/>
  <c r="F470" i="1"/>
  <c r="F480" i="1"/>
  <c r="F490" i="1"/>
  <c r="F500" i="1"/>
  <c r="F510" i="1"/>
  <c r="F520" i="1"/>
  <c r="F530" i="1"/>
  <c r="F540" i="1"/>
  <c r="F550" i="1"/>
  <c r="F560" i="1"/>
  <c r="F570" i="1"/>
  <c r="F580" i="1"/>
  <c r="F590" i="1"/>
  <c r="F600" i="1"/>
  <c r="F610" i="1"/>
  <c r="F620" i="1"/>
  <c r="F630" i="1"/>
  <c r="F640" i="1"/>
  <c r="F650" i="1"/>
  <c r="F660" i="1"/>
  <c r="F670" i="1"/>
  <c r="F680" i="1"/>
  <c r="F690" i="1"/>
  <c r="F700" i="1"/>
  <c r="F710" i="1"/>
  <c r="F720" i="1"/>
  <c r="F730" i="1"/>
  <c r="F740" i="1"/>
  <c r="F750" i="1"/>
  <c r="F760" i="1"/>
  <c r="F770" i="1"/>
  <c r="F780" i="1"/>
  <c r="F790" i="1"/>
  <c r="F800" i="1"/>
  <c r="F810" i="1"/>
  <c r="F820" i="1"/>
  <c r="F830" i="1"/>
  <c r="F840" i="1"/>
  <c r="F850" i="1"/>
  <c r="F860" i="1"/>
  <c r="F870" i="1"/>
  <c r="F880" i="1"/>
  <c r="F890" i="1"/>
  <c r="F900" i="1"/>
  <c r="F910" i="1"/>
  <c r="F920" i="1"/>
  <c r="F930" i="1"/>
  <c r="F940" i="1"/>
  <c r="F950" i="1"/>
  <c r="F960" i="1"/>
  <c r="F970" i="1"/>
  <c r="F980" i="1"/>
  <c r="F990" i="1"/>
  <c r="F1000" i="1"/>
  <c r="F1010" i="1"/>
  <c r="F1020" i="1"/>
  <c r="G7" i="1"/>
  <c r="G71" i="1"/>
  <c r="G114" i="1"/>
  <c r="G147" i="1"/>
  <c r="G181" i="1"/>
  <c r="G214" i="1"/>
  <c r="G237" i="1"/>
  <c r="G262" i="1"/>
  <c r="G282" i="1"/>
  <c r="G302" i="1"/>
  <c r="G320" i="1"/>
  <c r="G336" i="1"/>
  <c r="G350" i="1"/>
  <c r="G364" i="1"/>
  <c r="G378" i="1"/>
  <c r="G392" i="1"/>
  <c r="G407" i="1"/>
  <c r="G421" i="1"/>
  <c r="G434" i="1"/>
  <c r="G447" i="1"/>
  <c r="G459" i="1"/>
  <c r="G471" i="1"/>
  <c r="G484" i="1"/>
  <c r="G496" i="1"/>
  <c r="G507" i="1"/>
  <c r="G518" i="1"/>
  <c r="G529" i="1"/>
  <c r="G540" i="1"/>
  <c r="G551" i="1"/>
  <c r="G562" i="1"/>
  <c r="G573" i="1"/>
  <c r="G584" i="1"/>
  <c r="G596" i="1"/>
  <c r="G607" i="1"/>
  <c r="G618" i="1"/>
  <c r="G629" i="1"/>
  <c r="G640" i="1"/>
  <c r="G651" i="1"/>
  <c r="G661" i="1"/>
  <c r="G671" i="1"/>
  <c r="G681" i="1"/>
  <c r="G691" i="1"/>
  <c r="G701" i="1"/>
  <c r="G711" i="1"/>
  <c r="G721" i="1"/>
  <c r="G731" i="1"/>
  <c r="G741" i="1"/>
  <c r="G751" i="1"/>
  <c r="G761" i="1"/>
  <c r="G771" i="1"/>
  <c r="G781" i="1"/>
  <c r="G791" i="1"/>
  <c r="G801" i="1"/>
  <c r="G811" i="1"/>
  <c r="G821" i="1"/>
  <c r="G831" i="1"/>
  <c r="G841" i="1"/>
  <c r="G851" i="1"/>
  <c r="G861" i="1"/>
  <c r="G871" i="1"/>
  <c r="G881" i="1"/>
  <c r="G891" i="1"/>
  <c r="G901" i="1"/>
  <c r="G911" i="1"/>
  <c r="G921" i="1"/>
  <c r="G931" i="1"/>
  <c r="G941" i="1"/>
  <c r="G951" i="1"/>
  <c r="G961" i="1"/>
  <c r="G971" i="1"/>
  <c r="G981" i="1"/>
  <c r="G991" i="1"/>
  <c r="G1001" i="1"/>
  <c r="G1011" i="1"/>
  <c r="G1021" i="1"/>
  <c r="G1031" i="1"/>
  <c r="G1041" i="1"/>
  <c r="G1051" i="1"/>
  <c r="G1061" i="1"/>
  <c r="G1071" i="1"/>
  <c r="G1081" i="1"/>
  <c r="G1091" i="1"/>
  <c r="G1101" i="1"/>
  <c r="G1111" i="1"/>
  <c r="G1121" i="1"/>
  <c r="G1131" i="1"/>
  <c r="G1141" i="1"/>
  <c r="G1151" i="1"/>
  <c r="G1161" i="1"/>
  <c r="G1171" i="1"/>
  <c r="G1181" i="1"/>
  <c r="G1191" i="1"/>
  <c r="G1201" i="1"/>
  <c r="G1211" i="1"/>
  <c r="G1221" i="1"/>
  <c r="G1231" i="1"/>
  <c r="G1241" i="1"/>
  <c r="G1251" i="1"/>
  <c r="G1261" i="1"/>
  <c r="G1271" i="1"/>
  <c r="G1281" i="1"/>
  <c r="G1291" i="1"/>
  <c r="G1301" i="1"/>
  <c r="G1311" i="1"/>
  <c r="G1321" i="1"/>
  <c r="G1331" i="1"/>
  <c r="G1341" i="1"/>
  <c r="G1351" i="1"/>
  <c r="G1361" i="1"/>
  <c r="G1371" i="1"/>
  <c r="G1381" i="1"/>
  <c r="G1391" i="1"/>
  <c r="G1401" i="1"/>
  <c r="G1411" i="1"/>
  <c r="G1421" i="1"/>
  <c r="G1431" i="1"/>
  <c r="G1441" i="1"/>
  <c r="G1451" i="1"/>
  <c r="G1461" i="1"/>
  <c r="G1471" i="1"/>
  <c r="G1481" i="1"/>
  <c r="G1491" i="1"/>
  <c r="G1501" i="1"/>
  <c r="G1511" i="1"/>
  <c r="G1521" i="1"/>
  <c r="G1531" i="1"/>
  <c r="G1541" i="1"/>
  <c r="G1551" i="1"/>
  <c r="G1561" i="1"/>
  <c r="G1571" i="1"/>
  <c r="G1581" i="1"/>
  <c r="G1591" i="1"/>
  <c r="G1601" i="1"/>
  <c r="G1611" i="1"/>
  <c r="G1621" i="1"/>
  <c r="G1631" i="1"/>
  <c r="G1641" i="1"/>
  <c r="G1651" i="1"/>
  <c r="G1661" i="1"/>
  <c r="G1671" i="1"/>
  <c r="G1681" i="1"/>
  <c r="G1691" i="1"/>
  <c r="G1701" i="1"/>
  <c r="G1711" i="1"/>
  <c r="G1721" i="1"/>
  <c r="G1731" i="1"/>
  <c r="G1741" i="1"/>
  <c r="G1751" i="1"/>
  <c r="G1761" i="1"/>
  <c r="G1771" i="1"/>
  <c r="G1781" i="1"/>
  <c r="G1791" i="1"/>
  <c r="G1801" i="1"/>
  <c r="F11" i="1"/>
  <c r="F21" i="1"/>
  <c r="F31" i="1"/>
  <c r="F41" i="1"/>
  <c r="F51" i="1"/>
  <c r="F61" i="1"/>
  <c r="F71" i="1"/>
  <c r="F81" i="1"/>
  <c r="F91" i="1"/>
  <c r="F101" i="1"/>
  <c r="F111" i="1"/>
  <c r="F121" i="1"/>
  <c r="F131" i="1"/>
  <c r="F141" i="1"/>
  <c r="F151" i="1"/>
  <c r="F161" i="1"/>
  <c r="F171" i="1"/>
  <c r="F181" i="1"/>
  <c r="F191" i="1"/>
  <c r="F201" i="1"/>
  <c r="F211" i="1"/>
  <c r="F221" i="1"/>
  <c r="F231" i="1"/>
  <c r="F241" i="1"/>
  <c r="F251" i="1"/>
  <c r="F261" i="1"/>
  <c r="F271" i="1"/>
  <c r="F281" i="1"/>
  <c r="F291" i="1"/>
  <c r="F301" i="1"/>
  <c r="G17" i="1"/>
  <c r="G77" i="1"/>
  <c r="G117" i="1"/>
  <c r="G151" i="1"/>
  <c r="G184" i="1"/>
  <c r="G216" i="1"/>
  <c r="G241" i="1"/>
  <c r="G264" i="1"/>
  <c r="G284" i="1"/>
  <c r="G304" i="1"/>
  <c r="G321" i="1"/>
  <c r="G337" i="1"/>
  <c r="G351" i="1"/>
  <c r="G366" i="1"/>
  <c r="G380" i="1"/>
  <c r="G394" i="1"/>
  <c r="G408" i="1"/>
  <c r="G422" i="1"/>
  <c r="G436" i="1"/>
  <c r="G448" i="1"/>
  <c r="G460" i="1"/>
  <c r="G472" i="1"/>
  <c r="G486" i="1"/>
  <c r="G497" i="1"/>
  <c r="G508" i="1"/>
  <c r="G519" i="1"/>
  <c r="G530" i="1"/>
  <c r="G541" i="1"/>
  <c r="G552" i="1"/>
  <c r="G563" i="1"/>
  <c r="G574" i="1"/>
  <c r="G586" i="1"/>
  <c r="G597" i="1"/>
  <c r="G608" i="1"/>
  <c r="G619" i="1"/>
  <c r="G630" i="1"/>
  <c r="G641" i="1"/>
  <c r="G652" i="1"/>
  <c r="G662" i="1"/>
  <c r="G672" i="1"/>
  <c r="G682" i="1"/>
  <c r="G692" i="1"/>
  <c r="G702" i="1"/>
  <c r="G712" i="1"/>
  <c r="G722" i="1"/>
  <c r="G732" i="1"/>
  <c r="G742" i="1"/>
  <c r="G752" i="1"/>
  <c r="G762" i="1"/>
  <c r="G772" i="1"/>
  <c r="G782" i="1"/>
  <c r="G792" i="1"/>
  <c r="G802" i="1"/>
  <c r="G812" i="1"/>
  <c r="G822" i="1"/>
  <c r="G832" i="1"/>
  <c r="G842" i="1"/>
  <c r="G852" i="1"/>
  <c r="G862" i="1"/>
  <c r="G872" i="1"/>
  <c r="G882" i="1"/>
  <c r="G892" i="1"/>
  <c r="G902" i="1"/>
  <c r="G912" i="1"/>
  <c r="G922" i="1"/>
  <c r="G932" i="1"/>
  <c r="G942" i="1"/>
  <c r="G952" i="1"/>
  <c r="G962" i="1"/>
  <c r="G972" i="1"/>
  <c r="G982" i="1"/>
  <c r="G992" i="1"/>
  <c r="G1002" i="1"/>
  <c r="G1012" i="1"/>
  <c r="G1022" i="1"/>
  <c r="G1032" i="1"/>
  <c r="G1042" i="1"/>
  <c r="G1052" i="1"/>
  <c r="G1062" i="1"/>
  <c r="G1072" i="1"/>
  <c r="G1082" i="1"/>
  <c r="G1092" i="1"/>
  <c r="G1102" i="1"/>
  <c r="G1112" i="1"/>
  <c r="G1122" i="1"/>
  <c r="G1132" i="1"/>
  <c r="G1142" i="1"/>
  <c r="G1152" i="1"/>
  <c r="G1162" i="1"/>
  <c r="G1172" i="1"/>
  <c r="G1182" i="1"/>
  <c r="G1192" i="1"/>
  <c r="G1202" i="1"/>
  <c r="G1212" i="1"/>
  <c r="G1222" i="1"/>
  <c r="G1232" i="1"/>
  <c r="G1242" i="1"/>
  <c r="G1252" i="1"/>
  <c r="G1262" i="1"/>
  <c r="G1272" i="1"/>
  <c r="G1282" i="1"/>
  <c r="G1292" i="1"/>
  <c r="G1302" i="1"/>
  <c r="G1312" i="1"/>
  <c r="G1322" i="1"/>
  <c r="G1332" i="1"/>
  <c r="G1342" i="1"/>
  <c r="G1352" i="1"/>
  <c r="G1362" i="1"/>
  <c r="G1372" i="1"/>
  <c r="G1382" i="1"/>
  <c r="G1392" i="1"/>
  <c r="G1402" i="1"/>
  <c r="G1412" i="1"/>
  <c r="G1422" i="1"/>
  <c r="G1432" i="1"/>
  <c r="G1442" i="1"/>
  <c r="G1452" i="1"/>
  <c r="G1462" i="1"/>
  <c r="G1472" i="1"/>
  <c r="G1482" i="1"/>
  <c r="G1492" i="1"/>
  <c r="G1502" i="1"/>
  <c r="G1512" i="1"/>
  <c r="G1522" i="1"/>
  <c r="G1532" i="1"/>
  <c r="G1542" i="1"/>
  <c r="G1552" i="1"/>
  <c r="G1562" i="1"/>
  <c r="G1572" i="1"/>
  <c r="G1582" i="1"/>
  <c r="G1592" i="1"/>
  <c r="G1602" i="1"/>
  <c r="G1612" i="1"/>
  <c r="G1622" i="1"/>
  <c r="G1632" i="1"/>
  <c r="G1642" i="1"/>
  <c r="G1652" i="1"/>
  <c r="G1662" i="1"/>
  <c r="G1672" i="1"/>
  <c r="G1682" i="1"/>
  <c r="G1692" i="1"/>
  <c r="G1702" i="1"/>
  <c r="G1712" i="1"/>
  <c r="G1722" i="1"/>
  <c r="G1732" i="1"/>
  <c r="G1742" i="1"/>
  <c r="G1752" i="1"/>
  <c r="G1762" i="1"/>
  <c r="G1772" i="1"/>
  <c r="G1782" i="1"/>
  <c r="G1792" i="1"/>
  <c r="G1802" i="1"/>
  <c r="F12" i="1"/>
  <c r="F22" i="1"/>
  <c r="F32" i="1"/>
  <c r="F42" i="1"/>
  <c r="F52" i="1"/>
  <c r="F62" i="1"/>
  <c r="F72" i="1"/>
  <c r="F82" i="1"/>
  <c r="F92" i="1"/>
  <c r="F102" i="1"/>
  <c r="F112" i="1"/>
  <c r="F122" i="1"/>
  <c r="F132" i="1"/>
  <c r="F142" i="1"/>
  <c r="F152" i="1"/>
  <c r="F162" i="1"/>
  <c r="F172" i="1"/>
  <c r="F182" i="1"/>
  <c r="F192" i="1"/>
  <c r="F202" i="1"/>
  <c r="F212" i="1"/>
  <c r="F222" i="1"/>
  <c r="F232" i="1"/>
  <c r="F242" i="1"/>
  <c r="F252" i="1"/>
  <c r="F262" i="1"/>
  <c r="F272" i="1"/>
  <c r="F282" i="1"/>
  <c r="F292" i="1"/>
  <c r="F302" i="1"/>
  <c r="F312" i="1"/>
  <c r="F322" i="1"/>
  <c r="F332" i="1"/>
  <c r="F342" i="1"/>
  <c r="F352" i="1"/>
  <c r="F362" i="1"/>
  <c r="F372" i="1"/>
  <c r="F382" i="1"/>
  <c r="F392" i="1"/>
  <c r="F402" i="1"/>
  <c r="F412" i="1"/>
  <c r="F422" i="1"/>
  <c r="F432" i="1"/>
  <c r="F442" i="1"/>
  <c r="F452" i="1"/>
  <c r="F462" i="1"/>
  <c r="F472" i="1"/>
  <c r="F482" i="1"/>
  <c r="F492" i="1"/>
  <c r="F502" i="1"/>
  <c r="F512" i="1"/>
  <c r="F522" i="1"/>
  <c r="F532" i="1"/>
  <c r="F542" i="1"/>
  <c r="F552" i="1"/>
  <c r="F562" i="1"/>
  <c r="F572" i="1"/>
  <c r="F582" i="1"/>
  <c r="F592" i="1"/>
  <c r="F602" i="1"/>
  <c r="G27" i="1"/>
  <c r="G81" i="1"/>
  <c r="G121" i="1"/>
  <c r="G154" i="1"/>
  <c r="G187" i="1"/>
  <c r="G217" i="1"/>
  <c r="G244" i="1"/>
  <c r="G266" i="1"/>
  <c r="G286" i="1"/>
  <c r="G306" i="1"/>
  <c r="G322" i="1"/>
  <c r="G338" i="1"/>
  <c r="G352" i="1"/>
  <c r="G367" i="1"/>
  <c r="G381" i="1"/>
  <c r="G396" i="1"/>
  <c r="G410" i="1"/>
  <c r="G424" i="1"/>
  <c r="G437" i="1"/>
  <c r="G449" i="1"/>
  <c r="G461" i="1"/>
  <c r="G474" i="1"/>
  <c r="G487" i="1"/>
  <c r="G498" i="1"/>
  <c r="G509" i="1"/>
  <c r="G520" i="1"/>
  <c r="G531" i="1"/>
  <c r="G542" i="1"/>
  <c r="G553" i="1"/>
  <c r="G564" i="1"/>
  <c r="G576" i="1"/>
  <c r="G587" i="1"/>
  <c r="G598" i="1"/>
  <c r="G609" i="1"/>
  <c r="G620" i="1"/>
  <c r="G631" i="1"/>
  <c r="G642" i="1"/>
  <c r="G653" i="1"/>
  <c r="G663" i="1"/>
  <c r="G673" i="1"/>
  <c r="G683" i="1"/>
  <c r="G693" i="1"/>
  <c r="G703" i="1"/>
  <c r="G713" i="1"/>
  <c r="G723" i="1"/>
  <c r="G733" i="1"/>
  <c r="G743" i="1"/>
  <c r="G753" i="1"/>
  <c r="G763" i="1"/>
  <c r="G773" i="1"/>
  <c r="G783" i="1"/>
  <c r="G793" i="1"/>
  <c r="G803" i="1"/>
  <c r="G813" i="1"/>
  <c r="G823" i="1"/>
  <c r="G833" i="1"/>
  <c r="G843" i="1"/>
  <c r="G853" i="1"/>
  <c r="G863" i="1"/>
  <c r="G873" i="1"/>
  <c r="G883" i="1"/>
  <c r="G893" i="1"/>
  <c r="G903" i="1"/>
  <c r="G913" i="1"/>
  <c r="G923" i="1"/>
  <c r="G933" i="1"/>
  <c r="G943" i="1"/>
  <c r="G953" i="1"/>
  <c r="G963" i="1"/>
  <c r="G973" i="1"/>
  <c r="G983" i="1"/>
  <c r="G993" i="1"/>
  <c r="G1003" i="1"/>
  <c r="G1013" i="1"/>
  <c r="G1023" i="1"/>
  <c r="G1033" i="1"/>
  <c r="G1043" i="1"/>
  <c r="G1053" i="1"/>
  <c r="G1063" i="1"/>
  <c r="G1073" i="1"/>
  <c r="G1083" i="1"/>
  <c r="G1093" i="1"/>
  <c r="G1103" i="1"/>
  <c r="G1113" i="1"/>
  <c r="G1123" i="1"/>
  <c r="G1133" i="1"/>
  <c r="G1143" i="1"/>
  <c r="G1153" i="1"/>
  <c r="G1163" i="1"/>
  <c r="G1173" i="1"/>
  <c r="G1183" i="1"/>
  <c r="G1193" i="1"/>
  <c r="G1203" i="1"/>
  <c r="G1213" i="1"/>
  <c r="G1223" i="1"/>
  <c r="G1233" i="1"/>
  <c r="G1243" i="1"/>
  <c r="G1253" i="1"/>
  <c r="G1263" i="1"/>
  <c r="G1273" i="1"/>
  <c r="G1283" i="1"/>
  <c r="G1293" i="1"/>
  <c r="G1303" i="1"/>
  <c r="G1313" i="1"/>
  <c r="G1323" i="1"/>
  <c r="G1333" i="1"/>
  <c r="G1343" i="1"/>
  <c r="G1353" i="1"/>
  <c r="G1363" i="1"/>
  <c r="G1373" i="1"/>
  <c r="G1383" i="1"/>
  <c r="G1393" i="1"/>
  <c r="G1403" i="1"/>
  <c r="G1413" i="1"/>
  <c r="G1423" i="1"/>
  <c r="G1433" i="1"/>
  <c r="G1443" i="1"/>
  <c r="G1453" i="1"/>
  <c r="G1463" i="1"/>
  <c r="G1473" i="1"/>
  <c r="G1483" i="1"/>
  <c r="G1493" i="1"/>
  <c r="G1503" i="1"/>
  <c r="G1513" i="1"/>
  <c r="G1523" i="1"/>
  <c r="G1533" i="1"/>
  <c r="G1543" i="1"/>
  <c r="G1553" i="1"/>
  <c r="G1563" i="1"/>
  <c r="G1573" i="1"/>
  <c r="G1583" i="1"/>
  <c r="G1593" i="1"/>
  <c r="G1603" i="1"/>
  <c r="G1613" i="1"/>
  <c r="G1623" i="1"/>
  <c r="G1633" i="1"/>
  <c r="G1643" i="1"/>
  <c r="G1653" i="1"/>
  <c r="G1663" i="1"/>
  <c r="G1673" i="1"/>
  <c r="G1683" i="1"/>
  <c r="G1693" i="1"/>
  <c r="G1703" i="1"/>
  <c r="G1713" i="1"/>
  <c r="G1723" i="1"/>
  <c r="G1733" i="1"/>
  <c r="G1743" i="1"/>
  <c r="G1753" i="1"/>
  <c r="G1763" i="1"/>
  <c r="G1773" i="1"/>
  <c r="G1783" i="1"/>
  <c r="G1793" i="1"/>
  <c r="F3" i="1"/>
  <c r="F13" i="1"/>
  <c r="F23" i="1"/>
  <c r="F33" i="1"/>
  <c r="F43" i="1"/>
  <c r="F53" i="1"/>
  <c r="F63" i="1"/>
  <c r="F73" i="1"/>
  <c r="F83" i="1"/>
  <c r="F93" i="1"/>
  <c r="F103" i="1"/>
  <c r="F113" i="1"/>
  <c r="F123" i="1"/>
  <c r="F133" i="1"/>
  <c r="F143" i="1"/>
  <c r="F153" i="1"/>
  <c r="F163" i="1"/>
  <c r="F173" i="1"/>
  <c r="F183" i="1"/>
  <c r="F193" i="1"/>
  <c r="F203" i="1"/>
  <c r="F213" i="1"/>
  <c r="F223" i="1"/>
  <c r="F233" i="1"/>
  <c r="F243" i="1"/>
  <c r="F253" i="1"/>
  <c r="F263" i="1"/>
  <c r="F273" i="1"/>
  <c r="F283" i="1"/>
  <c r="F293" i="1"/>
  <c r="F303" i="1"/>
  <c r="F313" i="1"/>
  <c r="F323" i="1"/>
  <c r="F333" i="1"/>
  <c r="F343" i="1"/>
  <c r="F353" i="1"/>
  <c r="F363" i="1"/>
  <c r="F373" i="1"/>
  <c r="F383" i="1"/>
  <c r="F393" i="1"/>
  <c r="F403" i="1"/>
  <c r="F413" i="1"/>
  <c r="F423" i="1"/>
  <c r="F433" i="1"/>
  <c r="F443" i="1"/>
  <c r="F453" i="1"/>
  <c r="F463" i="1"/>
  <c r="G37" i="1"/>
  <c r="G87" i="1"/>
  <c r="G124" i="1"/>
  <c r="G157" i="1"/>
  <c r="G191" i="1"/>
  <c r="G221" i="1"/>
  <c r="G246" i="1"/>
  <c r="G267" i="1"/>
  <c r="G287" i="1"/>
  <c r="G307" i="1"/>
  <c r="G324" i="1"/>
  <c r="G340" i="1"/>
  <c r="G354" i="1"/>
  <c r="G368" i="1"/>
  <c r="G382" i="1"/>
  <c r="G397" i="1"/>
  <c r="G411" i="1"/>
  <c r="G426" i="1"/>
  <c r="G438" i="1"/>
  <c r="G450" i="1"/>
  <c r="G462" i="1"/>
  <c r="G476" i="1"/>
  <c r="G488" i="1"/>
  <c r="G499" i="1"/>
  <c r="G510" i="1"/>
  <c r="G521" i="1"/>
  <c r="G532" i="1"/>
  <c r="G543" i="1"/>
  <c r="G554" i="1"/>
  <c r="G566" i="1"/>
  <c r="G577" i="1"/>
  <c r="G588" i="1"/>
  <c r="G599" i="1"/>
  <c r="G610" i="1"/>
  <c r="G621" i="1"/>
  <c r="G632" i="1"/>
  <c r="G643" i="1"/>
  <c r="G654" i="1"/>
  <c r="G664" i="1"/>
  <c r="G674" i="1"/>
  <c r="G684" i="1"/>
  <c r="G694" i="1"/>
  <c r="G704" i="1"/>
  <c r="G714" i="1"/>
  <c r="G724" i="1"/>
  <c r="G734" i="1"/>
  <c r="G744" i="1"/>
  <c r="G754" i="1"/>
  <c r="G764" i="1"/>
  <c r="G774" i="1"/>
  <c r="G784" i="1"/>
  <c r="G794" i="1"/>
  <c r="G804" i="1"/>
  <c r="G814" i="1"/>
  <c r="G824" i="1"/>
  <c r="G834" i="1"/>
  <c r="G844" i="1"/>
  <c r="G854" i="1"/>
  <c r="G864" i="1"/>
  <c r="G874" i="1"/>
  <c r="G884" i="1"/>
  <c r="G894" i="1"/>
  <c r="G904" i="1"/>
  <c r="G914" i="1"/>
  <c r="G924" i="1"/>
  <c r="G934" i="1"/>
  <c r="G944" i="1"/>
  <c r="G954" i="1"/>
  <c r="G964" i="1"/>
  <c r="G974" i="1"/>
  <c r="G984" i="1"/>
  <c r="G994" i="1"/>
  <c r="G1004" i="1"/>
  <c r="G1014" i="1"/>
  <c r="G1024" i="1"/>
  <c r="G1034" i="1"/>
  <c r="G1044" i="1"/>
  <c r="G1054" i="1"/>
  <c r="G1064" i="1"/>
  <c r="G1074" i="1"/>
  <c r="G1084" i="1"/>
  <c r="G1094" i="1"/>
  <c r="G1104" i="1"/>
  <c r="G1114" i="1"/>
  <c r="G1124" i="1"/>
  <c r="G1134" i="1"/>
  <c r="G1144" i="1"/>
  <c r="G1154" i="1"/>
  <c r="G1164" i="1"/>
  <c r="G1174" i="1"/>
  <c r="G1184" i="1"/>
  <c r="G1194" i="1"/>
  <c r="G1204" i="1"/>
  <c r="G1214" i="1"/>
  <c r="G1224" i="1"/>
  <c r="G1234" i="1"/>
  <c r="G1244" i="1"/>
  <c r="G1254" i="1"/>
  <c r="G1264" i="1"/>
  <c r="G1274" i="1"/>
  <c r="G1284" i="1"/>
  <c r="G1294" i="1"/>
  <c r="G1304" i="1"/>
  <c r="G1314" i="1"/>
  <c r="G1324" i="1"/>
  <c r="G1334" i="1"/>
  <c r="G1344" i="1"/>
  <c r="G1354" i="1"/>
  <c r="G1364" i="1"/>
  <c r="G1374" i="1"/>
  <c r="G1384" i="1"/>
  <c r="G1394" i="1"/>
  <c r="G1404" i="1"/>
  <c r="G1414" i="1"/>
  <c r="G1424" i="1"/>
  <c r="G1434" i="1"/>
  <c r="G1444" i="1"/>
  <c r="G1454" i="1"/>
  <c r="G1464" i="1"/>
  <c r="G1474" i="1"/>
  <c r="G1484" i="1"/>
  <c r="G1494" i="1"/>
  <c r="G1504" i="1"/>
  <c r="G1514" i="1"/>
  <c r="G1524" i="1"/>
  <c r="G1534" i="1"/>
  <c r="G1544" i="1"/>
  <c r="G1554" i="1"/>
  <c r="G1564" i="1"/>
  <c r="G1574" i="1"/>
  <c r="G1584" i="1"/>
  <c r="G1594" i="1"/>
  <c r="G1604" i="1"/>
  <c r="G1614" i="1"/>
  <c r="G1624" i="1"/>
  <c r="G1634" i="1"/>
  <c r="G1644" i="1"/>
  <c r="G1654" i="1"/>
  <c r="G1664" i="1"/>
  <c r="G1674" i="1"/>
  <c r="G1684" i="1"/>
  <c r="G1694" i="1"/>
  <c r="G1704" i="1"/>
  <c r="G1714" i="1"/>
  <c r="G1724" i="1"/>
  <c r="G1734" i="1"/>
  <c r="G1744" i="1"/>
  <c r="G1754" i="1"/>
  <c r="G1764" i="1"/>
  <c r="G1774" i="1"/>
  <c r="G1784" i="1"/>
  <c r="G1794" i="1"/>
  <c r="F4" i="1"/>
  <c r="F14" i="1"/>
  <c r="F24" i="1"/>
  <c r="G41" i="1"/>
  <c r="G91" i="1"/>
  <c r="G127" i="1"/>
  <c r="G161" i="1"/>
  <c r="G194" i="1"/>
  <c r="G224" i="1"/>
  <c r="G247" i="1"/>
  <c r="G271" i="1"/>
  <c r="G291" i="1"/>
  <c r="G310" i="1"/>
  <c r="G326" i="1"/>
  <c r="G341" i="1"/>
  <c r="G356" i="1"/>
  <c r="G370" i="1"/>
  <c r="G384" i="1"/>
  <c r="G398" i="1"/>
  <c r="G412" i="1"/>
  <c r="G427" i="1"/>
  <c r="G439" i="1"/>
  <c r="G451" i="1"/>
  <c r="G464" i="1"/>
  <c r="G477" i="1"/>
  <c r="G489" i="1"/>
  <c r="G500" i="1"/>
  <c r="G511" i="1"/>
  <c r="G522" i="1"/>
  <c r="G533" i="1"/>
  <c r="G544" i="1"/>
  <c r="G556" i="1"/>
  <c r="G567" i="1"/>
  <c r="G578" i="1"/>
  <c r="G589" i="1"/>
  <c r="G600" i="1"/>
  <c r="G611" i="1"/>
  <c r="G622" i="1"/>
  <c r="G633" i="1"/>
  <c r="G644" i="1"/>
  <c r="G655" i="1"/>
  <c r="G665" i="1"/>
  <c r="G675" i="1"/>
  <c r="G685" i="1"/>
  <c r="G695" i="1"/>
  <c r="G705" i="1"/>
  <c r="G715" i="1"/>
  <c r="G725" i="1"/>
  <c r="G735" i="1"/>
  <c r="G745" i="1"/>
  <c r="G755" i="1"/>
  <c r="G765" i="1"/>
  <c r="G775" i="1"/>
  <c r="G785" i="1"/>
  <c r="G795" i="1"/>
  <c r="G805" i="1"/>
  <c r="G815" i="1"/>
  <c r="G825" i="1"/>
  <c r="G835" i="1"/>
  <c r="G845" i="1"/>
  <c r="G855" i="1"/>
  <c r="G865" i="1"/>
  <c r="G875" i="1"/>
  <c r="G885" i="1"/>
  <c r="G895" i="1"/>
  <c r="G905" i="1"/>
  <c r="G915" i="1"/>
  <c r="G925" i="1"/>
  <c r="G935" i="1"/>
  <c r="G945" i="1"/>
  <c r="G955" i="1"/>
  <c r="G965" i="1"/>
  <c r="G975" i="1"/>
  <c r="G985" i="1"/>
  <c r="G995" i="1"/>
  <c r="G1005" i="1"/>
  <c r="G1015" i="1"/>
  <c r="G1025" i="1"/>
  <c r="G1035" i="1"/>
  <c r="G1045" i="1"/>
  <c r="G1055" i="1"/>
  <c r="G1065" i="1"/>
  <c r="G1075" i="1"/>
  <c r="G1085" i="1"/>
  <c r="G1095" i="1"/>
  <c r="G1105" i="1"/>
  <c r="G1115" i="1"/>
  <c r="G1125" i="1"/>
  <c r="G1135" i="1"/>
  <c r="G1145" i="1"/>
  <c r="G1155" i="1"/>
  <c r="G1165" i="1"/>
  <c r="G1175" i="1"/>
  <c r="G1185" i="1"/>
  <c r="G1195" i="1"/>
  <c r="G1205" i="1"/>
  <c r="G1215" i="1"/>
  <c r="G1225" i="1"/>
  <c r="G1235" i="1"/>
  <c r="G1245" i="1"/>
  <c r="G1255" i="1"/>
  <c r="G1265" i="1"/>
  <c r="G1275" i="1"/>
  <c r="G1285" i="1"/>
  <c r="G1295" i="1"/>
  <c r="G1305" i="1"/>
  <c r="G1315" i="1"/>
  <c r="G1325" i="1"/>
  <c r="G1335" i="1"/>
  <c r="G1345" i="1"/>
  <c r="G1355" i="1"/>
  <c r="G1365" i="1"/>
  <c r="G1375" i="1"/>
  <c r="G1385" i="1"/>
  <c r="G1395" i="1"/>
  <c r="G1405" i="1"/>
  <c r="G1415" i="1"/>
  <c r="G1425" i="1"/>
  <c r="G1435" i="1"/>
  <c r="G1445" i="1"/>
  <c r="G1455" i="1"/>
  <c r="G1465" i="1"/>
  <c r="G1475" i="1"/>
  <c r="G1485" i="1"/>
  <c r="G1495" i="1"/>
  <c r="G1505" i="1"/>
  <c r="G1515" i="1"/>
  <c r="G1525" i="1"/>
  <c r="G1535" i="1"/>
  <c r="G1545" i="1"/>
  <c r="G1555" i="1"/>
  <c r="G1565" i="1"/>
  <c r="G1575" i="1"/>
  <c r="G1585" i="1"/>
  <c r="G1595" i="1"/>
  <c r="G1605" i="1"/>
  <c r="G1615" i="1"/>
  <c r="G1625" i="1"/>
  <c r="G1635" i="1"/>
  <c r="G1645" i="1"/>
  <c r="G1655" i="1"/>
  <c r="G1665" i="1"/>
  <c r="G1675" i="1"/>
  <c r="G1685" i="1"/>
  <c r="G1695" i="1"/>
  <c r="G1705" i="1"/>
  <c r="G1715" i="1"/>
  <c r="G1725" i="1"/>
  <c r="G1735" i="1"/>
  <c r="G1745" i="1"/>
  <c r="G1755" i="1"/>
  <c r="G1765" i="1"/>
  <c r="G1775" i="1"/>
  <c r="G1785" i="1"/>
  <c r="G1795" i="1"/>
  <c r="F5" i="1"/>
  <c r="F15" i="1"/>
  <c r="F25" i="1"/>
  <c r="F35" i="1"/>
  <c r="F45" i="1"/>
  <c r="F55" i="1"/>
  <c r="F65" i="1"/>
  <c r="F75" i="1"/>
  <c r="G47" i="1"/>
  <c r="G97" i="1"/>
  <c r="G131" i="1"/>
  <c r="G164" i="1"/>
  <c r="G197" i="1"/>
  <c r="G226" i="1"/>
  <c r="G251" i="1"/>
  <c r="G272" i="1"/>
  <c r="G292" i="1"/>
  <c r="G311" i="1"/>
  <c r="G327" i="1"/>
  <c r="G342" i="1"/>
  <c r="G357" i="1"/>
  <c r="G371" i="1"/>
  <c r="G386" i="1"/>
  <c r="G400" i="1"/>
  <c r="G414" i="1"/>
  <c r="G428" i="1"/>
  <c r="G440" i="1"/>
  <c r="G452" i="1"/>
  <c r="G466" i="1"/>
  <c r="G478" i="1"/>
  <c r="G490" i="1"/>
  <c r="G501" i="1"/>
  <c r="G512" i="1"/>
  <c r="G523" i="1"/>
  <c r="G534" i="1"/>
  <c r="G546" i="1"/>
  <c r="G557" i="1"/>
  <c r="G568" i="1"/>
  <c r="G579" i="1"/>
  <c r="G590" i="1"/>
  <c r="G601" i="1"/>
  <c r="G612" i="1"/>
  <c r="G623" i="1"/>
  <c r="G634" i="1"/>
  <c r="G646" i="1"/>
  <c r="G656" i="1"/>
  <c r="G666" i="1"/>
  <c r="G676" i="1"/>
  <c r="G686" i="1"/>
  <c r="G696" i="1"/>
  <c r="G706" i="1"/>
  <c r="G716" i="1"/>
  <c r="G726" i="1"/>
  <c r="G736" i="1"/>
  <c r="G746" i="1"/>
  <c r="G756" i="1"/>
  <c r="G766" i="1"/>
  <c r="G776" i="1"/>
  <c r="G786" i="1"/>
  <c r="G796" i="1"/>
  <c r="G806" i="1"/>
  <c r="G816" i="1"/>
  <c r="G826" i="1"/>
  <c r="G836" i="1"/>
  <c r="G846" i="1"/>
  <c r="G856" i="1"/>
  <c r="G866" i="1"/>
  <c r="G876" i="1"/>
  <c r="G886" i="1"/>
  <c r="G896" i="1"/>
  <c r="G906" i="1"/>
  <c r="G916" i="1"/>
  <c r="G926" i="1"/>
  <c r="G936" i="1"/>
  <c r="G946" i="1"/>
  <c r="G956" i="1"/>
  <c r="G966" i="1"/>
  <c r="G976" i="1"/>
  <c r="G986" i="1"/>
  <c r="G996" i="1"/>
  <c r="G1006" i="1"/>
  <c r="G1016" i="1"/>
  <c r="G1026" i="1"/>
  <c r="G1036" i="1"/>
  <c r="G1046" i="1"/>
  <c r="G1056" i="1"/>
  <c r="G1066" i="1"/>
  <c r="G1076" i="1"/>
  <c r="G1086" i="1"/>
  <c r="G1096" i="1"/>
  <c r="G1106" i="1"/>
  <c r="G1116" i="1"/>
  <c r="G1126" i="1"/>
  <c r="G1136" i="1"/>
  <c r="G1146" i="1"/>
  <c r="G1156" i="1"/>
  <c r="G1166" i="1"/>
  <c r="G1176" i="1"/>
  <c r="G1186" i="1"/>
  <c r="G1196" i="1"/>
  <c r="G1206" i="1"/>
  <c r="G1216" i="1"/>
  <c r="G1226" i="1"/>
  <c r="G1236" i="1"/>
  <c r="G1246" i="1"/>
  <c r="G1256" i="1"/>
  <c r="G1266" i="1"/>
  <c r="G1276" i="1"/>
  <c r="G1286" i="1"/>
  <c r="G1296" i="1"/>
  <c r="G1306" i="1"/>
  <c r="G1316" i="1"/>
  <c r="G1326" i="1"/>
  <c r="G1336" i="1"/>
  <c r="G1346" i="1"/>
  <c r="G1356" i="1"/>
  <c r="G1366" i="1"/>
  <c r="G1376" i="1"/>
  <c r="G1386" i="1"/>
  <c r="G1396" i="1"/>
  <c r="G1406" i="1"/>
  <c r="G1416" i="1"/>
  <c r="G1426" i="1"/>
  <c r="G1436" i="1"/>
  <c r="G1446" i="1"/>
  <c r="G1456" i="1"/>
  <c r="G1466" i="1"/>
  <c r="G1476" i="1"/>
  <c r="G1486" i="1"/>
  <c r="G1496" i="1"/>
  <c r="G1506" i="1"/>
  <c r="G1516" i="1"/>
  <c r="G1526" i="1"/>
  <c r="G1536" i="1"/>
  <c r="G1546" i="1"/>
  <c r="G1556" i="1"/>
  <c r="G1566" i="1"/>
  <c r="G1576" i="1"/>
  <c r="G1586" i="1"/>
  <c r="G1596" i="1"/>
  <c r="G1606" i="1"/>
  <c r="G1616" i="1"/>
  <c r="G1626" i="1"/>
  <c r="G1636" i="1"/>
  <c r="G1646" i="1"/>
  <c r="G1656" i="1"/>
  <c r="G1666" i="1"/>
  <c r="G1676" i="1"/>
  <c r="G1686" i="1"/>
  <c r="G1696" i="1"/>
  <c r="G1706" i="1"/>
  <c r="G1716" i="1"/>
  <c r="G1726" i="1"/>
  <c r="G1736" i="1"/>
  <c r="G1746" i="1"/>
  <c r="G1756" i="1"/>
  <c r="G1766" i="1"/>
  <c r="G1776" i="1"/>
  <c r="G1786" i="1"/>
  <c r="G1796" i="1"/>
  <c r="F6" i="1"/>
  <c r="F16" i="1"/>
  <c r="F26" i="1"/>
  <c r="F36" i="1"/>
  <c r="F46" i="1"/>
  <c r="F56" i="1"/>
  <c r="F66" i="1"/>
  <c r="F76" i="1"/>
  <c r="F86" i="1"/>
  <c r="F96" i="1"/>
  <c r="F106" i="1"/>
  <c r="F116" i="1"/>
  <c r="F126" i="1"/>
  <c r="F136" i="1"/>
  <c r="F146" i="1"/>
  <c r="F156" i="1"/>
  <c r="F166" i="1"/>
  <c r="F176" i="1"/>
  <c r="F186" i="1"/>
  <c r="F196" i="1"/>
  <c r="F206" i="1"/>
  <c r="F216" i="1"/>
  <c r="F226" i="1"/>
  <c r="F236" i="1"/>
  <c r="F246" i="1"/>
  <c r="F256" i="1"/>
  <c r="F266" i="1"/>
  <c r="F276" i="1"/>
  <c r="F286" i="1"/>
  <c r="F296" i="1"/>
  <c r="F306" i="1"/>
  <c r="F316" i="1"/>
  <c r="F326" i="1"/>
  <c r="F336" i="1"/>
  <c r="F346" i="1"/>
  <c r="F356" i="1"/>
  <c r="F366" i="1"/>
  <c r="F376" i="1"/>
  <c r="F386" i="1"/>
  <c r="F396" i="1"/>
  <c r="F406" i="1"/>
  <c r="G51" i="1"/>
  <c r="G101" i="1"/>
  <c r="G134" i="1"/>
  <c r="G167" i="1"/>
  <c r="G201" i="1"/>
  <c r="G227" i="1"/>
  <c r="G254" i="1"/>
  <c r="G274" i="1"/>
  <c r="G294" i="1"/>
  <c r="G312" i="1"/>
  <c r="G330" i="1"/>
  <c r="G344" i="1"/>
  <c r="G358" i="1"/>
  <c r="G372" i="1"/>
  <c r="G387" i="1"/>
  <c r="G401" i="1"/>
  <c r="G416" i="1"/>
  <c r="G429" i="1"/>
  <c r="G441" i="1"/>
  <c r="G454" i="1"/>
  <c r="G467" i="1"/>
  <c r="G479" i="1"/>
  <c r="G491" i="1"/>
  <c r="G502" i="1"/>
  <c r="G513" i="1"/>
  <c r="G524" i="1"/>
  <c r="G536" i="1"/>
  <c r="G547" i="1"/>
  <c r="G558" i="1"/>
  <c r="G569" i="1"/>
  <c r="G580" i="1"/>
  <c r="G591" i="1"/>
  <c r="G602" i="1"/>
  <c r="G613" i="1"/>
  <c r="G624" i="1"/>
  <c r="G636" i="1"/>
  <c r="G647" i="1"/>
  <c r="G657" i="1"/>
  <c r="G667" i="1"/>
  <c r="G677" i="1"/>
  <c r="G687" i="1"/>
  <c r="G697" i="1"/>
  <c r="G707" i="1"/>
  <c r="G717" i="1"/>
  <c r="G727" i="1"/>
  <c r="G737" i="1"/>
  <c r="G747" i="1"/>
  <c r="G757" i="1"/>
  <c r="G767" i="1"/>
  <c r="G777" i="1"/>
  <c r="G787" i="1"/>
  <c r="G797" i="1"/>
  <c r="G807" i="1"/>
  <c r="G817" i="1"/>
  <c r="G827" i="1"/>
  <c r="G837" i="1"/>
  <c r="G847" i="1"/>
  <c r="G857" i="1"/>
  <c r="G867" i="1"/>
  <c r="G877" i="1"/>
  <c r="G887" i="1"/>
  <c r="G897" i="1"/>
  <c r="G907" i="1"/>
  <c r="G917" i="1"/>
  <c r="G927" i="1"/>
  <c r="G937" i="1"/>
  <c r="G947" i="1"/>
  <c r="G957" i="1"/>
  <c r="G967" i="1"/>
  <c r="G977" i="1"/>
  <c r="G987" i="1"/>
  <c r="G997" i="1"/>
  <c r="G1007" i="1"/>
  <c r="G1017" i="1"/>
  <c r="G1027" i="1"/>
  <c r="G1037" i="1"/>
  <c r="G1047" i="1"/>
  <c r="G1057" i="1"/>
  <c r="G1067" i="1"/>
  <c r="G1077" i="1"/>
  <c r="G1087" i="1"/>
  <c r="G1097" i="1"/>
  <c r="G1107" i="1"/>
  <c r="G1117" i="1"/>
  <c r="G1127" i="1"/>
  <c r="G1137" i="1"/>
  <c r="G1147" i="1"/>
  <c r="G1157" i="1"/>
  <c r="G1167" i="1"/>
  <c r="G1177" i="1"/>
  <c r="G1187" i="1"/>
  <c r="G1197" i="1"/>
  <c r="G1207" i="1"/>
  <c r="G1217" i="1"/>
  <c r="G1227" i="1"/>
  <c r="G1237" i="1"/>
  <c r="G1247" i="1"/>
  <c r="G1257" i="1"/>
  <c r="G1267" i="1"/>
  <c r="G1277" i="1"/>
  <c r="G1287" i="1"/>
  <c r="G1297" i="1"/>
  <c r="G1307" i="1"/>
  <c r="G1317" i="1"/>
  <c r="G1327" i="1"/>
  <c r="G1337" i="1"/>
  <c r="G1347" i="1"/>
  <c r="G1357" i="1"/>
  <c r="G1367" i="1"/>
  <c r="G1377" i="1"/>
  <c r="G1387" i="1"/>
  <c r="G1397" i="1"/>
  <c r="G1407" i="1"/>
  <c r="G1417" i="1"/>
  <c r="G1427" i="1"/>
  <c r="G1437" i="1"/>
  <c r="G1447" i="1"/>
  <c r="G1457" i="1"/>
  <c r="G1467" i="1"/>
  <c r="G1477" i="1"/>
  <c r="G1487" i="1"/>
  <c r="G1497" i="1"/>
  <c r="G1507" i="1"/>
  <c r="G1517" i="1"/>
  <c r="G1527" i="1"/>
  <c r="G1537" i="1"/>
  <c r="G1547" i="1"/>
  <c r="G1557" i="1"/>
  <c r="G1567" i="1"/>
  <c r="G1577" i="1"/>
  <c r="G1587" i="1"/>
  <c r="G1597" i="1"/>
  <c r="G1607" i="1"/>
  <c r="G1617" i="1"/>
  <c r="G1627" i="1"/>
  <c r="G1637" i="1"/>
  <c r="G1647" i="1"/>
  <c r="G1657" i="1"/>
  <c r="G1667" i="1"/>
  <c r="G1677" i="1"/>
  <c r="G1687" i="1"/>
  <c r="G1697" i="1"/>
  <c r="G1707" i="1"/>
  <c r="G1717" i="1"/>
  <c r="G1727" i="1"/>
  <c r="G1737" i="1"/>
  <c r="G1747" i="1"/>
  <c r="G1757" i="1"/>
  <c r="G1767" i="1"/>
  <c r="G1777" i="1"/>
  <c r="G1787" i="1"/>
  <c r="G1797" i="1"/>
  <c r="F7" i="1"/>
  <c r="F17" i="1"/>
  <c r="F27" i="1"/>
  <c r="F37" i="1"/>
  <c r="F47" i="1"/>
  <c r="F57" i="1"/>
  <c r="F67" i="1"/>
  <c r="F77" i="1"/>
  <c r="F87" i="1"/>
  <c r="F97" i="1"/>
  <c r="F107" i="1"/>
  <c r="F117" i="1"/>
  <c r="F127" i="1"/>
  <c r="G57" i="1"/>
  <c r="G104" i="1"/>
  <c r="G137" i="1"/>
  <c r="G171" i="1"/>
  <c r="G204" i="1"/>
  <c r="G231" i="1"/>
  <c r="G256" i="1"/>
  <c r="G276" i="1"/>
  <c r="G296" i="1"/>
  <c r="G314" i="1"/>
  <c r="G331" i="1"/>
  <c r="G346" i="1"/>
  <c r="G360" i="1"/>
  <c r="G374" i="1"/>
  <c r="G388" i="1"/>
  <c r="G402" i="1"/>
  <c r="G417" i="1"/>
  <c r="G430" i="1"/>
  <c r="G442" i="1"/>
  <c r="G456" i="1"/>
  <c r="G468" i="1"/>
  <c r="G480" i="1"/>
  <c r="G492" i="1"/>
  <c r="G503" i="1"/>
  <c r="G514" i="1"/>
  <c r="G526" i="1"/>
  <c r="G537" i="1"/>
  <c r="G548" i="1"/>
  <c r="G559" i="1"/>
  <c r="G570" i="1"/>
  <c r="G581" i="1"/>
  <c r="G592" i="1"/>
  <c r="G603" i="1"/>
  <c r="G614" i="1"/>
  <c r="G626" i="1"/>
  <c r="G637" i="1"/>
  <c r="G648" i="1"/>
  <c r="G658" i="1"/>
  <c r="G668" i="1"/>
  <c r="G678" i="1"/>
  <c r="G688" i="1"/>
  <c r="G698" i="1"/>
  <c r="G708" i="1"/>
  <c r="G718" i="1"/>
  <c r="G728" i="1"/>
  <c r="G738" i="1"/>
  <c r="G748" i="1"/>
  <c r="G758" i="1"/>
  <c r="G768" i="1"/>
  <c r="G778" i="1"/>
  <c r="G788" i="1"/>
  <c r="G798" i="1"/>
  <c r="G808" i="1"/>
  <c r="G818" i="1"/>
  <c r="G828" i="1"/>
  <c r="G838" i="1"/>
  <c r="G848" i="1"/>
  <c r="G858" i="1"/>
  <c r="G868" i="1"/>
  <c r="G878" i="1"/>
  <c r="G888" i="1"/>
  <c r="G898" i="1"/>
  <c r="G908" i="1"/>
  <c r="G918" i="1"/>
  <c r="G928" i="1"/>
  <c r="G938" i="1"/>
  <c r="G948" i="1"/>
  <c r="G958" i="1"/>
  <c r="G968" i="1"/>
  <c r="G978" i="1"/>
  <c r="G988" i="1"/>
  <c r="G998" i="1"/>
  <c r="G1008" i="1"/>
  <c r="G1018" i="1"/>
  <c r="G1028" i="1"/>
  <c r="G1038" i="1"/>
  <c r="G1048" i="1"/>
  <c r="G1058" i="1"/>
  <c r="G1068" i="1"/>
  <c r="G1078" i="1"/>
  <c r="G1088" i="1"/>
  <c r="G1098" i="1"/>
  <c r="G1108" i="1"/>
  <c r="G1118" i="1"/>
  <c r="G1128" i="1"/>
  <c r="G1138" i="1"/>
  <c r="G1148" i="1"/>
  <c r="G1158" i="1"/>
  <c r="G1168" i="1"/>
  <c r="G1178" i="1"/>
  <c r="G1188" i="1"/>
  <c r="G1198" i="1"/>
  <c r="G1208" i="1"/>
  <c r="G1218" i="1"/>
  <c r="G1228" i="1"/>
  <c r="G1238" i="1"/>
  <c r="G1248" i="1"/>
  <c r="G1258" i="1"/>
  <c r="G1268" i="1"/>
  <c r="G1278" i="1"/>
  <c r="G1288" i="1"/>
  <c r="G1298" i="1"/>
  <c r="G1308" i="1"/>
  <c r="G1318" i="1"/>
  <c r="G1328" i="1"/>
  <c r="G1338" i="1"/>
  <c r="G1348" i="1"/>
  <c r="G1358" i="1"/>
  <c r="G1368" i="1"/>
  <c r="G1378" i="1"/>
  <c r="G1388" i="1"/>
  <c r="G1398" i="1"/>
  <c r="G1408" i="1"/>
  <c r="G1418" i="1"/>
  <c r="G1428" i="1"/>
  <c r="G1438" i="1"/>
  <c r="G1448" i="1"/>
  <c r="G1458" i="1"/>
  <c r="G1468" i="1"/>
  <c r="G1478" i="1"/>
  <c r="G1488" i="1"/>
  <c r="G1498" i="1"/>
  <c r="G1508" i="1"/>
  <c r="G1518" i="1"/>
  <c r="G1528" i="1"/>
  <c r="G1538" i="1"/>
  <c r="G1548" i="1"/>
  <c r="G1558" i="1"/>
  <c r="G1568" i="1"/>
  <c r="G1578" i="1"/>
  <c r="G1588" i="1"/>
  <c r="G1598" i="1"/>
  <c r="G1608" i="1"/>
  <c r="G1618" i="1"/>
  <c r="G1628" i="1"/>
  <c r="G1638" i="1"/>
  <c r="G1648" i="1"/>
  <c r="G1658" i="1"/>
  <c r="G1668" i="1"/>
  <c r="G1678" i="1"/>
  <c r="G1688" i="1"/>
  <c r="G1698" i="1"/>
  <c r="G1708" i="1"/>
  <c r="G1718" i="1"/>
  <c r="G1728" i="1"/>
  <c r="G1738" i="1"/>
  <c r="G1748" i="1"/>
  <c r="G1758" i="1"/>
  <c r="G1768" i="1"/>
  <c r="G1778" i="1"/>
  <c r="G1788" i="1"/>
  <c r="G1798" i="1"/>
  <c r="F8" i="1"/>
  <c r="F18" i="1"/>
  <c r="F28" i="1"/>
  <c r="F38" i="1"/>
  <c r="F48" i="1"/>
  <c r="F58" i="1"/>
  <c r="F68" i="1"/>
  <c r="F78" i="1"/>
  <c r="F88" i="1"/>
  <c r="F98" i="1"/>
  <c r="G61" i="1"/>
  <c r="G107" i="1"/>
  <c r="G141" i="1"/>
  <c r="G174" i="1"/>
  <c r="G207" i="1"/>
  <c r="G234" i="1"/>
  <c r="G257" i="1"/>
  <c r="G277" i="1"/>
  <c r="G297" i="1"/>
  <c r="G316" i="1"/>
  <c r="G332" i="1"/>
  <c r="G347" i="1"/>
  <c r="G361" i="1"/>
  <c r="G376" i="1"/>
  <c r="G390" i="1"/>
  <c r="G404" i="1"/>
  <c r="G418" i="1"/>
  <c r="G431" i="1"/>
  <c r="G444" i="1"/>
  <c r="G457" i="1"/>
  <c r="G469" i="1"/>
  <c r="G481" i="1"/>
  <c r="G493" i="1"/>
  <c r="G504" i="1"/>
  <c r="G516" i="1"/>
  <c r="G527" i="1"/>
  <c r="G538" i="1"/>
  <c r="G549" i="1"/>
  <c r="G560" i="1"/>
  <c r="G571" i="1"/>
  <c r="G582" i="1"/>
  <c r="G593" i="1"/>
  <c r="G604" i="1"/>
  <c r="G616" i="1"/>
  <c r="G627" i="1"/>
  <c r="G638" i="1"/>
  <c r="G649" i="1"/>
  <c r="G659" i="1"/>
  <c r="G669" i="1"/>
  <c r="G679" i="1"/>
  <c r="G689" i="1"/>
  <c r="G699" i="1"/>
  <c r="G709" i="1"/>
  <c r="G719" i="1"/>
  <c r="G729" i="1"/>
  <c r="G739" i="1"/>
  <c r="G749" i="1"/>
  <c r="G759" i="1"/>
  <c r="G769" i="1"/>
  <c r="G779" i="1"/>
  <c r="G789" i="1"/>
  <c r="G799" i="1"/>
  <c r="G809" i="1"/>
  <c r="G819" i="1"/>
  <c r="G829" i="1"/>
  <c r="G839" i="1"/>
  <c r="G849" i="1"/>
  <c r="G859" i="1"/>
  <c r="G869" i="1"/>
  <c r="G879" i="1"/>
  <c r="G889" i="1"/>
  <c r="G899" i="1"/>
  <c r="G909" i="1"/>
  <c r="G919" i="1"/>
  <c r="G929" i="1"/>
  <c r="G939" i="1"/>
  <c r="G949" i="1"/>
  <c r="G959" i="1"/>
  <c r="G969" i="1"/>
  <c r="G979" i="1"/>
  <c r="G989" i="1"/>
  <c r="G999" i="1"/>
  <c r="G1009" i="1"/>
  <c r="G1019" i="1"/>
  <c r="G1029" i="1"/>
  <c r="G1039" i="1"/>
  <c r="G1049" i="1"/>
  <c r="G1059" i="1"/>
  <c r="G1069" i="1"/>
  <c r="G1079" i="1"/>
  <c r="G1089" i="1"/>
  <c r="G1099" i="1"/>
  <c r="G1109" i="1"/>
  <c r="G1119" i="1"/>
  <c r="G1129" i="1"/>
  <c r="G1139" i="1"/>
  <c r="G1149" i="1"/>
  <c r="G1159" i="1"/>
  <c r="G1169" i="1"/>
  <c r="G1179" i="1"/>
  <c r="G1189" i="1"/>
  <c r="G1199" i="1"/>
  <c r="G1209" i="1"/>
  <c r="G1219" i="1"/>
  <c r="G1229" i="1"/>
  <c r="G1239" i="1"/>
  <c r="G1249" i="1"/>
  <c r="G1259" i="1"/>
  <c r="G1269" i="1"/>
  <c r="G1279" i="1"/>
  <c r="G1289" i="1"/>
  <c r="G1299" i="1"/>
  <c r="G1309" i="1"/>
  <c r="G1319" i="1"/>
  <c r="G1329" i="1"/>
  <c r="G1339" i="1"/>
  <c r="G1349" i="1"/>
  <c r="G1359" i="1"/>
  <c r="G1369" i="1"/>
  <c r="G1379" i="1"/>
  <c r="G1389" i="1"/>
  <c r="G1399" i="1"/>
  <c r="G1409" i="1"/>
  <c r="G1419" i="1"/>
  <c r="G1429" i="1"/>
  <c r="G1439" i="1"/>
  <c r="G1449" i="1"/>
  <c r="G1459" i="1"/>
  <c r="G1469" i="1"/>
  <c r="G1479" i="1"/>
  <c r="G1489" i="1"/>
  <c r="G1499" i="1"/>
  <c r="G1509" i="1"/>
  <c r="G1519" i="1"/>
  <c r="G1529" i="1"/>
  <c r="G1539" i="1"/>
  <c r="G1549" i="1"/>
  <c r="G1559" i="1"/>
  <c r="G1569" i="1"/>
  <c r="G1579" i="1"/>
  <c r="G1589" i="1"/>
  <c r="G1599" i="1"/>
  <c r="G1609" i="1"/>
  <c r="G1619" i="1"/>
  <c r="G1629" i="1"/>
  <c r="G1639" i="1"/>
  <c r="G1649" i="1"/>
  <c r="G1659" i="1"/>
  <c r="G1669" i="1"/>
  <c r="G1679" i="1"/>
  <c r="G1689" i="1"/>
  <c r="G1699" i="1"/>
  <c r="G1709" i="1"/>
  <c r="G1719" i="1"/>
  <c r="G1729" i="1"/>
  <c r="G1739" i="1"/>
  <c r="G1749" i="1"/>
  <c r="G1759" i="1"/>
  <c r="G1769" i="1"/>
  <c r="G1779" i="1"/>
  <c r="G1789" i="1"/>
  <c r="G1799" i="1"/>
  <c r="F9" i="1"/>
  <c r="F19" i="1"/>
  <c r="F29" i="1"/>
  <c r="F39" i="1"/>
  <c r="F49" i="1"/>
  <c r="F59" i="1"/>
  <c r="F69" i="1"/>
  <c r="F79" i="1"/>
  <c r="F89" i="1"/>
  <c r="F99" i="1"/>
  <c r="F109" i="1"/>
  <c r="F119" i="1"/>
  <c r="F129" i="1"/>
  <c r="F139" i="1"/>
  <c r="F149" i="1"/>
  <c r="F159" i="1"/>
  <c r="F169" i="1"/>
  <c r="F179" i="1"/>
  <c r="F189" i="1"/>
  <c r="F199" i="1"/>
  <c r="F209" i="1"/>
  <c r="F219" i="1"/>
  <c r="F229" i="1"/>
  <c r="F239" i="1"/>
  <c r="F249" i="1"/>
  <c r="F259" i="1"/>
  <c r="F269" i="1"/>
  <c r="F279" i="1"/>
  <c r="F34" i="1"/>
  <c r="F105" i="1"/>
  <c r="F137" i="1"/>
  <c r="F164" i="1"/>
  <c r="F187" i="1"/>
  <c r="F214" i="1"/>
  <c r="F237" i="1"/>
  <c r="F264" i="1"/>
  <c r="F287" i="1"/>
  <c r="F307" i="1"/>
  <c r="F324" i="1"/>
  <c r="F339" i="1"/>
  <c r="F357" i="1"/>
  <c r="F374" i="1"/>
  <c r="F389" i="1"/>
  <c r="F407" i="1"/>
  <c r="F421" i="1"/>
  <c r="F436" i="1"/>
  <c r="F449" i="1"/>
  <c r="F465" i="1"/>
  <c r="F477" i="1"/>
  <c r="F489" i="1"/>
  <c r="F503" i="1"/>
  <c r="F515" i="1"/>
  <c r="F527" i="1"/>
  <c r="F539" i="1"/>
  <c r="F553" i="1"/>
  <c r="F565" i="1"/>
  <c r="F577" i="1"/>
  <c r="F589" i="1"/>
  <c r="F603" i="1"/>
  <c r="F614" i="1"/>
  <c r="F625" i="1"/>
  <c r="F636" i="1"/>
  <c r="F647" i="1"/>
  <c r="F658" i="1"/>
  <c r="F669" i="1"/>
  <c r="F681" i="1"/>
  <c r="F692" i="1"/>
  <c r="F703" i="1"/>
  <c r="F714" i="1"/>
  <c r="F725" i="1"/>
  <c r="F736" i="1"/>
  <c r="F747" i="1"/>
  <c r="F758" i="1"/>
  <c r="F769" i="1"/>
  <c r="F781" i="1"/>
  <c r="F792" i="1"/>
  <c r="F803" i="1"/>
  <c r="F814" i="1"/>
  <c r="F825" i="1"/>
  <c r="F836" i="1"/>
  <c r="F847" i="1"/>
  <c r="F858" i="1"/>
  <c r="F869" i="1"/>
  <c r="F881" i="1"/>
  <c r="F892" i="1"/>
  <c r="F903" i="1"/>
  <c r="F914" i="1"/>
  <c r="F925" i="1"/>
  <c r="F936" i="1"/>
  <c r="F947" i="1"/>
  <c r="F958" i="1"/>
  <c r="F969" i="1"/>
  <c r="F981" i="1"/>
  <c r="F992" i="1"/>
  <c r="F1003" i="1"/>
  <c r="F1014" i="1"/>
  <c r="F1025" i="1"/>
  <c r="F1035" i="1"/>
  <c r="F1045" i="1"/>
  <c r="F1055" i="1"/>
  <c r="F1065" i="1"/>
  <c r="F1075" i="1"/>
  <c r="F1085" i="1"/>
  <c r="F1095" i="1"/>
  <c r="F1105" i="1"/>
  <c r="F1115" i="1"/>
  <c r="F1125" i="1"/>
  <c r="F1135" i="1"/>
  <c r="F1145" i="1"/>
  <c r="F1155" i="1"/>
  <c r="F1165" i="1"/>
  <c r="F1175" i="1"/>
  <c r="F1185" i="1"/>
  <c r="F1195" i="1"/>
  <c r="F1205" i="1"/>
  <c r="F1215" i="1"/>
  <c r="F1225" i="1"/>
  <c r="F1235" i="1"/>
  <c r="F1245" i="1"/>
  <c r="F1255" i="1"/>
  <c r="F1265" i="1"/>
  <c r="F1275" i="1"/>
  <c r="F1285" i="1"/>
  <c r="F1295" i="1"/>
  <c r="F1305" i="1"/>
  <c r="F1315" i="1"/>
  <c r="F1325" i="1"/>
  <c r="F1335" i="1"/>
  <c r="F1345" i="1"/>
  <c r="F1355" i="1"/>
  <c r="F1365" i="1"/>
  <c r="F1375" i="1"/>
  <c r="F1385" i="1"/>
  <c r="F1395" i="1"/>
  <c r="F1405" i="1"/>
  <c r="F1415" i="1"/>
  <c r="F1425" i="1"/>
  <c r="F1435" i="1"/>
  <c r="F1445" i="1"/>
  <c r="F1455" i="1"/>
  <c r="F1465" i="1"/>
  <c r="F1475" i="1"/>
  <c r="F1485" i="1"/>
  <c r="F1495" i="1"/>
  <c r="F1505" i="1"/>
  <c r="F1515" i="1"/>
  <c r="F1525" i="1"/>
  <c r="F1535" i="1"/>
  <c r="F1545" i="1"/>
  <c r="F1555" i="1"/>
  <c r="F1565" i="1"/>
  <c r="F1575" i="1"/>
  <c r="F1585" i="1"/>
  <c r="F1595" i="1"/>
  <c r="F1605" i="1"/>
  <c r="F1615" i="1"/>
  <c r="F1625" i="1"/>
  <c r="F1635" i="1"/>
  <c r="F1645" i="1"/>
  <c r="F1655" i="1"/>
  <c r="F1665" i="1"/>
  <c r="F1675" i="1"/>
  <c r="F1685" i="1"/>
  <c r="F1695" i="1"/>
  <c r="F1705" i="1"/>
  <c r="F1715" i="1"/>
  <c r="F1725" i="1"/>
  <c r="F1735" i="1"/>
  <c r="F1745" i="1"/>
  <c r="F1755" i="1"/>
  <c r="F1765" i="1"/>
  <c r="F1775" i="1"/>
  <c r="F1785" i="1"/>
  <c r="F1795" i="1"/>
  <c r="E5" i="1"/>
  <c r="E15" i="1"/>
  <c r="E25" i="1"/>
  <c r="E35" i="1"/>
  <c r="E45" i="1"/>
  <c r="E55" i="1"/>
  <c r="E65" i="1"/>
  <c r="E75" i="1"/>
  <c r="E85" i="1"/>
  <c r="E95" i="1"/>
  <c r="E105" i="1"/>
  <c r="E115" i="1"/>
  <c r="E125" i="1"/>
  <c r="E135" i="1"/>
  <c r="E145" i="1"/>
  <c r="E155" i="1"/>
  <c r="E165" i="1"/>
  <c r="E175" i="1"/>
  <c r="E185" i="1"/>
  <c r="E195" i="1"/>
  <c r="E205" i="1"/>
  <c r="E215" i="1"/>
  <c r="E225" i="1"/>
  <c r="E235" i="1"/>
  <c r="E245" i="1"/>
  <c r="E255" i="1"/>
  <c r="E265" i="1"/>
  <c r="E275" i="1"/>
  <c r="E285" i="1"/>
  <c r="E295" i="1"/>
  <c r="E305" i="1"/>
  <c r="E315" i="1"/>
  <c r="E325" i="1"/>
  <c r="E335" i="1"/>
  <c r="E345" i="1"/>
  <c r="E355" i="1"/>
  <c r="E365" i="1"/>
  <c r="E375" i="1"/>
  <c r="E385" i="1"/>
  <c r="E395" i="1"/>
  <c r="E405" i="1"/>
  <c r="F44" i="1"/>
  <c r="F108" i="1"/>
  <c r="F138" i="1"/>
  <c r="F165" i="1"/>
  <c r="F188" i="1"/>
  <c r="F215" i="1"/>
  <c r="F238" i="1"/>
  <c r="F265" i="1"/>
  <c r="F288" i="1"/>
  <c r="F308" i="1"/>
  <c r="F325" i="1"/>
  <c r="F341" i="1"/>
  <c r="F358" i="1"/>
  <c r="F375" i="1"/>
  <c r="F391" i="1"/>
  <c r="F408" i="1"/>
  <c r="F424" i="1"/>
  <c r="F437" i="1"/>
  <c r="F451" i="1"/>
  <c r="F466" i="1"/>
  <c r="F478" i="1"/>
  <c r="F491" i="1"/>
  <c r="F504" i="1"/>
  <c r="F516" i="1"/>
  <c r="F528" i="1"/>
  <c r="F541" i="1"/>
  <c r="F554" i="1"/>
  <c r="F566" i="1"/>
  <c r="F578" i="1"/>
  <c r="F591" i="1"/>
  <c r="F604" i="1"/>
  <c r="F615" i="1"/>
  <c r="F626" i="1"/>
  <c r="F637" i="1"/>
  <c r="F648" i="1"/>
  <c r="F659" i="1"/>
  <c r="F671" i="1"/>
  <c r="F682" i="1"/>
  <c r="F693" i="1"/>
  <c r="F704" i="1"/>
  <c r="F715" i="1"/>
  <c r="F726" i="1"/>
  <c r="F737" i="1"/>
  <c r="F748" i="1"/>
  <c r="F759" i="1"/>
  <c r="F771" i="1"/>
  <c r="F782" i="1"/>
  <c r="F793" i="1"/>
  <c r="F804" i="1"/>
  <c r="F815" i="1"/>
  <c r="F826" i="1"/>
  <c r="F837" i="1"/>
  <c r="F848" i="1"/>
  <c r="F859" i="1"/>
  <c r="F871" i="1"/>
  <c r="F882" i="1"/>
  <c r="F893" i="1"/>
  <c r="F904" i="1"/>
  <c r="F915" i="1"/>
  <c r="F926" i="1"/>
  <c r="F937" i="1"/>
  <c r="F948" i="1"/>
  <c r="F959" i="1"/>
  <c r="F971" i="1"/>
  <c r="F982" i="1"/>
  <c r="F993" i="1"/>
  <c r="F1004" i="1"/>
  <c r="F1015" i="1"/>
  <c r="F1026" i="1"/>
  <c r="F1036" i="1"/>
  <c r="F1046" i="1"/>
  <c r="F1056" i="1"/>
  <c r="F1066" i="1"/>
  <c r="F1076" i="1"/>
  <c r="F1086" i="1"/>
  <c r="F1096" i="1"/>
  <c r="F1106" i="1"/>
  <c r="F1116" i="1"/>
  <c r="F1126" i="1"/>
  <c r="F1136" i="1"/>
  <c r="F1146" i="1"/>
  <c r="F1156" i="1"/>
  <c r="F1166" i="1"/>
  <c r="F1176" i="1"/>
  <c r="F1186" i="1"/>
  <c r="F1196" i="1"/>
  <c r="F1206" i="1"/>
  <c r="F1216" i="1"/>
  <c r="F1226" i="1"/>
  <c r="F1236" i="1"/>
  <c r="F1246" i="1"/>
  <c r="F1256" i="1"/>
  <c r="F1266" i="1"/>
  <c r="F1276" i="1"/>
  <c r="F1286" i="1"/>
  <c r="F1296" i="1"/>
  <c r="F1306" i="1"/>
  <c r="F1316" i="1"/>
  <c r="F1326" i="1"/>
  <c r="F1336" i="1"/>
  <c r="F1346" i="1"/>
  <c r="F1356" i="1"/>
  <c r="F1366" i="1"/>
  <c r="F1376" i="1"/>
  <c r="F1386" i="1"/>
  <c r="F1396" i="1"/>
  <c r="F1406" i="1"/>
  <c r="F1416" i="1"/>
  <c r="F1426" i="1"/>
  <c r="F1436" i="1"/>
  <c r="F1446" i="1"/>
  <c r="F1456" i="1"/>
  <c r="F1466" i="1"/>
  <c r="F1476" i="1"/>
  <c r="F1486" i="1"/>
  <c r="F1496" i="1"/>
  <c r="F1506" i="1"/>
  <c r="F1516" i="1"/>
  <c r="F1526" i="1"/>
  <c r="F1536" i="1"/>
  <c r="F1546" i="1"/>
  <c r="F1556" i="1"/>
  <c r="F1566" i="1"/>
  <c r="F1576" i="1"/>
  <c r="F1586" i="1"/>
  <c r="F1596" i="1"/>
  <c r="F1606" i="1"/>
  <c r="F1616" i="1"/>
  <c r="F1626" i="1"/>
  <c r="F1636" i="1"/>
  <c r="F1646" i="1"/>
  <c r="F1656" i="1"/>
  <c r="F1666" i="1"/>
  <c r="F1676" i="1"/>
  <c r="F1686" i="1"/>
  <c r="F1696" i="1"/>
  <c r="F1706" i="1"/>
  <c r="F1716" i="1"/>
  <c r="F1726" i="1"/>
  <c r="F1736" i="1"/>
  <c r="F1746" i="1"/>
  <c r="F1756" i="1"/>
  <c r="F1766" i="1"/>
  <c r="F1776" i="1"/>
  <c r="F1786" i="1"/>
  <c r="F1796" i="1"/>
  <c r="E6" i="1"/>
  <c r="E16" i="1"/>
  <c r="E26" i="1"/>
  <c r="E36" i="1"/>
  <c r="E46" i="1"/>
  <c r="E56" i="1"/>
  <c r="E66" i="1"/>
  <c r="E76" i="1"/>
  <c r="E86" i="1"/>
  <c r="E96" i="1"/>
  <c r="E106" i="1"/>
  <c r="E116" i="1"/>
  <c r="E126" i="1"/>
  <c r="E136" i="1"/>
  <c r="E146" i="1"/>
  <c r="E156" i="1"/>
  <c r="E166" i="1"/>
  <c r="E176" i="1"/>
  <c r="E186" i="1"/>
  <c r="E196" i="1"/>
  <c r="E206" i="1"/>
  <c r="E216" i="1"/>
  <c r="E226" i="1"/>
  <c r="E236" i="1"/>
  <c r="E246" i="1"/>
  <c r="E256" i="1"/>
  <c r="E266" i="1"/>
  <c r="E276" i="1"/>
  <c r="E286" i="1"/>
  <c r="E296" i="1"/>
  <c r="E306" i="1"/>
  <c r="E316" i="1"/>
  <c r="E326" i="1"/>
  <c r="E336" i="1"/>
  <c r="E346" i="1"/>
  <c r="E356" i="1"/>
  <c r="E366" i="1"/>
  <c r="E376" i="1"/>
  <c r="E386" i="1"/>
  <c r="E396" i="1"/>
  <c r="E406" i="1"/>
  <c r="E416" i="1"/>
  <c r="E426" i="1"/>
  <c r="E436" i="1"/>
  <c r="E446" i="1"/>
  <c r="E456" i="1"/>
  <c r="E466" i="1"/>
  <c r="E476" i="1"/>
  <c r="E486" i="1"/>
  <c r="E496" i="1"/>
  <c r="E506" i="1"/>
  <c r="E516" i="1"/>
  <c r="E526" i="1"/>
  <c r="E536" i="1"/>
  <c r="E546" i="1"/>
  <c r="E556" i="1"/>
  <c r="E566" i="1"/>
  <c r="E576" i="1"/>
  <c r="E586" i="1"/>
  <c r="E596" i="1"/>
  <c r="E606" i="1"/>
  <c r="E616" i="1"/>
  <c r="E626" i="1"/>
  <c r="E636" i="1"/>
  <c r="E646" i="1"/>
  <c r="E656" i="1"/>
  <c r="E666" i="1"/>
  <c r="E676" i="1"/>
  <c r="E686" i="1"/>
  <c r="E696" i="1"/>
  <c r="E706" i="1"/>
  <c r="E716" i="1"/>
  <c r="E726" i="1"/>
  <c r="E736" i="1"/>
  <c r="E746" i="1"/>
  <c r="E756" i="1"/>
  <c r="F54" i="1"/>
  <c r="F114" i="1"/>
  <c r="F144" i="1"/>
  <c r="F167" i="1"/>
  <c r="F194" i="1"/>
  <c r="F217" i="1"/>
  <c r="F244" i="1"/>
  <c r="F267" i="1"/>
  <c r="F289" i="1"/>
  <c r="F309" i="1"/>
  <c r="F327" i="1"/>
  <c r="F344" i="1"/>
  <c r="F359" i="1"/>
  <c r="F377" i="1"/>
  <c r="F394" i="1"/>
  <c r="F409" i="1"/>
  <c r="F425" i="1"/>
  <c r="F438" i="1"/>
  <c r="F454" i="1"/>
  <c r="F467" i="1"/>
  <c r="F479" i="1"/>
  <c r="F493" i="1"/>
  <c r="F505" i="1"/>
  <c r="F517" i="1"/>
  <c r="F529" i="1"/>
  <c r="F543" i="1"/>
  <c r="F555" i="1"/>
  <c r="F567" i="1"/>
  <c r="F579" i="1"/>
  <c r="F593" i="1"/>
  <c r="F605" i="1"/>
  <c r="F616" i="1"/>
  <c r="F627" i="1"/>
  <c r="F638" i="1"/>
  <c r="F649" i="1"/>
  <c r="F661" i="1"/>
  <c r="F672" i="1"/>
  <c r="F683" i="1"/>
  <c r="F694" i="1"/>
  <c r="F705" i="1"/>
  <c r="F716" i="1"/>
  <c r="F727" i="1"/>
  <c r="F738" i="1"/>
  <c r="F749" i="1"/>
  <c r="F761" i="1"/>
  <c r="F772" i="1"/>
  <c r="F783" i="1"/>
  <c r="F794" i="1"/>
  <c r="F805" i="1"/>
  <c r="F816" i="1"/>
  <c r="F827" i="1"/>
  <c r="F838" i="1"/>
  <c r="F849" i="1"/>
  <c r="F861" i="1"/>
  <c r="F872" i="1"/>
  <c r="F883" i="1"/>
  <c r="F894" i="1"/>
  <c r="F905" i="1"/>
  <c r="F916" i="1"/>
  <c r="F927" i="1"/>
  <c r="F938" i="1"/>
  <c r="F949" i="1"/>
  <c r="F961" i="1"/>
  <c r="F972" i="1"/>
  <c r="F983" i="1"/>
  <c r="F994" i="1"/>
  <c r="F1005" i="1"/>
  <c r="F1016" i="1"/>
  <c r="F1027" i="1"/>
  <c r="F1037" i="1"/>
  <c r="F1047" i="1"/>
  <c r="F1057" i="1"/>
  <c r="F1067" i="1"/>
  <c r="F1077" i="1"/>
  <c r="F1087" i="1"/>
  <c r="F1097" i="1"/>
  <c r="F1107" i="1"/>
  <c r="F1117" i="1"/>
  <c r="F1127" i="1"/>
  <c r="F1137" i="1"/>
  <c r="F1147" i="1"/>
  <c r="F1157" i="1"/>
  <c r="F1167" i="1"/>
  <c r="F1177" i="1"/>
  <c r="F1187" i="1"/>
  <c r="F1197" i="1"/>
  <c r="F1207" i="1"/>
  <c r="F1217" i="1"/>
  <c r="F1227" i="1"/>
  <c r="F1237" i="1"/>
  <c r="F1247" i="1"/>
  <c r="F1257" i="1"/>
  <c r="F1267" i="1"/>
  <c r="F1277" i="1"/>
  <c r="F1287" i="1"/>
  <c r="F1297" i="1"/>
  <c r="F1307" i="1"/>
  <c r="F1317" i="1"/>
  <c r="F1327" i="1"/>
  <c r="F1337" i="1"/>
  <c r="F1347" i="1"/>
  <c r="F1357" i="1"/>
  <c r="F1367" i="1"/>
  <c r="F1377" i="1"/>
  <c r="F1387" i="1"/>
  <c r="F1397" i="1"/>
  <c r="F1407" i="1"/>
  <c r="F1417" i="1"/>
  <c r="F1427" i="1"/>
  <c r="F1437" i="1"/>
  <c r="F1447" i="1"/>
  <c r="F1457" i="1"/>
  <c r="F1467" i="1"/>
  <c r="F1477" i="1"/>
  <c r="F1487" i="1"/>
  <c r="F1497" i="1"/>
  <c r="F1507" i="1"/>
  <c r="F1517" i="1"/>
  <c r="F1527" i="1"/>
  <c r="F1537" i="1"/>
  <c r="F1547" i="1"/>
  <c r="F1557" i="1"/>
  <c r="F1567" i="1"/>
  <c r="F1577" i="1"/>
  <c r="F1587" i="1"/>
  <c r="F1597" i="1"/>
  <c r="F1607" i="1"/>
  <c r="F1617" i="1"/>
  <c r="F1627" i="1"/>
  <c r="F1637" i="1"/>
  <c r="F1647" i="1"/>
  <c r="F1657" i="1"/>
  <c r="F1667" i="1"/>
  <c r="F1677" i="1"/>
  <c r="F1687" i="1"/>
  <c r="F1697" i="1"/>
  <c r="F1707" i="1"/>
  <c r="F1717" i="1"/>
  <c r="F1727" i="1"/>
  <c r="F1737" i="1"/>
  <c r="F1747" i="1"/>
  <c r="F1757" i="1"/>
  <c r="F1767" i="1"/>
  <c r="F1777" i="1"/>
  <c r="F1787" i="1"/>
  <c r="F1797" i="1"/>
  <c r="E7" i="1"/>
  <c r="E17" i="1"/>
  <c r="E27" i="1"/>
  <c r="E37" i="1"/>
  <c r="E47" i="1"/>
  <c r="E57" i="1"/>
  <c r="E67" i="1"/>
  <c r="E77" i="1"/>
  <c r="E87" i="1"/>
  <c r="E97" i="1"/>
  <c r="E107" i="1"/>
  <c r="E117" i="1"/>
  <c r="E127" i="1"/>
  <c r="E137" i="1"/>
  <c r="E147" i="1"/>
  <c r="E157" i="1"/>
  <c r="E167" i="1"/>
  <c r="E177" i="1"/>
  <c r="E187" i="1"/>
  <c r="E197" i="1"/>
  <c r="E207" i="1"/>
  <c r="E217" i="1"/>
  <c r="E227" i="1"/>
  <c r="E237" i="1"/>
  <c r="E247" i="1"/>
  <c r="E257" i="1"/>
  <c r="E267" i="1"/>
  <c r="E277" i="1"/>
  <c r="E287" i="1"/>
  <c r="E297" i="1"/>
  <c r="E307" i="1"/>
  <c r="E317" i="1"/>
  <c r="E327" i="1"/>
  <c r="E337" i="1"/>
  <c r="E347" i="1"/>
  <c r="E357" i="1"/>
  <c r="E367" i="1"/>
  <c r="E377" i="1"/>
  <c r="E387" i="1"/>
  <c r="E397" i="1"/>
  <c r="E407" i="1"/>
  <c r="E417" i="1"/>
  <c r="E427" i="1"/>
  <c r="E437" i="1"/>
  <c r="E447" i="1"/>
  <c r="E457" i="1"/>
  <c r="E467" i="1"/>
  <c r="E477" i="1"/>
  <c r="E487" i="1"/>
  <c r="E497" i="1"/>
  <c r="E507" i="1"/>
  <c r="E517" i="1"/>
  <c r="E527" i="1"/>
  <c r="E537" i="1"/>
  <c r="E547" i="1"/>
  <c r="E557" i="1"/>
  <c r="E567" i="1"/>
  <c r="E577" i="1"/>
  <c r="E587" i="1"/>
  <c r="E597" i="1"/>
  <c r="E607" i="1"/>
  <c r="E617" i="1"/>
  <c r="F64" i="1"/>
  <c r="F115" i="1"/>
  <c r="F145" i="1"/>
  <c r="F168" i="1"/>
  <c r="F195" i="1"/>
  <c r="F218" i="1"/>
  <c r="F245" i="1"/>
  <c r="F268" i="1"/>
  <c r="F294" i="1"/>
  <c r="F311" i="1"/>
  <c r="F328" i="1"/>
  <c r="F345" i="1"/>
  <c r="F361" i="1"/>
  <c r="F378" i="1"/>
  <c r="F395" i="1"/>
  <c r="F411" i="1"/>
  <c r="F426" i="1"/>
  <c r="F439" i="1"/>
  <c r="F455" i="1"/>
  <c r="F468" i="1"/>
  <c r="F481" i="1"/>
  <c r="F494" i="1"/>
  <c r="F506" i="1"/>
  <c r="F518" i="1"/>
  <c r="F531" i="1"/>
  <c r="F544" i="1"/>
  <c r="F556" i="1"/>
  <c r="F568" i="1"/>
  <c r="F581" i="1"/>
  <c r="F594" i="1"/>
  <c r="F606" i="1"/>
  <c r="F617" i="1"/>
  <c r="F628" i="1"/>
  <c r="F639" i="1"/>
  <c r="F651" i="1"/>
  <c r="F662" i="1"/>
  <c r="F673" i="1"/>
  <c r="F684" i="1"/>
  <c r="F695" i="1"/>
  <c r="F706" i="1"/>
  <c r="F717" i="1"/>
  <c r="F728" i="1"/>
  <c r="F739" i="1"/>
  <c r="F751" i="1"/>
  <c r="F762" i="1"/>
  <c r="F773" i="1"/>
  <c r="F784" i="1"/>
  <c r="F795" i="1"/>
  <c r="F806" i="1"/>
  <c r="F817" i="1"/>
  <c r="F828" i="1"/>
  <c r="F839" i="1"/>
  <c r="F851" i="1"/>
  <c r="F862" i="1"/>
  <c r="F873" i="1"/>
  <c r="F884" i="1"/>
  <c r="F895" i="1"/>
  <c r="F906" i="1"/>
  <c r="F917" i="1"/>
  <c r="F928" i="1"/>
  <c r="F939" i="1"/>
  <c r="F951" i="1"/>
  <c r="F962" i="1"/>
  <c r="F973" i="1"/>
  <c r="F984" i="1"/>
  <c r="F995" i="1"/>
  <c r="F1006" i="1"/>
  <c r="F1017" i="1"/>
  <c r="F1028" i="1"/>
  <c r="F1038" i="1"/>
  <c r="F1048" i="1"/>
  <c r="F1058" i="1"/>
  <c r="F1068" i="1"/>
  <c r="F1078" i="1"/>
  <c r="F1088" i="1"/>
  <c r="F1098" i="1"/>
  <c r="F1108" i="1"/>
  <c r="F1118" i="1"/>
  <c r="F1128" i="1"/>
  <c r="F1138" i="1"/>
  <c r="F1148" i="1"/>
  <c r="F1158" i="1"/>
  <c r="F1168" i="1"/>
  <c r="F1178" i="1"/>
  <c r="F1188" i="1"/>
  <c r="F1198" i="1"/>
  <c r="F1208" i="1"/>
  <c r="F1218" i="1"/>
  <c r="F1228" i="1"/>
  <c r="F1238" i="1"/>
  <c r="F1248" i="1"/>
  <c r="F1258" i="1"/>
  <c r="F1268" i="1"/>
  <c r="F1278" i="1"/>
  <c r="F1288" i="1"/>
  <c r="F1298" i="1"/>
  <c r="F1308" i="1"/>
  <c r="F1318" i="1"/>
  <c r="F1328" i="1"/>
  <c r="F1338" i="1"/>
  <c r="F1348" i="1"/>
  <c r="F1358" i="1"/>
  <c r="F1368" i="1"/>
  <c r="F1378" i="1"/>
  <c r="F1388" i="1"/>
  <c r="F1398" i="1"/>
  <c r="F1408" i="1"/>
  <c r="F1418" i="1"/>
  <c r="F1428" i="1"/>
  <c r="F1438" i="1"/>
  <c r="F1448" i="1"/>
  <c r="F1458" i="1"/>
  <c r="F1468" i="1"/>
  <c r="F1478" i="1"/>
  <c r="F1488" i="1"/>
  <c r="F1498" i="1"/>
  <c r="F1508" i="1"/>
  <c r="F1518" i="1"/>
  <c r="F1528" i="1"/>
  <c r="F1538" i="1"/>
  <c r="F1548" i="1"/>
  <c r="F1558" i="1"/>
  <c r="F1568" i="1"/>
  <c r="F1578" i="1"/>
  <c r="F1588" i="1"/>
  <c r="F1598" i="1"/>
  <c r="F1608" i="1"/>
  <c r="F1618" i="1"/>
  <c r="F1628" i="1"/>
  <c r="F1638" i="1"/>
  <c r="F1648" i="1"/>
  <c r="F1658" i="1"/>
  <c r="F1668" i="1"/>
  <c r="F1678" i="1"/>
  <c r="F1688" i="1"/>
  <c r="F1698" i="1"/>
  <c r="F1708" i="1"/>
  <c r="F1718" i="1"/>
  <c r="F1728" i="1"/>
  <c r="F1738" i="1"/>
  <c r="F1748" i="1"/>
  <c r="F1758" i="1"/>
  <c r="F1768" i="1"/>
  <c r="F1778" i="1"/>
  <c r="F1788" i="1"/>
  <c r="F1798" i="1"/>
  <c r="E8" i="1"/>
  <c r="E18" i="1"/>
  <c r="E28" i="1"/>
  <c r="E38" i="1"/>
  <c r="E48" i="1"/>
  <c r="E58" i="1"/>
  <c r="E68" i="1"/>
  <c r="E78" i="1"/>
  <c r="E88" i="1"/>
  <c r="E98" i="1"/>
  <c r="E108" i="1"/>
  <c r="E118" i="1"/>
  <c r="E128" i="1"/>
  <c r="E138" i="1"/>
  <c r="E148" i="1"/>
  <c r="E158" i="1"/>
  <c r="E168" i="1"/>
  <c r="E178" i="1"/>
  <c r="E188" i="1"/>
  <c r="E198" i="1"/>
  <c r="E208" i="1"/>
  <c r="E218" i="1"/>
  <c r="E228" i="1"/>
  <c r="E238" i="1"/>
  <c r="E248" i="1"/>
  <c r="E258" i="1"/>
  <c r="E268" i="1"/>
  <c r="E278" i="1"/>
  <c r="E288" i="1"/>
  <c r="E298" i="1"/>
  <c r="E308" i="1"/>
  <c r="E318" i="1"/>
  <c r="E328" i="1"/>
  <c r="E338" i="1"/>
  <c r="E348" i="1"/>
  <c r="E358" i="1"/>
  <c r="E368" i="1"/>
  <c r="E378" i="1"/>
  <c r="E388" i="1"/>
  <c r="E398" i="1"/>
  <c r="E408" i="1"/>
  <c r="E418" i="1"/>
  <c r="E428" i="1"/>
  <c r="E438" i="1"/>
  <c r="E448" i="1"/>
  <c r="E458" i="1"/>
  <c r="E468" i="1"/>
  <c r="E478" i="1"/>
  <c r="E488" i="1"/>
  <c r="E498" i="1"/>
  <c r="E508" i="1"/>
  <c r="E518" i="1"/>
  <c r="E528" i="1"/>
  <c r="E538" i="1"/>
  <c r="E548" i="1"/>
  <c r="E558" i="1"/>
  <c r="E568" i="1"/>
  <c r="E578" i="1"/>
  <c r="E588" i="1"/>
  <c r="E598" i="1"/>
  <c r="E608" i="1"/>
  <c r="E618" i="1"/>
  <c r="E628" i="1"/>
  <c r="E638" i="1"/>
  <c r="E648" i="1"/>
  <c r="E658" i="1"/>
  <c r="E668" i="1"/>
  <c r="E678" i="1"/>
  <c r="E688" i="1"/>
  <c r="E698" i="1"/>
  <c r="E708" i="1"/>
  <c r="E718" i="1"/>
  <c r="F74" i="1"/>
  <c r="F118" i="1"/>
  <c r="F147" i="1"/>
  <c r="F174" i="1"/>
  <c r="F197" i="1"/>
  <c r="F224" i="1"/>
  <c r="F247" i="1"/>
  <c r="F274" i="1"/>
  <c r="F295" i="1"/>
  <c r="F314" i="1"/>
  <c r="F329" i="1"/>
  <c r="F347" i="1"/>
  <c r="F364" i="1"/>
  <c r="F379" i="1"/>
  <c r="F397" i="1"/>
  <c r="F414" i="1"/>
  <c r="F427" i="1"/>
  <c r="F441" i="1"/>
  <c r="F456" i="1"/>
  <c r="F469" i="1"/>
  <c r="F483" i="1"/>
  <c r="F495" i="1"/>
  <c r="F507" i="1"/>
  <c r="F519" i="1"/>
  <c r="F533" i="1"/>
  <c r="F545" i="1"/>
  <c r="F557" i="1"/>
  <c r="F569" i="1"/>
  <c r="F583" i="1"/>
  <c r="F595" i="1"/>
  <c r="F607" i="1"/>
  <c r="F618" i="1"/>
  <c r="F629" i="1"/>
  <c r="F641" i="1"/>
  <c r="F652" i="1"/>
  <c r="F663" i="1"/>
  <c r="F674" i="1"/>
  <c r="F685" i="1"/>
  <c r="F696" i="1"/>
  <c r="F707" i="1"/>
  <c r="F718" i="1"/>
  <c r="F729" i="1"/>
  <c r="F741" i="1"/>
  <c r="F752" i="1"/>
  <c r="F763" i="1"/>
  <c r="F774" i="1"/>
  <c r="F785" i="1"/>
  <c r="F796" i="1"/>
  <c r="F807" i="1"/>
  <c r="F818" i="1"/>
  <c r="F829" i="1"/>
  <c r="F841" i="1"/>
  <c r="F852" i="1"/>
  <c r="F863" i="1"/>
  <c r="F874" i="1"/>
  <c r="F885" i="1"/>
  <c r="F896" i="1"/>
  <c r="F907" i="1"/>
  <c r="F918" i="1"/>
  <c r="F929" i="1"/>
  <c r="F941" i="1"/>
  <c r="F952" i="1"/>
  <c r="F963" i="1"/>
  <c r="F974" i="1"/>
  <c r="F985" i="1"/>
  <c r="F996" i="1"/>
  <c r="F1007" i="1"/>
  <c r="F1018" i="1"/>
  <c r="F1029" i="1"/>
  <c r="F1039" i="1"/>
  <c r="F1049" i="1"/>
  <c r="F1059" i="1"/>
  <c r="F1069" i="1"/>
  <c r="F1079" i="1"/>
  <c r="F1089" i="1"/>
  <c r="F1099" i="1"/>
  <c r="F1109" i="1"/>
  <c r="F1119" i="1"/>
  <c r="F1129" i="1"/>
  <c r="F1139" i="1"/>
  <c r="F1149" i="1"/>
  <c r="F1159" i="1"/>
  <c r="F1169" i="1"/>
  <c r="F1179" i="1"/>
  <c r="F1189" i="1"/>
  <c r="F1199" i="1"/>
  <c r="F1209" i="1"/>
  <c r="F1219" i="1"/>
  <c r="F1229" i="1"/>
  <c r="F1239" i="1"/>
  <c r="F1249" i="1"/>
  <c r="F1259" i="1"/>
  <c r="F1269" i="1"/>
  <c r="F1279" i="1"/>
  <c r="F1289" i="1"/>
  <c r="F1299" i="1"/>
  <c r="F1309" i="1"/>
  <c r="F1319" i="1"/>
  <c r="F1329" i="1"/>
  <c r="F1339" i="1"/>
  <c r="F1349" i="1"/>
  <c r="F1359" i="1"/>
  <c r="F1369" i="1"/>
  <c r="F1379" i="1"/>
  <c r="F1389" i="1"/>
  <c r="F1399" i="1"/>
  <c r="F1409" i="1"/>
  <c r="F1419" i="1"/>
  <c r="F1429" i="1"/>
  <c r="F1439" i="1"/>
  <c r="F1449" i="1"/>
  <c r="F1459" i="1"/>
  <c r="F1469" i="1"/>
  <c r="F1479" i="1"/>
  <c r="F1489" i="1"/>
  <c r="F1499" i="1"/>
  <c r="F1509" i="1"/>
  <c r="F1519" i="1"/>
  <c r="F1529" i="1"/>
  <c r="F1539" i="1"/>
  <c r="F1549" i="1"/>
  <c r="F1559" i="1"/>
  <c r="F1569" i="1"/>
  <c r="F1579" i="1"/>
  <c r="F1589" i="1"/>
  <c r="F1599" i="1"/>
  <c r="F1609" i="1"/>
  <c r="F1619" i="1"/>
  <c r="F1629" i="1"/>
  <c r="F1639" i="1"/>
  <c r="F1649" i="1"/>
  <c r="F1659" i="1"/>
  <c r="F1669" i="1"/>
  <c r="F1679" i="1"/>
  <c r="F1689" i="1"/>
  <c r="F1699" i="1"/>
  <c r="F1709" i="1"/>
  <c r="F1719" i="1"/>
  <c r="F1729" i="1"/>
  <c r="F1739" i="1"/>
  <c r="F1749" i="1"/>
  <c r="F1759" i="1"/>
  <c r="F1769" i="1"/>
  <c r="F1779" i="1"/>
  <c r="F1789" i="1"/>
  <c r="F1799" i="1"/>
  <c r="E9" i="1"/>
  <c r="E19" i="1"/>
  <c r="E29" i="1"/>
  <c r="E39" i="1"/>
  <c r="E49" i="1"/>
  <c r="E59" i="1"/>
  <c r="E69" i="1"/>
  <c r="E79" i="1"/>
  <c r="E89" i="1"/>
  <c r="E99" i="1"/>
  <c r="E109" i="1"/>
  <c r="E119" i="1"/>
  <c r="E129" i="1"/>
  <c r="E139" i="1"/>
  <c r="E149" i="1"/>
  <c r="E159" i="1"/>
  <c r="E169" i="1"/>
  <c r="E179" i="1"/>
  <c r="E189" i="1"/>
  <c r="E199" i="1"/>
  <c r="E209" i="1"/>
  <c r="E219" i="1"/>
  <c r="E229" i="1"/>
  <c r="E239" i="1"/>
  <c r="E249" i="1"/>
  <c r="E259" i="1"/>
  <c r="E269" i="1"/>
  <c r="E279" i="1"/>
  <c r="E289" i="1"/>
  <c r="E299" i="1"/>
  <c r="E309" i="1"/>
  <c r="F84" i="1"/>
  <c r="F124" i="1"/>
  <c r="F148" i="1"/>
  <c r="F175" i="1"/>
  <c r="F198" i="1"/>
  <c r="F225" i="1"/>
  <c r="F248" i="1"/>
  <c r="F275" i="1"/>
  <c r="F297" i="1"/>
  <c r="F315" i="1"/>
  <c r="F331" i="1"/>
  <c r="F348" i="1"/>
  <c r="F365" i="1"/>
  <c r="F381" i="1"/>
  <c r="F398" i="1"/>
  <c r="F415" i="1"/>
  <c r="F428" i="1"/>
  <c r="F444" i="1"/>
  <c r="F457" i="1"/>
  <c r="F471" i="1"/>
  <c r="F484" i="1"/>
  <c r="F496" i="1"/>
  <c r="F508" i="1"/>
  <c r="F521" i="1"/>
  <c r="F534" i="1"/>
  <c r="F546" i="1"/>
  <c r="F558" i="1"/>
  <c r="F571" i="1"/>
  <c r="F584" i="1"/>
  <c r="F596" i="1"/>
  <c r="F608" i="1"/>
  <c r="F619" i="1"/>
  <c r="F631" i="1"/>
  <c r="F642" i="1"/>
  <c r="F653" i="1"/>
  <c r="F664" i="1"/>
  <c r="F675" i="1"/>
  <c r="F686" i="1"/>
  <c r="F697" i="1"/>
  <c r="F708" i="1"/>
  <c r="F719" i="1"/>
  <c r="F731" i="1"/>
  <c r="F742" i="1"/>
  <c r="F753" i="1"/>
  <c r="F764" i="1"/>
  <c r="F775" i="1"/>
  <c r="F786" i="1"/>
  <c r="F797" i="1"/>
  <c r="F808" i="1"/>
  <c r="F819" i="1"/>
  <c r="F831" i="1"/>
  <c r="F842" i="1"/>
  <c r="F853" i="1"/>
  <c r="F864" i="1"/>
  <c r="F875" i="1"/>
  <c r="F886" i="1"/>
  <c r="F897" i="1"/>
  <c r="F908" i="1"/>
  <c r="F919" i="1"/>
  <c r="F931" i="1"/>
  <c r="F942" i="1"/>
  <c r="F953" i="1"/>
  <c r="F964" i="1"/>
  <c r="F975" i="1"/>
  <c r="F986" i="1"/>
  <c r="F997" i="1"/>
  <c r="F1008" i="1"/>
  <c r="F1019" i="1"/>
  <c r="F1030" i="1"/>
  <c r="F1040" i="1"/>
  <c r="F1050" i="1"/>
  <c r="F1060" i="1"/>
  <c r="F1070" i="1"/>
  <c r="F1080" i="1"/>
  <c r="F1090" i="1"/>
  <c r="F1100" i="1"/>
  <c r="F1110" i="1"/>
  <c r="F1120" i="1"/>
  <c r="F1130" i="1"/>
  <c r="F1140" i="1"/>
  <c r="F1150" i="1"/>
  <c r="F1160" i="1"/>
  <c r="F1170" i="1"/>
  <c r="F1180" i="1"/>
  <c r="F1190" i="1"/>
  <c r="F1200" i="1"/>
  <c r="F1210" i="1"/>
  <c r="F1220" i="1"/>
  <c r="F1230" i="1"/>
  <c r="F1240" i="1"/>
  <c r="F1250" i="1"/>
  <c r="F1260" i="1"/>
  <c r="F1270" i="1"/>
  <c r="F1280" i="1"/>
  <c r="F1290" i="1"/>
  <c r="F1300" i="1"/>
  <c r="F1310" i="1"/>
  <c r="F1320" i="1"/>
  <c r="F1330" i="1"/>
  <c r="F1340" i="1"/>
  <c r="F1350" i="1"/>
  <c r="F1360" i="1"/>
  <c r="F1370" i="1"/>
  <c r="F1380" i="1"/>
  <c r="F1390" i="1"/>
  <c r="F1400" i="1"/>
  <c r="F1410" i="1"/>
  <c r="F1420" i="1"/>
  <c r="F1430" i="1"/>
  <c r="F1440" i="1"/>
  <c r="F1450" i="1"/>
  <c r="F1460" i="1"/>
  <c r="F1470" i="1"/>
  <c r="F1480" i="1"/>
  <c r="F1490" i="1"/>
  <c r="F1500" i="1"/>
  <c r="F1510" i="1"/>
  <c r="F1520" i="1"/>
  <c r="F1530" i="1"/>
  <c r="F1540" i="1"/>
  <c r="F1550" i="1"/>
  <c r="F1560" i="1"/>
  <c r="F1570" i="1"/>
  <c r="F1580" i="1"/>
  <c r="F1590" i="1"/>
  <c r="F1600" i="1"/>
  <c r="F1610" i="1"/>
  <c r="F1620" i="1"/>
  <c r="F1630" i="1"/>
  <c r="F1640" i="1"/>
  <c r="F1650" i="1"/>
  <c r="F1660" i="1"/>
  <c r="F1670" i="1"/>
  <c r="F1680" i="1"/>
  <c r="F1690" i="1"/>
  <c r="F1700" i="1"/>
  <c r="F1710" i="1"/>
  <c r="F1720" i="1"/>
  <c r="F1730" i="1"/>
  <c r="F1740" i="1"/>
  <c r="F1750" i="1"/>
  <c r="F1760" i="1"/>
  <c r="F1770" i="1"/>
  <c r="F1780" i="1"/>
  <c r="F1790" i="1"/>
  <c r="F1800" i="1"/>
  <c r="E10" i="1"/>
  <c r="E20" i="1"/>
  <c r="E30" i="1"/>
  <c r="E40" i="1"/>
  <c r="E50" i="1"/>
  <c r="E60" i="1"/>
  <c r="E70" i="1"/>
  <c r="E80" i="1"/>
  <c r="E90" i="1"/>
  <c r="E100" i="1"/>
  <c r="E110" i="1"/>
  <c r="E120" i="1"/>
  <c r="E130" i="1"/>
  <c r="E140" i="1"/>
  <c r="E150" i="1"/>
  <c r="E160" i="1"/>
  <c r="E170" i="1"/>
  <c r="E180" i="1"/>
  <c r="E190" i="1"/>
  <c r="E200" i="1"/>
  <c r="E210" i="1"/>
  <c r="E220" i="1"/>
  <c r="E230" i="1"/>
  <c r="E240" i="1"/>
  <c r="E250" i="1"/>
  <c r="E260" i="1"/>
  <c r="E270" i="1"/>
  <c r="E280" i="1"/>
  <c r="E290" i="1"/>
  <c r="E300" i="1"/>
  <c r="E310" i="1"/>
  <c r="E320" i="1"/>
  <c r="E330" i="1"/>
  <c r="E340" i="1"/>
  <c r="E350" i="1"/>
  <c r="E360" i="1"/>
  <c r="E370" i="1"/>
  <c r="E380" i="1"/>
  <c r="E390" i="1"/>
  <c r="E400" i="1"/>
  <c r="E410" i="1"/>
  <c r="E420" i="1"/>
  <c r="E430" i="1"/>
  <c r="E440" i="1"/>
  <c r="E450" i="1"/>
  <c r="E460" i="1"/>
  <c r="E470" i="1"/>
  <c r="E480" i="1"/>
  <c r="E490" i="1"/>
  <c r="E500" i="1"/>
  <c r="E510" i="1"/>
  <c r="E520" i="1"/>
  <c r="E530" i="1"/>
  <c r="E540" i="1"/>
  <c r="E550" i="1"/>
  <c r="E560" i="1"/>
  <c r="E570" i="1"/>
  <c r="E580" i="1"/>
  <c r="E590" i="1"/>
  <c r="E600" i="1"/>
  <c r="E610" i="1"/>
  <c r="E620" i="1"/>
  <c r="E630" i="1"/>
  <c r="E640" i="1"/>
  <c r="E650" i="1"/>
  <c r="E660" i="1"/>
  <c r="E670" i="1"/>
  <c r="E680" i="1"/>
  <c r="F85" i="1"/>
  <c r="F125" i="1"/>
  <c r="F154" i="1"/>
  <c r="F177" i="1"/>
  <c r="F204" i="1"/>
  <c r="F227" i="1"/>
  <c r="F254" i="1"/>
  <c r="F277" i="1"/>
  <c r="F298" i="1"/>
  <c r="F317" i="1"/>
  <c r="F334" i="1"/>
  <c r="F349" i="1"/>
  <c r="F367" i="1"/>
  <c r="F384" i="1"/>
  <c r="F399" i="1"/>
  <c r="F416" i="1"/>
  <c r="F429" i="1"/>
  <c r="F445" i="1"/>
  <c r="F458" i="1"/>
  <c r="F473" i="1"/>
  <c r="F485" i="1"/>
  <c r="F497" i="1"/>
  <c r="F509" i="1"/>
  <c r="F523" i="1"/>
  <c r="F535" i="1"/>
  <c r="F547" i="1"/>
  <c r="F559" i="1"/>
  <c r="F573" i="1"/>
  <c r="F585" i="1"/>
  <c r="F597" i="1"/>
  <c r="F609" i="1"/>
  <c r="F621" i="1"/>
  <c r="F632" i="1"/>
  <c r="F643" i="1"/>
  <c r="F654" i="1"/>
  <c r="F665" i="1"/>
  <c r="F676" i="1"/>
  <c r="F687" i="1"/>
  <c r="F698" i="1"/>
  <c r="F709" i="1"/>
  <c r="F721" i="1"/>
  <c r="F732" i="1"/>
  <c r="F743" i="1"/>
  <c r="F754" i="1"/>
  <c r="F765" i="1"/>
  <c r="F776" i="1"/>
  <c r="F787" i="1"/>
  <c r="F798" i="1"/>
  <c r="F809" i="1"/>
  <c r="F821" i="1"/>
  <c r="F832" i="1"/>
  <c r="F843" i="1"/>
  <c r="F854" i="1"/>
  <c r="F865" i="1"/>
  <c r="F876" i="1"/>
  <c r="F887" i="1"/>
  <c r="F898" i="1"/>
  <c r="F909" i="1"/>
  <c r="F921" i="1"/>
  <c r="F932" i="1"/>
  <c r="F943" i="1"/>
  <c r="F954" i="1"/>
  <c r="F965" i="1"/>
  <c r="F976" i="1"/>
  <c r="F987" i="1"/>
  <c r="F998" i="1"/>
  <c r="F1009" i="1"/>
  <c r="F1021" i="1"/>
  <c r="F1031" i="1"/>
  <c r="F1041" i="1"/>
  <c r="F1051" i="1"/>
  <c r="F1061" i="1"/>
  <c r="F1071" i="1"/>
  <c r="F1081" i="1"/>
  <c r="F1091" i="1"/>
  <c r="F1101" i="1"/>
  <c r="F1111" i="1"/>
  <c r="F1121" i="1"/>
  <c r="F1131" i="1"/>
  <c r="F1141" i="1"/>
  <c r="F1151" i="1"/>
  <c r="F1161" i="1"/>
  <c r="F1171" i="1"/>
  <c r="F1181" i="1"/>
  <c r="F1191" i="1"/>
  <c r="F1201" i="1"/>
  <c r="F1211" i="1"/>
  <c r="F1221" i="1"/>
  <c r="F1231" i="1"/>
  <c r="F1241" i="1"/>
  <c r="F1251" i="1"/>
  <c r="F1261" i="1"/>
  <c r="F1271" i="1"/>
  <c r="F1281" i="1"/>
  <c r="F1291" i="1"/>
  <c r="F1301" i="1"/>
  <c r="F1311" i="1"/>
  <c r="F1321" i="1"/>
  <c r="F1331" i="1"/>
  <c r="F1341" i="1"/>
  <c r="F1351" i="1"/>
  <c r="F1361" i="1"/>
  <c r="F1371" i="1"/>
  <c r="F1381" i="1"/>
  <c r="F1391" i="1"/>
  <c r="F1401" i="1"/>
  <c r="F1411" i="1"/>
  <c r="F1421" i="1"/>
  <c r="F1431" i="1"/>
  <c r="F1441" i="1"/>
  <c r="F1451" i="1"/>
  <c r="F1461" i="1"/>
  <c r="F1471" i="1"/>
  <c r="F1481" i="1"/>
  <c r="F1491" i="1"/>
  <c r="F1501" i="1"/>
  <c r="F1511" i="1"/>
  <c r="F1521" i="1"/>
  <c r="F1531" i="1"/>
  <c r="F1541" i="1"/>
  <c r="F1551" i="1"/>
  <c r="F1561" i="1"/>
  <c r="F1571" i="1"/>
  <c r="F1581" i="1"/>
  <c r="F1591" i="1"/>
  <c r="F1601" i="1"/>
  <c r="F1611" i="1"/>
  <c r="F1621" i="1"/>
  <c r="F1631" i="1"/>
  <c r="F1641" i="1"/>
  <c r="F1651" i="1"/>
  <c r="F1661" i="1"/>
  <c r="F1671" i="1"/>
  <c r="F1681" i="1"/>
  <c r="F1691" i="1"/>
  <c r="F1701" i="1"/>
  <c r="F1711" i="1"/>
  <c r="F1721" i="1"/>
  <c r="F1731" i="1"/>
  <c r="F1741" i="1"/>
  <c r="F1751" i="1"/>
  <c r="F1761" i="1"/>
  <c r="F1771" i="1"/>
  <c r="F1781" i="1"/>
  <c r="F1791" i="1"/>
  <c r="F1801" i="1"/>
  <c r="E11" i="1"/>
  <c r="E21" i="1"/>
  <c r="E31" i="1"/>
  <c r="E41" i="1"/>
  <c r="E51" i="1"/>
  <c r="E61" i="1"/>
  <c r="E71" i="1"/>
  <c r="E81" i="1"/>
  <c r="E91" i="1"/>
  <c r="E101" i="1"/>
  <c r="E111" i="1"/>
  <c r="E121" i="1"/>
  <c r="E131" i="1"/>
  <c r="E141" i="1"/>
  <c r="E151" i="1"/>
  <c r="E161" i="1"/>
  <c r="E171" i="1"/>
  <c r="E181" i="1"/>
  <c r="E191" i="1"/>
  <c r="E201" i="1"/>
  <c r="E211" i="1"/>
  <c r="E221" i="1"/>
  <c r="E231" i="1"/>
  <c r="E241" i="1"/>
  <c r="E251" i="1"/>
  <c r="E261" i="1"/>
  <c r="E271" i="1"/>
  <c r="E281" i="1"/>
  <c r="E291" i="1"/>
  <c r="E301" i="1"/>
  <c r="E311" i="1"/>
  <c r="E321" i="1"/>
  <c r="E331" i="1"/>
  <c r="E341" i="1"/>
  <c r="E351" i="1"/>
  <c r="E361" i="1"/>
  <c r="E371" i="1"/>
  <c r="E381" i="1"/>
  <c r="E391" i="1"/>
  <c r="E401" i="1"/>
  <c r="E411" i="1"/>
  <c r="E421" i="1"/>
  <c r="E431" i="1"/>
  <c r="E441" i="1"/>
  <c r="E451" i="1"/>
  <c r="E461" i="1"/>
  <c r="E471" i="1"/>
  <c r="E481" i="1"/>
  <c r="E491" i="1"/>
  <c r="E501" i="1"/>
  <c r="E511" i="1"/>
  <c r="E521" i="1"/>
  <c r="E531" i="1"/>
  <c r="E541" i="1"/>
  <c r="E551" i="1"/>
  <c r="E561" i="1"/>
  <c r="E571" i="1"/>
  <c r="E581" i="1"/>
  <c r="E591" i="1"/>
  <c r="E601" i="1"/>
  <c r="E611" i="1"/>
  <c r="E621" i="1"/>
  <c r="E631" i="1"/>
  <c r="E641" i="1"/>
  <c r="E651" i="1"/>
  <c r="E661" i="1"/>
  <c r="E671" i="1"/>
  <c r="E681" i="1"/>
  <c r="E691" i="1"/>
  <c r="E701" i="1"/>
  <c r="E711" i="1"/>
  <c r="E721" i="1"/>
  <c r="E731" i="1"/>
  <c r="E741" i="1"/>
  <c r="E751" i="1"/>
  <c r="E761" i="1"/>
  <c r="E771" i="1"/>
  <c r="E781" i="1"/>
  <c r="E791" i="1"/>
  <c r="E801" i="1"/>
  <c r="F94" i="1"/>
  <c r="F128" i="1"/>
  <c r="F155" i="1"/>
  <c r="F178" i="1"/>
  <c r="F205" i="1"/>
  <c r="F228" i="1"/>
  <c r="F255" i="1"/>
  <c r="F278" i="1"/>
  <c r="F299" i="1"/>
  <c r="F318" i="1"/>
  <c r="F335" i="1"/>
  <c r="F351" i="1"/>
  <c r="F368" i="1"/>
  <c r="F385" i="1"/>
  <c r="F401" i="1"/>
  <c r="F417" i="1"/>
  <c r="F431" i="1"/>
  <c r="F446" i="1"/>
  <c r="F459" i="1"/>
  <c r="F474" i="1"/>
  <c r="F486" i="1"/>
  <c r="F498" i="1"/>
  <c r="F511" i="1"/>
  <c r="F524" i="1"/>
  <c r="F536" i="1"/>
  <c r="F548" i="1"/>
  <c r="F561" i="1"/>
  <c r="F574" i="1"/>
  <c r="F586" i="1"/>
  <c r="F598" i="1"/>
  <c r="F611" i="1"/>
  <c r="F622" i="1"/>
  <c r="F633" i="1"/>
  <c r="F644" i="1"/>
  <c r="F655" i="1"/>
  <c r="F666" i="1"/>
  <c r="F677" i="1"/>
  <c r="F688" i="1"/>
  <c r="F699" i="1"/>
  <c r="F711" i="1"/>
  <c r="F722" i="1"/>
  <c r="F733" i="1"/>
  <c r="F744" i="1"/>
  <c r="F755" i="1"/>
  <c r="F766" i="1"/>
  <c r="F777" i="1"/>
  <c r="F788" i="1"/>
  <c r="F799" i="1"/>
  <c r="F811" i="1"/>
  <c r="F822" i="1"/>
  <c r="F833" i="1"/>
  <c r="F844" i="1"/>
  <c r="F855" i="1"/>
  <c r="F866" i="1"/>
  <c r="F877" i="1"/>
  <c r="F888" i="1"/>
  <c r="F899" i="1"/>
  <c r="F911" i="1"/>
  <c r="F922" i="1"/>
  <c r="F933" i="1"/>
  <c r="F944" i="1"/>
  <c r="F955" i="1"/>
  <c r="F966" i="1"/>
  <c r="F977" i="1"/>
  <c r="F988" i="1"/>
  <c r="F999" i="1"/>
  <c r="F1011" i="1"/>
  <c r="F1022" i="1"/>
  <c r="F1032" i="1"/>
  <c r="F1042" i="1"/>
  <c r="F1052" i="1"/>
  <c r="F1062" i="1"/>
  <c r="F1072" i="1"/>
  <c r="F1082" i="1"/>
  <c r="F1092" i="1"/>
  <c r="F1102" i="1"/>
  <c r="F1112" i="1"/>
  <c r="F1122" i="1"/>
  <c r="F1132" i="1"/>
  <c r="F1142" i="1"/>
  <c r="F1152" i="1"/>
  <c r="F1162" i="1"/>
  <c r="F1172" i="1"/>
  <c r="F1182" i="1"/>
  <c r="F1192" i="1"/>
  <c r="F1202" i="1"/>
  <c r="F1212" i="1"/>
  <c r="F1222" i="1"/>
  <c r="F1232" i="1"/>
  <c r="F1242" i="1"/>
  <c r="F1252" i="1"/>
  <c r="F1262" i="1"/>
  <c r="F1272" i="1"/>
  <c r="F1282" i="1"/>
  <c r="F1292" i="1"/>
  <c r="F1302" i="1"/>
  <c r="F1312" i="1"/>
  <c r="F1322" i="1"/>
  <c r="F1332" i="1"/>
  <c r="F1342" i="1"/>
  <c r="F1352" i="1"/>
  <c r="F1362" i="1"/>
  <c r="F1372" i="1"/>
  <c r="F1382" i="1"/>
  <c r="F1392" i="1"/>
  <c r="F1402" i="1"/>
  <c r="F1412" i="1"/>
  <c r="F1422" i="1"/>
  <c r="F1432" i="1"/>
  <c r="F1442" i="1"/>
  <c r="F1452" i="1"/>
  <c r="F1462" i="1"/>
  <c r="F1472" i="1"/>
  <c r="F1482" i="1"/>
  <c r="F1492" i="1"/>
  <c r="F1502" i="1"/>
  <c r="F1512" i="1"/>
  <c r="F1522" i="1"/>
  <c r="F1532" i="1"/>
  <c r="F1542" i="1"/>
  <c r="F1552" i="1"/>
  <c r="F1562" i="1"/>
  <c r="F1572" i="1"/>
  <c r="F1582" i="1"/>
  <c r="F1592" i="1"/>
  <c r="F1602" i="1"/>
  <c r="F1612" i="1"/>
  <c r="F1622" i="1"/>
  <c r="F1632" i="1"/>
  <c r="F1642" i="1"/>
  <c r="F1652" i="1"/>
  <c r="F1662" i="1"/>
  <c r="F1672" i="1"/>
  <c r="F1682" i="1"/>
  <c r="F1692" i="1"/>
  <c r="F1702" i="1"/>
  <c r="F1712" i="1"/>
  <c r="F1722" i="1"/>
  <c r="F1732" i="1"/>
  <c r="F1742" i="1"/>
  <c r="F1752" i="1"/>
  <c r="F1762" i="1"/>
  <c r="F1772" i="1"/>
  <c r="F1782" i="1"/>
  <c r="F1792" i="1"/>
  <c r="F1802" i="1"/>
  <c r="E12" i="1"/>
  <c r="E22" i="1"/>
  <c r="E32" i="1"/>
  <c r="E42" i="1"/>
  <c r="E52" i="1"/>
  <c r="E62" i="1"/>
  <c r="E72" i="1"/>
  <c r="E82" i="1"/>
  <c r="E92" i="1"/>
  <c r="E102" i="1"/>
  <c r="E112" i="1"/>
  <c r="E122" i="1"/>
  <c r="E132" i="1"/>
  <c r="E142" i="1"/>
  <c r="E152" i="1"/>
  <c r="E162" i="1"/>
  <c r="E172" i="1"/>
  <c r="E182" i="1"/>
  <c r="E192" i="1"/>
  <c r="E202" i="1"/>
  <c r="E212" i="1"/>
  <c r="E222" i="1"/>
  <c r="E232" i="1"/>
  <c r="E242" i="1"/>
  <c r="E252" i="1"/>
  <c r="E262" i="1"/>
  <c r="E272" i="1"/>
  <c r="E282" i="1"/>
  <c r="E292" i="1"/>
  <c r="E302" i="1"/>
  <c r="E312" i="1"/>
  <c r="E322" i="1"/>
  <c r="E332" i="1"/>
  <c r="E342" i="1"/>
  <c r="E352" i="1"/>
  <c r="E362" i="1"/>
  <c r="E372" i="1"/>
  <c r="E382" i="1"/>
  <c r="E392" i="1"/>
  <c r="E402" i="1"/>
  <c r="E412" i="1"/>
  <c r="E422" i="1"/>
  <c r="E432" i="1"/>
  <c r="E442" i="1"/>
  <c r="E452" i="1"/>
  <c r="E462" i="1"/>
  <c r="E472" i="1"/>
  <c r="E482" i="1"/>
  <c r="E492" i="1"/>
  <c r="E502" i="1"/>
  <c r="E512" i="1"/>
  <c r="E522" i="1"/>
  <c r="E532" i="1"/>
  <c r="E542" i="1"/>
  <c r="E552" i="1"/>
  <c r="E562" i="1"/>
  <c r="E572" i="1"/>
  <c r="E582" i="1"/>
  <c r="E592" i="1"/>
  <c r="E602" i="1"/>
  <c r="E612" i="1"/>
  <c r="E622" i="1"/>
  <c r="E632" i="1"/>
  <c r="E642" i="1"/>
  <c r="E652" i="1"/>
  <c r="E662" i="1"/>
  <c r="E672" i="1"/>
  <c r="E682" i="1"/>
  <c r="E692" i="1"/>
  <c r="E702" i="1"/>
  <c r="E712" i="1"/>
  <c r="E722" i="1"/>
  <c r="E732" i="1"/>
  <c r="E742" i="1"/>
  <c r="E752" i="1"/>
  <c r="E762" i="1"/>
  <c r="E772" i="1"/>
  <c r="E782" i="1"/>
  <c r="E792" i="1"/>
  <c r="E802" i="1"/>
  <c r="E812" i="1"/>
  <c r="E822" i="1"/>
  <c r="E832" i="1"/>
  <c r="E842" i="1"/>
  <c r="E852" i="1"/>
  <c r="E862" i="1"/>
  <c r="E872" i="1"/>
  <c r="E882" i="1"/>
  <c r="E892" i="1"/>
  <c r="E902" i="1"/>
  <c r="E912" i="1"/>
  <c r="E922" i="1"/>
  <c r="E932" i="1"/>
  <c r="E942" i="1"/>
  <c r="E952" i="1"/>
  <c r="E962" i="1"/>
  <c r="E972" i="1"/>
  <c r="E982" i="1"/>
  <c r="E992" i="1"/>
  <c r="E1002" i="1"/>
  <c r="E1012" i="1"/>
  <c r="E1022" i="1"/>
  <c r="E1032" i="1"/>
  <c r="E1042" i="1"/>
  <c r="E1052" i="1"/>
  <c r="E1062" i="1"/>
  <c r="E1072" i="1"/>
  <c r="E1082" i="1"/>
  <c r="E1092" i="1"/>
  <c r="F95" i="1"/>
  <c r="F134" i="1"/>
  <c r="F157" i="1"/>
  <c r="F184" i="1"/>
  <c r="F207" i="1"/>
  <c r="F234" i="1"/>
  <c r="F257" i="1"/>
  <c r="F284" i="1"/>
  <c r="F304" i="1"/>
  <c r="F319" i="1"/>
  <c r="F337" i="1"/>
  <c r="F354" i="1"/>
  <c r="F369" i="1"/>
  <c r="F387" i="1"/>
  <c r="F404" i="1"/>
  <c r="F418" i="1"/>
  <c r="F434" i="1"/>
  <c r="F447" i="1"/>
  <c r="F461" i="1"/>
  <c r="F475" i="1"/>
  <c r="F487" i="1"/>
  <c r="F499" i="1"/>
  <c r="F513" i="1"/>
  <c r="F525" i="1"/>
  <c r="F537" i="1"/>
  <c r="F549" i="1"/>
  <c r="F563" i="1"/>
  <c r="F575" i="1"/>
  <c r="F587" i="1"/>
  <c r="F599" i="1"/>
  <c r="F612" i="1"/>
  <c r="F623" i="1"/>
  <c r="F634" i="1"/>
  <c r="F645" i="1"/>
  <c r="F656" i="1"/>
  <c r="F667" i="1"/>
  <c r="F678" i="1"/>
  <c r="F689" i="1"/>
  <c r="F701" i="1"/>
  <c r="F712" i="1"/>
  <c r="F723" i="1"/>
  <c r="F734" i="1"/>
  <c r="F745" i="1"/>
  <c r="F756" i="1"/>
  <c r="F767" i="1"/>
  <c r="F778" i="1"/>
  <c r="F789" i="1"/>
  <c r="F801" i="1"/>
  <c r="F812" i="1"/>
  <c r="F823" i="1"/>
  <c r="F834" i="1"/>
  <c r="F845" i="1"/>
  <c r="F856" i="1"/>
  <c r="F867" i="1"/>
  <c r="F878" i="1"/>
  <c r="F889" i="1"/>
  <c r="F901" i="1"/>
  <c r="F912" i="1"/>
  <c r="F923" i="1"/>
  <c r="F934" i="1"/>
  <c r="F945" i="1"/>
  <c r="F956" i="1"/>
  <c r="F967" i="1"/>
  <c r="F978" i="1"/>
  <c r="F989" i="1"/>
  <c r="F1001" i="1"/>
  <c r="F1012" i="1"/>
  <c r="F1023" i="1"/>
  <c r="F1033" i="1"/>
  <c r="F1043" i="1"/>
  <c r="F1053" i="1"/>
  <c r="F1063" i="1"/>
  <c r="F1073" i="1"/>
  <c r="F1083" i="1"/>
  <c r="F1093" i="1"/>
  <c r="F1103" i="1"/>
  <c r="F1113" i="1"/>
  <c r="F1123" i="1"/>
  <c r="F1133" i="1"/>
  <c r="F1143" i="1"/>
  <c r="F1153" i="1"/>
  <c r="F1163" i="1"/>
  <c r="F1173" i="1"/>
  <c r="F1183" i="1"/>
  <c r="F1193" i="1"/>
  <c r="F1203" i="1"/>
  <c r="F1213" i="1"/>
  <c r="F1223" i="1"/>
  <c r="F1233" i="1"/>
  <c r="F1243" i="1"/>
  <c r="F1253" i="1"/>
  <c r="F1263" i="1"/>
  <c r="F1273" i="1"/>
  <c r="F1283" i="1"/>
  <c r="F1293" i="1"/>
  <c r="F1303" i="1"/>
  <c r="F1313" i="1"/>
  <c r="F1323" i="1"/>
  <c r="F1333" i="1"/>
  <c r="F1343" i="1"/>
  <c r="F1353" i="1"/>
  <c r="F1363" i="1"/>
  <c r="F1373" i="1"/>
  <c r="F1383" i="1"/>
  <c r="F1393" i="1"/>
  <c r="F1403" i="1"/>
  <c r="F1413" i="1"/>
  <c r="F1423" i="1"/>
  <c r="F1433" i="1"/>
  <c r="F1443" i="1"/>
  <c r="F1453" i="1"/>
  <c r="F1463" i="1"/>
  <c r="F1473" i="1"/>
  <c r="F1483" i="1"/>
  <c r="F1493" i="1"/>
  <c r="F1503" i="1"/>
  <c r="F1513" i="1"/>
  <c r="F1523" i="1"/>
  <c r="F1533" i="1"/>
  <c r="F1543" i="1"/>
  <c r="F1553" i="1"/>
  <c r="F1563" i="1"/>
  <c r="F1573" i="1"/>
  <c r="F1583" i="1"/>
  <c r="F1593" i="1"/>
  <c r="F1603" i="1"/>
  <c r="F1613" i="1"/>
  <c r="F1623" i="1"/>
  <c r="F1633" i="1"/>
  <c r="F1643" i="1"/>
  <c r="F1653" i="1"/>
  <c r="F1663" i="1"/>
  <c r="F1673" i="1"/>
  <c r="F1683" i="1"/>
  <c r="F1693" i="1"/>
  <c r="F1703" i="1"/>
  <c r="F1713" i="1"/>
  <c r="F1723" i="1"/>
  <c r="F1733" i="1"/>
  <c r="F1743" i="1"/>
  <c r="F1753" i="1"/>
  <c r="F1763" i="1"/>
  <c r="F1773" i="1"/>
  <c r="F1783" i="1"/>
  <c r="F1793" i="1"/>
  <c r="E3" i="1"/>
  <c r="E13" i="1"/>
  <c r="E23" i="1"/>
  <c r="E33" i="1"/>
  <c r="E43" i="1"/>
  <c r="E53" i="1"/>
  <c r="E63" i="1"/>
  <c r="E73" i="1"/>
  <c r="E83" i="1"/>
  <c r="E93" i="1"/>
  <c r="E103" i="1"/>
  <c r="E113" i="1"/>
  <c r="E123" i="1"/>
  <c r="E133" i="1"/>
  <c r="E143" i="1"/>
  <c r="E153" i="1"/>
  <c r="E163" i="1"/>
  <c r="E173" i="1"/>
  <c r="E183" i="1"/>
  <c r="E193" i="1"/>
  <c r="E203" i="1"/>
  <c r="E213" i="1"/>
  <c r="E223" i="1"/>
  <c r="E233" i="1"/>
  <c r="E243" i="1"/>
  <c r="E253" i="1"/>
  <c r="E263" i="1"/>
  <c r="E273" i="1"/>
  <c r="E283" i="1"/>
  <c r="E293" i="1"/>
  <c r="E303" i="1"/>
  <c r="E313" i="1"/>
  <c r="E323" i="1"/>
  <c r="E333" i="1"/>
  <c r="E343" i="1"/>
  <c r="E353" i="1"/>
  <c r="E363" i="1"/>
  <c r="E373" i="1"/>
  <c r="E383" i="1"/>
  <c r="E393" i="1"/>
  <c r="E403" i="1"/>
  <c r="E413" i="1"/>
  <c r="E423" i="1"/>
  <c r="E433" i="1"/>
  <c r="E443" i="1"/>
  <c r="E453" i="1"/>
  <c r="E463" i="1"/>
  <c r="E473" i="1"/>
  <c r="E483" i="1"/>
  <c r="E493" i="1"/>
  <c r="E503" i="1"/>
  <c r="E513" i="1"/>
  <c r="E523" i="1"/>
  <c r="E533" i="1"/>
  <c r="E543" i="1"/>
  <c r="E553" i="1"/>
  <c r="E563" i="1"/>
  <c r="E573" i="1"/>
  <c r="E583" i="1"/>
  <c r="E593" i="1"/>
  <c r="E603" i="1"/>
  <c r="E613" i="1"/>
  <c r="E623" i="1"/>
  <c r="F104" i="1"/>
  <c r="F135" i="1"/>
  <c r="F158" i="1"/>
  <c r="F185" i="1"/>
  <c r="F208" i="1"/>
  <c r="F235" i="1"/>
  <c r="F258" i="1"/>
  <c r="F285" i="1"/>
  <c r="F305" i="1"/>
  <c r="F321" i="1"/>
  <c r="F338" i="1"/>
  <c r="F355" i="1"/>
  <c r="F371" i="1"/>
  <c r="F388" i="1"/>
  <c r="F405" i="1"/>
  <c r="F419" i="1"/>
  <c r="F435" i="1"/>
  <c r="F448" i="1"/>
  <c r="F464" i="1"/>
  <c r="F476" i="1"/>
  <c r="F488" i="1"/>
  <c r="F501" i="1"/>
  <c r="F514" i="1"/>
  <c r="F526" i="1"/>
  <c r="F538" i="1"/>
  <c r="F551" i="1"/>
  <c r="F564" i="1"/>
  <c r="F576" i="1"/>
  <c r="F588" i="1"/>
  <c r="F601" i="1"/>
  <c r="F613" i="1"/>
  <c r="F624" i="1"/>
  <c r="F635" i="1"/>
  <c r="F646" i="1"/>
  <c r="F657" i="1"/>
  <c r="F668" i="1"/>
  <c r="F679" i="1"/>
  <c r="F691" i="1"/>
  <c r="F702" i="1"/>
  <c r="F713" i="1"/>
  <c r="F724" i="1"/>
  <c r="F735" i="1"/>
  <c r="F746" i="1"/>
  <c r="F757" i="1"/>
  <c r="F768" i="1"/>
  <c r="F779" i="1"/>
  <c r="F791" i="1"/>
  <c r="F802" i="1"/>
  <c r="F813" i="1"/>
  <c r="F824" i="1"/>
  <c r="F835" i="1"/>
  <c r="F846" i="1"/>
  <c r="F857" i="1"/>
  <c r="F868" i="1"/>
  <c r="F879" i="1"/>
  <c r="F891" i="1"/>
  <c r="F902" i="1"/>
  <c r="F913" i="1"/>
  <c r="F924" i="1"/>
  <c r="F935" i="1"/>
  <c r="F946" i="1"/>
  <c r="F957" i="1"/>
  <c r="F968" i="1"/>
  <c r="F979" i="1"/>
  <c r="F991" i="1"/>
  <c r="F1002" i="1"/>
  <c r="F1013" i="1"/>
  <c r="F1024" i="1"/>
  <c r="F1034" i="1"/>
  <c r="F1044" i="1"/>
  <c r="F1054" i="1"/>
  <c r="F1064" i="1"/>
  <c r="F1074" i="1"/>
  <c r="F1084" i="1"/>
  <c r="F1094" i="1"/>
  <c r="F1104" i="1"/>
  <c r="F1114" i="1"/>
  <c r="F1124" i="1"/>
  <c r="F1134" i="1"/>
  <c r="F1144" i="1"/>
  <c r="F1154" i="1"/>
  <c r="F1164" i="1"/>
  <c r="F1174" i="1"/>
  <c r="F1184" i="1"/>
  <c r="F1194" i="1"/>
  <c r="F1204" i="1"/>
  <c r="F1214" i="1"/>
  <c r="F1224" i="1"/>
  <c r="F1234" i="1"/>
  <c r="F1244" i="1"/>
  <c r="F1254" i="1"/>
  <c r="F1264" i="1"/>
  <c r="F1274" i="1"/>
  <c r="F1284" i="1"/>
  <c r="F1294" i="1"/>
  <c r="F1304" i="1"/>
  <c r="F1314" i="1"/>
  <c r="F1324" i="1"/>
  <c r="F1334" i="1"/>
  <c r="F1344" i="1"/>
  <c r="F1354" i="1"/>
  <c r="F1364" i="1"/>
  <c r="F1374" i="1"/>
  <c r="F1384" i="1"/>
  <c r="F1394" i="1"/>
  <c r="F1404" i="1"/>
  <c r="F1414" i="1"/>
  <c r="F1424" i="1"/>
  <c r="F1434" i="1"/>
  <c r="F1444" i="1"/>
  <c r="F1454" i="1"/>
  <c r="F1464" i="1"/>
  <c r="F1474" i="1"/>
  <c r="F1484" i="1"/>
  <c r="F1494" i="1"/>
  <c r="F1504" i="1"/>
  <c r="F1514" i="1"/>
  <c r="F1524" i="1"/>
  <c r="F1534" i="1"/>
  <c r="F1544" i="1"/>
  <c r="F1554" i="1"/>
  <c r="F1564" i="1"/>
  <c r="F1574" i="1"/>
  <c r="F1584" i="1"/>
  <c r="F1594" i="1"/>
  <c r="F1604" i="1"/>
  <c r="F1614" i="1"/>
  <c r="F1624" i="1"/>
  <c r="F1634" i="1"/>
  <c r="F1644" i="1"/>
  <c r="F1654" i="1"/>
  <c r="F1664" i="1"/>
  <c r="F1674" i="1"/>
  <c r="F1684" i="1"/>
  <c r="F1694" i="1"/>
  <c r="F1704" i="1"/>
  <c r="F1714" i="1"/>
  <c r="F1724" i="1"/>
  <c r="F1734" i="1"/>
  <c r="F1744" i="1"/>
  <c r="F1754" i="1"/>
  <c r="F1764" i="1"/>
  <c r="F1774" i="1"/>
  <c r="F1784" i="1"/>
  <c r="F1794" i="1"/>
  <c r="E4" i="1"/>
  <c r="E14" i="1"/>
  <c r="E24" i="1"/>
  <c r="E34" i="1"/>
  <c r="E44" i="1"/>
  <c r="E54" i="1"/>
  <c r="E64" i="1"/>
  <c r="E74" i="1"/>
  <c r="E84" i="1"/>
  <c r="E94" i="1"/>
  <c r="E104" i="1"/>
  <c r="E114" i="1"/>
  <c r="E124" i="1"/>
  <c r="E134" i="1"/>
  <c r="E144" i="1"/>
  <c r="E154" i="1"/>
  <c r="E164" i="1"/>
  <c r="E174" i="1"/>
  <c r="E184" i="1"/>
  <c r="E194" i="1"/>
  <c r="E204" i="1"/>
  <c r="E214" i="1"/>
  <c r="E224" i="1"/>
  <c r="E234" i="1"/>
  <c r="E244" i="1"/>
  <c r="E254" i="1"/>
  <c r="E264" i="1"/>
  <c r="E274" i="1"/>
  <c r="E284" i="1"/>
  <c r="E294" i="1"/>
  <c r="E304" i="1"/>
  <c r="E314" i="1"/>
  <c r="E324" i="1"/>
  <c r="E334" i="1"/>
  <c r="E344" i="1"/>
  <c r="E354" i="1"/>
  <c r="E364" i="1"/>
  <c r="E374" i="1"/>
  <c r="E384" i="1"/>
  <c r="E394" i="1"/>
  <c r="E404" i="1"/>
  <c r="E414" i="1"/>
  <c r="E424" i="1"/>
  <c r="E434" i="1"/>
  <c r="E444" i="1"/>
  <c r="E454" i="1"/>
  <c r="E464" i="1"/>
  <c r="E474" i="1"/>
  <c r="E484" i="1"/>
  <c r="E494" i="1"/>
  <c r="E504" i="1"/>
  <c r="E514" i="1"/>
  <c r="E524" i="1"/>
  <c r="E534" i="1"/>
  <c r="E544" i="1"/>
  <c r="E554" i="1"/>
  <c r="E564" i="1"/>
  <c r="E574" i="1"/>
  <c r="E584" i="1"/>
  <c r="E594" i="1"/>
  <c r="E604" i="1"/>
  <c r="E319" i="1"/>
  <c r="E415" i="1"/>
  <c r="E465" i="1"/>
  <c r="E515" i="1"/>
  <c r="E565" i="1"/>
  <c r="E614" i="1"/>
  <c r="E637" i="1"/>
  <c r="E657" i="1"/>
  <c r="E677" i="1"/>
  <c r="E695" i="1"/>
  <c r="E713" i="1"/>
  <c r="E728" i="1"/>
  <c r="E743" i="1"/>
  <c r="E757" i="1"/>
  <c r="E769" i="1"/>
  <c r="E783" i="1"/>
  <c r="E795" i="1"/>
  <c r="E807" i="1"/>
  <c r="E818" i="1"/>
  <c r="E829" i="1"/>
  <c r="E840" i="1"/>
  <c r="E851" i="1"/>
  <c r="E863" i="1"/>
  <c r="E874" i="1"/>
  <c r="E885" i="1"/>
  <c r="E896" i="1"/>
  <c r="E907" i="1"/>
  <c r="E918" i="1"/>
  <c r="E929" i="1"/>
  <c r="E940" i="1"/>
  <c r="E951" i="1"/>
  <c r="E963" i="1"/>
  <c r="E974" i="1"/>
  <c r="E985" i="1"/>
  <c r="E996" i="1"/>
  <c r="E1007" i="1"/>
  <c r="E1018" i="1"/>
  <c r="E1029" i="1"/>
  <c r="E1040" i="1"/>
  <c r="E1051" i="1"/>
  <c r="E1063" i="1"/>
  <c r="E1074" i="1"/>
  <c r="E1085" i="1"/>
  <c r="E1096" i="1"/>
  <c r="E1106" i="1"/>
  <c r="E1116" i="1"/>
  <c r="E1126" i="1"/>
  <c r="E1136" i="1"/>
  <c r="E1146" i="1"/>
  <c r="E1156" i="1"/>
  <c r="E1166" i="1"/>
  <c r="E1176" i="1"/>
  <c r="E1186" i="1"/>
  <c r="E1196" i="1"/>
  <c r="E1206" i="1"/>
  <c r="E1216" i="1"/>
  <c r="E1226" i="1"/>
  <c r="E1236" i="1"/>
  <c r="E1246" i="1"/>
  <c r="E1256" i="1"/>
  <c r="E1266" i="1"/>
  <c r="E1276" i="1"/>
  <c r="E1286" i="1"/>
  <c r="E1296" i="1"/>
  <c r="E1306" i="1"/>
  <c r="E1316" i="1"/>
  <c r="E1326" i="1"/>
  <c r="E1336" i="1"/>
  <c r="E1346" i="1"/>
  <c r="E1356" i="1"/>
  <c r="E1366" i="1"/>
  <c r="E1376" i="1"/>
  <c r="E1386" i="1"/>
  <c r="E1396" i="1"/>
  <c r="E1406" i="1"/>
  <c r="E1416" i="1"/>
  <c r="E1426" i="1"/>
  <c r="E1436" i="1"/>
  <c r="E1446" i="1"/>
  <c r="E1456" i="1"/>
  <c r="E1466" i="1"/>
  <c r="E1476" i="1"/>
  <c r="E1486" i="1"/>
  <c r="E1496" i="1"/>
  <c r="E1506" i="1"/>
  <c r="E1516" i="1"/>
  <c r="E1526" i="1"/>
  <c r="E1536" i="1"/>
  <c r="E1546" i="1"/>
  <c r="E1556" i="1"/>
  <c r="E1566" i="1"/>
  <c r="E1576" i="1"/>
  <c r="E1586" i="1"/>
  <c r="E1596" i="1"/>
  <c r="E1606" i="1"/>
  <c r="E1616" i="1"/>
  <c r="E1626" i="1"/>
  <c r="E1636" i="1"/>
  <c r="E1646" i="1"/>
  <c r="E1656" i="1"/>
  <c r="E1666" i="1"/>
  <c r="E1676" i="1"/>
  <c r="E1686" i="1"/>
  <c r="E1696" i="1"/>
  <c r="E1706" i="1"/>
  <c r="E1716" i="1"/>
  <c r="E1726" i="1"/>
  <c r="E1736" i="1"/>
  <c r="E1746" i="1"/>
  <c r="E1756" i="1"/>
  <c r="E1766" i="1"/>
  <c r="E1776" i="1"/>
  <c r="E1786" i="1"/>
  <c r="E1796" i="1"/>
  <c r="D6" i="1"/>
  <c r="D16" i="1"/>
  <c r="D26" i="1"/>
  <c r="D36" i="1"/>
  <c r="D46" i="1"/>
  <c r="D56" i="1"/>
  <c r="D66" i="1"/>
  <c r="D76" i="1"/>
  <c r="D86" i="1"/>
  <c r="D96" i="1"/>
  <c r="D106" i="1"/>
  <c r="D116" i="1"/>
  <c r="D126" i="1"/>
  <c r="D136" i="1"/>
  <c r="D146" i="1"/>
  <c r="D156" i="1"/>
  <c r="D166" i="1"/>
  <c r="D176" i="1"/>
  <c r="D186" i="1"/>
  <c r="D196" i="1"/>
  <c r="D206" i="1"/>
  <c r="D216" i="1"/>
  <c r="D226" i="1"/>
  <c r="D236" i="1"/>
  <c r="D246" i="1"/>
  <c r="D256" i="1"/>
  <c r="D266" i="1"/>
  <c r="D276" i="1"/>
  <c r="D286" i="1"/>
  <c r="D296" i="1"/>
  <c r="D306" i="1"/>
  <c r="D316" i="1"/>
  <c r="D326" i="1"/>
  <c r="D336" i="1"/>
  <c r="D346" i="1"/>
  <c r="D356" i="1"/>
  <c r="D366" i="1"/>
  <c r="D376" i="1"/>
  <c r="D386" i="1"/>
  <c r="D396" i="1"/>
  <c r="D406" i="1"/>
  <c r="D416" i="1"/>
  <c r="D426" i="1"/>
  <c r="D436" i="1"/>
  <c r="D446" i="1"/>
  <c r="D456" i="1"/>
  <c r="D466" i="1"/>
  <c r="D476" i="1"/>
  <c r="D486" i="1"/>
  <c r="D496" i="1"/>
  <c r="D506" i="1"/>
  <c r="D516" i="1"/>
  <c r="D526" i="1"/>
  <c r="D536" i="1"/>
  <c r="D546" i="1"/>
  <c r="D556" i="1"/>
  <c r="D566" i="1"/>
  <c r="D576" i="1"/>
  <c r="D586" i="1"/>
  <c r="D596" i="1"/>
  <c r="D606" i="1"/>
  <c r="D616" i="1"/>
  <c r="D626" i="1"/>
  <c r="D636" i="1"/>
  <c r="D646" i="1"/>
  <c r="D656" i="1"/>
  <c r="D666" i="1"/>
  <c r="D676" i="1"/>
  <c r="D686" i="1"/>
  <c r="D696" i="1"/>
  <c r="D706" i="1"/>
  <c r="D716" i="1"/>
  <c r="D726" i="1"/>
  <c r="D736" i="1"/>
  <c r="D746" i="1"/>
  <c r="D756" i="1"/>
  <c r="D766" i="1"/>
  <c r="D776" i="1"/>
  <c r="D786" i="1"/>
  <c r="D796" i="1"/>
  <c r="D806" i="1"/>
  <c r="D816" i="1"/>
  <c r="D826" i="1"/>
  <c r="E329" i="1"/>
  <c r="E419" i="1"/>
  <c r="E469" i="1"/>
  <c r="E519" i="1"/>
  <c r="E569" i="1"/>
  <c r="E615" i="1"/>
  <c r="E639" i="1"/>
  <c r="E659" i="1"/>
  <c r="E679" i="1"/>
  <c r="E697" i="1"/>
  <c r="E714" i="1"/>
  <c r="E729" i="1"/>
  <c r="E744" i="1"/>
  <c r="E758" i="1"/>
  <c r="E770" i="1"/>
  <c r="E784" i="1"/>
  <c r="E796" i="1"/>
  <c r="E808" i="1"/>
  <c r="E819" i="1"/>
  <c r="E830" i="1"/>
  <c r="E841" i="1"/>
  <c r="E853" i="1"/>
  <c r="E864" i="1"/>
  <c r="E875" i="1"/>
  <c r="E886" i="1"/>
  <c r="E897" i="1"/>
  <c r="E908" i="1"/>
  <c r="E919" i="1"/>
  <c r="E930" i="1"/>
  <c r="E941" i="1"/>
  <c r="E953" i="1"/>
  <c r="E964" i="1"/>
  <c r="E975" i="1"/>
  <c r="E986" i="1"/>
  <c r="E997" i="1"/>
  <c r="E1008" i="1"/>
  <c r="E1019" i="1"/>
  <c r="E1030" i="1"/>
  <c r="E1041" i="1"/>
  <c r="E1053" i="1"/>
  <c r="E1064" i="1"/>
  <c r="E1075" i="1"/>
  <c r="E1086" i="1"/>
  <c r="E1097" i="1"/>
  <c r="E1107" i="1"/>
  <c r="E1117" i="1"/>
  <c r="E1127" i="1"/>
  <c r="E1137" i="1"/>
  <c r="E1147" i="1"/>
  <c r="E1157" i="1"/>
  <c r="E1167" i="1"/>
  <c r="E1177" i="1"/>
  <c r="E1187" i="1"/>
  <c r="E1197" i="1"/>
  <c r="E1207" i="1"/>
  <c r="E1217" i="1"/>
  <c r="E1227" i="1"/>
  <c r="E1237" i="1"/>
  <c r="E1247" i="1"/>
  <c r="E1257" i="1"/>
  <c r="E1267" i="1"/>
  <c r="E1277" i="1"/>
  <c r="E1287" i="1"/>
  <c r="E1297" i="1"/>
  <c r="E1307" i="1"/>
  <c r="E1317" i="1"/>
  <c r="E1327" i="1"/>
  <c r="E1337" i="1"/>
  <c r="E1347" i="1"/>
  <c r="E1357" i="1"/>
  <c r="E1367" i="1"/>
  <c r="E1377" i="1"/>
  <c r="E1387" i="1"/>
  <c r="E1397" i="1"/>
  <c r="E1407" i="1"/>
  <c r="E1417" i="1"/>
  <c r="E1427" i="1"/>
  <c r="E1437" i="1"/>
  <c r="E1447" i="1"/>
  <c r="E1457" i="1"/>
  <c r="E1467" i="1"/>
  <c r="E1477" i="1"/>
  <c r="E1487" i="1"/>
  <c r="E1497" i="1"/>
  <c r="E1507" i="1"/>
  <c r="E1517" i="1"/>
  <c r="E1527" i="1"/>
  <c r="E1537" i="1"/>
  <c r="E1547" i="1"/>
  <c r="E1557" i="1"/>
  <c r="E1567" i="1"/>
  <c r="E1577" i="1"/>
  <c r="E1587" i="1"/>
  <c r="E1597" i="1"/>
  <c r="E1607" i="1"/>
  <c r="E1617" i="1"/>
  <c r="E1627" i="1"/>
  <c r="E1637" i="1"/>
  <c r="E1647" i="1"/>
  <c r="E1657" i="1"/>
  <c r="E1667" i="1"/>
  <c r="E1677" i="1"/>
  <c r="E1687" i="1"/>
  <c r="E1697" i="1"/>
  <c r="E1707" i="1"/>
  <c r="E1717" i="1"/>
  <c r="E1727" i="1"/>
  <c r="E1737" i="1"/>
  <c r="E1747" i="1"/>
  <c r="E1757" i="1"/>
  <c r="E1767" i="1"/>
  <c r="E1777" i="1"/>
  <c r="E1787" i="1"/>
  <c r="E1797" i="1"/>
  <c r="D7" i="1"/>
  <c r="D17" i="1"/>
  <c r="D27" i="1"/>
  <c r="D37" i="1"/>
  <c r="D47" i="1"/>
  <c r="D57" i="1"/>
  <c r="D67" i="1"/>
  <c r="D77" i="1"/>
  <c r="D87" i="1"/>
  <c r="D97" i="1"/>
  <c r="D107" i="1"/>
  <c r="D117" i="1"/>
  <c r="D127" i="1"/>
  <c r="D137" i="1"/>
  <c r="D147" i="1"/>
  <c r="D157" i="1"/>
  <c r="D167" i="1"/>
  <c r="D177" i="1"/>
  <c r="D187" i="1"/>
  <c r="D197" i="1"/>
  <c r="D207" i="1"/>
  <c r="D217" i="1"/>
  <c r="D227" i="1"/>
  <c r="D237" i="1"/>
  <c r="D247" i="1"/>
  <c r="D257" i="1"/>
  <c r="D267" i="1"/>
  <c r="D277" i="1"/>
  <c r="D287" i="1"/>
  <c r="D297" i="1"/>
  <c r="D307" i="1"/>
  <c r="D317" i="1"/>
  <c r="D327" i="1"/>
  <c r="D337" i="1"/>
  <c r="D347" i="1"/>
  <c r="D357" i="1"/>
  <c r="D367" i="1"/>
  <c r="D377" i="1"/>
  <c r="D387" i="1"/>
  <c r="D397" i="1"/>
  <c r="D407" i="1"/>
  <c r="D417" i="1"/>
  <c r="D427" i="1"/>
  <c r="D437" i="1"/>
  <c r="D447" i="1"/>
  <c r="D457" i="1"/>
  <c r="D467" i="1"/>
  <c r="D477" i="1"/>
  <c r="D487" i="1"/>
  <c r="D497" i="1"/>
  <c r="D507" i="1"/>
  <c r="D517" i="1"/>
  <c r="D527" i="1"/>
  <c r="D537" i="1"/>
  <c r="D547" i="1"/>
  <c r="D557" i="1"/>
  <c r="D567" i="1"/>
  <c r="D577" i="1"/>
  <c r="D587" i="1"/>
  <c r="D597" i="1"/>
  <c r="D607" i="1"/>
  <c r="D617" i="1"/>
  <c r="D627" i="1"/>
  <c r="D637" i="1"/>
  <c r="D647" i="1"/>
  <c r="D657" i="1"/>
  <c r="D667" i="1"/>
  <c r="D677" i="1"/>
  <c r="D687" i="1"/>
  <c r="D697" i="1"/>
  <c r="D707" i="1"/>
  <c r="D717" i="1"/>
  <c r="D727" i="1"/>
  <c r="D737" i="1"/>
  <c r="D747" i="1"/>
  <c r="D757" i="1"/>
  <c r="D767" i="1"/>
  <c r="D777" i="1"/>
  <c r="D787" i="1"/>
  <c r="D797" i="1"/>
  <c r="D807" i="1"/>
  <c r="D817" i="1"/>
  <c r="D827" i="1"/>
  <c r="D837" i="1"/>
  <c r="D847" i="1"/>
  <c r="D857" i="1"/>
  <c r="D867" i="1"/>
  <c r="D877" i="1"/>
  <c r="D887" i="1"/>
  <c r="D897" i="1"/>
  <c r="D907" i="1"/>
  <c r="D917" i="1"/>
  <c r="D927" i="1"/>
  <c r="D937" i="1"/>
  <c r="D947" i="1"/>
  <c r="D957" i="1"/>
  <c r="D967" i="1"/>
  <c r="D977" i="1"/>
  <c r="D987" i="1"/>
  <c r="D997" i="1"/>
  <c r="D1007" i="1"/>
  <c r="D1017" i="1"/>
  <c r="D1027" i="1"/>
  <c r="D1037" i="1"/>
  <c r="D1047" i="1"/>
  <c r="D1057" i="1"/>
  <c r="D1067" i="1"/>
  <c r="D1077" i="1"/>
  <c r="D1087" i="1"/>
  <c r="D1097" i="1"/>
  <c r="D1107" i="1"/>
  <c r="D1117" i="1"/>
  <c r="D1127" i="1"/>
  <c r="D1137" i="1"/>
  <c r="D1147" i="1"/>
  <c r="D1157" i="1"/>
  <c r="D1167" i="1"/>
  <c r="D1177" i="1"/>
  <c r="D1187" i="1"/>
  <c r="D1197" i="1"/>
  <c r="D1207" i="1"/>
  <c r="D1217" i="1"/>
  <c r="D1227" i="1"/>
  <c r="D1237" i="1"/>
  <c r="D1247" i="1"/>
  <c r="D1257" i="1"/>
  <c r="D1267" i="1"/>
  <c r="D1277" i="1"/>
  <c r="D1287" i="1"/>
  <c r="D1297" i="1"/>
  <c r="D1307" i="1"/>
  <c r="D1317" i="1"/>
  <c r="D1327" i="1"/>
  <c r="D1337" i="1"/>
  <c r="D1347" i="1"/>
  <c r="D1357" i="1"/>
  <c r="D1367" i="1"/>
  <c r="D1377" i="1"/>
  <c r="D1387" i="1"/>
  <c r="D1397" i="1"/>
  <c r="D1407" i="1"/>
  <c r="E339" i="1"/>
  <c r="E425" i="1"/>
  <c r="E475" i="1"/>
  <c r="E525" i="1"/>
  <c r="E575" i="1"/>
  <c r="E619" i="1"/>
  <c r="E643" i="1"/>
  <c r="E663" i="1"/>
  <c r="E683" i="1"/>
  <c r="E699" i="1"/>
  <c r="E715" i="1"/>
  <c r="E730" i="1"/>
  <c r="E745" i="1"/>
  <c r="E759" i="1"/>
  <c r="E773" i="1"/>
  <c r="E785" i="1"/>
  <c r="E797" i="1"/>
  <c r="E809" i="1"/>
  <c r="E820" i="1"/>
  <c r="E831" i="1"/>
  <c r="E843" i="1"/>
  <c r="E854" i="1"/>
  <c r="E865" i="1"/>
  <c r="E876" i="1"/>
  <c r="E887" i="1"/>
  <c r="E898" i="1"/>
  <c r="E909" i="1"/>
  <c r="E920" i="1"/>
  <c r="E931" i="1"/>
  <c r="E943" i="1"/>
  <c r="E954" i="1"/>
  <c r="E965" i="1"/>
  <c r="E976" i="1"/>
  <c r="E987" i="1"/>
  <c r="E998" i="1"/>
  <c r="E1009" i="1"/>
  <c r="E1020" i="1"/>
  <c r="E1031" i="1"/>
  <c r="E1043" i="1"/>
  <c r="E1054" i="1"/>
  <c r="E1065" i="1"/>
  <c r="E1076" i="1"/>
  <c r="E1087" i="1"/>
  <c r="E1098" i="1"/>
  <c r="E1108" i="1"/>
  <c r="E1118" i="1"/>
  <c r="E1128" i="1"/>
  <c r="E1138" i="1"/>
  <c r="E1148" i="1"/>
  <c r="E1158" i="1"/>
  <c r="E1168" i="1"/>
  <c r="E1178" i="1"/>
  <c r="E1188" i="1"/>
  <c r="E1198" i="1"/>
  <c r="E1208" i="1"/>
  <c r="E1218" i="1"/>
  <c r="E1228" i="1"/>
  <c r="E1238" i="1"/>
  <c r="E1248" i="1"/>
  <c r="E1258" i="1"/>
  <c r="E1268" i="1"/>
  <c r="E1278" i="1"/>
  <c r="E1288" i="1"/>
  <c r="E1298" i="1"/>
  <c r="E1308" i="1"/>
  <c r="E1318" i="1"/>
  <c r="E1328" i="1"/>
  <c r="E1338" i="1"/>
  <c r="E1348" i="1"/>
  <c r="E1358" i="1"/>
  <c r="E1368" i="1"/>
  <c r="E1378" i="1"/>
  <c r="E1388" i="1"/>
  <c r="E1398" i="1"/>
  <c r="E1408" i="1"/>
  <c r="E1418" i="1"/>
  <c r="E1428" i="1"/>
  <c r="E1438" i="1"/>
  <c r="E1448" i="1"/>
  <c r="E1458" i="1"/>
  <c r="E1468" i="1"/>
  <c r="E1478" i="1"/>
  <c r="E1488" i="1"/>
  <c r="E1498" i="1"/>
  <c r="E1508" i="1"/>
  <c r="E1518" i="1"/>
  <c r="E1528" i="1"/>
  <c r="E1538" i="1"/>
  <c r="E1548" i="1"/>
  <c r="E1558" i="1"/>
  <c r="E1568" i="1"/>
  <c r="E1578" i="1"/>
  <c r="E1588" i="1"/>
  <c r="E1598" i="1"/>
  <c r="E1608" i="1"/>
  <c r="E1618" i="1"/>
  <c r="E1628" i="1"/>
  <c r="E1638" i="1"/>
  <c r="E1648" i="1"/>
  <c r="E1658" i="1"/>
  <c r="E1668" i="1"/>
  <c r="E1678" i="1"/>
  <c r="E1688" i="1"/>
  <c r="E1698" i="1"/>
  <c r="E1708" i="1"/>
  <c r="E1718" i="1"/>
  <c r="E1728" i="1"/>
  <c r="E1738" i="1"/>
  <c r="E1748" i="1"/>
  <c r="E1758" i="1"/>
  <c r="E1768" i="1"/>
  <c r="E1778" i="1"/>
  <c r="E1788" i="1"/>
  <c r="E1798" i="1"/>
  <c r="D8" i="1"/>
  <c r="D18" i="1"/>
  <c r="D28" i="1"/>
  <c r="D38" i="1"/>
  <c r="D48" i="1"/>
  <c r="D58" i="1"/>
  <c r="D68" i="1"/>
  <c r="D78" i="1"/>
  <c r="D88" i="1"/>
  <c r="D98" i="1"/>
  <c r="D108" i="1"/>
  <c r="D118" i="1"/>
  <c r="D128" i="1"/>
  <c r="D138" i="1"/>
  <c r="D148" i="1"/>
  <c r="D158" i="1"/>
  <c r="D168" i="1"/>
  <c r="D178" i="1"/>
  <c r="D188" i="1"/>
  <c r="D198" i="1"/>
  <c r="D208" i="1"/>
  <c r="D218" i="1"/>
  <c r="D228" i="1"/>
  <c r="D238" i="1"/>
  <c r="D248" i="1"/>
  <c r="D258" i="1"/>
  <c r="D268" i="1"/>
  <c r="D278" i="1"/>
  <c r="D288" i="1"/>
  <c r="D298" i="1"/>
  <c r="D308" i="1"/>
  <c r="D318" i="1"/>
  <c r="D328" i="1"/>
  <c r="D338" i="1"/>
  <c r="D348" i="1"/>
  <c r="D358" i="1"/>
  <c r="D368" i="1"/>
  <c r="D378" i="1"/>
  <c r="D388" i="1"/>
  <c r="D398" i="1"/>
  <c r="D408" i="1"/>
  <c r="D418" i="1"/>
  <c r="D428" i="1"/>
  <c r="D438" i="1"/>
  <c r="D448" i="1"/>
  <c r="D458" i="1"/>
  <c r="D468" i="1"/>
  <c r="D478" i="1"/>
  <c r="D488" i="1"/>
  <c r="D498" i="1"/>
  <c r="D508" i="1"/>
  <c r="D518" i="1"/>
  <c r="D528" i="1"/>
  <c r="D538" i="1"/>
  <c r="D548" i="1"/>
  <c r="D558" i="1"/>
  <c r="D568" i="1"/>
  <c r="D578" i="1"/>
  <c r="D588" i="1"/>
  <c r="D598" i="1"/>
  <c r="D608" i="1"/>
  <c r="D618" i="1"/>
  <c r="D628" i="1"/>
  <c r="D638" i="1"/>
  <c r="D648" i="1"/>
  <c r="D658" i="1"/>
  <c r="D668" i="1"/>
  <c r="D678" i="1"/>
  <c r="D688" i="1"/>
  <c r="D698" i="1"/>
  <c r="D708" i="1"/>
  <c r="D718" i="1"/>
  <c r="D728" i="1"/>
  <c r="D738" i="1"/>
  <c r="D748" i="1"/>
  <c r="D758" i="1"/>
  <c r="D768" i="1"/>
  <c r="D778" i="1"/>
  <c r="D788" i="1"/>
  <c r="D798" i="1"/>
  <c r="D808" i="1"/>
  <c r="D818" i="1"/>
  <c r="D828" i="1"/>
  <c r="D838" i="1"/>
  <c r="D848" i="1"/>
  <c r="D858" i="1"/>
  <c r="E349" i="1"/>
  <c r="E429" i="1"/>
  <c r="E479" i="1"/>
  <c r="E529" i="1"/>
  <c r="E579" i="1"/>
  <c r="E624" i="1"/>
  <c r="E644" i="1"/>
  <c r="E664" i="1"/>
  <c r="E684" i="1"/>
  <c r="E700" i="1"/>
  <c r="E717" i="1"/>
  <c r="E733" i="1"/>
  <c r="E747" i="1"/>
  <c r="E760" i="1"/>
  <c r="E774" i="1"/>
  <c r="E786" i="1"/>
  <c r="E798" i="1"/>
  <c r="E810" i="1"/>
  <c r="E821" i="1"/>
  <c r="E833" i="1"/>
  <c r="E844" i="1"/>
  <c r="E855" i="1"/>
  <c r="E866" i="1"/>
  <c r="E877" i="1"/>
  <c r="E888" i="1"/>
  <c r="E899" i="1"/>
  <c r="E910" i="1"/>
  <c r="E921" i="1"/>
  <c r="E933" i="1"/>
  <c r="E944" i="1"/>
  <c r="E955" i="1"/>
  <c r="E966" i="1"/>
  <c r="E977" i="1"/>
  <c r="E988" i="1"/>
  <c r="E999" i="1"/>
  <c r="E1010" i="1"/>
  <c r="E1021" i="1"/>
  <c r="E1033" i="1"/>
  <c r="E1044" i="1"/>
  <c r="E1055" i="1"/>
  <c r="E1066" i="1"/>
  <c r="E1077" i="1"/>
  <c r="E1088" i="1"/>
  <c r="E1099" i="1"/>
  <c r="E1109" i="1"/>
  <c r="E1119" i="1"/>
  <c r="E1129" i="1"/>
  <c r="E1139" i="1"/>
  <c r="E1149" i="1"/>
  <c r="E1159" i="1"/>
  <c r="E1169" i="1"/>
  <c r="E1179" i="1"/>
  <c r="E1189" i="1"/>
  <c r="E1199" i="1"/>
  <c r="E1209" i="1"/>
  <c r="E1219" i="1"/>
  <c r="E1229" i="1"/>
  <c r="E1239" i="1"/>
  <c r="E1249" i="1"/>
  <c r="E1259" i="1"/>
  <c r="E1269" i="1"/>
  <c r="E1279" i="1"/>
  <c r="E1289" i="1"/>
  <c r="E1299" i="1"/>
  <c r="E1309" i="1"/>
  <c r="E1319" i="1"/>
  <c r="E1329" i="1"/>
  <c r="E1339" i="1"/>
  <c r="E1349" i="1"/>
  <c r="E1359" i="1"/>
  <c r="E1369" i="1"/>
  <c r="E1379" i="1"/>
  <c r="E1389" i="1"/>
  <c r="E1399" i="1"/>
  <c r="E1409" i="1"/>
  <c r="E1419" i="1"/>
  <c r="E1429" i="1"/>
  <c r="E1439" i="1"/>
  <c r="E1449" i="1"/>
  <c r="E1459" i="1"/>
  <c r="E1469" i="1"/>
  <c r="E1479" i="1"/>
  <c r="E1489" i="1"/>
  <c r="E1499" i="1"/>
  <c r="E1509" i="1"/>
  <c r="E1519" i="1"/>
  <c r="E1529" i="1"/>
  <c r="E1539" i="1"/>
  <c r="E1549" i="1"/>
  <c r="E1559" i="1"/>
  <c r="E1569" i="1"/>
  <c r="E1579" i="1"/>
  <c r="E1589" i="1"/>
  <c r="E1599" i="1"/>
  <c r="E1609" i="1"/>
  <c r="E1619" i="1"/>
  <c r="E1629" i="1"/>
  <c r="E1639" i="1"/>
  <c r="E1649" i="1"/>
  <c r="E1659" i="1"/>
  <c r="E1669" i="1"/>
  <c r="E1679" i="1"/>
  <c r="E1689" i="1"/>
  <c r="E1699" i="1"/>
  <c r="E1709" i="1"/>
  <c r="E1719" i="1"/>
  <c r="E1729" i="1"/>
  <c r="E1739" i="1"/>
  <c r="E1749" i="1"/>
  <c r="E1759" i="1"/>
  <c r="E1769" i="1"/>
  <c r="E1779" i="1"/>
  <c r="E1789" i="1"/>
  <c r="E1799" i="1"/>
  <c r="D9" i="1"/>
  <c r="D19" i="1"/>
  <c r="D29" i="1"/>
  <c r="D39" i="1"/>
  <c r="D49" i="1"/>
  <c r="D59" i="1"/>
  <c r="D69" i="1"/>
  <c r="D79" i="1"/>
  <c r="D89" i="1"/>
  <c r="D99" i="1"/>
  <c r="D109" i="1"/>
  <c r="D119" i="1"/>
  <c r="D129" i="1"/>
  <c r="D139" i="1"/>
  <c r="D149" i="1"/>
  <c r="D159" i="1"/>
  <c r="D169" i="1"/>
  <c r="D179" i="1"/>
  <c r="D189" i="1"/>
  <c r="D199" i="1"/>
  <c r="D209" i="1"/>
  <c r="D219" i="1"/>
  <c r="D229" i="1"/>
  <c r="D239" i="1"/>
  <c r="D249" i="1"/>
  <c r="D259" i="1"/>
  <c r="D269" i="1"/>
  <c r="D279" i="1"/>
  <c r="D289" i="1"/>
  <c r="D299" i="1"/>
  <c r="D309" i="1"/>
  <c r="D319" i="1"/>
  <c r="D329" i="1"/>
  <c r="D339" i="1"/>
  <c r="D349" i="1"/>
  <c r="D359" i="1"/>
  <c r="D369" i="1"/>
  <c r="D379" i="1"/>
  <c r="D389" i="1"/>
  <c r="D399" i="1"/>
  <c r="D409" i="1"/>
  <c r="D419" i="1"/>
  <c r="D429" i="1"/>
  <c r="D439" i="1"/>
  <c r="D449" i="1"/>
  <c r="D459" i="1"/>
  <c r="D469" i="1"/>
  <c r="D479" i="1"/>
  <c r="D489" i="1"/>
  <c r="D499" i="1"/>
  <c r="D509" i="1"/>
  <c r="D519" i="1"/>
  <c r="D529" i="1"/>
  <c r="D539" i="1"/>
  <c r="D549" i="1"/>
  <c r="D559" i="1"/>
  <c r="D569" i="1"/>
  <c r="D579" i="1"/>
  <c r="D589" i="1"/>
  <c r="D599" i="1"/>
  <c r="D609" i="1"/>
  <c r="D619" i="1"/>
  <c r="D629" i="1"/>
  <c r="D639" i="1"/>
  <c r="D649" i="1"/>
  <c r="D659" i="1"/>
  <c r="D669" i="1"/>
  <c r="D679" i="1"/>
  <c r="D689" i="1"/>
  <c r="D699" i="1"/>
  <c r="E359" i="1"/>
  <c r="E435" i="1"/>
  <c r="E485" i="1"/>
  <c r="E535" i="1"/>
  <c r="E585" i="1"/>
  <c r="E625" i="1"/>
  <c r="E645" i="1"/>
  <c r="E665" i="1"/>
  <c r="E685" i="1"/>
  <c r="E703" i="1"/>
  <c r="E719" i="1"/>
  <c r="E734" i="1"/>
  <c r="E748" i="1"/>
  <c r="E763" i="1"/>
  <c r="E775" i="1"/>
  <c r="E787" i="1"/>
  <c r="E799" i="1"/>
  <c r="E811" i="1"/>
  <c r="E823" i="1"/>
  <c r="E834" i="1"/>
  <c r="E845" i="1"/>
  <c r="E856" i="1"/>
  <c r="E867" i="1"/>
  <c r="E878" i="1"/>
  <c r="E889" i="1"/>
  <c r="E900" i="1"/>
  <c r="E911" i="1"/>
  <c r="E923" i="1"/>
  <c r="E934" i="1"/>
  <c r="E945" i="1"/>
  <c r="E956" i="1"/>
  <c r="E967" i="1"/>
  <c r="E978" i="1"/>
  <c r="E989" i="1"/>
  <c r="E1000" i="1"/>
  <c r="E1011" i="1"/>
  <c r="E1023" i="1"/>
  <c r="E1034" i="1"/>
  <c r="E1045" i="1"/>
  <c r="E1056" i="1"/>
  <c r="E1067" i="1"/>
  <c r="E1078" i="1"/>
  <c r="E1089" i="1"/>
  <c r="E1100" i="1"/>
  <c r="E1110" i="1"/>
  <c r="E1120" i="1"/>
  <c r="E1130" i="1"/>
  <c r="E1140" i="1"/>
  <c r="E1150" i="1"/>
  <c r="E1160" i="1"/>
  <c r="E1170" i="1"/>
  <c r="E1180" i="1"/>
  <c r="E1190" i="1"/>
  <c r="E1200" i="1"/>
  <c r="E1210" i="1"/>
  <c r="E1220" i="1"/>
  <c r="E1230" i="1"/>
  <c r="E1240" i="1"/>
  <c r="E1250" i="1"/>
  <c r="E1260" i="1"/>
  <c r="E1270" i="1"/>
  <c r="E1280" i="1"/>
  <c r="E1290" i="1"/>
  <c r="E1300" i="1"/>
  <c r="E1310" i="1"/>
  <c r="E1320" i="1"/>
  <c r="E1330" i="1"/>
  <c r="E1340" i="1"/>
  <c r="E1350" i="1"/>
  <c r="E1360" i="1"/>
  <c r="E1370" i="1"/>
  <c r="E1380" i="1"/>
  <c r="E1390" i="1"/>
  <c r="E1400" i="1"/>
  <c r="E1410" i="1"/>
  <c r="E1420" i="1"/>
  <c r="E1430" i="1"/>
  <c r="E1440" i="1"/>
  <c r="E1450" i="1"/>
  <c r="E1460" i="1"/>
  <c r="E1470" i="1"/>
  <c r="E1480" i="1"/>
  <c r="E1490" i="1"/>
  <c r="E1500" i="1"/>
  <c r="E1510" i="1"/>
  <c r="E1520" i="1"/>
  <c r="E1530" i="1"/>
  <c r="E1540" i="1"/>
  <c r="E1550" i="1"/>
  <c r="E1560" i="1"/>
  <c r="E1570" i="1"/>
  <c r="E1580" i="1"/>
  <c r="E1590" i="1"/>
  <c r="E1600" i="1"/>
  <c r="E1610" i="1"/>
  <c r="E1620" i="1"/>
  <c r="E1630" i="1"/>
  <c r="E1640" i="1"/>
  <c r="E1650" i="1"/>
  <c r="E1660" i="1"/>
  <c r="E1670" i="1"/>
  <c r="E1680" i="1"/>
  <c r="E1690" i="1"/>
  <c r="E1700" i="1"/>
  <c r="E1710" i="1"/>
  <c r="E1720" i="1"/>
  <c r="E1730" i="1"/>
  <c r="E1740" i="1"/>
  <c r="E1750" i="1"/>
  <c r="E1760" i="1"/>
  <c r="E1770" i="1"/>
  <c r="E1780" i="1"/>
  <c r="E1790" i="1"/>
  <c r="E1800" i="1"/>
  <c r="D10" i="1"/>
  <c r="D20" i="1"/>
  <c r="D30" i="1"/>
  <c r="D40" i="1"/>
  <c r="D50" i="1"/>
  <c r="D60" i="1"/>
  <c r="D70" i="1"/>
  <c r="D80" i="1"/>
  <c r="D90" i="1"/>
  <c r="D100" i="1"/>
  <c r="D110" i="1"/>
  <c r="D120" i="1"/>
  <c r="D130" i="1"/>
  <c r="D140" i="1"/>
  <c r="D150" i="1"/>
  <c r="D160" i="1"/>
  <c r="D170" i="1"/>
  <c r="D180" i="1"/>
  <c r="D190" i="1"/>
  <c r="D200" i="1"/>
  <c r="D210" i="1"/>
  <c r="D220" i="1"/>
  <c r="D230" i="1"/>
  <c r="D240" i="1"/>
  <c r="D250" i="1"/>
  <c r="D260" i="1"/>
  <c r="D270" i="1"/>
  <c r="D280" i="1"/>
  <c r="D290" i="1"/>
  <c r="D300" i="1"/>
  <c r="D310" i="1"/>
  <c r="D320" i="1"/>
  <c r="D330" i="1"/>
  <c r="D340" i="1"/>
  <c r="D350" i="1"/>
  <c r="D360" i="1"/>
  <c r="D370" i="1"/>
  <c r="D380" i="1"/>
  <c r="D390" i="1"/>
  <c r="D400" i="1"/>
  <c r="D410" i="1"/>
  <c r="D420" i="1"/>
  <c r="D430" i="1"/>
  <c r="D440" i="1"/>
  <c r="D450" i="1"/>
  <c r="D460" i="1"/>
  <c r="D470" i="1"/>
  <c r="D480" i="1"/>
  <c r="D490" i="1"/>
  <c r="D500" i="1"/>
  <c r="D510" i="1"/>
  <c r="D520" i="1"/>
  <c r="D530" i="1"/>
  <c r="D540" i="1"/>
  <c r="D550" i="1"/>
  <c r="D560" i="1"/>
  <c r="D570" i="1"/>
  <c r="D580" i="1"/>
  <c r="D590" i="1"/>
  <c r="D600" i="1"/>
  <c r="D610" i="1"/>
  <c r="D620" i="1"/>
  <c r="D630" i="1"/>
  <c r="D640" i="1"/>
  <c r="D650" i="1"/>
  <c r="D660" i="1"/>
  <c r="D670" i="1"/>
  <c r="D680" i="1"/>
  <c r="D690" i="1"/>
  <c r="D700" i="1"/>
  <c r="D710" i="1"/>
  <c r="D720" i="1"/>
  <c r="D730" i="1"/>
  <c r="D740" i="1"/>
  <c r="D750" i="1"/>
  <c r="D760" i="1"/>
  <c r="D770" i="1"/>
  <c r="D780" i="1"/>
  <c r="D790" i="1"/>
  <c r="D800" i="1"/>
  <c r="D810" i="1"/>
  <c r="D820" i="1"/>
  <c r="D830" i="1"/>
  <c r="D840" i="1"/>
  <c r="D850" i="1"/>
  <c r="D860" i="1"/>
  <c r="D870" i="1"/>
  <c r="D880" i="1"/>
  <c r="D890" i="1"/>
  <c r="D900" i="1"/>
  <c r="D910" i="1"/>
  <c r="D920" i="1"/>
  <c r="D930" i="1"/>
  <c r="E369" i="1"/>
  <c r="E439" i="1"/>
  <c r="E489" i="1"/>
  <c r="E539" i="1"/>
  <c r="E589" i="1"/>
  <c r="E627" i="1"/>
  <c r="E647" i="1"/>
  <c r="E667" i="1"/>
  <c r="E687" i="1"/>
  <c r="E704" i="1"/>
  <c r="E720" i="1"/>
  <c r="E735" i="1"/>
  <c r="E749" i="1"/>
  <c r="E764" i="1"/>
  <c r="E776" i="1"/>
  <c r="E788" i="1"/>
  <c r="E800" i="1"/>
  <c r="E813" i="1"/>
  <c r="E824" i="1"/>
  <c r="E835" i="1"/>
  <c r="E846" i="1"/>
  <c r="E857" i="1"/>
  <c r="E868" i="1"/>
  <c r="E879" i="1"/>
  <c r="E890" i="1"/>
  <c r="E901" i="1"/>
  <c r="E913" i="1"/>
  <c r="E924" i="1"/>
  <c r="E935" i="1"/>
  <c r="E946" i="1"/>
  <c r="E957" i="1"/>
  <c r="E968" i="1"/>
  <c r="E979" i="1"/>
  <c r="E990" i="1"/>
  <c r="E1001" i="1"/>
  <c r="E1013" i="1"/>
  <c r="E1024" i="1"/>
  <c r="E1035" i="1"/>
  <c r="E1046" i="1"/>
  <c r="E1057" i="1"/>
  <c r="E1068" i="1"/>
  <c r="E1079" i="1"/>
  <c r="E1090" i="1"/>
  <c r="E1101" i="1"/>
  <c r="E1111" i="1"/>
  <c r="E1121" i="1"/>
  <c r="E1131" i="1"/>
  <c r="E1141" i="1"/>
  <c r="E1151" i="1"/>
  <c r="E1161" i="1"/>
  <c r="E1171" i="1"/>
  <c r="E1181" i="1"/>
  <c r="E1191" i="1"/>
  <c r="E1201" i="1"/>
  <c r="E1211" i="1"/>
  <c r="E1221" i="1"/>
  <c r="E1231" i="1"/>
  <c r="E1241" i="1"/>
  <c r="E1251" i="1"/>
  <c r="E1261" i="1"/>
  <c r="E1271" i="1"/>
  <c r="E1281" i="1"/>
  <c r="E1291" i="1"/>
  <c r="E1301" i="1"/>
  <c r="E1311" i="1"/>
  <c r="E1321" i="1"/>
  <c r="E1331" i="1"/>
  <c r="E1341" i="1"/>
  <c r="E1351" i="1"/>
  <c r="E1361" i="1"/>
  <c r="E1371" i="1"/>
  <c r="E1381" i="1"/>
  <c r="E1391" i="1"/>
  <c r="E1401" i="1"/>
  <c r="E1411" i="1"/>
  <c r="E1421" i="1"/>
  <c r="E1431" i="1"/>
  <c r="E1441" i="1"/>
  <c r="E1451" i="1"/>
  <c r="E1461" i="1"/>
  <c r="E1471" i="1"/>
  <c r="E1481" i="1"/>
  <c r="E1491" i="1"/>
  <c r="E1501" i="1"/>
  <c r="E1511" i="1"/>
  <c r="E1521" i="1"/>
  <c r="E1531" i="1"/>
  <c r="E1541" i="1"/>
  <c r="E1551" i="1"/>
  <c r="E1561" i="1"/>
  <c r="E1571" i="1"/>
  <c r="E1581" i="1"/>
  <c r="E1591" i="1"/>
  <c r="E1601" i="1"/>
  <c r="E1611" i="1"/>
  <c r="E1621" i="1"/>
  <c r="E1631" i="1"/>
  <c r="E1641" i="1"/>
  <c r="E1651" i="1"/>
  <c r="E1661" i="1"/>
  <c r="E1671" i="1"/>
  <c r="E1681" i="1"/>
  <c r="E1691" i="1"/>
  <c r="E1701" i="1"/>
  <c r="E1711" i="1"/>
  <c r="E1721" i="1"/>
  <c r="E1731" i="1"/>
  <c r="E1741" i="1"/>
  <c r="E1751" i="1"/>
  <c r="E1761" i="1"/>
  <c r="E1771" i="1"/>
  <c r="E1781" i="1"/>
  <c r="E1791" i="1"/>
  <c r="E1801" i="1"/>
  <c r="D11" i="1"/>
  <c r="D21" i="1"/>
  <c r="D31" i="1"/>
  <c r="D41" i="1"/>
  <c r="D51" i="1"/>
  <c r="D61" i="1"/>
  <c r="D71" i="1"/>
  <c r="D81" i="1"/>
  <c r="D91" i="1"/>
  <c r="D101" i="1"/>
  <c r="D111" i="1"/>
  <c r="D121" i="1"/>
  <c r="D131" i="1"/>
  <c r="D141" i="1"/>
  <c r="D151" i="1"/>
  <c r="D161" i="1"/>
  <c r="D171" i="1"/>
  <c r="D181" i="1"/>
  <c r="D191" i="1"/>
  <c r="D201" i="1"/>
  <c r="D211" i="1"/>
  <c r="D221" i="1"/>
  <c r="D231" i="1"/>
  <c r="D241" i="1"/>
  <c r="D251" i="1"/>
  <c r="D261" i="1"/>
  <c r="D271" i="1"/>
  <c r="D281" i="1"/>
  <c r="D291" i="1"/>
  <c r="D301" i="1"/>
  <c r="D311" i="1"/>
  <c r="D321" i="1"/>
  <c r="D331" i="1"/>
  <c r="D341" i="1"/>
  <c r="D351" i="1"/>
  <c r="D361" i="1"/>
  <c r="D371" i="1"/>
  <c r="D381" i="1"/>
  <c r="D391" i="1"/>
  <c r="D401" i="1"/>
  <c r="D411" i="1"/>
  <c r="D421" i="1"/>
  <c r="D431" i="1"/>
  <c r="D441" i="1"/>
  <c r="D451" i="1"/>
  <c r="D461" i="1"/>
  <c r="D471" i="1"/>
  <c r="D481" i="1"/>
  <c r="D491" i="1"/>
  <c r="D501" i="1"/>
  <c r="D511" i="1"/>
  <c r="D521" i="1"/>
  <c r="D531" i="1"/>
  <c r="D541" i="1"/>
  <c r="D551" i="1"/>
  <c r="D561" i="1"/>
  <c r="D571" i="1"/>
  <c r="D581" i="1"/>
  <c r="D591" i="1"/>
  <c r="D601" i="1"/>
  <c r="D611" i="1"/>
  <c r="D621" i="1"/>
  <c r="D631" i="1"/>
  <c r="D641" i="1"/>
  <c r="D651" i="1"/>
  <c r="D661" i="1"/>
  <c r="D671" i="1"/>
  <c r="D681" i="1"/>
  <c r="D691" i="1"/>
  <c r="D701" i="1"/>
  <c r="D711" i="1"/>
  <c r="D721" i="1"/>
  <c r="D731" i="1"/>
  <c r="D741" i="1"/>
  <c r="D751" i="1"/>
  <c r="D761" i="1"/>
  <c r="D771" i="1"/>
  <c r="D781" i="1"/>
  <c r="D791" i="1"/>
  <c r="D801" i="1"/>
  <c r="D811" i="1"/>
  <c r="D821" i="1"/>
  <c r="D831" i="1"/>
  <c r="D841" i="1"/>
  <c r="D851" i="1"/>
  <c r="D861" i="1"/>
  <c r="D871" i="1"/>
  <c r="D881" i="1"/>
  <c r="D891" i="1"/>
  <c r="D901" i="1"/>
  <c r="D911" i="1"/>
  <c r="D921" i="1"/>
  <c r="D931" i="1"/>
  <c r="D941" i="1"/>
  <c r="D951" i="1"/>
  <c r="D961" i="1"/>
  <c r="D971" i="1"/>
  <c r="D981" i="1"/>
  <c r="D991" i="1"/>
  <c r="D1001" i="1"/>
  <c r="D1011" i="1"/>
  <c r="D1021" i="1"/>
  <c r="D1031" i="1"/>
  <c r="D1041" i="1"/>
  <c r="D1051" i="1"/>
  <c r="D1061" i="1"/>
  <c r="D1071" i="1"/>
  <c r="D1081" i="1"/>
  <c r="D1091" i="1"/>
  <c r="D1101" i="1"/>
  <c r="D1111" i="1"/>
  <c r="D1121" i="1"/>
  <c r="D1131" i="1"/>
  <c r="D1141" i="1"/>
  <c r="E379" i="1"/>
  <c r="E445" i="1"/>
  <c r="E495" i="1"/>
  <c r="E545" i="1"/>
  <c r="E595" i="1"/>
  <c r="E629" i="1"/>
  <c r="E649" i="1"/>
  <c r="E669" i="1"/>
  <c r="E689" i="1"/>
  <c r="E705" i="1"/>
  <c r="E723" i="1"/>
  <c r="E737" i="1"/>
  <c r="E750" i="1"/>
  <c r="E765" i="1"/>
  <c r="E777" i="1"/>
  <c r="E789" i="1"/>
  <c r="E803" i="1"/>
  <c r="E814" i="1"/>
  <c r="E825" i="1"/>
  <c r="E836" i="1"/>
  <c r="E847" i="1"/>
  <c r="E858" i="1"/>
  <c r="E869" i="1"/>
  <c r="E880" i="1"/>
  <c r="E891" i="1"/>
  <c r="E903" i="1"/>
  <c r="E914" i="1"/>
  <c r="E925" i="1"/>
  <c r="E936" i="1"/>
  <c r="E947" i="1"/>
  <c r="E958" i="1"/>
  <c r="E969" i="1"/>
  <c r="E980" i="1"/>
  <c r="E991" i="1"/>
  <c r="E1003" i="1"/>
  <c r="E1014" i="1"/>
  <c r="E1025" i="1"/>
  <c r="E1036" i="1"/>
  <c r="E1047" i="1"/>
  <c r="E1058" i="1"/>
  <c r="E1069" i="1"/>
  <c r="E1080" i="1"/>
  <c r="E1091" i="1"/>
  <c r="E1102" i="1"/>
  <c r="E1112" i="1"/>
  <c r="E1122" i="1"/>
  <c r="E1132" i="1"/>
  <c r="E1142" i="1"/>
  <c r="E1152" i="1"/>
  <c r="E1162" i="1"/>
  <c r="E1172" i="1"/>
  <c r="E1182" i="1"/>
  <c r="E1192" i="1"/>
  <c r="E1202" i="1"/>
  <c r="E1212" i="1"/>
  <c r="E1222" i="1"/>
  <c r="E1232" i="1"/>
  <c r="E1242" i="1"/>
  <c r="E1252" i="1"/>
  <c r="E1262" i="1"/>
  <c r="E1272" i="1"/>
  <c r="E1282" i="1"/>
  <c r="E1292" i="1"/>
  <c r="E1302" i="1"/>
  <c r="E1312" i="1"/>
  <c r="E1322" i="1"/>
  <c r="E1332" i="1"/>
  <c r="E1342" i="1"/>
  <c r="E1352" i="1"/>
  <c r="E1362" i="1"/>
  <c r="E1372" i="1"/>
  <c r="E1382" i="1"/>
  <c r="E1392" i="1"/>
  <c r="E1402" i="1"/>
  <c r="E1412" i="1"/>
  <c r="E1422" i="1"/>
  <c r="E1432" i="1"/>
  <c r="E1442" i="1"/>
  <c r="E1452" i="1"/>
  <c r="E1462" i="1"/>
  <c r="E1472" i="1"/>
  <c r="E1482" i="1"/>
  <c r="E1492" i="1"/>
  <c r="E1502" i="1"/>
  <c r="E1512" i="1"/>
  <c r="E1522" i="1"/>
  <c r="E1532" i="1"/>
  <c r="E1542" i="1"/>
  <c r="E1552" i="1"/>
  <c r="E1562" i="1"/>
  <c r="E1572" i="1"/>
  <c r="E1582" i="1"/>
  <c r="E1592" i="1"/>
  <c r="E1602" i="1"/>
  <c r="E1612" i="1"/>
  <c r="E1622" i="1"/>
  <c r="E1632" i="1"/>
  <c r="E1642" i="1"/>
  <c r="E1652" i="1"/>
  <c r="E1662" i="1"/>
  <c r="E1672" i="1"/>
  <c r="E1682" i="1"/>
  <c r="E1692" i="1"/>
  <c r="E1702" i="1"/>
  <c r="E1712" i="1"/>
  <c r="E1722" i="1"/>
  <c r="E1732" i="1"/>
  <c r="E1742" i="1"/>
  <c r="E1752" i="1"/>
  <c r="E1762" i="1"/>
  <c r="E1772" i="1"/>
  <c r="E1782" i="1"/>
  <c r="E1792" i="1"/>
  <c r="E1802" i="1"/>
  <c r="D12" i="1"/>
  <c r="D22" i="1"/>
  <c r="D32" i="1"/>
  <c r="D42" i="1"/>
  <c r="D52" i="1"/>
  <c r="D62" i="1"/>
  <c r="D72" i="1"/>
  <c r="D82" i="1"/>
  <c r="D92" i="1"/>
  <c r="D102" i="1"/>
  <c r="D112" i="1"/>
  <c r="D122" i="1"/>
  <c r="D132" i="1"/>
  <c r="D142" i="1"/>
  <c r="D152" i="1"/>
  <c r="D162" i="1"/>
  <c r="D172" i="1"/>
  <c r="D182" i="1"/>
  <c r="D192" i="1"/>
  <c r="D202" i="1"/>
  <c r="D212" i="1"/>
  <c r="D222" i="1"/>
  <c r="D232" i="1"/>
  <c r="D242" i="1"/>
  <c r="D252" i="1"/>
  <c r="D262" i="1"/>
  <c r="D272" i="1"/>
  <c r="D282" i="1"/>
  <c r="D292" i="1"/>
  <c r="D302" i="1"/>
  <c r="D312" i="1"/>
  <c r="D322" i="1"/>
  <c r="D332" i="1"/>
  <c r="D342" i="1"/>
  <c r="D352" i="1"/>
  <c r="D362" i="1"/>
  <c r="D372" i="1"/>
  <c r="D382" i="1"/>
  <c r="D392" i="1"/>
  <c r="D402" i="1"/>
  <c r="D412" i="1"/>
  <c r="D422" i="1"/>
  <c r="D432" i="1"/>
  <c r="D442" i="1"/>
  <c r="D452" i="1"/>
  <c r="D462" i="1"/>
  <c r="D472" i="1"/>
  <c r="D482" i="1"/>
  <c r="D492" i="1"/>
  <c r="D502" i="1"/>
  <c r="D512" i="1"/>
  <c r="D522" i="1"/>
  <c r="D532" i="1"/>
  <c r="D542" i="1"/>
  <c r="D552" i="1"/>
  <c r="D562" i="1"/>
  <c r="D572" i="1"/>
  <c r="D582" i="1"/>
  <c r="D592" i="1"/>
  <c r="D602" i="1"/>
  <c r="D612" i="1"/>
  <c r="D622" i="1"/>
  <c r="D632" i="1"/>
  <c r="D642" i="1"/>
  <c r="D652" i="1"/>
  <c r="D662" i="1"/>
  <c r="D672" i="1"/>
  <c r="D682" i="1"/>
  <c r="D692" i="1"/>
  <c r="D702" i="1"/>
  <c r="D712" i="1"/>
  <c r="D722" i="1"/>
  <c r="D732" i="1"/>
  <c r="D742" i="1"/>
  <c r="D752" i="1"/>
  <c r="D762" i="1"/>
  <c r="D772" i="1"/>
  <c r="D782" i="1"/>
  <c r="D792" i="1"/>
  <c r="D802" i="1"/>
  <c r="D812" i="1"/>
  <c r="D822" i="1"/>
  <c r="D832" i="1"/>
  <c r="D842" i="1"/>
  <c r="D852" i="1"/>
  <c r="D862" i="1"/>
  <c r="D872" i="1"/>
  <c r="D882" i="1"/>
  <c r="D892" i="1"/>
  <c r="E389" i="1"/>
  <c r="E449" i="1"/>
  <c r="E499" i="1"/>
  <c r="E549" i="1"/>
  <c r="E599" i="1"/>
  <c r="E633" i="1"/>
  <c r="E653" i="1"/>
  <c r="E673" i="1"/>
  <c r="E690" i="1"/>
  <c r="E707" i="1"/>
  <c r="E724" i="1"/>
  <c r="E738" i="1"/>
  <c r="E753" i="1"/>
  <c r="E766" i="1"/>
  <c r="E778" i="1"/>
  <c r="E790" i="1"/>
  <c r="E804" i="1"/>
  <c r="E815" i="1"/>
  <c r="E826" i="1"/>
  <c r="E837" i="1"/>
  <c r="E848" i="1"/>
  <c r="E859" i="1"/>
  <c r="E870" i="1"/>
  <c r="E881" i="1"/>
  <c r="E893" i="1"/>
  <c r="E904" i="1"/>
  <c r="E915" i="1"/>
  <c r="E926" i="1"/>
  <c r="E937" i="1"/>
  <c r="E948" i="1"/>
  <c r="E959" i="1"/>
  <c r="E970" i="1"/>
  <c r="E981" i="1"/>
  <c r="E993" i="1"/>
  <c r="E1004" i="1"/>
  <c r="E1015" i="1"/>
  <c r="E1026" i="1"/>
  <c r="E1037" i="1"/>
  <c r="E1048" i="1"/>
  <c r="E1059" i="1"/>
  <c r="E1070" i="1"/>
  <c r="E1081" i="1"/>
  <c r="E1093" i="1"/>
  <c r="E1103" i="1"/>
  <c r="E1113" i="1"/>
  <c r="E1123" i="1"/>
  <c r="E1133" i="1"/>
  <c r="E1143" i="1"/>
  <c r="E1153" i="1"/>
  <c r="E1163" i="1"/>
  <c r="E1173" i="1"/>
  <c r="E1183" i="1"/>
  <c r="E1193" i="1"/>
  <c r="E1203" i="1"/>
  <c r="E1213" i="1"/>
  <c r="E1223" i="1"/>
  <c r="E1233" i="1"/>
  <c r="E1243" i="1"/>
  <c r="E1253" i="1"/>
  <c r="E1263" i="1"/>
  <c r="E1273" i="1"/>
  <c r="E1283" i="1"/>
  <c r="E1293" i="1"/>
  <c r="E1303" i="1"/>
  <c r="E1313" i="1"/>
  <c r="E1323" i="1"/>
  <c r="E1333" i="1"/>
  <c r="E1343" i="1"/>
  <c r="E1353" i="1"/>
  <c r="E1363" i="1"/>
  <c r="E1373" i="1"/>
  <c r="E1383" i="1"/>
  <c r="E1393" i="1"/>
  <c r="E1403" i="1"/>
  <c r="E1413" i="1"/>
  <c r="E1423" i="1"/>
  <c r="E1433" i="1"/>
  <c r="E1443" i="1"/>
  <c r="E1453" i="1"/>
  <c r="E1463" i="1"/>
  <c r="E1473" i="1"/>
  <c r="E1483" i="1"/>
  <c r="E1493" i="1"/>
  <c r="E1503" i="1"/>
  <c r="E1513" i="1"/>
  <c r="E1523" i="1"/>
  <c r="E1533" i="1"/>
  <c r="E1543" i="1"/>
  <c r="E1553" i="1"/>
  <c r="E1563" i="1"/>
  <c r="E1573" i="1"/>
  <c r="E1583" i="1"/>
  <c r="E1593" i="1"/>
  <c r="E1603" i="1"/>
  <c r="E1613" i="1"/>
  <c r="E1623" i="1"/>
  <c r="E1633" i="1"/>
  <c r="E1643" i="1"/>
  <c r="E1653" i="1"/>
  <c r="E1663" i="1"/>
  <c r="E1673" i="1"/>
  <c r="E1683" i="1"/>
  <c r="E1693" i="1"/>
  <c r="E1703" i="1"/>
  <c r="E1713" i="1"/>
  <c r="E1723" i="1"/>
  <c r="E1733" i="1"/>
  <c r="E1743" i="1"/>
  <c r="E1753" i="1"/>
  <c r="E1763" i="1"/>
  <c r="E1773" i="1"/>
  <c r="E1783" i="1"/>
  <c r="E1793" i="1"/>
  <c r="D3" i="1"/>
  <c r="D13" i="1"/>
  <c r="D23" i="1"/>
  <c r="D33" i="1"/>
  <c r="D43" i="1"/>
  <c r="D53" i="1"/>
  <c r="D63" i="1"/>
  <c r="D73" i="1"/>
  <c r="D83" i="1"/>
  <c r="D93" i="1"/>
  <c r="D103" i="1"/>
  <c r="D113" i="1"/>
  <c r="D123" i="1"/>
  <c r="D133" i="1"/>
  <c r="D143" i="1"/>
  <c r="D153" i="1"/>
  <c r="D163" i="1"/>
  <c r="D173" i="1"/>
  <c r="D183" i="1"/>
  <c r="D193" i="1"/>
  <c r="D203" i="1"/>
  <c r="D213" i="1"/>
  <c r="D223" i="1"/>
  <c r="D233" i="1"/>
  <c r="D243" i="1"/>
  <c r="D253" i="1"/>
  <c r="D263" i="1"/>
  <c r="D273" i="1"/>
  <c r="D283" i="1"/>
  <c r="D293" i="1"/>
  <c r="D303" i="1"/>
  <c r="D313" i="1"/>
  <c r="D323" i="1"/>
  <c r="D333" i="1"/>
  <c r="D343" i="1"/>
  <c r="D353" i="1"/>
  <c r="D363" i="1"/>
  <c r="D373" i="1"/>
  <c r="D383" i="1"/>
  <c r="D393" i="1"/>
  <c r="D403" i="1"/>
  <c r="D413" i="1"/>
  <c r="D423" i="1"/>
  <c r="D433" i="1"/>
  <c r="D443" i="1"/>
  <c r="D453" i="1"/>
  <c r="D463" i="1"/>
  <c r="D473" i="1"/>
  <c r="D483" i="1"/>
  <c r="D493" i="1"/>
  <c r="D503" i="1"/>
  <c r="D513" i="1"/>
  <c r="D523" i="1"/>
  <c r="D533" i="1"/>
  <c r="D543" i="1"/>
  <c r="D553" i="1"/>
  <c r="D563" i="1"/>
  <c r="D573" i="1"/>
  <c r="D583" i="1"/>
  <c r="D593" i="1"/>
  <c r="D603" i="1"/>
  <c r="D613" i="1"/>
  <c r="D623" i="1"/>
  <c r="D633" i="1"/>
  <c r="D643" i="1"/>
  <c r="D653" i="1"/>
  <c r="D663" i="1"/>
  <c r="D673" i="1"/>
  <c r="D683" i="1"/>
  <c r="D693" i="1"/>
  <c r="D703" i="1"/>
  <c r="D713" i="1"/>
  <c r="D723" i="1"/>
  <c r="D733" i="1"/>
  <c r="D743" i="1"/>
  <c r="D753" i="1"/>
  <c r="D763" i="1"/>
  <c r="D773" i="1"/>
  <c r="D783" i="1"/>
  <c r="D793" i="1"/>
  <c r="D803" i="1"/>
  <c r="D813" i="1"/>
  <c r="D823" i="1"/>
  <c r="D833" i="1"/>
  <c r="D843" i="1"/>
  <c r="D853" i="1"/>
  <c r="D863" i="1"/>
  <c r="D873" i="1"/>
  <c r="D883" i="1"/>
  <c r="D893" i="1"/>
  <c r="D903" i="1"/>
  <c r="D913" i="1"/>
  <c r="D923" i="1"/>
  <c r="D933" i="1"/>
  <c r="D943" i="1"/>
  <c r="D953" i="1"/>
  <c r="D963" i="1"/>
  <c r="D973" i="1"/>
  <c r="D983" i="1"/>
  <c r="D993" i="1"/>
  <c r="D1003" i="1"/>
  <c r="D1013" i="1"/>
  <c r="D1023" i="1"/>
  <c r="D1033" i="1"/>
  <c r="D1043" i="1"/>
  <c r="D1053" i="1"/>
  <c r="D1063" i="1"/>
  <c r="D1073" i="1"/>
  <c r="D1083" i="1"/>
  <c r="D1093" i="1"/>
  <c r="D1103" i="1"/>
  <c r="E399" i="1"/>
  <c r="E455" i="1"/>
  <c r="E505" i="1"/>
  <c r="E555" i="1"/>
  <c r="E605" i="1"/>
  <c r="E634" i="1"/>
  <c r="E654" i="1"/>
  <c r="E674" i="1"/>
  <c r="E693" i="1"/>
  <c r="E709" i="1"/>
  <c r="E725" i="1"/>
  <c r="E739" i="1"/>
  <c r="E754" i="1"/>
  <c r="E767" i="1"/>
  <c r="E779" i="1"/>
  <c r="E793" i="1"/>
  <c r="E805" i="1"/>
  <c r="E816" i="1"/>
  <c r="E827" i="1"/>
  <c r="E838" i="1"/>
  <c r="E849" i="1"/>
  <c r="E860" i="1"/>
  <c r="E871" i="1"/>
  <c r="E883" i="1"/>
  <c r="E894" i="1"/>
  <c r="E905" i="1"/>
  <c r="E916" i="1"/>
  <c r="E927" i="1"/>
  <c r="E938" i="1"/>
  <c r="E949" i="1"/>
  <c r="E960" i="1"/>
  <c r="E971" i="1"/>
  <c r="E983" i="1"/>
  <c r="E994" i="1"/>
  <c r="E1005" i="1"/>
  <c r="E1016" i="1"/>
  <c r="E1027" i="1"/>
  <c r="E1038" i="1"/>
  <c r="E1049" i="1"/>
  <c r="E1060" i="1"/>
  <c r="E1071" i="1"/>
  <c r="E1083" i="1"/>
  <c r="E1094" i="1"/>
  <c r="E1104" i="1"/>
  <c r="E1114" i="1"/>
  <c r="E1124" i="1"/>
  <c r="E1134" i="1"/>
  <c r="E1144" i="1"/>
  <c r="E1154" i="1"/>
  <c r="E1164" i="1"/>
  <c r="E1174" i="1"/>
  <c r="E1184" i="1"/>
  <c r="E1194" i="1"/>
  <c r="E1204" i="1"/>
  <c r="E1214" i="1"/>
  <c r="E1224" i="1"/>
  <c r="E1234" i="1"/>
  <c r="E1244" i="1"/>
  <c r="E1254" i="1"/>
  <c r="E1264" i="1"/>
  <c r="E1274" i="1"/>
  <c r="E1284" i="1"/>
  <c r="E1294" i="1"/>
  <c r="E1304" i="1"/>
  <c r="E1314" i="1"/>
  <c r="E1324" i="1"/>
  <c r="E1334" i="1"/>
  <c r="E1344" i="1"/>
  <c r="E1354" i="1"/>
  <c r="E1364" i="1"/>
  <c r="E1374" i="1"/>
  <c r="E1384" i="1"/>
  <c r="E1394" i="1"/>
  <c r="E1404" i="1"/>
  <c r="E1414" i="1"/>
  <c r="E1424" i="1"/>
  <c r="E1434" i="1"/>
  <c r="E1444" i="1"/>
  <c r="E1454" i="1"/>
  <c r="E1464" i="1"/>
  <c r="E1474" i="1"/>
  <c r="E1484" i="1"/>
  <c r="E1494" i="1"/>
  <c r="E1504" i="1"/>
  <c r="E1514" i="1"/>
  <c r="E1524" i="1"/>
  <c r="E1534" i="1"/>
  <c r="E1544" i="1"/>
  <c r="E1554" i="1"/>
  <c r="E1564" i="1"/>
  <c r="E1574" i="1"/>
  <c r="E1584" i="1"/>
  <c r="E1594" i="1"/>
  <c r="E1604" i="1"/>
  <c r="E1614" i="1"/>
  <c r="E1624" i="1"/>
  <c r="E1634" i="1"/>
  <c r="E1644" i="1"/>
  <c r="E1654" i="1"/>
  <c r="E1664" i="1"/>
  <c r="E1674" i="1"/>
  <c r="E1684" i="1"/>
  <c r="E1694" i="1"/>
  <c r="E1704" i="1"/>
  <c r="E1714" i="1"/>
  <c r="E1724" i="1"/>
  <c r="E1734" i="1"/>
  <c r="E1744" i="1"/>
  <c r="E1754" i="1"/>
  <c r="E1764" i="1"/>
  <c r="E1774" i="1"/>
  <c r="E1784" i="1"/>
  <c r="E1794" i="1"/>
  <c r="D4" i="1"/>
  <c r="D14" i="1"/>
  <c r="D24" i="1"/>
  <c r="D34" i="1"/>
  <c r="D44" i="1"/>
  <c r="D54" i="1"/>
  <c r="D64" i="1"/>
  <c r="D74" i="1"/>
  <c r="D84" i="1"/>
  <c r="D94" i="1"/>
  <c r="D104" i="1"/>
  <c r="D114" i="1"/>
  <c r="D124" i="1"/>
  <c r="D134" i="1"/>
  <c r="D144" i="1"/>
  <c r="D154" i="1"/>
  <c r="D164" i="1"/>
  <c r="D174" i="1"/>
  <c r="D184" i="1"/>
  <c r="D194" i="1"/>
  <c r="D204" i="1"/>
  <c r="D214" i="1"/>
  <c r="D224" i="1"/>
  <c r="D234" i="1"/>
  <c r="D244" i="1"/>
  <c r="D254" i="1"/>
  <c r="D264" i="1"/>
  <c r="D274" i="1"/>
  <c r="D284" i="1"/>
  <c r="D294" i="1"/>
  <c r="D304" i="1"/>
  <c r="D314" i="1"/>
  <c r="D324" i="1"/>
  <c r="D334" i="1"/>
  <c r="D344" i="1"/>
  <c r="D354" i="1"/>
  <c r="D364" i="1"/>
  <c r="D374" i="1"/>
  <c r="D384" i="1"/>
  <c r="D394" i="1"/>
  <c r="D404" i="1"/>
  <c r="D414" i="1"/>
  <c r="D424" i="1"/>
  <c r="D434" i="1"/>
  <c r="D444" i="1"/>
  <c r="D454" i="1"/>
  <c r="D464" i="1"/>
  <c r="D474" i="1"/>
  <c r="D484" i="1"/>
  <c r="D494" i="1"/>
  <c r="D504" i="1"/>
  <c r="D514" i="1"/>
  <c r="D524" i="1"/>
  <c r="D534" i="1"/>
  <c r="D544" i="1"/>
  <c r="D554" i="1"/>
  <c r="D564" i="1"/>
  <c r="D574" i="1"/>
  <c r="D584" i="1"/>
  <c r="D594" i="1"/>
  <c r="D604" i="1"/>
  <c r="D614" i="1"/>
  <c r="D624" i="1"/>
  <c r="D634" i="1"/>
  <c r="D644" i="1"/>
  <c r="D654" i="1"/>
  <c r="D664" i="1"/>
  <c r="D674" i="1"/>
  <c r="D684" i="1"/>
  <c r="D694" i="1"/>
  <c r="D704" i="1"/>
  <c r="D714" i="1"/>
  <c r="D724" i="1"/>
  <c r="D734" i="1"/>
  <c r="D744" i="1"/>
  <c r="D754" i="1"/>
  <c r="D764" i="1"/>
  <c r="D774" i="1"/>
  <c r="D784" i="1"/>
  <c r="D794" i="1"/>
  <c r="D804" i="1"/>
  <c r="D814" i="1"/>
  <c r="D824" i="1"/>
  <c r="D834" i="1"/>
  <c r="D844" i="1"/>
  <c r="D854" i="1"/>
  <c r="D864" i="1"/>
  <c r="D874" i="1"/>
  <c r="E409" i="1"/>
  <c r="E459" i="1"/>
  <c r="E509" i="1"/>
  <c r="E559" i="1"/>
  <c r="E609" i="1"/>
  <c r="E635" i="1"/>
  <c r="E655" i="1"/>
  <c r="E675" i="1"/>
  <c r="E694" i="1"/>
  <c r="E710" i="1"/>
  <c r="E727" i="1"/>
  <c r="E740" i="1"/>
  <c r="E755" i="1"/>
  <c r="E768" i="1"/>
  <c r="E780" i="1"/>
  <c r="E794" i="1"/>
  <c r="E806" i="1"/>
  <c r="E817" i="1"/>
  <c r="E828" i="1"/>
  <c r="E839" i="1"/>
  <c r="E850" i="1"/>
  <c r="E861" i="1"/>
  <c r="E873" i="1"/>
  <c r="E884" i="1"/>
  <c r="E895" i="1"/>
  <c r="E906" i="1"/>
  <c r="E917" i="1"/>
  <c r="E928" i="1"/>
  <c r="E939" i="1"/>
  <c r="E950" i="1"/>
  <c r="E961" i="1"/>
  <c r="E973" i="1"/>
  <c r="E984" i="1"/>
  <c r="E995" i="1"/>
  <c r="E1006" i="1"/>
  <c r="E1017" i="1"/>
  <c r="E1028" i="1"/>
  <c r="E1039" i="1"/>
  <c r="E1050" i="1"/>
  <c r="E1061" i="1"/>
  <c r="E1073" i="1"/>
  <c r="E1084" i="1"/>
  <c r="E1095" i="1"/>
  <c r="E1105" i="1"/>
  <c r="E1115" i="1"/>
  <c r="E1125" i="1"/>
  <c r="E1135" i="1"/>
  <c r="E1145" i="1"/>
  <c r="E1155" i="1"/>
  <c r="E1165" i="1"/>
  <c r="E1175" i="1"/>
  <c r="E1185" i="1"/>
  <c r="E1195" i="1"/>
  <c r="E1205" i="1"/>
  <c r="E1215" i="1"/>
  <c r="E1225" i="1"/>
  <c r="E1235" i="1"/>
  <c r="E1245" i="1"/>
  <c r="E1255" i="1"/>
  <c r="E1265" i="1"/>
  <c r="E1275" i="1"/>
  <c r="E1285" i="1"/>
  <c r="E1295" i="1"/>
  <c r="E1305" i="1"/>
  <c r="E1315" i="1"/>
  <c r="E1325" i="1"/>
  <c r="E1335" i="1"/>
  <c r="E1345" i="1"/>
  <c r="E1355" i="1"/>
  <c r="E1365" i="1"/>
  <c r="E1375" i="1"/>
  <c r="E1385" i="1"/>
  <c r="E1395" i="1"/>
  <c r="E1405" i="1"/>
  <c r="E1415" i="1"/>
  <c r="E1425" i="1"/>
  <c r="E1435" i="1"/>
  <c r="E1445" i="1"/>
  <c r="E1455" i="1"/>
  <c r="E1465" i="1"/>
  <c r="E1475" i="1"/>
  <c r="E1485" i="1"/>
  <c r="E1495" i="1"/>
  <c r="E1505" i="1"/>
  <c r="E1515" i="1"/>
  <c r="E1525" i="1"/>
  <c r="E1535" i="1"/>
  <c r="E1545" i="1"/>
  <c r="E1555" i="1"/>
  <c r="E1565" i="1"/>
  <c r="E1575" i="1"/>
  <c r="E1585" i="1"/>
  <c r="E1595" i="1"/>
  <c r="E1605" i="1"/>
  <c r="E1615" i="1"/>
  <c r="E1625" i="1"/>
  <c r="E1635" i="1"/>
  <c r="E1645" i="1"/>
  <c r="E1655" i="1"/>
  <c r="E1665" i="1"/>
  <c r="E1675" i="1"/>
  <c r="E1685" i="1"/>
  <c r="E1695" i="1"/>
  <c r="E1705" i="1"/>
  <c r="E1715" i="1"/>
  <c r="E1725" i="1"/>
  <c r="E1735" i="1"/>
  <c r="E1745" i="1"/>
  <c r="E1755" i="1"/>
  <c r="E1765" i="1"/>
  <c r="E1775" i="1"/>
  <c r="E1785" i="1"/>
  <c r="E1795" i="1"/>
  <c r="D5" i="1"/>
  <c r="D15" i="1"/>
  <c r="D25" i="1"/>
  <c r="D35" i="1"/>
  <c r="D45" i="1"/>
  <c r="D55" i="1"/>
  <c r="D65" i="1"/>
  <c r="D75" i="1"/>
  <c r="D85" i="1"/>
  <c r="D95" i="1"/>
  <c r="D105" i="1"/>
  <c r="D115" i="1"/>
  <c r="D125" i="1"/>
  <c r="D135" i="1"/>
  <c r="D145" i="1"/>
  <c r="D155" i="1"/>
  <c r="D165" i="1"/>
  <c r="D175" i="1"/>
  <c r="D185" i="1"/>
  <c r="D195" i="1"/>
  <c r="D205" i="1"/>
  <c r="D215" i="1"/>
  <c r="D225" i="1"/>
  <c r="D235" i="1"/>
  <c r="D245" i="1"/>
  <c r="D255" i="1"/>
  <c r="D265" i="1"/>
  <c r="D275" i="1"/>
  <c r="D285" i="1"/>
  <c r="D295" i="1"/>
  <c r="D305" i="1"/>
  <c r="D315" i="1"/>
  <c r="D325" i="1"/>
  <c r="D335" i="1"/>
  <c r="D345" i="1"/>
  <c r="D355" i="1"/>
  <c r="D365" i="1"/>
  <c r="D375" i="1"/>
  <c r="D385" i="1"/>
  <c r="D395" i="1"/>
  <c r="D405" i="1"/>
  <c r="D415" i="1"/>
  <c r="D425" i="1"/>
  <c r="D435" i="1"/>
  <c r="D445" i="1"/>
  <c r="D455" i="1"/>
  <c r="D465" i="1"/>
  <c r="D475" i="1"/>
  <c r="D485" i="1"/>
  <c r="D495" i="1"/>
  <c r="D505" i="1"/>
  <c r="D515" i="1"/>
  <c r="D525" i="1"/>
  <c r="D535" i="1"/>
  <c r="D545" i="1"/>
  <c r="D555" i="1"/>
  <c r="D565" i="1"/>
  <c r="D575" i="1"/>
  <c r="D585" i="1"/>
  <c r="D595" i="1"/>
  <c r="D605" i="1"/>
  <c r="D615" i="1"/>
  <c r="D625" i="1"/>
  <c r="D635" i="1"/>
  <c r="D645" i="1"/>
  <c r="D655" i="1"/>
  <c r="D665" i="1"/>
  <c r="D675" i="1"/>
  <c r="D685" i="1"/>
  <c r="D695" i="1"/>
  <c r="D705" i="1"/>
  <c r="D755" i="1"/>
  <c r="D805" i="1"/>
  <c r="D846" i="1"/>
  <c r="D876" i="1"/>
  <c r="D896" i="1"/>
  <c r="D914" i="1"/>
  <c r="D929" i="1"/>
  <c r="D945" i="1"/>
  <c r="D959" i="1"/>
  <c r="D974" i="1"/>
  <c r="D988" i="1"/>
  <c r="D1002" i="1"/>
  <c r="D1016" i="1"/>
  <c r="D1030" i="1"/>
  <c r="D1045" i="1"/>
  <c r="D1059" i="1"/>
  <c r="D1074" i="1"/>
  <c r="D1088" i="1"/>
  <c r="D1102" i="1"/>
  <c r="D1115" i="1"/>
  <c r="D1128" i="1"/>
  <c r="D1140" i="1"/>
  <c r="D1152" i="1"/>
  <c r="D1163" i="1"/>
  <c r="D1174" i="1"/>
  <c r="D1185" i="1"/>
  <c r="D1196" i="1"/>
  <c r="D1208" i="1"/>
  <c r="D1219" i="1"/>
  <c r="D1230" i="1"/>
  <c r="D1241" i="1"/>
  <c r="D1252" i="1"/>
  <c r="D1263" i="1"/>
  <c r="D1274" i="1"/>
  <c r="D1285" i="1"/>
  <c r="D1296" i="1"/>
  <c r="D1308" i="1"/>
  <c r="D1319" i="1"/>
  <c r="D1330" i="1"/>
  <c r="D1341" i="1"/>
  <c r="D1352" i="1"/>
  <c r="D1363" i="1"/>
  <c r="D1374" i="1"/>
  <c r="D1385" i="1"/>
  <c r="D1396" i="1"/>
  <c r="D1408" i="1"/>
  <c r="D1418" i="1"/>
  <c r="D1428" i="1"/>
  <c r="D1438" i="1"/>
  <c r="D1448" i="1"/>
  <c r="D1458" i="1"/>
  <c r="D1468" i="1"/>
  <c r="D1478" i="1"/>
  <c r="D1488" i="1"/>
  <c r="D1498" i="1"/>
  <c r="D1508" i="1"/>
  <c r="D1518" i="1"/>
  <c r="D1528" i="1"/>
  <c r="D1538" i="1"/>
  <c r="D1548" i="1"/>
  <c r="D1558" i="1"/>
  <c r="D1568" i="1"/>
  <c r="D1578" i="1"/>
  <c r="D1588" i="1"/>
  <c r="D1598" i="1"/>
  <c r="D1608" i="1"/>
  <c r="D1618" i="1"/>
  <c r="D1628" i="1"/>
  <c r="D1638" i="1"/>
  <c r="D1648" i="1"/>
  <c r="D1658" i="1"/>
  <c r="D1668" i="1"/>
  <c r="D1678" i="1"/>
  <c r="D1688" i="1"/>
  <c r="D1698" i="1"/>
  <c r="D1708" i="1"/>
  <c r="D1718" i="1"/>
  <c r="D1728" i="1"/>
  <c r="D1738" i="1"/>
  <c r="D1748" i="1"/>
  <c r="D1758" i="1"/>
  <c r="D1768" i="1"/>
  <c r="D1778" i="1"/>
  <c r="D1788" i="1"/>
  <c r="D1798" i="1"/>
  <c r="C8" i="1"/>
  <c r="C18" i="1"/>
  <c r="C28" i="1"/>
  <c r="C38" i="1"/>
  <c r="C48" i="1"/>
  <c r="C58" i="1"/>
  <c r="C68" i="1"/>
  <c r="C78" i="1"/>
  <c r="C88" i="1"/>
  <c r="C98" i="1"/>
  <c r="C108" i="1"/>
  <c r="C118" i="1"/>
  <c r="C128" i="1"/>
  <c r="C138" i="1"/>
  <c r="C148" i="1"/>
  <c r="C158" i="1"/>
  <c r="C168" i="1"/>
  <c r="C178" i="1"/>
  <c r="C188" i="1"/>
  <c r="C198" i="1"/>
  <c r="C208" i="1"/>
  <c r="C218" i="1"/>
  <c r="C228" i="1"/>
  <c r="C238" i="1"/>
  <c r="C248" i="1"/>
  <c r="C258" i="1"/>
  <c r="C268" i="1"/>
  <c r="C278" i="1"/>
  <c r="C288" i="1"/>
  <c r="C298" i="1"/>
  <c r="C308" i="1"/>
  <c r="C318" i="1"/>
  <c r="C328" i="1"/>
  <c r="C338" i="1"/>
  <c r="C348" i="1"/>
  <c r="C358" i="1"/>
  <c r="C368" i="1"/>
  <c r="C378" i="1"/>
  <c r="C388" i="1"/>
  <c r="C398" i="1"/>
  <c r="C408" i="1"/>
  <c r="C418" i="1"/>
  <c r="C428" i="1"/>
  <c r="C438" i="1"/>
  <c r="C448" i="1"/>
  <c r="C458" i="1"/>
  <c r="C468" i="1"/>
  <c r="C478" i="1"/>
  <c r="C488" i="1"/>
  <c r="C498" i="1"/>
  <c r="C508" i="1"/>
  <c r="C518" i="1"/>
  <c r="C528" i="1"/>
  <c r="C538" i="1"/>
  <c r="C548" i="1"/>
  <c r="C558" i="1"/>
  <c r="C568" i="1"/>
  <c r="C578" i="1"/>
  <c r="C588" i="1"/>
  <c r="C598" i="1"/>
  <c r="C608" i="1"/>
  <c r="C618" i="1"/>
  <c r="C628" i="1"/>
  <c r="C638" i="1"/>
  <c r="C648" i="1"/>
  <c r="C658" i="1"/>
  <c r="C668" i="1"/>
  <c r="C678" i="1"/>
  <c r="C688" i="1"/>
  <c r="C698" i="1"/>
  <c r="C708" i="1"/>
  <c r="C718" i="1"/>
  <c r="C728" i="1"/>
  <c r="C738" i="1"/>
  <c r="C748" i="1"/>
  <c r="C758" i="1"/>
  <c r="C768" i="1"/>
  <c r="C778" i="1"/>
  <c r="C788" i="1"/>
  <c r="C798" i="1"/>
  <c r="C808" i="1"/>
  <c r="C818" i="1"/>
  <c r="C828" i="1"/>
  <c r="C838" i="1"/>
  <c r="C848" i="1"/>
  <c r="C858" i="1"/>
  <c r="C868" i="1"/>
  <c r="C878" i="1"/>
  <c r="C888" i="1"/>
  <c r="C898" i="1"/>
  <c r="C908" i="1"/>
  <c r="C918" i="1"/>
  <c r="C928" i="1"/>
  <c r="C938" i="1"/>
  <c r="C948" i="1"/>
  <c r="C958" i="1"/>
  <c r="C968" i="1"/>
  <c r="C978" i="1"/>
  <c r="C988" i="1"/>
  <c r="C998" i="1"/>
  <c r="C1008" i="1"/>
  <c r="C1018" i="1"/>
  <c r="C1028" i="1"/>
  <c r="C1038" i="1"/>
  <c r="C1048" i="1"/>
  <c r="C1058" i="1"/>
  <c r="C1068" i="1"/>
  <c r="C1078" i="1"/>
  <c r="C1088" i="1"/>
  <c r="C1098" i="1"/>
  <c r="C1108" i="1"/>
  <c r="C1118" i="1"/>
  <c r="C1128" i="1"/>
  <c r="C1138" i="1"/>
  <c r="C1148" i="1"/>
  <c r="C1158" i="1"/>
  <c r="C1168" i="1"/>
  <c r="C1178" i="1"/>
  <c r="C1188" i="1"/>
  <c r="C1198" i="1"/>
  <c r="C1208" i="1"/>
  <c r="C1218" i="1"/>
  <c r="C1228" i="1"/>
  <c r="C1238" i="1"/>
  <c r="C1248" i="1"/>
  <c r="C1258" i="1"/>
  <c r="C1268" i="1"/>
  <c r="C1278" i="1"/>
  <c r="C1288" i="1"/>
  <c r="C1298" i="1"/>
  <c r="C1308" i="1"/>
  <c r="C1318" i="1"/>
  <c r="C1328" i="1"/>
  <c r="C1338" i="1"/>
  <c r="C1348" i="1"/>
  <c r="C1358" i="1"/>
  <c r="C1368" i="1"/>
  <c r="C1378" i="1"/>
  <c r="C1388" i="1"/>
  <c r="C1398" i="1"/>
  <c r="C1408" i="1"/>
  <c r="C1418" i="1"/>
  <c r="C1428" i="1"/>
  <c r="C1438" i="1"/>
  <c r="C1448" i="1"/>
  <c r="C1458" i="1"/>
  <c r="C1468" i="1"/>
  <c r="C1478" i="1"/>
  <c r="C1488" i="1"/>
  <c r="C1498" i="1"/>
  <c r="C1508" i="1"/>
  <c r="C1518" i="1"/>
  <c r="C1528" i="1"/>
  <c r="C1538" i="1"/>
  <c r="C1548" i="1"/>
  <c r="C1558" i="1"/>
  <c r="C1568" i="1"/>
  <c r="C1578" i="1"/>
  <c r="C1588" i="1"/>
  <c r="C1598" i="1"/>
  <c r="C1608" i="1"/>
  <c r="C1618" i="1"/>
  <c r="D709" i="1"/>
  <c r="D759" i="1"/>
  <c r="D809" i="1"/>
  <c r="D849" i="1"/>
  <c r="D878" i="1"/>
  <c r="D898" i="1"/>
  <c r="D915" i="1"/>
  <c r="D932" i="1"/>
  <c r="D946" i="1"/>
  <c r="D960" i="1"/>
  <c r="D975" i="1"/>
  <c r="D989" i="1"/>
  <c r="D1004" i="1"/>
  <c r="D1018" i="1"/>
  <c r="D1032" i="1"/>
  <c r="D1046" i="1"/>
  <c r="D1060" i="1"/>
  <c r="D1075" i="1"/>
  <c r="D1089" i="1"/>
  <c r="D1104" i="1"/>
  <c r="D1116" i="1"/>
  <c r="D1129" i="1"/>
  <c r="D1142" i="1"/>
  <c r="D1153" i="1"/>
  <c r="D1164" i="1"/>
  <c r="D1175" i="1"/>
  <c r="D1186" i="1"/>
  <c r="D1198" i="1"/>
  <c r="D1209" i="1"/>
  <c r="D1220" i="1"/>
  <c r="D1231" i="1"/>
  <c r="D1242" i="1"/>
  <c r="D1253" i="1"/>
  <c r="D1264" i="1"/>
  <c r="D1275" i="1"/>
  <c r="D1286" i="1"/>
  <c r="D1298" i="1"/>
  <c r="D1309" i="1"/>
  <c r="D1320" i="1"/>
  <c r="D1331" i="1"/>
  <c r="D1342" i="1"/>
  <c r="D1353" i="1"/>
  <c r="D1364" i="1"/>
  <c r="D1375" i="1"/>
  <c r="D1386" i="1"/>
  <c r="D1398" i="1"/>
  <c r="D1409" i="1"/>
  <c r="D1419" i="1"/>
  <c r="D1429" i="1"/>
  <c r="D1439" i="1"/>
  <c r="D1449" i="1"/>
  <c r="D1459" i="1"/>
  <c r="D1469" i="1"/>
  <c r="D1479" i="1"/>
  <c r="D1489" i="1"/>
  <c r="D1499" i="1"/>
  <c r="D1509" i="1"/>
  <c r="D1519" i="1"/>
  <c r="D1529" i="1"/>
  <c r="D1539" i="1"/>
  <c r="D1549" i="1"/>
  <c r="D1559" i="1"/>
  <c r="D1569" i="1"/>
  <c r="D1579" i="1"/>
  <c r="D1589" i="1"/>
  <c r="D1599" i="1"/>
  <c r="D1609" i="1"/>
  <c r="D1619" i="1"/>
  <c r="D1629" i="1"/>
  <c r="D1639" i="1"/>
  <c r="D1649" i="1"/>
  <c r="D1659" i="1"/>
  <c r="D1669" i="1"/>
  <c r="D1679" i="1"/>
  <c r="D1689" i="1"/>
  <c r="D1699" i="1"/>
  <c r="D1709" i="1"/>
  <c r="D1719" i="1"/>
  <c r="D1729" i="1"/>
  <c r="D1739" i="1"/>
  <c r="D1749" i="1"/>
  <c r="D1759" i="1"/>
  <c r="D1769" i="1"/>
  <c r="D1779" i="1"/>
  <c r="D1789" i="1"/>
  <c r="D1799" i="1"/>
  <c r="C9" i="1"/>
  <c r="C19" i="1"/>
  <c r="C29" i="1"/>
  <c r="C39" i="1"/>
  <c r="C49" i="1"/>
  <c r="C59" i="1"/>
  <c r="C69" i="1"/>
  <c r="C79" i="1"/>
  <c r="C89" i="1"/>
  <c r="C99" i="1"/>
  <c r="C109" i="1"/>
  <c r="C119" i="1"/>
  <c r="C129" i="1"/>
  <c r="C139" i="1"/>
  <c r="C149" i="1"/>
  <c r="C159" i="1"/>
  <c r="C169" i="1"/>
  <c r="C179" i="1"/>
  <c r="C189" i="1"/>
  <c r="C199" i="1"/>
  <c r="C209" i="1"/>
  <c r="C219" i="1"/>
  <c r="C229" i="1"/>
  <c r="C239" i="1"/>
  <c r="C249" i="1"/>
  <c r="C259" i="1"/>
  <c r="C269" i="1"/>
  <c r="C279" i="1"/>
  <c r="C289" i="1"/>
  <c r="C299" i="1"/>
  <c r="C309" i="1"/>
  <c r="C319" i="1"/>
  <c r="C329" i="1"/>
  <c r="C339" i="1"/>
  <c r="C349" i="1"/>
  <c r="C359" i="1"/>
  <c r="C369" i="1"/>
  <c r="C379" i="1"/>
  <c r="C389" i="1"/>
  <c r="C399" i="1"/>
  <c r="C409" i="1"/>
  <c r="C419" i="1"/>
  <c r="C429" i="1"/>
  <c r="C439" i="1"/>
  <c r="C449" i="1"/>
  <c r="C459" i="1"/>
  <c r="C469" i="1"/>
  <c r="C479" i="1"/>
  <c r="C489" i="1"/>
  <c r="C499" i="1"/>
  <c r="C509" i="1"/>
  <c r="C519" i="1"/>
  <c r="C529" i="1"/>
  <c r="C539" i="1"/>
  <c r="C549" i="1"/>
  <c r="C559" i="1"/>
  <c r="C569" i="1"/>
  <c r="C579" i="1"/>
  <c r="C589" i="1"/>
  <c r="C599" i="1"/>
  <c r="C609" i="1"/>
  <c r="C619" i="1"/>
  <c r="C629" i="1"/>
  <c r="C639" i="1"/>
  <c r="C649" i="1"/>
  <c r="C659" i="1"/>
  <c r="C669" i="1"/>
  <c r="C679" i="1"/>
  <c r="C689" i="1"/>
  <c r="C699" i="1"/>
  <c r="C709" i="1"/>
  <c r="C719" i="1"/>
  <c r="C729" i="1"/>
  <c r="C739" i="1"/>
  <c r="C749" i="1"/>
  <c r="C759" i="1"/>
  <c r="C769" i="1"/>
  <c r="C779" i="1"/>
  <c r="C789" i="1"/>
  <c r="C799" i="1"/>
  <c r="C809" i="1"/>
  <c r="C819" i="1"/>
  <c r="C829" i="1"/>
  <c r="C839" i="1"/>
  <c r="C849" i="1"/>
  <c r="C859" i="1"/>
  <c r="C869" i="1"/>
  <c r="C879" i="1"/>
  <c r="C889" i="1"/>
  <c r="C899" i="1"/>
  <c r="C909" i="1"/>
  <c r="C919" i="1"/>
  <c r="C929" i="1"/>
  <c r="C939" i="1"/>
  <c r="C949" i="1"/>
  <c r="C959" i="1"/>
  <c r="C969" i="1"/>
  <c r="C979" i="1"/>
  <c r="C989" i="1"/>
  <c r="C999" i="1"/>
  <c r="C1009" i="1"/>
  <c r="C1019" i="1"/>
  <c r="C1029" i="1"/>
  <c r="C1039" i="1"/>
  <c r="C1049" i="1"/>
  <c r="C1059" i="1"/>
  <c r="C1069" i="1"/>
  <c r="C1079" i="1"/>
  <c r="C1089" i="1"/>
  <c r="C1099" i="1"/>
  <c r="C1109" i="1"/>
  <c r="C1119" i="1"/>
  <c r="C1129" i="1"/>
  <c r="C1139" i="1"/>
  <c r="C1149" i="1"/>
  <c r="C1159" i="1"/>
  <c r="C1169" i="1"/>
  <c r="C1179" i="1"/>
  <c r="C1189" i="1"/>
  <c r="C1199" i="1"/>
  <c r="C1209" i="1"/>
  <c r="C1219" i="1"/>
  <c r="C1229" i="1"/>
  <c r="C1239" i="1"/>
  <c r="C1249" i="1"/>
  <c r="C1259" i="1"/>
  <c r="C1269" i="1"/>
  <c r="C1279" i="1"/>
  <c r="C1289" i="1"/>
  <c r="C1299" i="1"/>
  <c r="C1309" i="1"/>
  <c r="C1319" i="1"/>
  <c r="C1329" i="1"/>
  <c r="C1339" i="1"/>
  <c r="C1349" i="1"/>
  <c r="C1359" i="1"/>
  <c r="C1369" i="1"/>
  <c r="C1379" i="1"/>
  <c r="C1389" i="1"/>
  <c r="C1399" i="1"/>
  <c r="C1409" i="1"/>
  <c r="C1419" i="1"/>
  <c r="C1429" i="1"/>
  <c r="C1439" i="1"/>
  <c r="C1449" i="1"/>
  <c r="C1459" i="1"/>
  <c r="C1469" i="1"/>
  <c r="C1479" i="1"/>
  <c r="C1489" i="1"/>
  <c r="C1499" i="1"/>
  <c r="C1509" i="1"/>
  <c r="C1519" i="1"/>
  <c r="C1529" i="1"/>
  <c r="C1539" i="1"/>
  <c r="C1549" i="1"/>
  <c r="C1559" i="1"/>
  <c r="C1569" i="1"/>
  <c r="C1579" i="1"/>
  <c r="C1589" i="1"/>
  <c r="D715" i="1"/>
  <c r="D765" i="1"/>
  <c r="D815" i="1"/>
  <c r="D855" i="1"/>
  <c r="D879" i="1"/>
  <c r="D899" i="1"/>
  <c r="D916" i="1"/>
  <c r="D934" i="1"/>
  <c r="D948" i="1"/>
  <c r="D962" i="1"/>
  <c r="D976" i="1"/>
  <c r="D990" i="1"/>
  <c r="D1005" i="1"/>
  <c r="D1019" i="1"/>
  <c r="D1034" i="1"/>
  <c r="D1048" i="1"/>
  <c r="D1062" i="1"/>
  <c r="D1076" i="1"/>
  <c r="D1090" i="1"/>
  <c r="D1105" i="1"/>
  <c r="D1118" i="1"/>
  <c r="D1130" i="1"/>
  <c r="D1143" i="1"/>
  <c r="D1154" i="1"/>
  <c r="D1165" i="1"/>
  <c r="D1176" i="1"/>
  <c r="D1188" i="1"/>
  <c r="D1199" i="1"/>
  <c r="D1210" i="1"/>
  <c r="D1221" i="1"/>
  <c r="D1232" i="1"/>
  <c r="D1243" i="1"/>
  <c r="D1254" i="1"/>
  <c r="D1265" i="1"/>
  <c r="D1276" i="1"/>
  <c r="D1288" i="1"/>
  <c r="D1299" i="1"/>
  <c r="D1310" i="1"/>
  <c r="D1321" i="1"/>
  <c r="D1332" i="1"/>
  <c r="D1343" i="1"/>
  <c r="D1354" i="1"/>
  <c r="D1365" i="1"/>
  <c r="D1376" i="1"/>
  <c r="D1388" i="1"/>
  <c r="D1399" i="1"/>
  <c r="D1410" i="1"/>
  <c r="D1420" i="1"/>
  <c r="D1430" i="1"/>
  <c r="D1440" i="1"/>
  <c r="D1450" i="1"/>
  <c r="D1460" i="1"/>
  <c r="D1470" i="1"/>
  <c r="D1480" i="1"/>
  <c r="D1490" i="1"/>
  <c r="D1500" i="1"/>
  <c r="D1510" i="1"/>
  <c r="D1520" i="1"/>
  <c r="D1530" i="1"/>
  <c r="D1540" i="1"/>
  <c r="D1550" i="1"/>
  <c r="D1560" i="1"/>
  <c r="D1570" i="1"/>
  <c r="D1580" i="1"/>
  <c r="D1590" i="1"/>
  <c r="D1600" i="1"/>
  <c r="D1610" i="1"/>
  <c r="D1620" i="1"/>
  <c r="D1630" i="1"/>
  <c r="D1640" i="1"/>
  <c r="D1650" i="1"/>
  <c r="D1660" i="1"/>
  <c r="D1670" i="1"/>
  <c r="D1680" i="1"/>
  <c r="D1690" i="1"/>
  <c r="D1700" i="1"/>
  <c r="D1710" i="1"/>
  <c r="D1720" i="1"/>
  <c r="D1730" i="1"/>
  <c r="D1740" i="1"/>
  <c r="D1750" i="1"/>
  <c r="D1760" i="1"/>
  <c r="D1770" i="1"/>
  <c r="D1780" i="1"/>
  <c r="D1790" i="1"/>
  <c r="D1800" i="1"/>
  <c r="C10" i="1"/>
  <c r="C20" i="1"/>
  <c r="C30" i="1"/>
  <c r="C40" i="1"/>
  <c r="C50" i="1"/>
  <c r="C60" i="1"/>
  <c r="C70" i="1"/>
  <c r="C80" i="1"/>
  <c r="C90" i="1"/>
  <c r="C100" i="1"/>
  <c r="C110" i="1"/>
  <c r="C120" i="1"/>
  <c r="C130" i="1"/>
  <c r="C140" i="1"/>
  <c r="C150" i="1"/>
  <c r="C160" i="1"/>
  <c r="C170" i="1"/>
  <c r="C180" i="1"/>
  <c r="C190" i="1"/>
  <c r="C200" i="1"/>
  <c r="C210" i="1"/>
  <c r="C220" i="1"/>
  <c r="C230" i="1"/>
  <c r="C240" i="1"/>
  <c r="C250" i="1"/>
  <c r="C260" i="1"/>
  <c r="C270" i="1"/>
  <c r="C280" i="1"/>
  <c r="C290" i="1"/>
  <c r="C300" i="1"/>
  <c r="C310" i="1"/>
  <c r="C320" i="1"/>
  <c r="C330" i="1"/>
  <c r="C340" i="1"/>
  <c r="C350" i="1"/>
  <c r="C360" i="1"/>
  <c r="C370" i="1"/>
  <c r="C380" i="1"/>
  <c r="C390" i="1"/>
  <c r="C400" i="1"/>
  <c r="C410" i="1"/>
  <c r="C420" i="1"/>
  <c r="C430" i="1"/>
  <c r="C440" i="1"/>
  <c r="C450" i="1"/>
  <c r="C460" i="1"/>
  <c r="C470" i="1"/>
  <c r="C480" i="1"/>
  <c r="C490" i="1"/>
  <c r="C500" i="1"/>
  <c r="C510" i="1"/>
  <c r="C520" i="1"/>
  <c r="C530" i="1"/>
  <c r="C540" i="1"/>
  <c r="C550" i="1"/>
  <c r="C560" i="1"/>
  <c r="C570" i="1"/>
  <c r="C580" i="1"/>
  <c r="C590" i="1"/>
  <c r="C600" i="1"/>
  <c r="C610" i="1"/>
  <c r="C620" i="1"/>
  <c r="C630" i="1"/>
  <c r="C640" i="1"/>
  <c r="C650" i="1"/>
  <c r="C660" i="1"/>
  <c r="C670" i="1"/>
  <c r="C680" i="1"/>
  <c r="C690" i="1"/>
  <c r="C700" i="1"/>
  <c r="C710" i="1"/>
  <c r="C720" i="1"/>
  <c r="C730" i="1"/>
  <c r="C740" i="1"/>
  <c r="C750" i="1"/>
  <c r="C760" i="1"/>
  <c r="C770" i="1"/>
  <c r="C780" i="1"/>
  <c r="C790" i="1"/>
  <c r="C800" i="1"/>
  <c r="C810" i="1"/>
  <c r="C820" i="1"/>
  <c r="C830" i="1"/>
  <c r="C840" i="1"/>
  <c r="C850" i="1"/>
  <c r="C860" i="1"/>
  <c r="C870" i="1"/>
  <c r="C880" i="1"/>
  <c r="C890" i="1"/>
  <c r="C900" i="1"/>
  <c r="C910" i="1"/>
  <c r="C920" i="1"/>
  <c r="C930" i="1"/>
  <c r="C940" i="1"/>
  <c r="C950" i="1"/>
  <c r="C960" i="1"/>
  <c r="C970" i="1"/>
  <c r="C980" i="1"/>
  <c r="C990" i="1"/>
  <c r="C1000" i="1"/>
  <c r="C1010" i="1"/>
  <c r="C1020" i="1"/>
  <c r="C1030" i="1"/>
  <c r="C1040" i="1"/>
  <c r="C1050" i="1"/>
  <c r="C1060" i="1"/>
  <c r="C1070" i="1"/>
  <c r="C1080" i="1"/>
  <c r="C1090" i="1"/>
  <c r="C1100" i="1"/>
  <c r="C1110" i="1"/>
  <c r="C1120" i="1"/>
  <c r="C1130" i="1"/>
  <c r="C1140" i="1"/>
  <c r="C1150" i="1"/>
  <c r="C1160" i="1"/>
  <c r="C1170" i="1"/>
  <c r="C1180" i="1"/>
  <c r="C1190" i="1"/>
  <c r="C1200" i="1"/>
  <c r="C1210" i="1"/>
  <c r="C1220" i="1"/>
  <c r="C1230" i="1"/>
  <c r="C1240" i="1"/>
  <c r="C1250" i="1"/>
  <c r="C1260" i="1"/>
  <c r="C1270" i="1"/>
  <c r="C1280" i="1"/>
  <c r="C1290" i="1"/>
  <c r="C1300" i="1"/>
  <c r="C1310" i="1"/>
  <c r="C1320" i="1"/>
  <c r="C1330" i="1"/>
  <c r="C1340" i="1"/>
  <c r="C1350" i="1"/>
  <c r="C1360" i="1"/>
  <c r="C1370" i="1"/>
  <c r="C1380" i="1"/>
  <c r="C1390" i="1"/>
  <c r="C1400" i="1"/>
  <c r="C1410" i="1"/>
  <c r="C1420" i="1"/>
  <c r="C1430" i="1"/>
  <c r="C1440" i="1"/>
  <c r="C1450" i="1"/>
  <c r="C1460" i="1"/>
  <c r="C1470" i="1"/>
  <c r="C1480" i="1"/>
  <c r="C1490" i="1"/>
  <c r="C1500" i="1"/>
  <c r="C1510" i="1"/>
  <c r="C1520" i="1"/>
  <c r="C1530" i="1"/>
  <c r="C1540" i="1"/>
  <c r="C1550" i="1"/>
  <c r="C1560" i="1"/>
  <c r="C1570" i="1"/>
  <c r="C1580" i="1"/>
  <c r="C1590" i="1"/>
  <c r="C1600" i="1"/>
  <c r="C1610" i="1"/>
  <c r="C1620" i="1"/>
  <c r="C1630" i="1"/>
  <c r="C1640" i="1"/>
  <c r="C1650" i="1"/>
  <c r="C1660" i="1"/>
  <c r="C1670" i="1"/>
  <c r="C1680" i="1"/>
  <c r="C1690" i="1"/>
  <c r="C1700" i="1"/>
  <c r="C1710" i="1"/>
  <c r="C1720" i="1"/>
  <c r="C1730" i="1"/>
  <c r="C1740" i="1"/>
  <c r="C1750" i="1"/>
  <c r="C1760" i="1"/>
  <c r="C1770" i="1"/>
  <c r="C1780" i="1"/>
  <c r="C1790" i="1"/>
  <c r="C1800" i="1"/>
  <c r="B10" i="1"/>
  <c r="B20" i="1"/>
  <c r="B30" i="1"/>
  <c r="B40" i="1"/>
  <c r="D719" i="1"/>
  <c r="D769" i="1"/>
  <c r="D819" i="1"/>
  <c r="D856" i="1"/>
  <c r="D884" i="1"/>
  <c r="D902" i="1"/>
  <c r="D918" i="1"/>
  <c r="D935" i="1"/>
  <c r="D949" i="1"/>
  <c r="D964" i="1"/>
  <c r="D978" i="1"/>
  <c r="D992" i="1"/>
  <c r="D1006" i="1"/>
  <c r="D1020" i="1"/>
  <c r="D1035" i="1"/>
  <c r="D1049" i="1"/>
  <c r="D1064" i="1"/>
  <c r="D1078" i="1"/>
  <c r="D1092" i="1"/>
  <c r="D1106" i="1"/>
  <c r="D1119" i="1"/>
  <c r="D1132" i="1"/>
  <c r="D1144" i="1"/>
  <c r="D1155" i="1"/>
  <c r="D1166" i="1"/>
  <c r="D1178" i="1"/>
  <c r="D1189" i="1"/>
  <c r="D1200" i="1"/>
  <c r="D1211" i="1"/>
  <c r="D1222" i="1"/>
  <c r="D1233" i="1"/>
  <c r="D1244" i="1"/>
  <c r="D1255" i="1"/>
  <c r="D1266" i="1"/>
  <c r="D1278" i="1"/>
  <c r="D1289" i="1"/>
  <c r="D1300" i="1"/>
  <c r="D1311" i="1"/>
  <c r="D1322" i="1"/>
  <c r="D1333" i="1"/>
  <c r="D1344" i="1"/>
  <c r="D1355" i="1"/>
  <c r="D1366" i="1"/>
  <c r="D1378" i="1"/>
  <c r="D1389" i="1"/>
  <c r="D1400" i="1"/>
  <c r="D1411" i="1"/>
  <c r="D1421" i="1"/>
  <c r="D1431" i="1"/>
  <c r="D1441" i="1"/>
  <c r="D1451" i="1"/>
  <c r="D1461" i="1"/>
  <c r="D1471" i="1"/>
  <c r="D1481" i="1"/>
  <c r="D1491" i="1"/>
  <c r="D1501" i="1"/>
  <c r="D1511" i="1"/>
  <c r="D1521" i="1"/>
  <c r="D1531" i="1"/>
  <c r="D1541" i="1"/>
  <c r="D1551" i="1"/>
  <c r="D1561" i="1"/>
  <c r="D1571" i="1"/>
  <c r="D1581" i="1"/>
  <c r="D1591" i="1"/>
  <c r="D1601" i="1"/>
  <c r="D1611" i="1"/>
  <c r="D1621" i="1"/>
  <c r="D1631" i="1"/>
  <c r="D1641" i="1"/>
  <c r="D1651" i="1"/>
  <c r="D1661" i="1"/>
  <c r="D1671" i="1"/>
  <c r="D1681" i="1"/>
  <c r="D1691" i="1"/>
  <c r="D1701" i="1"/>
  <c r="D1711" i="1"/>
  <c r="D1721" i="1"/>
  <c r="D1731" i="1"/>
  <c r="D1741" i="1"/>
  <c r="D1751" i="1"/>
  <c r="D1761" i="1"/>
  <c r="D1771" i="1"/>
  <c r="D1781" i="1"/>
  <c r="D1791" i="1"/>
  <c r="D1801" i="1"/>
  <c r="C11" i="1"/>
  <c r="C21" i="1"/>
  <c r="C31" i="1"/>
  <c r="C41" i="1"/>
  <c r="C51" i="1"/>
  <c r="C61" i="1"/>
  <c r="C71" i="1"/>
  <c r="C81" i="1"/>
  <c r="C91" i="1"/>
  <c r="C101" i="1"/>
  <c r="C111" i="1"/>
  <c r="C121" i="1"/>
  <c r="C131" i="1"/>
  <c r="C141" i="1"/>
  <c r="C151" i="1"/>
  <c r="C161" i="1"/>
  <c r="C171" i="1"/>
  <c r="C181" i="1"/>
  <c r="C191" i="1"/>
  <c r="C201" i="1"/>
  <c r="C211" i="1"/>
  <c r="C221" i="1"/>
  <c r="C231" i="1"/>
  <c r="C241" i="1"/>
  <c r="C251" i="1"/>
  <c r="C261" i="1"/>
  <c r="C271" i="1"/>
  <c r="C281" i="1"/>
  <c r="C291" i="1"/>
  <c r="C301" i="1"/>
  <c r="C311" i="1"/>
  <c r="C321" i="1"/>
  <c r="C331" i="1"/>
  <c r="C341" i="1"/>
  <c r="C351" i="1"/>
  <c r="C361" i="1"/>
  <c r="C371" i="1"/>
  <c r="C381" i="1"/>
  <c r="C391" i="1"/>
  <c r="C401" i="1"/>
  <c r="C411" i="1"/>
  <c r="C421" i="1"/>
  <c r="C431" i="1"/>
  <c r="C441" i="1"/>
  <c r="C451" i="1"/>
  <c r="C461" i="1"/>
  <c r="C471" i="1"/>
  <c r="C481" i="1"/>
  <c r="C491" i="1"/>
  <c r="C501" i="1"/>
  <c r="C511" i="1"/>
  <c r="C521" i="1"/>
  <c r="C531" i="1"/>
  <c r="C541" i="1"/>
  <c r="C551" i="1"/>
  <c r="C561" i="1"/>
  <c r="C571" i="1"/>
  <c r="C581" i="1"/>
  <c r="C591" i="1"/>
  <c r="C601" i="1"/>
  <c r="C611" i="1"/>
  <c r="C621" i="1"/>
  <c r="C631" i="1"/>
  <c r="C641" i="1"/>
  <c r="C651" i="1"/>
  <c r="C661" i="1"/>
  <c r="C671" i="1"/>
  <c r="C681" i="1"/>
  <c r="C691" i="1"/>
  <c r="C701" i="1"/>
  <c r="C711" i="1"/>
  <c r="C721" i="1"/>
  <c r="C731" i="1"/>
  <c r="C741" i="1"/>
  <c r="C751" i="1"/>
  <c r="C761" i="1"/>
  <c r="C771" i="1"/>
  <c r="C781" i="1"/>
  <c r="C791" i="1"/>
  <c r="C801" i="1"/>
  <c r="C811" i="1"/>
  <c r="C821" i="1"/>
  <c r="C831" i="1"/>
  <c r="C841" i="1"/>
  <c r="C851" i="1"/>
  <c r="C861" i="1"/>
  <c r="C871" i="1"/>
  <c r="C881" i="1"/>
  <c r="C891" i="1"/>
  <c r="C901" i="1"/>
  <c r="C911" i="1"/>
  <c r="C921" i="1"/>
  <c r="C931" i="1"/>
  <c r="C941" i="1"/>
  <c r="C951" i="1"/>
  <c r="C961" i="1"/>
  <c r="C971" i="1"/>
  <c r="C981" i="1"/>
  <c r="C991" i="1"/>
  <c r="C1001" i="1"/>
  <c r="C1011" i="1"/>
  <c r="C1021" i="1"/>
  <c r="C1031" i="1"/>
  <c r="C1041" i="1"/>
  <c r="C1051" i="1"/>
  <c r="C1061" i="1"/>
  <c r="C1071" i="1"/>
  <c r="C1081" i="1"/>
  <c r="C1091" i="1"/>
  <c r="C1101" i="1"/>
  <c r="C1111" i="1"/>
  <c r="C1121" i="1"/>
  <c r="C1131" i="1"/>
  <c r="C1141" i="1"/>
  <c r="C1151" i="1"/>
  <c r="C1161" i="1"/>
  <c r="C1171" i="1"/>
  <c r="C1181" i="1"/>
  <c r="C1191" i="1"/>
  <c r="C1201" i="1"/>
  <c r="C1211" i="1"/>
  <c r="C1221" i="1"/>
  <c r="C1231" i="1"/>
  <c r="C1241" i="1"/>
  <c r="C1251" i="1"/>
  <c r="C1261" i="1"/>
  <c r="C1271" i="1"/>
  <c r="C1281" i="1"/>
  <c r="C1291" i="1"/>
  <c r="C1301" i="1"/>
  <c r="C1311" i="1"/>
  <c r="C1321" i="1"/>
  <c r="C1331" i="1"/>
  <c r="C1341" i="1"/>
  <c r="C1351" i="1"/>
  <c r="C1361" i="1"/>
  <c r="C1371" i="1"/>
  <c r="C1381" i="1"/>
  <c r="C1391" i="1"/>
  <c r="C1401" i="1"/>
  <c r="C1411" i="1"/>
  <c r="C1421" i="1"/>
  <c r="C1431" i="1"/>
  <c r="C1441" i="1"/>
  <c r="C1451" i="1"/>
  <c r="D725" i="1"/>
  <c r="D775" i="1"/>
  <c r="D825" i="1"/>
  <c r="D859" i="1"/>
  <c r="D885" i="1"/>
  <c r="D904" i="1"/>
  <c r="D919" i="1"/>
  <c r="D936" i="1"/>
  <c r="D950" i="1"/>
  <c r="D965" i="1"/>
  <c r="D979" i="1"/>
  <c r="D994" i="1"/>
  <c r="D1008" i="1"/>
  <c r="D1022" i="1"/>
  <c r="D1036" i="1"/>
  <c r="D1050" i="1"/>
  <c r="D1065" i="1"/>
  <c r="D1079" i="1"/>
  <c r="D1094" i="1"/>
  <c r="D1108" i="1"/>
  <c r="D1120" i="1"/>
  <c r="D1133" i="1"/>
  <c r="D1145" i="1"/>
  <c r="D1156" i="1"/>
  <c r="D1168" i="1"/>
  <c r="D1179" i="1"/>
  <c r="D1190" i="1"/>
  <c r="D1201" i="1"/>
  <c r="D1212" i="1"/>
  <c r="D1223" i="1"/>
  <c r="D1234" i="1"/>
  <c r="D1245" i="1"/>
  <c r="D1256" i="1"/>
  <c r="D1268" i="1"/>
  <c r="D1279" i="1"/>
  <c r="D1290" i="1"/>
  <c r="D1301" i="1"/>
  <c r="D1312" i="1"/>
  <c r="D1323" i="1"/>
  <c r="D1334" i="1"/>
  <c r="D1345" i="1"/>
  <c r="D1356" i="1"/>
  <c r="D1368" i="1"/>
  <c r="D1379" i="1"/>
  <c r="D1390" i="1"/>
  <c r="D1401" i="1"/>
  <c r="D1412" i="1"/>
  <c r="D1422" i="1"/>
  <c r="D1432" i="1"/>
  <c r="D1442" i="1"/>
  <c r="D1452" i="1"/>
  <c r="D1462" i="1"/>
  <c r="D1472" i="1"/>
  <c r="D1482" i="1"/>
  <c r="D1492" i="1"/>
  <c r="D1502" i="1"/>
  <c r="D1512" i="1"/>
  <c r="D1522" i="1"/>
  <c r="D1532" i="1"/>
  <c r="D1542" i="1"/>
  <c r="D1552" i="1"/>
  <c r="D1562" i="1"/>
  <c r="D1572" i="1"/>
  <c r="D1582" i="1"/>
  <c r="D1592" i="1"/>
  <c r="D1602" i="1"/>
  <c r="D1612" i="1"/>
  <c r="D1622" i="1"/>
  <c r="D1632" i="1"/>
  <c r="D1642" i="1"/>
  <c r="D1652" i="1"/>
  <c r="D1662" i="1"/>
  <c r="D1672" i="1"/>
  <c r="D1682" i="1"/>
  <c r="D1692" i="1"/>
  <c r="D1702" i="1"/>
  <c r="D1712" i="1"/>
  <c r="D1722" i="1"/>
  <c r="D1732" i="1"/>
  <c r="D1742" i="1"/>
  <c r="D1752" i="1"/>
  <c r="D1762" i="1"/>
  <c r="D1772" i="1"/>
  <c r="D1782" i="1"/>
  <c r="D1792" i="1"/>
  <c r="D1802" i="1"/>
  <c r="C12" i="1"/>
  <c r="C22" i="1"/>
  <c r="C32" i="1"/>
  <c r="C42" i="1"/>
  <c r="C52" i="1"/>
  <c r="C62" i="1"/>
  <c r="C72" i="1"/>
  <c r="C82" i="1"/>
  <c r="C92" i="1"/>
  <c r="C102" i="1"/>
  <c r="C112" i="1"/>
  <c r="C122" i="1"/>
  <c r="C132" i="1"/>
  <c r="C142" i="1"/>
  <c r="C152" i="1"/>
  <c r="C162" i="1"/>
  <c r="C172" i="1"/>
  <c r="C182" i="1"/>
  <c r="C192" i="1"/>
  <c r="C202" i="1"/>
  <c r="C212" i="1"/>
  <c r="C222" i="1"/>
  <c r="C232" i="1"/>
  <c r="C242" i="1"/>
  <c r="C252" i="1"/>
  <c r="C262" i="1"/>
  <c r="C272" i="1"/>
  <c r="C282" i="1"/>
  <c r="C292" i="1"/>
  <c r="C302" i="1"/>
  <c r="C312" i="1"/>
  <c r="C322" i="1"/>
  <c r="C332" i="1"/>
  <c r="C342" i="1"/>
  <c r="C352" i="1"/>
  <c r="C362" i="1"/>
  <c r="C372" i="1"/>
  <c r="C382" i="1"/>
  <c r="C392" i="1"/>
  <c r="C402" i="1"/>
  <c r="C412" i="1"/>
  <c r="C422" i="1"/>
  <c r="C432" i="1"/>
  <c r="C442" i="1"/>
  <c r="C452" i="1"/>
  <c r="C462" i="1"/>
  <c r="C472" i="1"/>
  <c r="C482" i="1"/>
  <c r="C492" i="1"/>
  <c r="C502" i="1"/>
  <c r="C512" i="1"/>
  <c r="C522" i="1"/>
  <c r="C532" i="1"/>
  <c r="C542" i="1"/>
  <c r="C552" i="1"/>
  <c r="C562" i="1"/>
  <c r="C572" i="1"/>
  <c r="C582" i="1"/>
  <c r="C592" i="1"/>
  <c r="C602" i="1"/>
  <c r="C612" i="1"/>
  <c r="C622" i="1"/>
  <c r="C632" i="1"/>
  <c r="C642" i="1"/>
  <c r="C652" i="1"/>
  <c r="C662" i="1"/>
  <c r="C672" i="1"/>
  <c r="C682" i="1"/>
  <c r="C692" i="1"/>
  <c r="C702" i="1"/>
  <c r="C712" i="1"/>
  <c r="C722" i="1"/>
  <c r="C732" i="1"/>
  <c r="C742" i="1"/>
  <c r="C752" i="1"/>
  <c r="C762" i="1"/>
  <c r="C772" i="1"/>
  <c r="C782" i="1"/>
  <c r="C792" i="1"/>
  <c r="C802" i="1"/>
  <c r="C812" i="1"/>
  <c r="C822" i="1"/>
  <c r="C832" i="1"/>
  <c r="C842" i="1"/>
  <c r="C852" i="1"/>
  <c r="C862" i="1"/>
  <c r="C872" i="1"/>
  <c r="C882" i="1"/>
  <c r="C892" i="1"/>
  <c r="C902" i="1"/>
  <c r="C912" i="1"/>
  <c r="C922" i="1"/>
  <c r="C932" i="1"/>
  <c r="C942" i="1"/>
  <c r="C952" i="1"/>
  <c r="C962" i="1"/>
  <c r="C972" i="1"/>
  <c r="C982" i="1"/>
  <c r="C992" i="1"/>
  <c r="C1002" i="1"/>
  <c r="C1012" i="1"/>
  <c r="C1022" i="1"/>
  <c r="C1032" i="1"/>
  <c r="C1042" i="1"/>
  <c r="C1052" i="1"/>
  <c r="C1062" i="1"/>
  <c r="C1072" i="1"/>
  <c r="C1082" i="1"/>
  <c r="C1092" i="1"/>
  <c r="C1102" i="1"/>
  <c r="C1112" i="1"/>
  <c r="C1122" i="1"/>
  <c r="C1132" i="1"/>
  <c r="C1142" i="1"/>
  <c r="C1152" i="1"/>
  <c r="C1162" i="1"/>
  <c r="C1172" i="1"/>
  <c r="C1182" i="1"/>
  <c r="C1192" i="1"/>
  <c r="C1202" i="1"/>
  <c r="C1212" i="1"/>
  <c r="C1222" i="1"/>
  <c r="C1232" i="1"/>
  <c r="C1242" i="1"/>
  <c r="C1252" i="1"/>
  <c r="C1262" i="1"/>
  <c r="C1272" i="1"/>
  <c r="C1282" i="1"/>
  <c r="C1292" i="1"/>
  <c r="C1302" i="1"/>
  <c r="C1312" i="1"/>
  <c r="C1322" i="1"/>
  <c r="C1332" i="1"/>
  <c r="C1342" i="1"/>
  <c r="C1352" i="1"/>
  <c r="C1362" i="1"/>
  <c r="C1372" i="1"/>
  <c r="C1382" i="1"/>
  <c r="C1392" i="1"/>
  <c r="C1402" i="1"/>
  <c r="C1412" i="1"/>
  <c r="C1422" i="1"/>
  <c r="D729" i="1"/>
  <c r="D779" i="1"/>
  <c r="D829" i="1"/>
  <c r="D865" i="1"/>
  <c r="D886" i="1"/>
  <c r="D905" i="1"/>
  <c r="D922" i="1"/>
  <c r="D938" i="1"/>
  <c r="D952" i="1"/>
  <c r="D966" i="1"/>
  <c r="D980" i="1"/>
  <c r="D995" i="1"/>
  <c r="D1009" i="1"/>
  <c r="D1024" i="1"/>
  <c r="D1038" i="1"/>
  <c r="D1052" i="1"/>
  <c r="D1066" i="1"/>
  <c r="D1080" i="1"/>
  <c r="D1095" i="1"/>
  <c r="D1109" i="1"/>
  <c r="D1122" i="1"/>
  <c r="D1134" i="1"/>
  <c r="D1146" i="1"/>
  <c r="D1158" i="1"/>
  <c r="D1169" i="1"/>
  <c r="D1180" i="1"/>
  <c r="D1191" i="1"/>
  <c r="D1202" i="1"/>
  <c r="D1213" i="1"/>
  <c r="D1224" i="1"/>
  <c r="D1235" i="1"/>
  <c r="D1246" i="1"/>
  <c r="D1258" i="1"/>
  <c r="D1269" i="1"/>
  <c r="D1280" i="1"/>
  <c r="D1291" i="1"/>
  <c r="D1302" i="1"/>
  <c r="D1313" i="1"/>
  <c r="D1324" i="1"/>
  <c r="D1335" i="1"/>
  <c r="D1346" i="1"/>
  <c r="D1358" i="1"/>
  <c r="D1369" i="1"/>
  <c r="D1380" i="1"/>
  <c r="D1391" i="1"/>
  <c r="D1402" i="1"/>
  <c r="D1413" i="1"/>
  <c r="D1423" i="1"/>
  <c r="D1433" i="1"/>
  <c r="D1443" i="1"/>
  <c r="D1453" i="1"/>
  <c r="D1463" i="1"/>
  <c r="D1473" i="1"/>
  <c r="D1483" i="1"/>
  <c r="D1493" i="1"/>
  <c r="D1503" i="1"/>
  <c r="D1513" i="1"/>
  <c r="D1523" i="1"/>
  <c r="D1533" i="1"/>
  <c r="D1543" i="1"/>
  <c r="D1553" i="1"/>
  <c r="D1563" i="1"/>
  <c r="D1573" i="1"/>
  <c r="D1583" i="1"/>
  <c r="D1593" i="1"/>
  <c r="D1603" i="1"/>
  <c r="D1613" i="1"/>
  <c r="D1623" i="1"/>
  <c r="D1633" i="1"/>
  <c r="D1643" i="1"/>
  <c r="D1653" i="1"/>
  <c r="D1663" i="1"/>
  <c r="D1673" i="1"/>
  <c r="D1683" i="1"/>
  <c r="D1693" i="1"/>
  <c r="D1703" i="1"/>
  <c r="D1713" i="1"/>
  <c r="D1723" i="1"/>
  <c r="D1733" i="1"/>
  <c r="D1743" i="1"/>
  <c r="D1753" i="1"/>
  <c r="D1763" i="1"/>
  <c r="D1773" i="1"/>
  <c r="D1783" i="1"/>
  <c r="D1793" i="1"/>
  <c r="C3" i="1"/>
  <c r="C13" i="1"/>
  <c r="C23" i="1"/>
  <c r="C33" i="1"/>
  <c r="C43" i="1"/>
  <c r="C53" i="1"/>
  <c r="C63" i="1"/>
  <c r="C73" i="1"/>
  <c r="C83" i="1"/>
  <c r="C93" i="1"/>
  <c r="C103" i="1"/>
  <c r="C113" i="1"/>
  <c r="C123" i="1"/>
  <c r="C133" i="1"/>
  <c r="C143" i="1"/>
  <c r="C153" i="1"/>
  <c r="C163" i="1"/>
  <c r="C173" i="1"/>
  <c r="C183" i="1"/>
  <c r="C193" i="1"/>
  <c r="C203" i="1"/>
  <c r="C213" i="1"/>
  <c r="C223" i="1"/>
  <c r="C233" i="1"/>
  <c r="C243" i="1"/>
  <c r="C253" i="1"/>
  <c r="C263" i="1"/>
  <c r="C273" i="1"/>
  <c r="C283" i="1"/>
  <c r="C293" i="1"/>
  <c r="C303" i="1"/>
  <c r="C313" i="1"/>
  <c r="C323" i="1"/>
  <c r="C333" i="1"/>
  <c r="C343" i="1"/>
  <c r="C353" i="1"/>
  <c r="C363" i="1"/>
  <c r="C373" i="1"/>
  <c r="C383" i="1"/>
  <c r="C393" i="1"/>
  <c r="C403" i="1"/>
  <c r="C413" i="1"/>
  <c r="C423" i="1"/>
  <c r="C433" i="1"/>
  <c r="C443" i="1"/>
  <c r="C453" i="1"/>
  <c r="C463" i="1"/>
  <c r="C473" i="1"/>
  <c r="C483" i="1"/>
  <c r="C493" i="1"/>
  <c r="C503" i="1"/>
  <c r="C513" i="1"/>
  <c r="C523" i="1"/>
  <c r="C533" i="1"/>
  <c r="C543" i="1"/>
  <c r="C553" i="1"/>
  <c r="C563" i="1"/>
  <c r="C573" i="1"/>
  <c r="C583" i="1"/>
  <c r="C593" i="1"/>
  <c r="C603" i="1"/>
  <c r="C613" i="1"/>
  <c r="C623" i="1"/>
  <c r="C633" i="1"/>
  <c r="C643" i="1"/>
  <c r="C653" i="1"/>
  <c r="C663" i="1"/>
  <c r="C673" i="1"/>
  <c r="C683" i="1"/>
  <c r="C693" i="1"/>
  <c r="C703" i="1"/>
  <c r="C713" i="1"/>
  <c r="C723" i="1"/>
  <c r="C733" i="1"/>
  <c r="C743" i="1"/>
  <c r="C753" i="1"/>
  <c r="C763" i="1"/>
  <c r="C773" i="1"/>
  <c r="C783" i="1"/>
  <c r="C793" i="1"/>
  <c r="C803" i="1"/>
  <c r="C813" i="1"/>
  <c r="C823" i="1"/>
  <c r="C833" i="1"/>
  <c r="C843" i="1"/>
  <c r="C853" i="1"/>
  <c r="C863" i="1"/>
  <c r="C873" i="1"/>
  <c r="C883" i="1"/>
  <c r="C893" i="1"/>
  <c r="C903" i="1"/>
  <c r="C913" i="1"/>
  <c r="C923" i="1"/>
  <c r="C933" i="1"/>
  <c r="C943" i="1"/>
  <c r="C953" i="1"/>
  <c r="C963" i="1"/>
  <c r="C973" i="1"/>
  <c r="C983" i="1"/>
  <c r="C993" i="1"/>
  <c r="C1003" i="1"/>
  <c r="C1013" i="1"/>
  <c r="C1023" i="1"/>
  <c r="C1033" i="1"/>
  <c r="C1043" i="1"/>
  <c r="C1053" i="1"/>
  <c r="C1063" i="1"/>
  <c r="C1073" i="1"/>
  <c r="C1083" i="1"/>
  <c r="C1093" i="1"/>
  <c r="C1103" i="1"/>
  <c r="C1113" i="1"/>
  <c r="C1123" i="1"/>
  <c r="C1133" i="1"/>
  <c r="C1143" i="1"/>
  <c r="C1153" i="1"/>
  <c r="C1163" i="1"/>
  <c r="C1173" i="1"/>
  <c r="C1183" i="1"/>
  <c r="C1193" i="1"/>
  <c r="C1203" i="1"/>
  <c r="C1213" i="1"/>
  <c r="C1223" i="1"/>
  <c r="C1233" i="1"/>
  <c r="C1243" i="1"/>
  <c r="C1253" i="1"/>
  <c r="C1263" i="1"/>
  <c r="C1273" i="1"/>
  <c r="C1283" i="1"/>
  <c r="C1293" i="1"/>
  <c r="C1303" i="1"/>
  <c r="C1313" i="1"/>
  <c r="C1323" i="1"/>
  <c r="C1333" i="1"/>
  <c r="C1343" i="1"/>
  <c r="C1353" i="1"/>
  <c r="C1363" i="1"/>
  <c r="C1373" i="1"/>
  <c r="C1383" i="1"/>
  <c r="C1393" i="1"/>
  <c r="C1403" i="1"/>
  <c r="C1413" i="1"/>
  <c r="C1423" i="1"/>
  <c r="C1433" i="1"/>
  <c r="C1443" i="1"/>
  <c r="C1453" i="1"/>
  <c r="C1463" i="1"/>
  <c r="C1473" i="1"/>
  <c r="C1483" i="1"/>
  <c r="C1493" i="1"/>
  <c r="C1503" i="1"/>
  <c r="C1513" i="1"/>
  <c r="C1523" i="1"/>
  <c r="C1533" i="1"/>
  <c r="C1543" i="1"/>
  <c r="C1553" i="1"/>
  <c r="C1563" i="1"/>
  <c r="C1573" i="1"/>
  <c r="C1583" i="1"/>
  <c r="C1593" i="1"/>
  <c r="C1603" i="1"/>
  <c r="C1613" i="1"/>
  <c r="C1623" i="1"/>
  <c r="C1633" i="1"/>
  <c r="C1643" i="1"/>
  <c r="C1653" i="1"/>
  <c r="C1663" i="1"/>
  <c r="C1673" i="1"/>
  <c r="C1683" i="1"/>
  <c r="C1693" i="1"/>
  <c r="C1703" i="1"/>
  <c r="C1713" i="1"/>
  <c r="C1723" i="1"/>
  <c r="C1733" i="1"/>
  <c r="C1743" i="1"/>
  <c r="C1753" i="1"/>
  <c r="C1763" i="1"/>
  <c r="C1773" i="1"/>
  <c r="C1783" i="1"/>
  <c r="D735" i="1"/>
  <c r="D785" i="1"/>
  <c r="D835" i="1"/>
  <c r="D866" i="1"/>
  <c r="D888" i="1"/>
  <c r="D906" i="1"/>
  <c r="D924" i="1"/>
  <c r="D939" i="1"/>
  <c r="D954" i="1"/>
  <c r="D968" i="1"/>
  <c r="D982" i="1"/>
  <c r="D996" i="1"/>
  <c r="D1010" i="1"/>
  <c r="D1025" i="1"/>
  <c r="D1039" i="1"/>
  <c r="D1054" i="1"/>
  <c r="D1068" i="1"/>
  <c r="D1082" i="1"/>
  <c r="D1096" i="1"/>
  <c r="D1110" i="1"/>
  <c r="D1123" i="1"/>
  <c r="D1135" i="1"/>
  <c r="D1148" i="1"/>
  <c r="D1159" i="1"/>
  <c r="D1170" i="1"/>
  <c r="D1181" i="1"/>
  <c r="D1192" i="1"/>
  <c r="D1203" i="1"/>
  <c r="D1214" i="1"/>
  <c r="D1225" i="1"/>
  <c r="D1236" i="1"/>
  <c r="D1248" i="1"/>
  <c r="D1259" i="1"/>
  <c r="D1270" i="1"/>
  <c r="D1281" i="1"/>
  <c r="D1292" i="1"/>
  <c r="D1303" i="1"/>
  <c r="D1314" i="1"/>
  <c r="D1325" i="1"/>
  <c r="D1336" i="1"/>
  <c r="D1348" i="1"/>
  <c r="D1359" i="1"/>
  <c r="D1370" i="1"/>
  <c r="D1381" i="1"/>
  <c r="D1392" i="1"/>
  <c r="D1403" i="1"/>
  <c r="D1414" i="1"/>
  <c r="D1424" i="1"/>
  <c r="D1434" i="1"/>
  <c r="D1444" i="1"/>
  <c r="D1454" i="1"/>
  <c r="D1464" i="1"/>
  <c r="D1474" i="1"/>
  <c r="D1484" i="1"/>
  <c r="D1494" i="1"/>
  <c r="D1504" i="1"/>
  <c r="D1514" i="1"/>
  <c r="D1524" i="1"/>
  <c r="D1534" i="1"/>
  <c r="D1544" i="1"/>
  <c r="D1554" i="1"/>
  <c r="D1564" i="1"/>
  <c r="D1574" i="1"/>
  <c r="D1584" i="1"/>
  <c r="D1594" i="1"/>
  <c r="D1604" i="1"/>
  <c r="D1614" i="1"/>
  <c r="D1624" i="1"/>
  <c r="D1634" i="1"/>
  <c r="D1644" i="1"/>
  <c r="D1654" i="1"/>
  <c r="D1664" i="1"/>
  <c r="D1674" i="1"/>
  <c r="D1684" i="1"/>
  <c r="D1694" i="1"/>
  <c r="D1704" i="1"/>
  <c r="D1714" i="1"/>
  <c r="D1724" i="1"/>
  <c r="D1734" i="1"/>
  <c r="D1744" i="1"/>
  <c r="D1754" i="1"/>
  <c r="D1764" i="1"/>
  <c r="D1774" i="1"/>
  <c r="D1784" i="1"/>
  <c r="D1794" i="1"/>
  <c r="C4" i="1"/>
  <c r="C14" i="1"/>
  <c r="C24" i="1"/>
  <c r="C34" i="1"/>
  <c r="C44" i="1"/>
  <c r="C54" i="1"/>
  <c r="C64" i="1"/>
  <c r="C74" i="1"/>
  <c r="C84" i="1"/>
  <c r="C94" i="1"/>
  <c r="C104" i="1"/>
  <c r="C114" i="1"/>
  <c r="C124" i="1"/>
  <c r="C134" i="1"/>
  <c r="C144" i="1"/>
  <c r="C154" i="1"/>
  <c r="C164" i="1"/>
  <c r="C174" i="1"/>
  <c r="C184" i="1"/>
  <c r="C194" i="1"/>
  <c r="C204" i="1"/>
  <c r="C214" i="1"/>
  <c r="C224" i="1"/>
  <c r="C234" i="1"/>
  <c r="C244" i="1"/>
  <c r="C254" i="1"/>
  <c r="C264" i="1"/>
  <c r="C274" i="1"/>
  <c r="C284" i="1"/>
  <c r="C294" i="1"/>
  <c r="C304" i="1"/>
  <c r="C314" i="1"/>
  <c r="C324" i="1"/>
  <c r="C334" i="1"/>
  <c r="C344" i="1"/>
  <c r="C354" i="1"/>
  <c r="C364" i="1"/>
  <c r="C374" i="1"/>
  <c r="C384" i="1"/>
  <c r="C394" i="1"/>
  <c r="C404" i="1"/>
  <c r="C414" i="1"/>
  <c r="C424" i="1"/>
  <c r="C434" i="1"/>
  <c r="C444" i="1"/>
  <c r="C454" i="1"/>
  <c r="C464" i="1"/>
  <c r="C474" i="1"/>
  <c r="C484" i="1"/>
  <c r="C494" i="1"/>
  <c r="C504" i="1"/>
  <c r="C514" i="1"/>
  <c r="C524" i="1"/>
  <c r="C534" i="1"/>
  <c r="C544" i="1"/>
  <c r="C554" i="1"/>
  <c r="C564" i="1"/>
  <c r="C574" i="1"/>
  <c r="C584" i="1"/>
  <c r="C594" i="1"/>
  <c r="C604" i="1"/>
  <c r="C614" i="1"/>
  <c r="C624" i="1"/>
  <c r="C634" i="1"/>
  <c r="C644" i="1"/>
  <c r="C654" i="1"/>
  <c r="C664" i="1"/>
  <c r="C674" i="1"/>
  <c r="C684" i="1"/>
  <c r="C694" i="1"/>
  <c r="C704" i="1"/>
  <c r="C714" i="1"/>
  <c r="C724" i="1"/>
  <c r="C734" i="1"/>
  <c r="C744" i="1"/>
  <c r="C754" i="1"/>
  <c r="C764" i="1"/>
  <c r="C774" i="1"/>
  <c r="C784" i="1"/>
  <c r="C794" i="1"/>
  <c r="C804" i="1"/>
  <c r="C814" i="1"/>
  <c r="C824" i="1"/>
  <c r="C834" i="1"/>
  <c r="C844" i="1"/>
  <c r="C854" i="1"/>
  <c r="C864" i="1"/>
  <c r="C874" i="1"/>
  <c r="C884" i="1"/>
  <c r="C894" i="1"/>
  <c r="C904" i="1"/>
  <c r="C914" i="1"/>
  <c r="C924" i="1"/>
  <c r="C934" i="1"/>
  <c r="C944" i="1"/>
  <c r="C954" i="1"/>
  <c r="C964" i="1"/>
  <c r="C974" i="1"/>
  <c r="C984" i="1"/>
  <c r="C994" i="1"/>
  <c r="C1004" i="1"/>
  <c r="C1014" i="1"/>
  <c r="C1024" i="1"/>
  <c r="C1034" i="1"/>
  <c r="C1044" i="1"/>
  <c r="C1054" i="1"/>
  <c r="C1064" i="1"/>
  <c r="C1074" i="1"/>
  <c r="C1084" i="1"/>
  <c r="C1094" i="1"/>
  <c r="C1104" i="1"/>
  <c r="C1114" i="1"/>
  <c r="C1124" i="1"/>
  <c r="C1134" i="1"/>
  <c r="C1144" i="1"/>
  <c r="C1154" i="1"/>
  <c r="C1164" i="1"/>
  <c r="C1174" i="1"/>
  <c r="C1184" i="1"/>
  <c r="C1194" i="1"/>
  <c r="C1204" i="1"/>
  <c r="C1214" i="1"/>
  <c r="C1224" i="1"/>
  <c r="C1234" i="1"/>
  <c r="C1244" i="1"/>
  <c r="C1254" i="1"/>
  <c r="C1264" i="1"/>
  <c r="C1274" i="1"/>
  <c r="C1284" i="1"/>
  <c r="C1294" i="1"/>
  <c r="C1304" i="1"/>
  <c r="C1314" i="1"/>
  <c r="C1324" i="1"/>
  <c r="C1334" i="1"/>
  <c r="C1344" i="1"/>
  <c r="C1354" i="1"/>
  <c r="C1364" i="1"/>
  <c r="C1374" i="1"/>
  <c r="D739" i="1"/>
  <c r="D789" i="1"/>
  <c r="D836" i="1"/>
  <c r="D868" i="1"/>
  <c r="D889" i="1"/>
  <c r="D908" i="1"/>
  <c r="D925" i="1"/>
  <c r="D940" i="1"/>
  <c r="D955" i="1"/>
  <c r="D969" i="1"/>
  <c r="D984" i="1"/>
  <c r="D998" i="1"/>
  <c r="D1012" i="1"/>
  <c r="D1026" i="1"/>
  <c r="D1040" i="1"/>
  <c r="D1055" i="1"/>
  <c r="D1069" i="1"/>
  <c r="D1084" i="1"/>
  <c r="D1098" i="1"/>
  <c r="D1112" i="1"/>
  <c r="D1124" i="1"/>
  <c r="D1136" i="1"/>
  <c r="D1149" i="1"/>
  <c r="D1160" i="1"/>
  <c r="D1171" i="1"/>
  <c r="D1182" i="1"/>
  <c r="D1193" i="1"/>
  <c r="D1204" i="1"/>
  <c r="D1215" i="1"/>
  <c r="D1226" i="1"/>
  <c r="D1238" i="1"/>
  <c r="D1249" i="1"/>
  <c r="D1260" i="1"/>
  <c r="D1271" i="1"/>
  <c r="D1282" i="1"/>
  <c r="D1293" i="1"/>
  <c r="D1304" i="1"/>
  <c r="D1315" i="1"/>
  <c r="D1326" i="1"/>
  <c r="D1338" i="1"/>
  <c r="D1349" i="1"/>
  <c r="D1360" i="1"/>
  <c r="D1371" i="1"/>
  <c r="D1382" i="1"/>
  <c r="D1393" i="1"/>
  <c r="D1404" i="1"/>
  <c r="D1415" i="1"/>
  <c r="D1425" i="1"/>
  <c r="D1435" i="1"/>
  <c r="D1445" i="1"/>
  <c r="D1455" i="1"/>
  <c r="D1465" i="1"/>
  <c r="D1475" i="1"/>
  <c r="D1485" i="1"/>
  <c r="D1495" i="1"/>
  <c r="D1505" i="1"/>
  <c r="D1515" i="1"/>
  <c r="D1525" i="1"/>
  <c r="D1535" i="1"/>
  <c r="D1545" i="1"/>
  <c r="D1555" i="1"/>
  <c r="D1565" i="1"/>
  <c r="D1575" i="1"/>
  <c r="D1585" i="1"/>
  <c r="D1595" i="1"/>
  <c r="D1605" i="1"/>
  <c r="D1615" i="1"/>
  <c r="D1625" i="1"/>
  <c r="D1635" i="1"/>
  <c r="D1645" i="1"/>
  <c r="D1655" i="1"/>
  <c r="D1665" i="1"/>
  <c r="D1675" i="1"/>
  <c r="D1685" i="1"/>
  <c r="D1695" i="1"/>
  <c r="D1705" i="1"/>
  <c r="D1715" i="1"/>
  <c r="D1725" i="1"/>
  <c r="D1735" i="1"/>
  <c r="D1745" i="1"/>
  <c r="D1755" i="1"/>
  <c r="D1765" i="1"/>
  <c r="D1775" i="1"/>
  <c r="D1785" i="1"/>
  <c r="D1795" i="1"/>
  <c r="C5" i="1"/>
  <c r="C15" i="1"/>
  <c r="C25" i="1"/>
  <c r="C35" i="1"/>
  <c r="C45" i="1"/>
  <c r="C55" i="1"/>
  <c r="C65" i="1"/>
  <c r="C75" i="1"/>
  <c r="C85" i="1"/>
  <c r="C95" i="1"/>
  <c r="C105" i="1"/>
  <c r="C115" i="1"/>
  <c r="C125" i="1"/>
  <c r="C135" i="1"/>
  <c r="C145" i="1"/>
  <c r="C155" i="1"/>
  <c r="C165" i="1"/>
  <c r="C175" i="1"/>
  <c r="C185" i="1"/>
  <c r="C195" i="1"/>
  <c r="C205" i="1"/>
  <c r="C215" i="1"/>
  <c r="C225" i="1"/>
  <c r="C235" i="1"/>
  <c r="C245" i="1"/>
  <c r="C255" i="1"/>
  <c r="C265" i="1"/>
  <c r="C275" i="1"/>
  <c r="C285" i="1"/>
  <c r="C295" i="1"/>
  <c r="C305" i="1"/>
  <c r="C315" i="1"/>
  <c r="C325" i="1"/>
  <c r="C335" i="1"/>
  <c r="C345" i="1"/>
  <c r="C355" i="1"/>
  <c r="C365" i="1"/>
  <c r="C375" i="1"/>
  <c r="C385" i="1"/>
  <c r="C395" i="1"/>
  <c r="C405" i="1"/>
  <c r="C415" i="1"/>
  <c r="C425" i="1"/>
  <c r="C435" i="1"/>
  <c r="C445" i="1"/>
  <c r="C455" i="1"/>
  <c r="C465" i="1"/>
  <c r="C475" i="1"/>
  <c r="C485" i="1"/>
  <c r="C495" i="1"/>
  <c r="C505" i="1"/>
  <c r="C515" i="1"/>
  <c r="C525" i="1"/>
  <c r="C535" i="1"/>
  <c r="C545" i="1"/>
  <c r="C555" i="1"/>
  <c r="C565" i="1"/>
  <c r="C575" i="1"/>
  <c r="C585" i="1"/>
  <c r="C595" i="1"/>
  <c r="C605" i="1"/>
  <c r="C615" i="1"/>
  <c r="C625" i="1"/>
  <c r="C635" i="1"/>
  <c r="C645" i="1"/>
  <c r="C655" i="1"/>
  <c r="C665" i="1"/>
  <c r="C675" i="1"/>
  <c r="C685" i="1"/>
  <c r="C695" i="1"/>
  <c r="C705" i="1"/>
  <c r="C715" i="1"/>
  <c r="C725" i="1"/>
  <c r="C735" i="1"/>
  <c r="C745" i="1"/>
  <c r="C755" i="1"/>
  <c r="C765" i="1"/>
  <c r="C775" i="1"/>
  <c r="C785" i="1"/>
  <c r="C795" i="1"/>
  <c r="C805" i="1"/>
  <c r="C815" i="1"/>
  <c r="C825" i="1"/>
  <c r="C835" i="1"/>
  <c r="C845" i="1"/>
  <c r="C855" i="1"/>
  <c r="C865" i="1"/>
  <c r="C875" i="1"/>
  <c r="C885" i="1"/>
  <c r="C895" i="1"/>
  <c r="C905" i="1"/>
  <c r="C915" i="1"/>
  <c r="C925" i="1"/>
  <c r="C935" i="1"/>
  <c r="C945" i="1"/>
  <c r="C955" i="1"/>
  <c r="C965" i="1"/>
  <c r="C975" i="1"/>
  <c r="C985" i="1"/>
  <c r="C995" i="1"/>
  <c r="C1005" i="1"/>
  <c r="C1015" i="1"/>
  <c r="C1025" i="1"/>
  <c r="C1035" i="1"/>
  <c r="C1045" i="1"/>
  <c r="C1055" i="1"/>
  <c r="C1065" i="1"/>
  <c r="C1075" i="1"/>
  <c r="C1085" i="1"/>
  <c r="C1095" i="1"/>
  <c r="C1105" i="1"/>
  <c r="C1115" i="1"/>
  <c r="C1125" i="1"/>
  <c r="C1135" i="1"/>
  <c r="C1145" i="1"/>
  <c r="C1155" i="1"/>
  <c r="C1165" i="1"/>
  <c r="C1175" i="1"/>
  <c r="C1185" i="1"/>
  <c r="C1195" i="1"/>
  <c r="C1205" i="1"/>
  <c r="C1215" i="1"/>
  <c r="C1225" i="1"/>
  <c r="C1235" i="1"/>
  <c r="C1245" i="1"/>
  <c r="C1255" i="1"/>
  <c r="C1265" i="1"/>
  <c r="C1275" i="1"/>
  <c r="C1285" i="1"/>
  <c r="C1295" i="1"/>
  <c r="C1305" i="1"/>
  <c r="C1315" i="1"/>
  <c r="C1325" i="1"/>
  <c r="C1335" i="1"/>
  <c r="C1345" i="1"/>
  <c r="C1355" i="1"/>
  <c r="C1365" i="1"/>
  <c r="C1375" i="1"/>
  <c r="C1385" i="1"/>
  <c r="C1395" i="1"/>
  <c r="C1405" i="1"/>
  <c r="C1415" i="1"/>
  <c r="C1425" i="1"/>
  <c r="C1435" i="1"/>
  <c r="C1445" i="1"/>
  <c r="C1455" i="1"/>
  <c r="C1465" i="1"/>
  <c r="C1475" i="1"/>
  <c r="C1485" i="1"/>
  <c r="C1495" i="1"/>
  <c r="C1505" i="1"/>
  <c r="C1515" i="1"/>
  <c r="C1525" i="1"/>
  <c r="C1535" i="1"/>
  <c r="C1545" i="1"/>
  <c r="C1555" i="1"/>
  <c r="C1565" i="1"/>
  <c r="C1575" i="1"/>
  <c r="C1585" i="1"/>
  <c r="C1595" i="1"/>
  <c r="C1605" i="1"/>
  <c r="C1615" i="1"/>
  <c r="C1625" i="1"/>
  <c r="C1635" i="1"/>
  <c r="C1645" i="1"/>
  <c r="C1655" i="1"/>
  <c r="C1665" i="1"/>
  <c r="C1675" i="1"/>
  <c r="C1685" i="1"/>
  <c r="D745" i="1"/>
  <c r="D795" i="1"/>
  <c r="D839" i="1"/>
  <c r="D869" i="1"/>
  <c r="D894" i="1"/>
  <c r="D909" i="1"/>
  <c r="D926" i="1"/>
  <c r="D942" i="1"/>
  <c r="D956" i="1"/>
  <c r="D970" i="1"/>
  <c r="D985" i="1"/>
  <c r="D999" i="1"/>
  <c r="D1014" i="1"/>
  <c r="D1028" i="1"/>
  <c r="D1042" i="1"/>
  <c r="D1056" i="1"/>
  <c r="D1070" i="1"/>
  <c r="D1085" i="1"/>
  <c r="D1099" i="1"/>
  <c r="D1113" i="1"/>
  <c r="D1125" i="1"/>
  <c r="D1138" i="1"/>
  <c r="D1150" i="1"/>
  <c r="D1161" i="1"/>
  <c r="D1172" i="1"/>
  <c r="D1183" i="1"/>
  <c r="D1194" i="1"/>
  <c r="D1205" i="1"/>
  <c r="D1216" i="1"/>
  <c r="D1228" i="1"/>
  <c r="D1239" i="1"/>
  <c r="D1250" i="1"/>
  <c r="D1261" i="1"/>
  <c r="D1272" i="1"/>
  <c r="D1283" i="1"/>
  <c r="D1294" i="1"/>
  <c r="D1305" i="1"/>
  <c r="D1316" i="1"/>
  <c r="D1328" i="1"/>
  <c r="D1339" i="1"/>
  <c r="D1350" i="1"/>
  <c r="D1361" i="1"/>
  <c r="D1372" i="1"/>
  <c r="D1383" i="1"/>
  <c r="D1394" i="1"/>
  <c r="D1405" i="1"/>
  <c r="D1416" i="1"/>
  <c r="D1426" i="1"/>
  <c r="D1436" i="1"/>
  <c r="D1446" i="1"/>
  <c r="D1456" i="1"/>
  <c r="D1466" i="1"/>
  <c r="D1476" i="1"/>
  <c r="D1486" i="1"/>
  <c r="D1496" i="1"/>
  <c r="D1506" i="1"/>
  <c r="D1516" i="1"/>
  <c r="D1526" i="1"/>
  <c r="D1536" i="1"/>
  <c r="D1546" i="1"/>
  <c r="D1556" i="1"/>
  <c r="D1566" i="1"/>
  <c r="D1576" i="1"/>
  <c r="D1586" i="1"/>
  <c r="D1596" i="1"/>
  <c r="D1606" i="1"/>
  <c r="D1616" i="1"/>
  <c r="D1626" i="1"/>
  <c r="D1636" i="1"/>
  <c r="D1646" i="1"/>
  <c r="D1656" i="1"/>
  <c r="D1666" i="1"/>
  <c r="D1676" i="1"/>
  <c r="D1686" i="1"/>
  <c r="D1696" i="1"/>
  <c r="D1706" i="1"/>
  <c r="D1716" i="1"/>
  <c r="D1726" i="1"/>
  <c r="D1736" i="1"/>
  <c r="D1746" i="1"/>
  <c r="D1756" i="1"/>
  <c r="D1766" i="1"/>
  <c r="D1776" i="1"/>
  <c r="D1786" i="1"/>
  <c r="D1796" i="1"/>
  <c r="C6" i="1"/>
  <c r="C16" i="1"/>
  <c r="C26" i="1"/>
  <c r="C36" i="1"/>
  <c r="C46" i="1"/>
  <c r="C56" i="1"/>
  <c r="C66" i="1"/>
  <c r="C76" i="1"/>
  <c r="C86" i="1"/>
  <c r="C96" i="1"/>
  <c r="C106" i="1"/>
  <c r="C116" i="1"/>
  <c r="C126" i="1"/>
  <c r="C136" i="1"/>
  <c r="C146" i="1"/>
  <c r="C156" i="1"/>
  <c r="C166" i="1"/>
  <c r="C176" i="1"/>
  <c r="C186" i="1"/>
  <c r="C196" i="1"/>
  <c r="C206" i="1"/>
  <c r="C216" i="1"/>
  <c r="C226" i="1"/>
  <c r="C236" i="1"/>
  <c r="C246" i="1"/>
  <c r="C256" i="1"/>
  <c r="C266" i="1"/>
  <c r="C276" i="1"/>
  <c r="C286" i="1"/>
  <c r="C296" i="1"/>
  <c r="C306" i="1"/>
  <c r="C316" i="1"/>
  <c r="C326" i="1"/>
  <c r="C336" i="1"/>
  <c r="C346" i="1"/>
  <c r="C356" i="1"/>
  <c r="C366" i="1"/>
  <c r="C376" i="1"/>
  <c r="C386" i="1"/>
  <c r="C396" i="1"/>
  <c r="C406" i="1"/>
  <c r="C416" i="1"/>
  <c r="C426" i="1"/>
  <c r="C436" i="1"/>
  <c r="C446" i="1"/>
  <c r="C456" i="1"/>
  <c r="C466" i="1"/>
  <c r="C476" i="1"/>
  <c r="C486" i="1"/>
  <c r="C496" i="1"/>
  <c r="C506" i="1"/>
  <c r="C516" i="1"/>
  <c r="C526" i="1"/>
  <c r="C536" i="1"/>
  <c r="C546" i="1"/>
  <c r="C556" i="1"/>
  <c r="C566" i="1"/>
  <c r="C576" i="1"/>
  <c r="C586" i="1"/>
  <c r="C596" i="1"/>
  <c r="C606" i="1"/>
  <c r="C616" i="1"/>
  <c r="C626" i="1"/>
  <c r="C636" i="1"/>
  <c r="C646" i="1"/>
  <c r="C656" i="1"/>
  <c r="C666" i="1"/>
  <c r="C676" i="1"/>
  <c r="C686" i="1"/>
  <c r="C696" i="1"/>
  <c r="C706" i="1"/>
  <c r="C716" i="1"/>
  <c r="C726" i="1"/>
  <c r="C736" i="1"/>
  <c r="C746" i="1"/>
  <c r="C756" i="1"/>
  <c r="C766" i="1"/>
  <c r="C776" i="1"/>
  <c r="C786" i="1"/>
  <c r="C796" i="1"/>
  <c r="C806" i="1"/>
  <c r="C816" i="1"/>
  <c r="C826" i="1"/>
  <c r="C836" i="1"/>
  <c r="C846" i="1"/>
  <c r="C856" i="1"/>
  <c r="C866" i="1"/>
  <c r="C876" i="1"/>
  <c r="C886" i="1"/>
  <c r="C896" i="1"/>
  <c r="C906" i="1"/>
  <c r="C916" i="1"/>
  <c r="C926" i="1"/>
  <c r="C936" i="1"/>
  <c r="C946" i="1"/>
  <c r="C956" i="1"/>
  <c r="C966" i="1"/>
  <c r="C976" i="1"/>
  <c r="C986" i="1"/>
  <c r="C996" i="1"/>
  <c r="C1006" i="1"/>
  <c r="C1016" i="1"/>
  <c r="C1026" i="1"/>
  <c r="C1036" i="1"/>
  <c r="C1046" i="1"/>
  <c r="C1056" i="1"/>
  <c r="C1066" i="1"/>
  <c r="C1076" i="1"/>
  <c r="C1086" i="1"/>
  <c r="C1096" i="1"/>
  <c r="C1106" i="1"/>
  <c r="C1116" i="1"/>
  <c r="C1126" i="1"/>
  <c r="C1136" i="1"/>
  <c r="C1146" i="1"/>
  <c r="C1156" i="1"/>
  <c r="C1166" i="1"/>
  <c r="C1176" i="1"/>
  <c r="C1186" i="1"/>
  <c r="C1196" i="1"/>
  <c r="C1206" i="1"/>
  <c r="C1216" i="1"/>
  <c r="C1226" i="1"/>
  <c r="C1236" i="1"/>
  <c r="C1246" i="1"/>
  <c r="C1256" i="1"/>
  <c r="C1266" i="1"/>
  <c r="C1276" i="1"/>
  <c r="C1286" i="1"/>
  <c r="C1296" i="1"/>
  <c r="C1306" i="1"/>
  <c r="C1316" i="1"/>
  <c r="C1326" i="1"/>
  <c r="C1336" i="1"/>
  <c r="C1346" i="1"/>
  <c r="C1356" i="1"/>
  <c r="C1366" i="1"/>
  <c r="C1376" i="1"/>
  <c r="C1386" i="1"/>
  <c r="C1396" i="1"/>
  <c r="C1406" i="1"/>
  <c r="C1416" i="1"/>
  <c r="C1426" i="1"/>
  <c r="C1436" i="1"/>
  <c r="C1446" i="1"/>
  <c r="C1456" i="1"/>
  <c r="C1466" i="1"/>
  <c r="C1476" i="1"/>
  <c r="C1486" i="1"/>
  <c r="C1496" i="1"/>
  <c r="C1506" i="1"/>
  <c r="C1516" i="1"/>
  <c r="C1526" i="1"/>
  <c r="C1536" i="1"/>
  <c r="C1546" i="1"/>
  <c r="C1556" i="1"/>
  <c r="C1566" i="1"/>
  <c r="C1576" i="1"/>
  <c r="C1586" i="1"/>
  <c r="C1596" i="1"/>
  <c r="C1606" i="1"/>
  <c r="C1616" i="1"/>
  <c r="C1626" i="1"/>
  <c r="C1636" i="1"/>
  <c r="C1646" i="1"/>
  <c r="C1656" i="1"/>
  <c r="C1666" i="1"/>
  <c r="C1676" i="1"/>
  <c r="C1686" i="1"/>
  <c r="C1696" i="1"/>
  <c r="D749" i="1"/>
  <c r="D799" i="1"/>
  <c r="D845" i="1"/>
  <c r="D875" i="1"/>
  <c r="D895" i="1"/>
  <c r="D912" i="1"/>
  <c r="D928" i="1"/>
  <c r="D944" i="1"/>
  <c r="D958" i="1"/>
  <c r="D972" i="1"/>
  <c r="D986" i="1"/>
  <c r="D1000" i="1"/>
  <c r="D1015" i="1"/>
  <c r="D1029" i="1"/>
  <c r="D1044" i="1"/>
  <c r="D1058" i="1"/>
  <c r="D1072" i="1"/>
  <c r="D1086" i="1"/>
  <c r="D1100" i="1"/>
  <c r="D1114" i="1"/>
  <c r="D1126" i="1"/>
  <c r="D1139" i="1"/>
  <c r="D1151" i="1"/>
  <c r="D1162" i="1"/>
  <c r="D1173" i="1"/>
  <c r="D1184" i="1"/>
  <c r="D1195" i="1"/>
  <c r="D1206" i="1"/>
  <c r="D1218" i="1"/>
  <c r="D1229" i="1"/>
  <c r="D1240" i="1"/>
  <c r="D1251" i="1"/>
  <c r="D1262" i="1"/>
  <c r="D1273" i="1"/>
  <c r="D1284" i="1"/>
  <c r="D1295" i="1"/>
  <c r="D1306" i="1"/>
  <c r="D1318" i="1"/>
  <c r="D1329" i="1"/>
  <c r="D1340" i="1"/>
  <c r="D1351" i="1"/>
  <c r="D1362" i="1"/>
  <c r="D1373" i="1"/>
  <c r="D1384" i="1"/>
  <c r="D1395" i="1"/>
  <c r="D1406" i="1"/>
  <c r="D1417" i="1"/>
  <c r="D1427" i="1"/>
  <c r="D1437" i="1"/>
  <c r="D1447" i="1"/>
  <c r="D1457" i="1"/>
  <c r="D1467" i="1"/>
  <c r="D1477" i="1"/>
  <c r="D1487" i="1"/>
  <c r="D1497" i="1"/>
  <c r="D1507" i="1"/>
  <c r="D1517" i="1"/>
  <c r="D1527" i="1"/>
  <c r="D1537" i="1"/>
  <c r="D1547" i="1"/>
  <c r="D1557" i="1"/>
  <c r="D1567" i="1"/>
  <c r="D1577" i="1"/>
  <c r="D1587" i="1"/>
  <c r="D1597" i="1"/>
  <c r="D1607" i="1"/>
  <c r="D1617" i="1"/>
  <c r="D1627" i="1"/>
  <c r="D1637" i="1"/>
  <c r="D1647" i="1"/>
  <c r="D1657" i="1"/>
  <c r="D1667" i="1"/>
  <c r="D1677" i="1"/>
  <c r="D1687" i="1"/>
  <c r="D1697" i="1"/>
  <c r="D1707" i="1"/>
  <c r="D1717" i="1"/>
  <c r="D1727" i="1"/>
  <c r="D1737" i="1"/>
  <c r="D1747" i="1"/>
  <c r="D1757" i="1"/>
  <c r="D1767" i="1"/>
  <c r="D1777" i="1"/>
  <c r="D1787" i="1"/>
  <c r="D1797" i="1"/>
  <c r="C7" i="1"/>
  <c r="C17" i="1"/>
  <c r="C27" i="1"/>
  <c r="C37" i="1"/>
  <c r="C47" i="1"/>
  <c r="C57" i="1"/>
  <c r="C67" i="1"/>
  <c r="C77" i="1"/>
  <c r="C87" i="1"/>
  <c r="C97" i="1"/>
  <c r="C107" i="1"/>
  <c r="C117" i="1"/>
  <c r="C127" i="1"/>
  <c r="C137" i="1"/>
  <c r="C147" i="1"/>
  <c r="C157" i="1"/>
  <c r="C167" i="1"/>
  <c r="C177" i="1"/>
  <c r="C187" i="1"/>
  <c r="C197" i="1"/>
  <c r="C207" i="1"/>
  <c r="C217" i="1"/>
  <c r="C227" i="1"/>
  <c r="C237" i="1"/>
  <c r="C247" i="1"/>
  <c r="C257" i="1"/>
  <c r="C267" i="1"/>
  <c r="C277" i="1"/>
  <c r="C287" i="1"/>
  <c r="C297" i="1"/>
  <c r="C307" i="1"/>
  <c r="C317" i="1"/>
  <c r="C327" i="1"/>
  <c r="C337" i="1"/>
  <c r="C347" i="1"/>
  <c r="C357" i="1"/>
  <c r="C367" i="1"/>
  <c r="C377" i="1"/>
  <c r="C387" i="1"/>
  <c r="C397" i="1"/>
  <c r="C407" i="1"/>
  <c r="C417" i="1"/>
  <c r="C427" i="1"/>
  <c r="C437" i="1"/>
  <c r="C447" i="1"/>
  <c r="C457" i="1"/>
  <c r="C467" i="1"/>
  <c r="C477" i="1"/>
  <c r="C487" i="1"/>
  <c r="C497" i="1"/>
  <c r="C507" i="1"/>
  <c r="C517" i="1"/>
  <c r="C527" i="1"/>
  <c r="C537" i="1"/>
  <c r="C547" i="1"/>
  <c r="C557" i="1"/>
  <c r="C567" i="1"/>
  <c r="C577" i="1"/>
  <c r="C587" i="1"/>
  <c r="C597" i="1"/>
  <c r="C607" i="1"/>
  <c r="C617" i="1"/>
  <c r="C627" i="1"/>
  <c r="C637" i="1"/>
  <c r="C647" i="1"/>
  <c r="C657" i="1"/>
  <c r="C667" i="1"/>
  <c r="C677" i="1"/>
  <c r="C687" i="1"/>
  <c r="C697" i="1"/>
  <c r="C707" i="1"/>
  <c r="C717" i="1"/>
  <c r="C727" i="1"/>
  <c r="C737" i="1"/>
  <c r="C747" i="1"/>
  <c r="C757" i="1"/>
  <c r="C767" i="1"/>
  <c r="C777" i="1"/>
  <c r="C787" i="1"/>
  <c r="C797" i="1"/>
  <c r="C807" i="1"/>
  <c r="C817" i="1"/>
  <c r="C827" i="1"/>
  <c r="C837" i="1"/>
  <c r="C847" i="1"/>
  <c r="C857" i="1"/>
  <c r="C867" i="1"/>
  <c r="C877" i="1"/>
  <c r="C887" i="1"/>
  <c r="C897" i="1"/>
  <c r="C907" i="1"/>
  <c r="C917" i="1"/>
  <c r="C927" i="1"/>
  <c r="C937" i="1"/>
  <c r="C947" i="1"/>
  <c r="C957" i="1"/>
  <c r="C967" i="1"/>
  <c r="C977" i="1"/>
  <c r="C987" i="1"/>
  <c r="C997" i="1"/>
  <c r="C1007" i="1"/>
  <c r="C1017" i="1"/>
  <c r="C1027" i="1"/>
  <c r="C1037" i="1"/>
  <c r="C1047" i="1"/>
  <c r="C1057" i="1"/>
  <c r="C1067" i="1"/>
  <c r="C1077" i="1"/>
  <c r="C1087" i="1"/>
  <c r="C1097" i="1"/>
  <c r="C1107" i="1"/>
  <c r="C1117" i="1"/>
  <c r="C1127" i="1"/>
  <c r="C1137" i="1"/>
  <c r="C1147" i="1"/>
  <c r="C1157" i="1"/>
  <c r="C1167" i="1"/>
  <c r="C1177" i="1"/>
  <c r="C1187" i="1"/>
  <c r="C1197" i="1"/>
  <c r="C1207" i="1"/>
  <c r="C1217" i="1"/>
  <c r="C1227" i="1"/>
  <c r="C1237" i="1"/>
  <c r="C1247" i="1"/>
  <c r="C1257" i="1"/>
  <c r="C1267" i="1"/>
  <c r="C1277" i="1"/>
  <c r="C1287" i="1"/>
  <c r="C1297" i="1"/>
  <c r="C1307" i="1"/>
  <c r="C1317" i="1"/>
  <c r="C1327" i="1"/>
  <c r="C1337" i="1"/>
  <c r="C1347" i="1"/>
  <c r="C1357" i="1"/>
  <c r="C1367" i="1"/>
  <c r="C1377" i="1"/>
  <c r="C1387" i="1"/>
  <c r="C1397" i="1"/>
  <c r="C1407" i="1"/>
  <c r="C1417" i="1"/>
  <c r="C1427" i="1"/>
  <c r="C1437" i="1"/>
  <c r="C1447" i="1"/>
  <c r="C1457" i="1"/>
  <c r="C1467" i="1"/>
  <c r="C1477" i="1"/>
  <c r="C1487" i="1"/>
  <c r="C1497" i="1"/>
  <c r="C1507" i="1"/>
  <c r="C1517" i="1"/>
  <c r="C1527" i="1"/>
  <c r="C1537" i="1"/>
  <c r="C1547" i="1"/>
  <c r="C1557" i="1"/>
  <c r="C1567" i="1"/>
  <c r="C1577" i="1"/>
  <c r="C1587" i="1"/>
  <c r="C1597" i="1"/>
  <c r="C1607" i="1"/>
  <c r="C1617" i="1"/>
  <c r="C1627" i="1"/>
  <c r="C1637" i="1"/>
  <c r="C1647" i="1"/>
  <c r="C1657" i="1"/>
  <c r="C1667" i="1"/>
  <c r="C1384" i="1"/>
  <c r="C1454" i="1"/>
  <c r="C1491" i="1"/>
  <c r="C1522" i="1"/>
  <c r="C1554" i="1"/>
  <c r="C1591" i="1"/>
  <c r="C1614" i="1"/>
  <c r="C1638" i="1"/>
  <c r="C1658" i="1"/>
  <c r="C1677" i="1"/>
  <c r="C1692" i="1"/>
  <c r="C1706" i="1"/>
  <c r="C1718" i="1"/>
  <c r="C1731" i="1"/>
  <c r="C1744" i="1"/>
  <c r="C1756" i="1"/>
  <c r="C1768" i="1"/>
  <c r="C1781" i="1"/>
  <c r="C1793" i="1"/>
  <c r="B4" i="1"/>
  <c r="B15" i="1"/>
  <c r="B26" i="1"/>
  <c r="B37" i="1"/>
  <c r="B48" i="1"/>
  <c r="B58" i="1"/>
  <c r="B68" i="1"/>
  <c r="B78" i="1"/>
  <c r="B88" i="1"/>
  <c r="B98" i="1"/>
  <c r="B108" i="1"/>
  <c r="B118" i="1"/>
  <c r="B128" i="1"/>
  <c r="B138" i="1"/>
  <c r="B148" i="1"/>
  <c r="B158" i="1"/>
  <c r="B168" i="1"/>
  <c r="B178" i="1"/>
  <c r="B188" i="1"/>
  <c r="B198" i="1"/>
  <c r="B208" i="1"/>
  <c r="B218" i="1"/>
  <c r="B228" i="1"/>
  <c r="B238" i="1"/>
  <c r="B248" i="1"/>
  <c r="B258" i="1"/>
  <c r="B268" i="1"/>
  <c r="B278" i="1"/>
  <c r="B288" i="1"/>
  <c r="B298" i="1"/>
  <c r="B308" i="1"/>
  <c r="B318" i="1"/>
  <c r="B328" i="1"/>
  <c r="B338" i="1"/>
  <c r="B348" i="1"/>
  <c r="B358" i="1"/>
  <c r="B368" i="1"/>
  <c r="B378" i="1"/>
  <c r="B388" i="1"/>
  <c r="B398" i="1"/>
  <c r="B408" i="1"/>
  <c r="B418" i="1"/>
  <c r="B428" i="1"/>
  <c r="B438" i="1"/>
  <c r="B448" i="1"/>
  <c r="B458" i="1"/>
  <c r="B468" i="1"/>
  <c r="B478" i="1"/>
  <c r="B488" i="1"/>
  <c r="B498" i="1"/>
  <c r="B508" i="1"/>
  <c r="B518" i="1"/>
  <c r="B528" i="1"/>
  <c r="B538" i="1"/>
  <c r="B548" i="1"/>
  <c r="B558" i="1"/>
  <c r="B568" i="1"/>
  <c r="B578" i="1"/>
  <c r="B588" i="1"/>
  <c r="B598" i="1"/>
  <c r="B608" i="1"/>
  <c r="B618" i="1"/>
  <c r="B628" i="1"/>
  <c r="B638" i="1"/>
  <c r="B648" i="1"/>
  <c r="B658" i="1"/>
  <c r="B668" i="1"/>
  <c r="B678" i="1"/>
  <c r="B688" i="1"/>
  <c r="B698" i="1"/>
  <c r="B708" i="1"/>
  <c r="B718" i="1"/>
  <c r="B728" i="1"/>
  <c r="B738" i="1"/>
  <c r="B748" i="1"/>
  <c r="B758" i="1"/>
  <c r="B768" i="1"/>
  <c r="B778" i="1"/>
  <c r="B788" i="1"/>
  <c r="B798" i="1"/>
  <c r="B808" i="1"/>
  <c r="B818" i="1"/>
  <c r="B828" i="1"/>
  <c r="B838" i="1"/>
  <c r="B848" i="1"/>
  <c r="B858" i="1"/>
  <c r="B868" i="1"/>
  <c r="B878" i="1"/>
  <c r="B888" i="1"/>
  <c r="B898" i="1"/>
  <c r="B908" i="1"/>
  <c r="B918" i="1"/>
  <c r="B928" i="1"/>
  <c r="B938" i="1"/>
  <c r="B948" i="1"/>
  <c r="B958" i="1"/>
  <c r="B968" i="1"/>
  <c r="B978" i="1"/>
  <c r="B988" i="1"/>
  <c r="B998" i="1"/>
  <c r="B1008" i="1"/>
  <c r="B1018" i="1"/>
  <c r="B1028" i="1"/>
  <c r="B1038" i="1"/>
  <c r="B1048" i="1"/>
  <c r="B1058" i="1"/>
  <c r="B1068" i="1"/>
  <c r="B1078" i="1"/>
  <c r="B1088" i="1"/>
  <c r="B1098" i="1"/>
  <c r="B1108" i="1"/>
  <c r="B1118" i="1"/>
  <c r="B1128" i="1"/>
  <c r="B1138" i="1"/>
  <c r="B1148" i="1"/>
  <c r="B1158" i="1"/>
  <c r="B1168" i="1"/>
  <c r="B1178" i="1"/>
  <c r="B1188" i="1"/>
  <c r="B1198" i="1"/>
  <c r="B1208" i="1"/>
  <c r="B1218" i="1"/>
  <c r="B1228" i="1"/>
  <c r="B1238" i="1"/>
  <c r="B1248" i="1"/>
  <c r="B1258" i="1"/>
  <c r="B1268" i="1"/>
  <c r="B1278" i="1"/>
  <c r="B1288" i="1"/>
  <c r="B1298" i="1"/>
  <c r="B1308" i="1"/>
  <c r="B1318" i="1"/>
  <c r="B1328" i="1"/>
  <c r="B1338" i="1"/>
  <c r="B1348" i="1"/>
  <c r="B1358" i="1"/>
  <c r="B1368" i="1"/>
  <c r="B1378" i="1"/>
  <c r="B1388" i="1"/>
  <c r="B1398" i="1"/>
  <c r="B1408" i="1"/>
  <c r="B1418" i="1"/>
  <c r="B1428" i="1"/>
  <c r="B1438" i="1"/>
  <c r="B1448" i="1"/>
  <c r="B1458" i="1"/>
  <c r="B1468" i="1"/>
  <c r="B1478" i="1"/>
  <c r="B1488" i="1"/>
  <c r="B1498" i="1"/>
  <c r="B1508" i="1"/>
  <c r="B1518" i="1"/>
  <c r="B1528" i="1"/>
  <c r="B1538" i="1"/>
  <c r="B1548" i="1"/>
  <c r="B1558" i="1"/>
  <c r="B1568" i="1"/>
  <c r="B1578" i="1"/>
  <c r="B1588" i="1"/>
  <c r="B1618" i="1"/>
  <c r="B1638" i="1"/>
  <c r="B1658" i="1"/>
  <c r="B1718" i="1"/>
  <c r="B1738" i="1"/>
  <c r="B1758" i="1"/>
  <c r="B1798" i="1"/>
  <c r="B1679" i="1"/>
  <c r="B1779" i="1"/>
  <c r="C1394" i="1"/>
  <c r="C1461" i="1"/>
  <c r="C1492" i="1"/>
  <c r="C1524" i="1"/>
  <c r="C1561" i="1"/>
  <c r="C1592" i="1"/>
  <c r="C1619" i="1"/>
  <c r="C1639" i="1"/>
  <c r="C1659" i="1"/>
  <c r="C1678" i="1"/>
  <c r="C1694" i="1"/>
  <c r="C1707" i="1"/>
  <c r="C1719" i="1"/>
  <c r="C1732" i="1"/>
  <c r="C1745" i="1"/>
  <c r="C1757" i="1"/>
  <c r="C1769" i="1"/>
  <c r="C1782" i="1"/>
  <c r="C1794" i="1"/>
  <c r="B5" i="1"/>
  <c r="B16" i="1"/>
  <c r="B27" i="1"/>
  <c r="B38" i="1"/>
  <c r="B49" i="1"/>
  <c r="B59" i="1"/>
  <c r="B69" i="1"/>
  <c r="B79" i="1"/>
  <c r="B89" i="1"/>
  <c r="B99" i="1"/>
  <c r="B109" i="1"/>
  <c r="B119" i="1"/>
  <c r="B129" i="1"/>
  <c r="B139" i="1"/>
  <c r="B149" i="1"/>
  <c r="B159" i="1"/>
  <c r="B169" i="1"/>
  <c r="B179" i="1"/>
  <c r="B189" i="1"/>
  <c r="B199" i="1"/>
  <c r="B209" i="1"/>
  <c r="B219" i="1"/>
  <c r="B229" i="1"/>
  <c r="B239" i="1"/>
  <c r="B249" i="1"/>
  <c r="B259" i="1"/>
  <c r="B269" i="1"/>
  <c r="B279" i="1"/>
  <c r="B289" i="1"/>
  <c r="B299" i="1"/>
  <c r="B309" i="1"/>
  <c r="B319" i="1"/>
  <c r="B329" i="1"/>
  <c r="B339" i="1"/>
  <c r="B349" i="1"/>
  <c r="B359" i="1"/>
  <c r="B369" i="1"/>
  <c r="B379" i="1"/>
  <c r="B389" i="1"/>
  <c r="B399" i="1"/>
  <c r="B409" i="1"/>
  <c r="B419" i="1"/>
  <c r="B429" i="1"/>
  <c r="B439" i="1"/>
  <c r="B449" i="1"/>
  <c r="B459" i="1"/>
  <c r="B469" i="1"/>
  <c r="B479" i="1"/>
  <c r="B489" i="1"/>
  <c r="B499" i="1"/>
  <c r="B509" i="1"/>
  <c r="B519" i="1"/>
  <c r="B529" i="1"/>
  <c r="B539" i="1"/>
  <c r="B549" i="1"/>
  <c r="B559" i="1"/>
  <c r="B569" i="1"/>
  <c r="B579" i="1"/>
  <c r="B589" i="1"/>
  <c r="B599" i="1"/>
  <c r="B609" i="1"/>
  <c r="B619" i="1"/>
  <c r="B629" i="1"/>
  <c r="B639" i="1"/>
  <c r="B649" i="1"/>
  <c r="B659" i="1"/>
  <c r="B669" i="1"/>
  <c r="B679" i="1"/>
  <c r="B689" i="1"/>
  <c r="B699" i="1"/>
  <c r="B709" i="1"/>
  <c r="B719" i="1"/>
  <c r="B729" i="1"/>
  <c r="B739" i="1"/>
  <c r="B749" i="1"/>
  <c r="B759" i="1"/>
  <c r="B769" i="1"/>
  <c r="B779" i="1"/>
  <c r="B789" i="1"/>
  <c r="B799" i="1"/>
  <c r="B809" i="1"/>
  <c r="B819" i="1"/>
  <c r="B829" i="1"/>
  <c r="B839" i="1"/>
  <c r="B849" i="1"/>
  <c r="B859" i="1"/>
  <c r="B869" i="1"/>
  <c r="B879" i="1"/>
  <c r="B889" i="1"/>
  <c r="B899" i="1"/>
  <c r="B909" i="1"/>
  <c r="B919" i="1"/>
  <c r="B929" i="1"/>
  <c r="B939" i="1"/>
  <c r="B949" i="1"/>
  <c r="B959" i="1"/>
  <c r="B969" i="1"/>
  <c r="B979" i="1"/>
  <c r="B989" i="1"/>
  <c r="B999" i="1"/>
  <c r="B1009" i="1"/>
  <c r="B1019" i="1"/>
  <c r="B1029" i="1"/>
  <c r="B1039" i="1"/>
  <c r="B1049" i="1"/>
  <c r="B1059" i="1"/>
  <c r="B1069" i="1"/>
  <c r="B1079" i="1"/>
  <c r="B1089" i="1"/>
  <c r="B1099" i="1"/>
  <c r="B1109" i="1"/>
  <c r="B1119" i="1"/>
  <c r="B1129" i="1"/>
  <c r="B1139" i="1"/>
  <c r="B1149" i="1"/>
  <c r="B1159" i="1"/>
  <c r="B1169" i="1"/>
  <c r="B1179" i="1"/>
  <c r="B1189" i="1"/>
  <c r="B1199" i="1"/>
  <c r="B1209" i="1"/>
  <c r="B1219" i="1"/>
  <c r="B1229" i="1"/>
  <c r="B1239" i="1"/>
  <c r="B1249" i="1"/>
  <c r="B1259" i="1"/>
  <c r="B1269" i="1"/>
  <c r="B1279" i="1"/>
  <c r="B1289" i="1"/>
  <c r="B1299" i="1"/>
  <c r="B1309" i="1"/>
  <c r="B1319" i="1"/>
  <c r="B1329" i="1"/>
  <c r="B1339" i="1"/>
  <c r="B1349" i="1"/>
  <c r="B1359" i="1"/>
  <c r="B1369" i="1"/>
  <c r="B1379" i="1"/>
  <c r="B1389" i="1"/>
  <c r="B1399" i="1"/>
  <c r="B1409" i="1"/>
  <c r="B1419" i="1"/>
  <c r="B1429" i="1"/>
  <c r="B1439" i="1"/>
  <c r="B1449" i="1"/>
  <c r="B1459" i="1"/>
  <c r="B1469" i="1"/>
  <c r="B1479" i="1"/>
  <c r="B1489" i="1"/>
  <c r="B1499" i="1"/>
  <c r="B1509" i="1"/>
  <c r="B1519" i="1"/>
  <c r="B1529" i="1"/>
  <c r="B1539" i="1"/>
  <c r="B1549" i="1"/>
  <c r="B1559" i="1"/>
  <c r="B1569" i="1"/>
  <c r="B1579" i="1"/>
  <c r="B1589" i="1"/>
  <c r="B1599" i="1"/>
  <c r="B1609" i="1"/>
  <c r="B1619" i="1"/>
  <c r="B1629" i="1"/>
  <c r="B1639" i="1"/>
  <c r="B1649" i="1"/>
  <c r="B1719" i="1"/>
  <c r="B1749" i="1"/>
  <c r="B1789" i="1"/>
  <c r="C1404" i="1"/>
  <c r="C1462" i="1"/>
  <c r="C1494" i="1"/>
  <c r="C1531" i="1"/>
  <c r="C1562" i="1"/>
  <c r="C1594" i="1"/>
  <c r="C1621" i="1"/>
  <c r="C1641" i="1"/>
  <c r="C1661" i="1"/>
  <c r="C1679" i="1"/>
  <c r="C1695" i="1"/>
  <c r="C1708" i="1"/>
  <c r="C1721" i="1"/>
  <c r="C1734" i="1"/>
  <c r="C1746" i="1"/>
  <c r="C1758" i="1"/>
  <c r="C1771" i="1"/>
  <c r="C1784" i="1"/>
  <c r="C1795" i="1"/>
  <c r="B6" i="1"/>
  <c r="B17" i="1"/>
  <c r="B28" i="1"/>
  <c r="B39" i="1"/>
  <c r="B50" i="1"/>
  <c r="B60" i="1"/>
  <c r="B70" i="1"/>
  <c r="B80" i="1"/>
  <c r="B90" i="1"/>
  <c r="B100" i="1"/>
  <c r="B110" i="1"/>
  <c r="B120" i="1"/>
  <c r="B130" i="1"/>
  <c r="B140" i="1"/>
  <c r="B150" i="1"/>
  <c r="B160" i="1"/>
  <c r="B170" i="1"/>
  <c r="B180" i="1"/>
  <c r="B190" i="1"/>
  <c r="B200" i="1"/>
  <c r="B210" i="1"/>
  <c r="B220" i="1"/>
  <c r="B230" i="1"/>
  <c r="B240" i="1"/>
  <c r="B250" i="1"/>
  <c r="B260" i="1"/>
  <c r="B270" i="1"/>
  <c r="B280" i="1"/>
  <c r="B290" i="1"/>
  <c r="B300" i="1"/>
  <c r="B310" i="1"/>
  <c r="B320" i="1"/>
  <c r="B330" i="1"/>
  <c r="B340" i="1"/>
  <c r="B350" i="1"/>
  <c r="B360" i="1"/>
  <c r="B370" i="1"/>
  <c r="B380" i="1"/>
  <c r="B390" i="1"/>
  <c r="B400" i="1"/>
  <c r="B410" i="1"/>
  <c r="B420" i="1"/>
  <c r="B430" i="1"/>
  <c r="B440" i="1"/>
  <c r="B450" i="1"/>
  <c r="B460" i="1"/>
  <c r="B470" i="1"/>
  <c r="B480" i="1"/>
  <c r="B490" i="1"/>
  <c r="B500" i="1"/>
  <c r="B510" i="1"/>
  <c r="B520" i="1"/>
  <c r="B530" i="1"/>
  <c r="B540" i="1"/>
  <c r="B550" i="1"/>
  <c r="B560" i="1"/>
  <c r="B570" i="1"/>
  <c r="B580" i="1"/>
  <c r="B590" i="1"/>
  <c r="B600" i="1"/>
  <c r="B610" i="1"/>
  <c r="B620" i="1"/>
  <c r="B630" i="1"/>
  <c r="B640" i="1"/>
  <c r="B650" i="1"/>
  <c r="B660" i="1"/>
  <c r="B670" i="1"/>
  <c r="B680" i="1"/>
  <c r="B690" i="1"/>
  <c r="B700" i="1"/>
  <c r="B710" i="1"/>
  <c r="B720" i="1"/>
  <c r="B730" i="1"/>
  <c r="B740" i="1"/>
  <c r="B750" i="1"/>
  <c r="B760" i="1"/>
  <c r="B770" i="1"/>
  <c r="B780" i="1"/>
  <c r="B790" i="1"/>
  <c r="B800" i="1"/>
  <c r="B810" i="1"/>
  <c r="B820" i="1"/>
  <c r="B830" i="1"/>
  <c r="B840" i="1"/>
  <c r="B850" i="1"/>
  <c r="B860" i="1"/>
  <c r="B870" i="1"/>
  <c r="B880" i="1"/>
  <c r="B890" i="1"/>
  <c r="B900" i="1"/>
  <c r="B910" i="1"/>
  <c r="B920" i="1"/>
  <c r="B930" i="1"/>
  <c r="B940" i="1"/>
  <c r="B950" i="1"/>
  <c r="B960" i="1"/>
  <c r="B970" i="1"/>
  <c r="B980" i="1"/>
  <c r="B990" i="1"/>
  <c r="B1000" i="1"/>
  <c r="B1010" i="1"/>
  <c r="B1020" i="1"/>
  <c r="B1030" i="1"/>
  <c r="B1040" i="1"/>
  <c r="B1050" i="1"/>
  <c r="B1060" i="1"/>
  <c r="B1070" i="1"/>
  <c r="B1080" i="1"/>
  <c r="B1090" i="1"/>
  <c r="B1100" i="1"/>
  <c r="B1110" i="1"/>
  <c r="B1120" i="1"/>
  <c r="B1130" i="1"/>
  <c r="B1140" i="1"/>
  <c r="B1150" i="1"/>
  <c r="B1160" i="1"/>
  <c r="B1170" i="1"/>
  <c r="B1180" i="1"/>
  <c r="B1190" i="1"/>
  <c r="B1200" i="1"/>
  <c r="B1210" i="1"/>
  <c r="B1220" i="1"/>
  <c r="B1230" i="1"/>
  <c r="B1240" i="1"/>
  <c r="B1250" i="1"/>
  <c r="B1260" i="1"/>
  <c r="B1270" i="1"/>
  <c r="B1280" i="1"/>
  <c r="B1290" i="1"/>
  <c r="B1300" i="1"/>
  <c r="B1310" i="1"/>
  <c r="B1320" i="1"/>
  <c r="B1330" i="1"/>
  <c r="B1340" i="1"/>
  <c r="B1350" i="1"/>
  <c r="B1360" i="1"/>
  <c r="B1370" i="1"/>
  <c r="B1380" i="1"/>
  <c r="B1390" i="1"/>
  <c r="B1400" i="1"/>
  <c r="B1410" i="1"/>
  <c r="B1420" i="1"/>
  <c r="B1430" i="1"/>
  <c r="B1440" i="1"/>
  <c r="B1450" i="1"/>
  <c r="B1460" i="1"/>
  <c r="B1470" i="1"/>
  <c r="B1480" i="1"/>
  <c r="B1490" i="1"/>
  <c r="B1500" i="1"/>
  <c r="B1510" i="1"/>
  <c r="B1520" i="1"/>
  <c r="B1530" i="1"/>
  <c r="B1540" i="1"/>
  <c r="B1550" i="1"/>
  <c r="B1560" i="1"/>
  <c r="B1570" i="1"/>
  <c r="B1580" i="1"/>
  <c r="B1590" i="1"/>
  <c r="B1600" i="1"/>
  <c r="B1610" i="1"/>
  <c r="B1620" i="1"/>
  <c r="B1630" i="1"/>
  <c r="B1640" i="1"/>
  <c r="B1650" i="1"/>
  <c r="B1660" i="1"/>
  <c r="B1670" i="1"/>
  <c r="B1680" i="1"/>
  <c r="B1690" i="1"/>
  <c r="B1700" i="1"/>
  <c r="B1710" i="1"/>
  <c r="B1720" i="1"/>
  <c r="B1730" i="1"/>
  <c r="B1740" i="1"/>
  <c r="B1750" i="1"/>
  <c r="B1760" i="1"/>
  <c r="B1780" i="1"/>
  <c r="C1414" i="1"/>
  <c r="C1464" i="1"/>
  <c r="C1501" i="1"/>
  <c r="C1532" i="1"/>
  <c r="C1564" i="1"/>
  <c r="C1599" i="1"/>
  <c r="C1622" i="1"/>
  <c r="C1642" i="1"/>
  <c r="C1662" i="1"/>
  <c r="C1681" i="1"/>
  <c r="C1697" i="1"/>
  <c r="C1709" i="1"/>
  <c r="C1722" i="1"/>
  <c r="C1735" i="1"/>
  <c r="C1747" i="1"/>
  <c r="C1759" i="1"/>
  <c r="C1772" i="1"/>
  <c r="C1785" i="1"/>
  <c r="C1796" i="1"/>
  <c r="B7" i="1"/>
  <c r="B18" i="1"/>
  <c r="B29" i="1"/>
  <c r="B41" i="1"/>
  <c r="B51" i="1"/>
  <c r="B61" i="1"/>
  <c r="B71" i="1"/>
  <c r="B81" i="1"/>
  <c r="B91" i="1"/>
  <c r="B101" i="1"/>
  <c r="B111" i="1"/>
  <c r="B121" i="1"/>
  <c r="B131" i="1"/>
  <c r="B141" i="1"/>
  <c r="B151" i="1"/>
  <c r="B161" i="1"/>
  <c r="B171" i="1"/>
  <c r="B181" i="1"/>
  <c r="B191" i="1"/>
  <c r="B201" i="1"/>
  <c r="B211" i="1"/>
  <c r="B221" i="1"/>
  <c r="B231" i="1"/>
  <c r="B241" i="1"/>
  <c r="B251" i="1"/>
  <c r="B261" i="1"/>
  <c r="B271" i="1"/>
  <c r="B281" i="1"/>
  <c r="B291" i="1"/>
  <c r="B301" i="1"/>
  <c r="B311" i="1"/>
  <c r="B321" i="1"/>
  <c r="B331" i="1"/>
  <c r="B341" i="1"/>
  <c r="B351" i="1"/>
  <c r="B361" i="1"/>
  <c r="B371" i="1"/>
  <c r="B381" i="1"/>
  <c r="B391" i="1"/>
  <c r="B401" i="1"/>
  <c r="B411" i="1"/>
  <c r="B421" i="1"/>
  <c r="B431" i="1"/>
  <c r="B441" i="1"/>
  <c r="B451" i="1"/>
  <c r="B461" i="1"/>
  <c r="B471" i="1"/>
  <c r="B481" i="1"/>
  <c r="B491" i="1"/>
  <c r="B501" i="1"/>
  <c r="B511" i="1"/>
  <c r="B521" i="1"/>
  <c r="B531" i="1"/>
  <c r="B541" i="1"/>
  <c r="B551" i="1"/>
  <c r="B561" i="1"/>
  <c r="B571" i="1"/>
  <c r="B581" i="1"/>
  <c r="B591" i="1"/>
  <c r="B601" i="1"/>
  <c r="B611" i="1"/>
  <c r="B621" i="1"/>
  <c r="B631" i="1"/>
  <c r="B641" i="1"/>
  <c r="B651" i="1"/>
  <c r="B661" i="1"/>
  <c r="B671" i="1"/>
  <c r="B681" i="1"/>
  <c r="B691" i="1"/>
  <c r="B701" i="1"/>
  <c r="B711" i="1"/>
  <c r="B721" i="1"/>
  <c r="B731" i="1"/>
  <c r="B741" i="1"/>
  <c r="B751" i="1"/>
  <c r="B761" i="1"/>
  <c r="B771" i="1"/>
  <c r="B781" i="1"/>
  <c r="B791" i="1"/>
  <c r="B801" i="1"/>
  <c r="B811" i="1"/>
  <c r="B821" i="1"/>
  <c r="B831" i="1"/>
  <c r="B841" i="1"/>
  <c r="B851" i="1"/>
  <c r="B861" i="1"/>
  <c r="B871" i="1"/>
  <c r="B881" i="1"/>
  <c r="B891" i="1"/>
  <c r="B901" i="1"/>
  <c r="B911" i="1"/>
  <c r="B921" i="1"/>
  <c r="B931" i="1"/>
  <c r="B941" i="1"/>
  <c r="B951" i="1"/>
  <c r="B961" i="1"/>
  <c r="B971" i="1"/>
  <c r="B981" i="1"/>
  <c r="B991" i="1"/>
  <c r="B1001" i="1"/>
  <c r="B1011" i="1"/>
  <c r="B1021" i="1"/>
  <c r="B1031" i="1"/>
  <c r="B1041" i="1"/>
  <c r="B1051" i="1"/>
  <c r="B1061" i="1"/>
  <c r="B1071" i="1"/>
  <c r="B1081" i="1"/>
  <c r="B1091" i="1"/>
  <c r="B1101" i="1"/>
  <c r="B1111" i="1"/>
  <c r="B1121" i="1"/>
  <c r="B1131" i="1"/>
  <c r="B1141" i="1"/>
  <c r="B1151" i="1"/>
  <c r="B1161" i="1"/>
  <c r="B1171" i="1"/>
  <c r="B1181" i="1"/>
  <c r="B1191" i="1"/>
  <c r="B1201" i="1"/>
  <c r="B1211" i="1"/>
  <c r="B1221" i="1"/>
  <c r="B1231" i="1"/>
  <c r="B1241" i="1"/>
  <c r="B1251" i="1"/>
  <c r="B1261" i="1"/>
  <c r="B1271" i="1"/>
  <c r="B1281" i="1"/>
  <c r="B1291" i="1"/>
  <c r="B1301" i="1"/>
  <c r="B1311" i="1"/>
  <c r="B1321" i="1"/>
  <c r="B1331" i="1"/>
  <c r="B1341" i="1"/>
  <c r="B1351" i="1"/>
  <c r="B1361" i="1"/>
  <c r="B1371" i="1"/>
  <c r="B1381" i="1"/>
  <c r="B1391" i="1"/>
  <c r="B1401" i="1"/>
  <c r="B1411" i="1"/>
  <c r="B1421" i="1"/>
  <c r="B1431" i="1"/>
  <c r="B1441" i="1"/>
  <c r="B1451" i="1"/>
  <c r="B1461" i="1"/>
  <c r="B1471" i="1"/>
  <c r="B1481" i="1"/>
  <c r="B1491" i="1"/>
  <c r="B1501" i="1"/>
  <c r="B1511" i="1"/>
  <c r="B1521" i="1"/>
  <c r="B1531" i="1"/>
  <c r="B1541" i="1"/>
  <c r="B1551" i="1"/>
  <c r="B1561" i="1"/>
  <c r="B1571" i="1"/>
  <c r="B1581" i="1"/>
  <c r="B1591" i="1"/>
  <c r="B1601" i="1"/>
  <c r="B1611" i="1"/>
  <c r="B1621" i="1"/>
  <c r="B1631" i="1"/>
  <c r="B1641" i="1"/>
  <c r="B1651" i="1"/>
  <c r="B1661" i="1"/>
  <c r="B1671" i="1"/>
  <c r="B1681" i="1"/>
  <c r="B1691" i="1"/>
  <c r="B1701" i="1"/>
  <c r="B1711" i="1"/>
  <c r="B1721" i="1"/>
  <c r="B1731" i="1"/>
  <c r="B1741" i="1"/>
  <c r="B1751" i="1"/>
  <c r="B1761" i="1"/>
  <c r="B1771" i="1"/>
  <c r="B1781" i="1"/>
  <c r="B1791" i="1"/>
  <c r="B1801" i="1"/>
  <c r="B1512" i="1"/>
  <c r="B1522" i="1"/>
  <c r="B1532" i="1"/>
  <c r="B1552" i="1"/>
  <c r="B1582" i="1"/>
  <c r="B1592" i="1"/>
  <c r="B1612" i="1"/>
  <c r="B1622" i="1"/>
  <c r="B1632" i="1"/>
  <c r="B1642" i="1"/>
  <c r="B1662" i="1"/>
  <c r="B1692" i="1"/>
  <c r="B1702" i="1"/>
  <c r="B1732" i="1"/>
  <c r="B1762" i="1"/>
  <c r="B1703" i="1"/>
  <c r="B1733" i="1"/>
  <c r="B1753" i="1"/>
  <c r="B1783" i="1"/>
  <c r="B1793" i="1"/>
  <c r="B1734" i="1"/>
  <c r="B1774" i="1"/>
  <c r="B1794" i="1"/>
  <c r="B1790" i="1"/>
  <c r="C1424" i="1"/>
  <c r="C1471" i="1"/>
  <c r="C1502" i="1"/>
  <c r="C1534" i="1"/>
  <c r="C1571" i="1"/>
  <c r="C1601" i="1"/>
  <c r="C1624" i="1"/>
  <c r="C1644" i="1"/>
  <c r="C1664" i="1"/>
  <c r="C1682" i="1"/>
  <c r="C1698" i="1"/>
  <c r="C1711" i="1"/>
  <c r="C1724" i="1"/>
  <c r="C1736" i="1"/>
  <c r="C1748" i="1"/>
  <c r="C1761" i="1"/>
  <c r="C1774" i="1"/>
  <c r="C1786" i="1"/>
  <c r="C1797" i="1"/>
  <c r="B8" i="1"/>
  <c r="B19" i="1"/>
  <c r="B31" i="1"/>
  <c r="B42" i="1"/>
  <c r="B52" i="1"/>
  <c r="B62" i="1"/>
  <c r="B72" i="1"/>
  <c r="B82" i="1"/>
  <c r="B92" i="1"/>
  <c r="B102" i="1"/>
  <c r="B112" i="1"/>
  <c r="B122" i="1"/>
  <c r="B132" i="1"/>
  <c r="B142" i="1"/>
  <c r="B152" i="1"/>
  <c r="B162" i="1"/>
  <c r="B172" i="1"/>
  <c r="B182" i="1"/>
  <c r="B192" i="1"/>
  <c r="B202" i="1"/>
  <c r="B212" i="1"/>
  <c r="B222" i="1"/>
  <c r="B232" i="1"/>
  <c r="B242" i="1"/>
  <c r="B252" i="1"/>
  <c r="B262" i="1"/>
  <c r="B272" i="1"/>
  <c r="B282" i="1"/>
  <c r="B292" i="1"/>
  <c r="B302" i="1"/>
  <c r="B312" i="1"/>
  <c r="B322" i="1"/>
  <c r="B332" i="1"/>
  <c r="B342" i="1"/>
  <c r="B352" i="1"/>
  <c r="B362" i="1"/>
  <c r="B372" i="1"/>
  <c r="B382" i="1"/>
  <c r="B392" i="1"/>
  <c r="B402" i="1"/>
  <c r="B412" i="1"/>
  <c r="B422" i="1"/>
  <c r="B432" i="1"/>
  <c r="B442" i="1"/>
  <c r="B452" i="1"/>
  <c r="B462" i="1"/>
  <c r="B472" i="1"/>
  <c r="B482" i="1"/>
  <c r="B492" i="1"/>
  <c r="B502" i="1"/>
  <c r="B512" i="1"/>
  <c r="B522" i="1"/>
  <c r="B532" i="1"/>
  <c r="B542" i="1"/>
  <c r="B552" i="1"/>
  <c r="B562" i="1"/>
  <c r="B572" i="1"/>
  <c r="B582" i="1"/>
  <c r="B592" i="1"/>
  <c r="B602" i="1"/>
  <c r="B612" i="1"/>
  <c r="B622" i="1"/>
  <c r="B632" i="1"/>
  <c r="B642" i="1"/>
  <c r="B652" i="1"/>
  <c r="B662" i="1"/>
  <c r="B672" i="1"/>
  <c r="B682" i="1"/>
  <c r="B692" i="1"/>
  <c r="B702" i="1"/>
  <c r="B712" i="1"/>
  <c r="B722" i="1"/>
  <c r="B732" i="1"/>
  <c r="B742" i="1"/>
  <c r="B752" i="1"/>
  <c r="B762" i="1"/>
  <c r="B772" i="1"/>
  <c r="B782" i="1"/>
  <c r="B792" i="1"/>
  <c r="B802" i="1"/>
  <c r="B812" i="1"/>
  <c r="B822" i="1"/>
  <c r="B832" i="1"/>
  <c r="B842" i="1"/>
  <c r="B852" i="1"/>
  <c r="B862" i="1"/>
  <c r="B872" i="1"/>
  <c r="B882" i="1"/>
  <c r="B892" i="1"/>
  <c r="B902" i="1"/>
  <c r="B912" i="1"/>
  <c r="B922" i="1"/>
  <c r="B932" i="1"/>
  <c r="B942" i="1"/>
  <c r="B952" i="1"/>
  <c r="B962" i="1"/>
  <c r="B972" i="1"/>
  <c r="B982" i="1"/>
  <c r="B992" i="1"/>
  <c r="B1002" i="1"/>
  <c r="B1012" i="1"/>
  <c r="B1022" i="1"/>
  <c r="B1032" i="1"/>
  <c r="B1042" i="1"/>
  <c r="B1052" i="1"/>
  <c r="B1062" i="1"/>
  <c r="B1072" i="1"/>
  <c r="B1082" i="1"/>
  <c r="B1092" i="1"/>
  <c r="B1102" i="1"/>
  <c r="B1112" i="1"/>
  <c r="B1122" i="1"/>
  <c r="B1132" i="1"/>
  <c r="B1142" i="1"/>
  <c r="B1152" i="1"/>
  <c r="B1162" i="1"/>
  <c r="B1172" i="1"/>
  <c r="B1182" i="1"/>
  <c r="B1192" i="1"/>
  <c r="B1202" i="1"/>
  <c r="B1212" i="1"/>
  <c r="B1222" i="1"/>
  <c r="B1232" i="1"/>
  <c r="B1242" i="1"/>
  <c r="B1252" i="1"/>
  <c r="B1262" i="1"/>
  <c r="B1272" i="1"/>
  <c r="B1282" i="1"/>
  <c r="B1292" i="1"/>
  <c r="B1302" i="1"/>
  <c r="B1312" i="1"/>
  <c r="B1322" i="1"/>
  <c r="B1332" i="1"/>
  <c r="B1342" i="1"/>
  <c r="B1352" i="1"/>
  <c r="B1362" i="1"/>
  <c r="B1372" i="1"/>
  <c r="B1382" i="1"/>
  <c r="B1392" i="1"/>
  <c r="B1402" i="1"/>
  <c r="B1412" i="1"/>
  <c r="B1422" i="1"/>
  <c r="B1432" i="1"/>
  <c r="B1442" i="1"/>
  <c r="B1452" i="1"/>
  <c r="B1462" i="1"/>
  <c r="B1472" i="1"/>
  <c r="B1482" i="1"/>
  <c r="B1492" i="1"/>
  <c r="B1502" i="1"/>
  <c r="B1542" i="1"/>
  <c r="B1562" i="1"/>
  <c r="B1572" i="1"/>
  <c r="B1602" i="1"/>
  <c r="B1652" i="1"/>
  <c r="B1672" i="1"/>
  <c r="B1682" i="1"/>
  <c r="B1712" i="1"/>
  <c r="B1722" i="1"/>
  <c r="B1742" i="1"/>
  <c r="B1752" i="1"/>
  <c r="B1772" i="1"/>
  <c r="B1782" i="1"/>
  <c r="B1792" i="1"/>
  <c r="B1802" i="1"/>
  <c r="B1673" i="1"/>
  <c r="B1693" i="1"/>
  <c r="B1763" i="1"/>
  <c r="B1724" i="1"/>
  <c r="B1764" i="1"/>
  <c r="B1784" i="1"/>
  <c r="B1800" i="1"/>
  <c r="C1432" i="1"/>
  <c r="C1472" i="1"/>
  <c r="C1504" i="1"/>
  <c r="C1541" i="1"/>
  <c r="C1572" i="1"/>
  <c r="C1602" i="1"/>
  <c r="C1628" i="1"/>
  <c r="C1648" i="1"/>
  <c r="C1668" i="1"/>
  <c r="C1684" i="1"/>
  <c r="C1699" i="1"/>
  <c r="C1712" i="1"/>
  <c r="C1725" i="1"/>
  <c r="C1737" i="1"/>
  <c r="C1749" i="1"/>
  <c r="C1762" i="1"/>
  <c r="C1775" i="1"/>
  <c r="C1787" i="1"/>
  <c r="C1798" i="1"/>
  <c r="B9" i="1"/>
  <c r="B21" i="1"/>
  <c r="B32" i="1"/>
  <c r="B43" i="1"/>
  <c r="B53" i="1"/>
  <c r="B63" i="1"/>
  <c r="B73" i="1"/>
  <c r="B83" i="1"/>
  <c r="B93" i="1"/>
  <c r="B103" i="1"/>
  <c r="B113" i="1"/>
  <c r="B123" i="1"/>
  <c r="B133" i="1"/>
  <c r="B143" i="1"/>
  <c r="B153" i="1"/>
  <c r="B163" i="1"/>
  <c r="B173" i="1"/>
  <c r="B183" i="1"/>
  <c r="B193" i="1"/>
  <c r="B203" i="1"/>
  <c r="B213" i="1"/>
  <c r="B223" i="1"/>
  <c r="B233" i="1"/>
  <c r="B243" i="1"/>
  <c r="B253" i="1"/>
  <c r="B263" i="1"/>
  <c r="B273" i="1"/>
  <c r="B283" i="1"/>
  <c r="B293" i="1"/>
  <c r="B303" i="1"/>
  <c r="B313" i="1"/>
  <c r="B323" i="1"/>
  <c r="B333" i="1"/>
  <c r="B343" i="1"/>
  <c r="B353" i="1"/>
  <c r="B363" i="1"/>
  <c r="B373" i="1"/>
  <c r="B383" i="1"/>
  <c r="B393" i="1"/>
  <c r="B403" i="1"/>
  <c r="B413" i="1"/>
  <c r="B423" i="1"/>
  <c r="B433" i="1"/>
  <c r="B443" i="1"/>
  <c r="B453" i="1"/>
  <c r="B463" i="1"/>
  <c r="B473" i="1"/>
  <c r="B483" i="1"/>
  <c r="B493" i="1"/>
  <c r="B503" i="1"/>
  <c r="B513" i="1"/>
  <c r="B523" i="1"/>
  <c r="B533" i="1"/>
  <c r="B543" i="1"/>
  <c r="B553" i="1"/>
  <c r="B563" i="1"/>
  <c r="B573" i="1"/>
  <c r="B583" i="1"/>
  <c r="B593" i="1"/>
  <c r="B603" i="1"/>
  <c r="B613" i="1"/>
  <c r="B623" i="1"/>
  <c r="B633" i="1"/>
  <c r="B643" i="1"/>
  <c r="B653" i="1"/>
  <c r="B663" i="1"/>
  <c r="B673" i="1"/>
  <c r="B683" i="1"/>
  <c r="B693" i="1"/>
  <c r="B703" i="1"/>
  <c r="B713" i="1"/>
  <c r="B723" i="1"/>
  <c r="B733" i="1"/>
  <c r="B743" i="1"/>
  <c r="B753" i="1"/>
  <c r="B763" i="1"/>
  <c r="B773" i="1"/>
  <c r="B783" i="1"/>
  <c r="B793" i="1"/>
  <c r="B803" i="1"/>
  <c r="B813" i="1"/>
  <c r="B823" i="1"/>
  <c r="B833" i="1"/>
  <c r="B843" i="1"/>
  <c r="B853" i="1"/>
  <c r="B863" i="1"/>
  <c r="B873" i="1"/>
  <c r="B883" i="1"/>
  <c r="B893" i="1"/>
  <c r="B903" i="1"/>
  <c r="B913" i="1"/>
  <c r="B923" i="1"/>
  <c r="B933" i="1"/>
  <c r="B943" i="1"/>
  <c r="B953" i="1"/>
  <c r="B963" i="1"/>
  <c r="B973" i="1"/>
  <c r="B983" i="1"/>
  <c r="B993" i="1"/>
  <c r="B1003" i="1"/>
  <c r="B1013" i="1"/>
  <c r="B1023" i="1"/>
  <c r="B1033" i="1"/>
  <c r="B1043" i="1"/>
  <c r="B1053" i="1"/>
  <c r="B1063" i="1"/>
  <c r="B1073" i="1"/>
  <c r="B1083" i="1"/>
  <c r="B1093" i="1"/>
  <c r="B1103" i="1"/>
  <c r="B1113" i="1"/>
  <c r="B1123" i="1"/>
  <c r="B1133" i="1"/>
  <c r="B1143" i="1"/>
  <c r="B1153" i="1"/>
  <c r="B1163" i="1"/>
  <c r="B1173" i="1"/>
  <c r="B1183" i="1"/>
  <c r="B1193" i="1"/>
  <c r="B1203" i="1"/>
  <c r="B1213" i="1"/>
  <c r="B1223" i="1"/>
  <c r="B1233" i="1"/>
  <c r="B1243" i="1"/>
  <c r="B1253" i="1"/>
  <c r="B1263" i="1"/>
  <c r="B1273" i="1"/>
  <c r="B1283" i="1"/>
  <c r="B1293" i="1"/>
  <c r="B1303" i="1"/>
  <c r="B1313" i="1"/>
  <c r="B1323" i="1"/>
  <c r="B1333" i="1"/>
  <c r="B1343" i="1"/>
  <c r="B1353" i="1"/>
  <c r="B1363" i="1"/>
  <c r="B1373" i="1"/>
  <c r="B1383" i="1"/>
  <c r="B1393" i="1"/>
  <c r="B1403" i="1"/>
  <c r="B1413" i="1"/>
  <c r="B1423" i="1"/>
  <c r="B1433" i="1"/>
  <c r="B1443" i="1"/>
  <c r="B1453" i="1"/>
  <c r="B1463" i="1"/>
  <c r="B1473" i="1"/>
  <c r="B1483" i="1"/>
  <c r="B1493" i="1"/>
  <c r="B1503" i="1"/>
  <c r="B1513" i="1"/>
  <c r="B1523" i="1"/>
  <c r="B1533" i="1"/>
  <c r="B1543" i="1"/>
  <c r="B1553" i="1"/>
  <c r="B1563" i="1"/>
  <c r="B1573" i="1"/>
  <c r="B1583" i="1"/>
  <c r="B1593" i="1"/>
  <c r="B1603" i="1"/>
  <c r="B1613" i="1"/>
  <c r="B1623" i="1"/>
  <c r="B1633" i="1"/>
  <c r="B1643" i="1"/>
  <c r="B1653" i="1"/>
  <c r="B1663" i="1"/>
  <c r="B1683" i="1"/>
  <c r="B1713" i="1"/>
  <c r="B1723" i="1"/>
  <c r="B1743" i="1"/>
  <c r="B1773" i="1"/>
  <c r="B1744" i="1"/>
  <c r="C1434" i="1"/>
  <c r="C1474" i="1"/>
  <c r="C1511" i="1"/>
  <c r="C1542" i="1"/>
  <c r="C1574" i="1"/>
  <c r="C1604" i="1"/>
  <c r="C1629" i="1"/>
  <c r="C1649" i="1"/>
  <c r="C1669" i="1"/>
  <c r="C1687" i="1"/>
  <c r="C1701" i="1"/>
  <c r="C1714" i="1"/>
  <c r="C1726" i="1"/>
  <c r="C1738" i="1"/>
  <c r="C1751" i="1"/>
  <c r="C1764" i="1"/>
  <c r="C1776" i="1"/>
  <c r="C1788" i="1"/>
  <c r="C1799" i="1"/>
  <c r="B11" i="1"/>
  <c r="B22" i="1"/>
  <c r="B33" i="1"/>
  <c r="B44" i="1"/>
  <c r="B54" i="1"/>
  <c r="B64" i="1"/>
  <c r="B74" i="1"/>
  <c r="B84" i="1"/>
  <c r="B94" i="1"/>
  <c r="B104" i="1"/>
  <c r="B114" i="1"/>
  <c r="B124" i="1"/>
  <c r="B134" i="1"/>
  <c r="B144" i="1"/>
  <c r="B154" i="1"/>
  <c r="B164" i="1"/>
  <c r="B174" i="1"/>
  <c r="B184" i="1"/>
  <c r="B194" i="1"/>
  <c r="B204" i="1"/>
  <c r="B214" i="1"/>
  <c r="B224" i="1"/>
  <c r="B234" i="1"/>
  <c r="B244" i="1"/>
  <c r="B254" i="1"/>
  <c r="B264" i="1"/>
  <c r="B274" i="1"/>
  <c r="B284" i="1"/>
  <c r="B294" i="1"/>
  <c r="B304" i="1"/>
  <c r="B314" i="1"/>
  <c r="B324" i="1"/>
  <c r="B334" i="1"/>
  <c r="B344" i="1"/>
  <c r="B354" i="1"/>
  <c r="B364" i="1"/>
  <c r="B374" i="1"/>
  <c r="B384" i="1"/>
  <c r="B394" i="1"/>
  <c r="B404" i="1"/>
  <c r="B414" i="1"/>
  <c r="B424" i="1"/>
  <c r="B434" i="1"/>
  <c r="B444" i="1"/>
  <c r="B454" i="1"/>
  <c r="B464" i="1"/>
  <c r="B474" i="1"/>
  <c r="B484" i="1"/>
  <c r="B494" i="1"/>
  <c r="B504" i="1"/>
  <c r="B514" i="1"/>
  <c r="B524" i="1"/>
  <c r="B534" i="1"/>
  <c r="B544" i="1"/>
  <c r="B554" i="1"/>
  <c r="B564" i="1"/>
  <c r="B574" i="1"/>
  <c r="B584" i="1"/>
  <c r="B594" i="1"/>
  <c r="B604" i="1"/>
  <c r="B614" i="1"/>
  <c r="B624" i="1"/>
  <c r="B634" i="1"/>
  <c r="B644" i="1"/>
  <c r="B654" i="1"/>
  <c r="B664" i="1"/>
  <c r="B674" i="1"/>
  <c r="B684" i="1"/>
  <c r="B694" i="1"/>
  <c r="B704" i="1"/>
  <c r="B714" i="1"/>
  <c r="B724" i="1"/>
  <c r="B734" i="1"/>
  <c r="B744" i="1"/>
  <c r="B754" i="1"/>
  <c r="B764" i="1"/>
  <c r="B774" i="1"/>
  <c r="B784" i="1"/>
  <c r="B794" i="1"/>
  <c r="B804" i="1"/>
  <c r="B814" i="1"/>
  <c r="B824" i="1"/>
  <c r="B834" i="1"/>
  <c r="B844" i="1"/>
  <c r="B854" i="1"/>
  <c r="B864" i="1"/>
  <c r="B874" i="1"/>
  <c r="B884" i="1"/>
  <c r="B894" i="1"/>
  <c r="B904" i="1"/>
  <c r="B914" i="1"/>
  <c r="B924" i="1"/>
  <c r="B934" i="1"/>
  <c r="B944" i="1"/>
  <c r="B954" i="1"/>
  <c r="B964" i="1"/>
  <c r="B974" i="1"/>
  <c r="B984" i="1"/>
  <c r="B994" i="1"/>
  <c r="B1004" i="1"/>
  <c r="B1014" i="1"/>
  <c r="B1024" i="1"/>
  <c r="B1034" i="1"/>
  <c r="B1044" i="1"/>
  <c r="B1054" i="1"/>
  <c r="B1064" i="1"/>
  <c r="B1074" i="1"/>
  <c r="B1084" i="1"/>
  <c r="B1094" i="1"/>
  <c r="B1104" i="1"/>
  <c r="B1114" i="1"/>
  <c r="B1124" i="1"/>
  <c r="B1134" i="1"/>
  <c r="B1144" i="1"/>
  <c r="B1154" i="1"/>
  <c r="B1164" i="1"/>
  <c r="B1174" i="1"/>
  <c r="B1184" i="1"/>
  <c r="B1194" i="1"/>
  <c r="B1204" i="1"/>
  <c r="B1214" i="1"/>
  <c r="B1224" i="1"/>
  <c r="B1234" i="1"/>
  <c r="B1244" i="1"/>
  <c r="B1254" i="1"/>
  <c r="B1264" i="1"/>
  <c r="B1274" i="1"/>
  <c r="B1284" i="1"/>
  <c r="B1294" i="1"/>
  <c r="B1304" i="1"/>
  <c r="B1314" i="1"/>
  <c r="B1324" i="1"/>
  <c r="B1334" i="1"/>
  <c r="B1344" i="1"/>
  <c r="B1354" i="1"/>
  <c r="B1364" i="1"/>
  <c r="B1374" i="1"/>
  <c r="B1384" i="1"/>
  <c r="B1394" i="1"/>
  <c r="B1404" i="1"/>
  <c r="B1414" i="1"/>
  <c r="B1424" i="1"/>
  <c r="B1434" i="1"/>
  <c r="B1444" i="1"/>
  <c r="B1454" i="1"/>
  <c r="B1464" i="1"/>
  <c r="B1474" i="1"/>
  <c r="B1484" i="1"/>
  <c r="B1494" i="1"/>
  <c r="B1504" i="1"/>
  <c r="B1514" i="1"/>
  <c r="B1524" i="1"/>
  <c r="B1534" i="1"/>
  <c r="B1544" i="1"/>
  <c r="B1554" i="1"/>
  <c r="B1564" i="1"/>
  <c r="B1574" i="1"/>
  <c r="B1584" i="1"/>
  <c r="B1594" i="1"/>
  <c r="B1604" i="1"/>
  <c r="B1614" i="1"/>
  <c r="B1624" i="1"/>
  <c r="B1634" i="1"/>
  <c r="B1644" i="1"/>
  <c r="B1654" i="1"/>
  <c r="B1664" i="1"/>
  <c r="B1674" i="1"/>
  <c r="B1684" i="1"/>
  <c r="B1694" i="1"/>
  <c r="B1704" i="1"/>
  <c r="B1714" i="1"/>
  <c r="B1754" i="1"/>
  <c r="C1442" i="1"/>
  <c r="C1481" i="1"/>
  <c r="C1512" i="1"/>
  <c r="C1544" i="1"/>
  <c r="C1581" i="1"/>
  <c r="C1609" i="1"/>
  <c r="C1631" i="1"/>
  <c r="C1651" i="1"/>
  <c r="C1671" i="1"/>
  <c r="C1688" i="1"/>
  <c r="C1702" i="1"/>
  <c r="C1715" i="1"/>
  <c r="C1727" i="1"/>
  <c r="C1739" i="1"/>
  <c r="C1752" i="1"/>
  <c r="C1765" i="1"/>
  <c r="C1777" i="1"/>
  <c r="C1789" i="1"/>
  <c r="C1801" i="1"/>
  <c r="B12" i="1"/>
  <c r="B23" i="1"/>
  <c r="B34" i="1"/>
  <c r="B45" i="1"/>
  <c r="B55" i="1"/>
  <c r="B65" i="1"/>
  <c r="B75" i="1"/>
  <c r="B85" i="1"/>
  <c r="B95" i="1"/>
  <c r="B105" i="1"/>
  <c r="B115" i="1"/>
  <c r="B125" i="1"/>
  <c r="B135" i="1"/>
  <c r="B145" i="1"/>
  <c r="B155" i="1"/>
  <c r="B165" i="1"/>
  <c r="B175" i="1"/>
  <c r="B185" i="1"/>
  <c r="B195" i="1"/>
  <c r="B205" i="1"/>
  <c r="B215" i="1"/>
  <c r="B225" i="1"/>
  <c r="B235" i="1"/>
  <c r="B245" i="1"/>
  <c r="B255" i="1"/>
  <c r="B265" i="1"/>
  <c r="B275" i="1"/>
  <c r="B285" i="1"/>
  <c r="B295" i="1"/>
  <c r="B305" i="1"/>
  <c r="B315" i="1"/>
  <c r="B325" i="1"/>
  <c r="B335" i="1"/>
  <c r="B345" i="1"/>
  <c r="B355" i="1"/>
  <c r="B365" i="1"/>
  <c r="B375" i="1"/>
  <c r="B385" i="1"/>
  <c r="B395" i="1"/>
  <c r="B405" i="1"/>
  <c r="B415" i="1"/>
  <c r="B425" i="1"/>
  <c r="B435" i="1"/>
  <c r="B445" i="1"/>
  <c r="B455" i="1"/>
  <c r="B465" i="1"/>
  <c r="B475" i="1"/>
  <c r="B485" i="1"/>
  <c r="B495" i="1"/>
  <c r="B505" i="1"/>
  <c r="B515" i="1"/>
  <c r="B525" i="1"/>
  <c r="B535" i="1"/>
  <c r="B545" i="1"/>
  <c r="B555" i="1"/>
  <c r="B565" i="1"/>
  <c r="B575" i="1"/>
  <c r="B585" i="1"/>
  <c r="B595" i="1"/>
  <c r="B605" i="1"/>
  <c r="B615" i="1"/>
  <c r="B625" i="1"/>
  <c r="B635" i="1"/>
  <c r="B645" i="1"/>
  <c r="B655" i="1"/>
  <c r="B665" i="1"/>
  <c r="B675" i="1"/>
  <c r="B685" i="1"/>
  <c r="B695" i="1"/>
  <c r="B705" i="1"/>
  <c r="B715" i="1"/>
  <c r="B725" i="1"/>
  <c r="B735" i="1"/>
  <c r="B745" i="1"/>
  <c r="B755" i="1"/>
  <c r="B765" i="1"/>
  <c r="B775" i="1"/>
  <c r="B785" i="1"/>
  <c r="B795" i="1"/>
  <c r="B805" i="1"/>
  <c r="B815" i="1"/>
  <c r="B825" i="1"/>
  <c r="B835" i="1"/>
  <c r="B845" i="1"/>
  <c r="B855" i="1"/>
  <c r="B865" i="1"/>
  <c r="B875" i="1"/>
  <c r="B885" i="1"/>
  <c r="B895" i="1"/>
  <c r="B905" i="1"/>
  <c r="B915" i="1"/>
  <c r="B925" i="1"/>
  <c r="B935" i="1"/>
  <c r="B945" i="1"/>
  <c r="B955" i="1"/>
  <c r="B965" i="1"/>
  <c r="B975" i="1"/>
  <c r="B985" i="1"/>
  <c r="B995" i="1"/>
  <c r="B1005" i="1"/>
  <c r="B1015" i="1"/>
  <c r="B1025" i="1"/>
  <c r="B1035" i="1"/>
  <c r="B1045" i="1"/>
  <c r="B1055" i="1"/>
  <c r="B1065" i="1"/>
  <c r="B1075" i="1"/>
  <c r="B1085" i="1"/>
  <c r="B1095" i="1"/>
  <c r="B1105" i="1"/>
  <c r="B1115" i="1"/>
  <c r="B1125" i="1"/>
  <c r="B1135" i="1"/>
  <c r="B1145" i="1"/>
  <c r="B1155" i="1"/>
  <c r="B1165" i="1"/>
  <c r="B1175" i="1"/>
  <c r="B1185" i="1"/>
  <c r="B1195" i="1"/>
  <c r="B1205" i="1"/>
  <c r="B1215" i="1"/>
  <c r="B1225" i="1"/>
  <c r="B1235" i="1"/>
  <c r="B1245" i="1"/>
  <c r="B1255" i="1"/>
  <c r="B1265" i="1"/>
  <c r="B1275" i="1"/>
  <c r="B1285" i="1"/>
  <c r="B1295" i="1"/>
  <c r="B1305" i="1"/>
  <c r="B1315" i="1"/>
  <c r="B1325" i="1"/>
  <c r="B1335" i="1"/>
  <c r="B1345" i="1"/>
  <c r="B1355" i="1"/>
  <c r="B1365" i="1"/>
  <c r="B1375" i="1"/>
  <c r="B1385" i="1"/>
  <c r="B1395" i="1"/>
  <c r="B1405" i="1"/>
  <c r="B1415" i="1"/>
  <c r="B1425" i="1"/>
  <c r="B1435" i="1"/>
  <c r="B1445" i="1"/>
  <c r="B1455" i="1"/>
  <c r="B1465" i="1"/>
  <c r="B1475" i="1"/>
  <c r="B1485" i="1"/>
  <c r="B1495" i="1"/>
  <c r="B1505" i="1"/>
  <c r="B1515" i="1"/>
  <c r="B1525" i="1"/>
  <c r="B1535" i="1"/>
  <c r="B1545" i="1"/>
  <c r="B1555" i="1"/>
  <c r="B1565" i="1"/>
  <c r="B1575" i="1"/>
  <c r="B1585" i="1"/>
  <c r="B1595" i="1"/>
  <c r="B1605" i="1"/>
  <c r="B1615" i="1"/>
  <c r="B1625" i="1"/>
  <c r="B1635" i="1"/>
  <c r="B1645" i="1"/>
  <c r="B1655" i="1"/>
  <c r="B1665" i="1"/>
  <c r="B1675" i="1"/>
  <c r="B1685" i="1"/>
  <c r="B1695" i="1"/>
  <c r="B1705" i="1"/>
  <c r="B1715" i="1"/>
  <c r="B1725" i="1"/>
  <c r="B1735" i="1"/>
  <c r="B1745" i="1"/>
  <c r="B1755" i="1"/>
  <c r="B1765" i="1"/>
  <c r="B1775" i="1"/>
  <c r="B1785" i="1"/>
  <c r="B1795" i="1"/>
  <c r="B1566" i="1"/>
  <c r="B1576" i="1"/>
  <c r="B1586" i="1"/>
  <c r="B1596" i="1"/>
  <c r="B1616" i="1"/>
  <c r="B1626" i="1"/>
  <c r="B1646" i="1"/>
  <c r="B1656" i="1"/>
  <c r="B1666" i="1"/>
  <c r="B1686" i="1"/>
  <c r="B1706" i="1"/>
  <c r="B1716" i="1"/>
  <c r="B1726" i="1"/>
  <c r="B1736" i="1"/>
  <c r="B1756" i="1"/>
  <c r="B1766" i="1"/>
  <c r="B1776" i="1"/>
  <c r="B1786" i="1"/>
  <c r="B1617" i="1"/>
  <c r="B1677" i="1"/>
  <c r="B1687" i="1"/>
  <c r="B1707" i="1"/>
  <c r="B1717" i="1"/>
  <c r="B1727" i="1"/>
  <c r="B1747" i="1"/>
  <c r="B1777" i="1"/>
  <c r="B1787" i="1"/>
  <c r="B1797" i="1"/>
  <c r="B1598" i="1"/>
  <c r="B1628" i="1"/>
  <c r="B1648" i="1"/>
  <c r="B1668" i="1"/>
  <c r="B1688" i="1"/>
  <c r="B1788" i="1"/>
  <c r="B1689" i="1"/>
  <c r="B1729" i="1"/>
  <c r="B1799" i="1"/>
  <c r="C1444" i="1"/>
  <c r="C1482" i="1"/>
  <c r="C1514" i="1"/>
  <c r="C1551" i="1"/>
  <c r="C1582" i="1"/>
  <c r="C1611" i="1"/>
  <c r="C1632" i="1"/>
  <c r="C1652" i="1"/>
  <c r="C1672" i="1"/>
  <c r="C1689" i="1"/>
  <c r="C1704" i="1"/>
  <c r="C1716" i="1"/>
  <c r="C1728" i="1"/>
  <c r="C1741" i="1"/>
  <c r="C1754" i="1"/>
  <c r="C1766" i="1"/>
  <c r="C1778" i="1"/>
  <c r="C1791" i="1"/>
  <c r="C1802" i="1"/>
  <c r="B13" i="1"/>
  <c r="B24" i="1"/>
  <c r="B35" i="1"/>
  <c r="B46" i="1"/>
  <c r="B56" i="1"/>
  <c r="B66" i="1"/>
  <c r="B76" i="1"/>
  <c r="B86" i="1"/>
  <c r="B96" i="1"/>
  <c r="B106" i="1"/>
  <c r="B116" i="1"/>
  <c r="B126" i="1"/>
  <c r="B136" i="1"/>
  <c r="B146" i="1"/>
  <c r="B156" i="1"/>
  <c r="B166" i="1"/>
  <c r="B176" i="1"/>
  <c r="B186" i="1"/>
  <c r="B196" i="1"/>
  <c r="B206" i="1"/>
  <c r="B216" i="1"/>
  <c r="B226" i="1"/>
  <c r="B236" i="1"/>
  <c r="B246" i="1"/>
  <c r="B256" i="1"/>
  <c r="B266" i="1"/>
  <c r="B276" i="1"/>
  <c r="B286" i="1"/>
  <c r="B296" i="1"/>
  <c r="B306" i="1"/>
  <c r="B316" i="1"/>
  <c r="B326" i="1"/>
  <c r="B336" i="1"/>
  <c r="B346" i="1"/>
  <c r="B356" i="1"/>
  <c r="B366" i="1"/>
  <c r="B376" i="1"/>
  <c r="B386" i="1"/>
  <c r="B396" i="1"/>
  <c r="B406" i="1"/>
  <c r="B416" i="1"/>
  <c r="B426" i="1"/>
  <c r="B436" i="1"/>
  <c r="B446" i="1"/>
  <c r="B456" i="1"/>
  <c r="B466" i="1"/>
  <c r="B476" i="1"/>
  <c r="B486" i="1"/>
  <c r="B496" i="1"/>
  <c r="B506" i="1"/>
  <c r="B516" i="1"/>
  <c r="B526" i="1"/>
  <c r="B536" i="1"/>
  <c r="B546" i="1"/>
  <c r="B556" i="1"/>
  <c r="B566" i="1"/>
  <c r="B576" i="1"/>
  <c r="B586" i="1"/>
  <c r="B596" i="1"/>
  <c r="B606" i="1"/>
  <c r="B616" i="1"/>
  <c r="B626" i="1"/>
  <c r="B636" i="1"/>
  <c r="B646" i="1"/>
  <c r="B656" i="1"/>
  <c r="B666" i="1"/>
  <c r="B676" i="1"/>
  <c r="B686" i="1"/>
  <c r="B696" i="1"/>
  <c r="B706" i="1"/>
  <c r="B716" i="1"/>
  <c r="B726" i="1"/>
  <c r="B736" i="1"/>
  <c r="B746" i="1"/>
  <c r="B756" i="1"/>
  <c r="B766" i="1"/>
  <c r="B776" i="1"/>
  <c r="B786" i="1"/>
  <c r="B796" i="1"/>
  <c r="B806" i="1"/>
  <c r="B816" i="1"/>
  <c r="B826" i="1"/>
  <c r="B836" i="1"/>
  <c r="B846" i="1"/>
  <c r="B856" i="1"/>
  <c r="B866" i="1"/>
  <c r="B876" i="1"/>
  <c r="B886" i="1"/>
  <c r="B896" i="1"/>
  <c r="B906" i="1"/>
  <c r="B916" i="1"/>
  <c r="B926" i="1"/>
  <c r="B936" i="1"/>
  <c r="B946" i="1"/>
  <c r="B956" i="1"/>
  <c r="B966" i="1"/>
  <c r="B976" i="1"/>
  <c r="B986" i="1"/>
  <c r="B996" i="1"/>
  <c r="B1006" i="1"/>
  <c r="B1016" i="1"/>
  <c r="B1026" i="1"/>
  <c r="B1036" i="1"/>
  <c r="B1046" i="1"/>
  <c r="B1056" i="1"/>
  <c r="B1066" i="1"/>
  <c r="B1076" i="1"/>
  <c r="B1086" i="1"/>
  <c r="B1096" i="1"/>
  <c r="B1106" i="1"/>
  <c r="B1116" i="1"/>
  <c r="B1126" i="1"/>
  <c r="B1136" i="1"/>
  <c r="B1146" i="1"/>
  <c r="B1156" i="1"/>
  <c r="B1166" i="1"/>
  <c r="B1176" i="1"/>
  <c r="B1186" i="1"/>
  <c r="B1196" i="1"/>
  <c r="B1206" i="1"/>
  <c r="B1216" i="1"/>
  <c r="B1226" i="1"/>
  <c r="B1236" i="1"/>
  <c r="B1246" i="1"/>
  <c r="B1256" i="1"/>
  <c r="B1266" i="1"/>
  <c r="B1276" i="1"/>
  <c r="B1286" i="1"/>
  <c r="B1296" i="1"/>
  <c r="B1306" i="1"/>
  <c r="B1316" i="1"/>
  <c r="B1326" i="1"/>
  <c r="B1336" i="1"/>
  <c r="B1346" i="1"/>
  <c r="B1356" i="1"/>
  <c r="B1366" i="1"/>
  <c r="B1376" i="1"/>
  <c r="B1386" i="1"/>
  <c r="B1396" i="1"/>
  <c r="B1406" i="1"/>
  <c r="B1416" i="1"/>
  <c r="B1426" i="1"/>
  <c r="B1436" i="1"/>
  <c r="B1446" i="1"/>
  <c r="B1456" i="1"/>
  <c r="B1466" i="1"/>
  <c r="B1476" i="1"/>
  <c r="B1486" i="1"/>
  <c r="B1496" i="1"/>
  <c r="B1506" i="1"/>
  <c r="B1516" i="1"/>
  <c r="B1526" i="1"/>
  <c r="B1536" i="1"/>
  <c r="B1546" i="1"/>
  <c r="B1556" i="1"/>
  <c r="B1606" i="1"/>
  <c r="B1636" i="1"/>
  <c r="B1676" i="1"/>
  <c r="B1696" i="1"/>
  <c r="B1746" i="1"/>
  <c r="B1796" i="1"/>
  <c r="B1637" i="1"/>
  <c r="B1657" i="1"/>
  <c r="B1667" i="1"/>
  <c r="B1757" i="1"/>
  <c r="B1767" i="1"/>
  <c r="B1608" i="1"/>
  <c r="B1678" i="1"/>
  <c r="B1728" i="1"/>
  <c r="B1768" i="1"/>
  <c r="B1659" i="1"/>
  <c r="B1709" i="1"/>
  <c r="B1759" i="1"/>
  <c r="B1770" i="1"/>
  <c r="C1452" i="1"/>
  <c r="C1484" i="1"/>
  <c r="C1521" i="1"/>
  <c r="C1552" i="1"/>
  <c r="C1584" i="1"/>
  <c r="C1612" i="1"/>
  <c r="C1634" i="1"/>
  <c r="C1654" i="1"/>
  <c r="C1674" i="1"/>
  <c r="C1691" i="1"/>
  <c r="C1705" i="1"/>
  <c r="C1717" i="1"/>
  <c r="C1729" i="1"/>
  <c r="C1742" i="1"/>
  <c r="C1755" i="1"/>
  <c r="C1767" i="1"/>
  <c r="C1779" i="1"/>
  <c r="C1792" i="1"/>
  <c r="B3" i="1"/>
  <c r="B14" i="1"/>
  <c r="B25" i="1"/>
  <c r="B36" i="1"/>
  <c r="B47" i="1"/>
  <c r="B57" i="1"/>
  <c r="B67" i="1"/>
  <c r="B77" i="1"/>
  <c r="B87" i="1"/>
  <c r="B97" i="1"/>
  <c r="B107" i="1"/>
  <c r="B117" i="1"/>
  <c r="B127" i="1"/>
  <c r="B137" i="1"/>
  <c r="B147" i="1"/>
  <c r="B157" i="1"/>
  <c r="B167" i="1"/>
  <c r="B177" i="1"/>
  <c r="B187" i="1"/>
  <c r="B197" i="1"/>
  <c r="B207" i="1"/>
  <c r="B217" i="1"/>
  <c r="B227" i="1"/>
  <c r="B237" i="1"/>
  <c r="B247" i="1"/>
  <c r="B257" i="1"/>
  <c r="B267" i="1"/>
  <c r="B277" i="1"/>
  <c r="B287" i="1"/>
  <c r="B297" i="1"/>
  <c r="B307" i="1"/>
  <c r="B317" i="1"/>
  <c r="B327" i="1"/>
  <c r="B337" i="1"/>
  <c r="B347" i="1"/>
  <c r="B357" i="1"/>
  <c r="B367" i="1"/>
  <c r="B377" i="1"/>
  <c r="B387" i="1"/>
  <c r="B397" i="1"/>
  <c r="B407" i="1"/>
  <c r="B417" i="1"/>
  <c r="B427" i="1"/>
  <c r="B437" i="1"/>
  <c r="B447" i="1"/>
  <c r="B457" i="1"/>
  <c r="B467" i="1"/>
  <c r="B477" i="1"/>
  <c r="B487" i="1"/>
  <c r="B497" i="1"/>
  <c r="B507" i="1"/>
  <c r="B517" i="1"/>
  <c r="B527" i="1"/>
  <c r="B537" i="1"/>
  <c r="B547" i="1"/>
  <c r="B557" i="1"/>
  <c r="B567" i="1"/>
  <c r="B577" i="1"/>
  <c r="B587" i="1"/>
  <c r="B597" i="1"/>
  <c r="B607" i="1"/>
  <c r="B617" i="1"/>
  <c r="B627" i="1"/>
  <c r="B637" i="1"/>
  <c r="B647" i="1"/>
  <c r="B657" i="1"/>
  <c r="B667" i="1"/>
  <c r="B677" i="1"/>
  <c r="B687" i="1"/>
  <c r="B697" i="1"/>
  <c r="B707" i="1"/>
  <c r="B717" i="1"/>
  <c r="B727" i="1"/>
  <c r="B737" i="1"/>
  <c r="B747" i="1"/>
  <c r="B757" i="1"/>
  <c r="B767" i="1"/>
  <c r="B777" i="1"/>
  <c r="B787" i="1"/>
  <c r="B797" i="1"/>
  <c r="B807" i="1"/>
  <c r="B817" i="1"/>
  <c r="B827" i="1"/>
  <c r="B837" i="1"/>
  <c r="B847" i="1"/>
  <c r="B857" i="1"/>
  <c r="B867" i="1"/>
  <c r="B877" i="1"/>
  <c r="B887" i="1"/>
  <c r="B897" i="1"/>
  <c r="B907" i="1"/>
  <c r="B917" i="1"/>
  <c r="B927" i="1"/>
  <c r="B937" i="1"/>
  <c r="B947" i="1"/>
  <c r="B957" i="1"/>
  <c r="B967" i="1"/>
  <c r="B977" i="1"/>
  <c r="B987" i="1"/>
  <c r="B997" i="1"/>
  <c r="B1007" i="1"/>
  <c r="B1017" i="1"/>
  <c r="B1027" i="1"/>
  <c r="B1037" i="1"/>
  <c r="B1047" i="1"/>
  <c r="B1057" i="1"/>
  <c r="B1067" i="1"/>
  <c r="B1077" i="1"/>
  <c r="B1087" i="1"/>
  <c r="B1097" i="1"/>
  <c r="B1107" i="1"/>
  <c r="B1117" i="1"/>
  <c r="B1127" i="1"/>
  <c r="B1137" i="1"/>
  <c r="B1147" i="1"/>
  <c r="B1157" i="1"/>
  <c r="B1167" i="1"/>
  <c r="B1177" i="1"/>
  <c r="B1187" i="1"/>
  <c r="B1197" i="1"/>
  <c r="B1207" i="1"/>
  <c r="B1217" i="1"/>
  <c r="B1227" i="1"/>
  <c r="B1237" i="1"/>
  <c r="B1247" i="1"/>
  <c r="B1257" i="1"/>
  <c r="B1267" i="1"/>
  <c r="B1277" i="1"/>
  <c r="B1287" i="1"/>
  <c r="B1297" i="1"/>
  <c r="B1307" i="1"/>
  <c r="B1317" i="1"/>
  <c r="B1327" i="1"/>
  <c r="B1337" i="1"/>
  <c r="B1347" i="1"/>
  <c r="B1357" i="1"/>
  <c r="B1367" i="1"/>
  <c r="B1377" i="1"/>
  <c r="B1387" i="1"/>
  <c r="B1397" i="1"/>
  <c r="B1407" i="1"/>
  <c r="B1417" i="1"/>
  <c r="B1427" i="1"/>
  <c r="B1437" i="1"/>
  <c r="B1447" i="1"/>
  <c r="B1457" i="1"/>
  <c r="B1467" i="1"/>
  <c r="B1477" i="1"/>
  <c r="B1487" i="1"/>
  <c r="B1497" i="1"/>
  <c r="B1507" i="1"/>
  <c r="B1517" i="1"/>
  <c r="B1527" i="1"/>
  <c r="B1537" i="1"/>
  <c r="B1547" i="1"/>
  <c r="B1557" i="1"/>
  <c r="B1567" i="1"/>
  <c r="B1577" i="1"/>
  <c r="B1587" i="1"/>
  <c r="B1597" i="1"/>
  <c r="B1607" i="1"/>
  <c r="B1627" i="1"/>
  <c r="B1647" i="1"/>
  <c r="B1697" i="1"/>
  <c r="B1737" i="1"/>
  <c r="B1698" i="1"/>
  <c r="B1708" i="1"/>
  <c r="B1748" i="1"/>
  <c r="B1778" i="1"/>
  <c r="B1669" i="1"/>
  <c r="B1699" i="1"/>
  <c r="B1739" i="1"/>
  <c r="B1769" i="1"/>
</calcChain>
</file>

<file path=xl/sharedStrings.xml><?xml version="1.0" encoding="utf-8"?>
<sst xmlns="http://schemas.openxmlformats.org/spreadsheetml/2006/main" count="1940" uniqueCount="1924">
  <si>
    <t>wind_code</t>
  </si>
  <si>
    <t>revenue_raw</t>
  </si>
  <si>
    <t>cogs_raw</t>
  </si>
  <si>
    <t>selling_exp_raw</t>
  </si>
  <si>
    <t>admin_exp_raw</t>
  </si>
  <si>
    <t>rd_exp_raw</t>
  </si>
  <si>
    <t>interest_expense_raw</t>
  </si>
  <si>
    <t>interest_income_raw</t>
  </si>
  <si>
    <t>pretax_profit_raw</t>
  </si>
  <si>
    <t>net_profit_raw</t>
  </si>
  <si>
    <t>operating_cashflow_raw</t>
  </si>
  <si>
    <t>capex_raw</t>
  </si>
  <si>
    <t>basic_eps</t>
  </si>
  <si>
    <t>ar_turn_days</t>
  </si>
  <si>
    <t>ap_turn_days</t>
  </si>
  <si>
    <t>inv_turn_days</t>
  </si>
  <si>
    <t>000001.SZ</t>
  </si>
  <si>
    <t>000002.SZ</t>
  </si>
  <si>
    <t>000009.SZ</t>
  </si>
  <si>
    <t>000012.SZ</t>
  </si>
  <si>
    <t>000019.SZ</t>
  </si>
  <si>
    <t>000021.SZ</t>
  </si>
  <si>
    <t>000027.SZ</t>
  </si>
  <si>
    <t>000028.SZ</t>
  </si>
  <si>
    <t>000029.SZ</t>
  </si>
  <si>
    <t>000030.SZ</t>
  </si>
  <si>
    <t>000032.SZ</t>
  </si>
  <si>
    <t>000034.SZ</t>
  </si>
  <si>
    <t>000035.SZ</t>
  </si>
  <si>
    <t>000039.SZ</t>
  </si>
  <si>
    <t>000048.SZ</t>
  </si>
  <si>
    <t>000049.SZ</t>
  </si>
  <si>
    <t>000050.SZ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</si>
  <si>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</si>
  <si>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</si>
  <si>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</si>
  <si>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</si>
  <si>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</si>
  <si>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</si>
  <si>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</si>
  <si>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000088.SZ</t>
  </si>
  <si>
    <t>000089.SZ</t>
  </si>
  <si>
    <t>000099.SZ</t>
  </si>
  <si>
    <t>000100.SZ</t>
  </si>
  <si>
    <t>000155.SZ</t>
  </si>
  <si>
    <t>000156.SZ</t>
  </si>
  <si>
    <t>000157.SZ</t>
  </si>
  <si>
    <t>000166.SZ</t>
  </si>
  <si>
    <t>000301.SZ</t>
  </si>
  <si>
    <t>000333.SZ</t>
  </si>
  <si>
    <t>000338.SZ</t>
  </si>
  <si>
    <t>000400.SZ</t>
  </si>
  <si>
    <t>000403.SZ</t>
  </si>
  <si>
    <t>000408.SZ</t>
  </si>
  <si>
    <t>000415.SZ</t>
  </si>
  <si>
    <t>000420.SZ</t>
  </si>
  <si>
    <t>000422.SZ</t>
  </si>
  <si>
    <t>000423.SZ</t>
  </si>
  <si>
    <t>000425.SZ</t>
  </si>
  <si>
    <t>000426.SZ</t>
  </si>
  <si>
    <t>000429.SZ</t>
  </si>
  <si>
    <t>000498.SZ</t>
  </si>
  <si>
    <t>000503.SZ</t>
  </si>
  <si>
    <t>000513.SZ</t>
  </si>
  <si>
    <t>000519.SZ</t>
  </si>
  <si>
    <t>000528.SZ</t>
  </si>
  <si>
    <t>000537.SZ</t>
  </si>
  <si>
    <t>000538.SZ</t>
  </si>
  <si>
    <t>000539.SZ</t>
  </si>
  <si>
    <t>000543.SZ</t>
  </si>
  <si>
    <t>000550.SZ</t>
  </si>
  <si>
    <t>000552.SZ</t>
  </si>
  <si>
    <t>000555.SZ</t>
  </si>
  <si>
    <t>000557.SZ</t>
  </si>
  <si>
    <t>000559.SZ</t>
  </si>
  <si>
    <t>000563.SZ</t>
  </si>
  <si>
    <t>000567.SZ</t>
  </si>
  <si>
    <t>000568.SZ</t>
  </si>
  <si>
    <t>000581.SZ</t>
  </si>
  <si>
    <t>000582.SZ</t>
  </si>
  <si>
    <t>000589.SZ</t>
  </si>
  <si>
    <t>000591.SZ</t>
  </si>
  <si>
    <t>000596.SZ</t>
  </si>
  <si>
    <t>000597.SZ</t>
  </si>
  <si>
    <t>000598.SZ</t>
  </si>
  <si>
    <t>000600.SZ</t>
  </si>
  <si>
    <t>000603.SZ</t>
  </si>
  <si>
    <t>000612.SZ</t>
  </si>
  <si>
    <t>000617.SZ</t>
  </si>
  <si>
    <t>000620.SZ</t>
  </si>
  <si>
    <t>000623.SZ</t>
  </si>
  <si>
    <t>000625.SZ</t>
  </si>
  <si>
    <t>000628.SZ</t>
  </si>
  <si>
    <t>000629.SZ</t>
  </si>
  <si>
    <t>000630.SZ</t>
  </si>
  <si>
    <t>000636.SZ</t>
  </si>
  <si>
    <t>000650.SZ</t>
  </si>
  <si>
    <t>000651.SZ</t>
  </si>
  <si>
    <t>000657.SZ</t>
  </si>
  <si>
    <t>000661.SZ</t>
  </si>
  <si>
    <t>000672.SZ</t>
  </si>
  <si>
    <t>000676.SZ</t>
  </si>
  <si>
    <t>000680.SZ</t>
  </si>
  <si>
    <t>000681.SZ</t>
  </si>
  <si>
    <t>000682.SZ</t>
  </si>
  <si>
    <t>000683.SZ</t>
  </si>
  <si>
    <t>000685.SZ</t>
  </si>
  <si>
    <t>000686.SZ</t>
  </si>
  <si>
    <t>000688.SZ</t>
  </si>
  <si>
    <t>000690.SZ</t>
  </si>
  <si>
    <t>000703.SZ</t>
  </si>
  <si>
    <t>000708.SZ</t>
  </si>
  <si>
    <t>000709.SZ</t>
  </si>
  <si>
    <t>000712.SZ</t>
  </si>
  <si>
    <t>000719.SZ</t>
  </si>
  <si>
    <t>000723.SZ</t>
  </si>
  <si>
    <t>000725.SZ</t>
  </si>
  <si>
    <t>000727.SZ</t>
  </si>
  <si>
    <t>000728.SZ</t>
  </si>
  <si>
    <t>000729.SZ</t>
  </si>
  <si>
    <t>000733.SZ</t>
  </si>
  <si>
    <t>000737.SZ</t>
  </si>
  <si>
    <t>000738.SZ</t>
  </si>
  <si>
    <t>000739.SZ</t>
  </si>
  <si>
    <t>000750.SZ</t>
  </si>
  <si>
    <t>000756.SZ</t>
  </si>
  <si>
    <t>000758.SZ</t>
  </si>
  <si>
    <t>000761.SZ</t>
  </si>
  <si>
    <t>000762.SZ</t>
  </si>
  <si>
    <t>000766.SZ</t>
  </si>
  <si>
    <t>000767.SZ</t>
  </si>
  <si>
    <t>000768.SZ</t>
  </si>
  <si>
    <t>000776.SZ</t>
  </si>
  <si>
    <t>000778.SZ</t>
  </si>
  <si>
    <t>000783.SZ</t>
  </si>
  <si>
    <t>000785.SZ</t>
  </si>
  <si>
    <t>000786.SZ</t>
  </si>
  <si>
    <t>000791.SZ</t>
  </si>
  <si>
    <t>000792.SZ</t>
  </si>
  <si>
    <t>000795.SZ</t>
  </si>
  <si>
    <t>000801.SZ</t>
  </si>
  <si>
    <t>000807.SZ</t>
  </si>
  <si>
    <t>000810.SZ</t>
  </si>
  <si>
    <t>000811.SZ</t>
  </si>
  <si>
    <t>000813.SZ</t>
  </si>
  <si>
    <t>000825.SZ</t>
  </si>
  <si>
    <t>000828.SZ</t>
  </si>
  <si>
    <t>000829.SZ</t>
  </si>
  <si>
    <t>000830.SZ</t>
  </si>
  <si>
    <t>000831.SZ</t>
  </si>
  <si>
    <t>000833.SZ</t>
  </si>
  <si>
    <t>000837.SZ</t>
  </si>
  <si>
    <t>000848.SZ</t>
  </si>
  <si>
    <t>000858.SZ</t>
  </si>
  <si>
    <t>000860.SZ</t>
  </si>
  <si>
    <t>000875.SZ</t>
  </si>
  <si>
    <t>000876.SZ</t>
  </si>
  <si>
    <t>000878.SZ</t>
  </si>
  <si>
    <t>000880.SZ</t>
  </si>
  <si>
    <t>000883.SZ</t>
  </si>
  <si>
    <t>000885.SZ</t>
  </si>
  <si>
    <t>000887.SZ</t>
  </si>
  <si>
    <t>000893.SZ</t>
  </si>
  <si>
    <t>000895.SZ</t>
  </si>
  <si>
    <t>000898.SZ</t>
  </si>
  <si>
    <t>000899.SZ</t>
  </si>
  <si>
    <t>000901.SZ</t>
  </si>
  <si>
    <t>000902.SZ</t>
  </si>
  <si>
    <t>000913.SZ</t>
  </si>
  <si>
    <t>000917.SZ</t>
  </si>
  <si>
    <t>000921.SZ</t>
  </si>
  <si>
    <t>000923.SZ</t>
  </si>
  <si>
    <t>000927.SZ</t>
  </si>
  <si>
    <t>000928.SZ</t>
  </si>
  <si>
    <t>000930.SZ</t>
  </si>
  <si>
    <t>000932.SZ</t>
  </si>
  <si>
    <t>000933.SZ</t>
  </si>
  <si>
    <t>000935.SZ</t>
  </si>
  <si>
    <t>000937.SZ</t>
  </si>
  <si>
    <t>000938.SZ</t>
  </si>
  <si>
    <t>000950.SZ</t>
  </si>
  <si>
    <t>000951.SZ</t>
  </si>
  <si>
    <t>000958.SZ</t>
  </si>
  <si>
    <t>000959.SZ</t>
  </si>
  <si>
    <t>000960.SZ</t>
  </si>
  <si>
    <t>000963.SZ</t>
  </si>
  <si>
    <t>000966.SZ</t>
  </si>
  <si>
    <t>000967.SZ</t>
  </si>
  <si>
    <t>000969.SZ</t>
  </si>
  <si>
    <t>000970.SZ</t>
  </si>
  <si>
    <t>000975.SZ</t>
  </si>
  <si>
    <t>000977.SZ</t>
  </si>
  <si>
    <t>000983.SZ</t>
  </si>
  <si>
    <t>000987.SZ</t>
  </si>
  <si>
    <t>000990.SZ</t>
  </si>
  <si>
    <t>000997.SZ</t>
  </si>
  <si>
    <t>000999.SZ</t>
  </si>
  <si>
    <t>001203.SZ</t>
  </si>
  <si>
    <t>001213.SZ</t>
  </si>
  <si>
    <t>001221.SZ</t>
  </si>
  <si>
    <t>001227.SZ</t>
  </si>
  <si>
    <t>001236.SZ</t>
  </si>
  <si>
    <t>001286.SZ</t>
  </si>
  <si>
    <t>001287.SZ</t>
  </si>
  <si>
    <t>001301.SZ</t>
  </si>
  <si>
    <t>001308.SZ</t>
  </si>
  <si>
    <t>001309.SZ</t>
  </si>
  <si>
    <t>001337.SZ</t>
  </si>
  <si>
    <t>001339.SZ</t>
  </si>
  <si>
    <t>001356.SZ</t>
  </si>
  <si>
    <t>001382.SZ</t>
  </si>
  <si>
    <t>001389.SZ</t>
  </si>
  <si>
    <t>001391.SZ</t>
  </si>
  <si>
    <t>001696.SZ</t>
  </si>
  <si>
    <t>001914.SZ</t>
  </si>
  <si>
    <t>001965.SZ</t>
  </si>
  <si>
    <t>001979.SZ</t>
  </si>
  <si>
    <t>002001.SZ</t>
  </si>
  <si>
    <t>002003.SZ</t>
  </si>
  <si>
    <t>002004.SZ</t>
  </si>
  <si>
    <t>002006.SZ</t>
  </si>
  <si>
    <t>002007.SZ</t>
  </si>
  <si>
    <t>002008.SZ</t>
  </si>
  <si>
    <t>002010.SZ</t>
  </si>
  <si>
    <t>002011.SZ</t>
  </si>
  <si>
    <t>002015.SZ</t>
  </si>
  <si>
    <t>002017.SZ</t>
  </si>
  <si>
    <t>002019.SZ</t>
  </si>
  <si>
    <t>002020.SZ</t>
  </si>
  <si>
    <t>002023.SZ</t>
  </si>
  <si>
    <t>002025.SZ</t>
  </si>
  <si>
    <t>002027.SZ</t>
  </si>
  <si>
    <t>002028.SZ</t>
  </si>
  <si>
    <t>002032.SZ</t>
  </si>
  <si>
    <t>002036.SZ</t>
  </si>
  <si>
    <t>002038.SZ</t>
  </si>
  <si>
    <t>002041.SZ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</si>
  <si>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</si>
  <si>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</si>
  <si>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</si>
  <si>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</si>
  <si>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</si>
  <si>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</si>
  <si>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</si>
  <si>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002051.SZ</t>
  </si>
  <si>
    <t>002053.SZ</t>
  </si>
  <si>
    <t>002056.SZ</t>
  </si>
  <si>
    <t>002060.SZ</t>
  </si>
  <si>
    <t>002061.SZ</t>
  </si>
  <si>
    <t>002063.SZ</t>
  </si>
  <si>
    <t>002064.SZ</t>
  </si>
  <si>
    <t>002065.SZ</t>
  </si>
  <si>
    <t>002068.SZ</t>
  </si>
  <si>
    <t>002073.SZ</t>
  </si>
  <si>
    <t>002074.SZ</t>
  </si>
  <si>
    <t>002075.SZ</t>
  </si>
  <si>
    <t>002077.SZ</t>
  </si>
  <si>
    <t>002078.SZ</t>
  </si>
  <si>
    <t>002079.SZ</t>
  </si>
  <si>
    <t>002080.SZ</t>
  </si>
  <si>
    <t>002081.SZ</t>
  </si>
  <si>
    <t>002085.SZ</t>
  </si>
  <si>
    <t>002091.SZ</t>
  </si>
  <si>
    <t>002093.SZ</t>
  </si>
  <si>
    <t>002096.SZ</t>
  </si>
  <si>
    <t>002097.SZ</t>
  </si>
  <si>
    <t>002099.SZ</t>
  </si>
  <si>
    <t>002100.SZ</t>
  </si>
  <si>
    <t>002101.SZ</t>
  </si>
  <si>
    <t>002104.SZ</t>
  </si>
  <si>
    <t>002110.SZ</t>
  </si>
  <si>
    <t>002120.SZ</t>
  </si>
  <si>
    <t>002121.SZ</t>
  </si>
  <si>
    <t>002123.SZ</t>
  </si>
  <si>
    <t>002125.SZ</t>
  </si>
  <si>
    <t>002126.SZ</t>
  </si>
  <si>
    <t>002127.SZ</t>
  </si>
  <si>
    <t>002128.SZ</t>
  </si>
  <si>
    <t>002130.SZ</t>
  </si>
  <si>
    <t>002131.SZ</t>
  </si>
  <si>
    <t>002138.SZ</t>
  </si>
  <si>
    <t>002139.SZ</t>
  </si>
  <si>
    <t>002142.SZ</t>
  </si>
  <si>
    <t>002145.SZ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</si>
  <si>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</si>
  <si>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</si>
  <si>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</si>
  <si>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</si>
  <si>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</si>
  <si>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</si>
  <si>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</si>
  <si>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</si>
  <si>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</si>
  <si>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002170.SZ</t>
  </si>
  <si>
    <t>002171.SZ</t>
  </si>
  <si>
    <t>002174.SZ</t>
  </si>
  <si>
    <t>002176.SZ</t>
  </si>
  <si>
    <t>002179.SZ</t>
  </si>
  <si>
    <t>002182.SZ</t>
  </si>
  <si>
    <t>002183.SZ</t>
  </si>
  <si>
    <t>002185.SZ</t>
  </si>
  <si>
    <t>002192.SZ</t>
  </si>
  <si>
    <t>002194.SZ</t>
  </si>
  <si>
    <t>002195.SZ</t>
  </si>
  <si>
    <t>002202.SZ</t>
  </si>
  <si>
    <t>002203.SZ</t>
  </si>
  <si>
    <t>002204.SZ</t>
  </si>
  <si>
    <t>002212.SZ</t>
  </si>
  <si>
    <t>002215.SZ</t>
  </si>
  <si>
    <t>002216.SZ</t>
  </si>
  <si>
    <t>002219.SZ</t>
  </si>
  <si>
    <t>002221.SZ</t>
  </si>
  <si>
    <t>002222.SZ</t>
  </si>
  <si>
    <t>002223.SZ</t>
  </si>
  <si>
    <t>002226.SZ</t>
  </si>
  <si>
    <t>002230.SZ</t>
  </si>
  <si>
    <t>002233.SZ</t>
  </si>
  <si>
    <t>002236.SZ</t>
  </si>
  <si>
    <t>002237.SZ</t>
  </si>
  <si>
    <t>002239.SZ</t>
  </si>
  <si>
    <t>002241.SZ</t>
  </si>
  <si>
    <t>002242.SZ</t>
  </si>
  <si>
    <t>002243.SZ</t>
  </si>
  <si>
    <t>002244.SZ</t>
  </si>
  <si>
    <t>002245.SZ</t>
  </si>
  <si>
    <t>002249.SZ</t>
  </si>
  <si>
    <t>002251.SZ</t>
  </si>
  <si>
    <t>002252.SZ</t>
  </si>
  <si>
    <t>002254.SZ</t>
  </si>
  <si>
    <t>002258.SZ</t>
  </si>
  <si>
    <t>002261.SZ</t>
  </si>
  <si>
    <t>002262.SZ</t>
  </si>
  <si>
    <t>002265.SZ</t>
  </si>
  <si>
    <t>002266.SZ</t>
  </si>
  <si>
    <t>002267.SZ</t>
  </si>
  <si>
    <t>002268.SZ</t>
  </si>
  <si>
    <t>002270.SZ</t>
  </si>
  <si>
    <t>002271.SZ</t>
  </si>
  <si>
    <t>002273.SZ</t>
  </si>
  <si>
    <t>002275.SZ</t>
  </si>
  <si>
    <t>002276.SZ</t>
  </si>
  <si>
    <t>002281.SZ</t>
  </si>
  <si>
    <t>002287.SZ</t>
  </si>
  <si>
    <t>002292.SZ</t>
  </si>
  <si>
    <t>002294.SZ</t>
  </si>
  <si>
    <t>002299.SZ</t>
  </si>
  <si>
    <t>002302.SZ</t>
  </si>
  <si>
    <t>002304.SZ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</si>
  <si>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</si>
  <si>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</si>
  <si>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</si>
  <si>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</si>
  <si>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</si>
  <si>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</si>
  <si>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</si>
  <si>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</si>
  <si>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002332.SZ</t>
  </si>
  <si>
    <t>002335.SZ</t>
  </si>
  <si>
    <t>002338.SZ</t>
  </si>
  <si>
    <t>002340.SZ</t>
  </si>
  <si>
    <t>002345.SZ</t>
  </si>
  <si>
    <t>002351.SZ</t>
  </si>
  <si>
    <t>002352.SZ</t>
  </si>
  <si>
    <t>002353.SZ</t>
  </si>
  <si>
    <t>002354.SZ</t>
  </si>
  <si>
    <t>002364.SZ</t>
  </si>
  <si>
    <t>002368.SZ</t>
  </si>
  <si>
    <t>002371.SZ</t>
  </si>
  <si>
    <t>002372.SZ</t>
  </si>
  <si>
    <t>002373.SZ</t>
  </si>
  <si>
    <t>002378.SZ</t>
  </si>
  <si>
    <t>002384.SZ</t>
  </si>
  <si>
    <t>002385.SZ</t>
  </si>
  <si>
    <t>002389.SZ</t>
  </si>
  <si>
    <t>002390.SZ</t>
  </si>
  <si>
    <t>002396.SZ</t>
  </si>
  <si>
    <t>002399.SZ</t>
  </si>
  <si>
    <t>002400.SZ</t>
  </si>
  <si>
    <t>002402.SZ</t>
  </si>
  <si>
    <t>002405.SZ</t>
  </si>
  <si>
    <t>002408.SZ</t>
  </si>
  <si>
    <t>002409.SZ</t>
  </si>
  <si>
    <t>002410.SZ</t>
  </si>
  <si>
    <t>002414.SZ</t>
  </si>
  <si>
    <t>002415.SZ</t>
  </si>
  <si>
    <t>002416.SZ</t>
  </si>
  <si>
    <t>002421.SZ</t>
  </si>
  <si>
    <t>002422.SZ</t>
  </si>
  <si>
    <t>002423.SZ</t>
  </si>
  <si>
    <t>002428.SZ</t>
  </si>
  <si>
    <t>002429.SZ</t>
  </si>
  <si>
    <t>002430.SZ</t>
  </si>
  <si>
    <t>002432.SZ</t>
  </si>
  <si>
    <t>002434.SZ</t>
  </si>
  <si>
    <t>002436.SZ</t>
  </si>
  <si>
    <t>002439.SZ</t>
  </si>
  <si>
    <t>002444.SZ</t>
  </si>
  <si>
    <t>002456.SZ</t>
  </si>
  <si>
    <t>002458.SZ</t>
  </si>
  <si>
    <t>002459.SZ</t>
  </si>
  <si>
    <t>002460.SZ</t>
  </si>
  <si>
    <t>002461.SZ</t>
  </si>
  <si>
    <t>002463.SZ</t>
  </si>
  <si>
    <t>002465.SZ</t>
  </si>
  <si>
    <t>002466.SZ</t>
  </si>
  <si>
    <t>002468.SZ</t>
  </si>
  <si>
    <t>002472.SZ</t>
  </si>
  <si>
    <t>002475.SZ</t>
  </si>
  <si>
    <t>002484.SZ</t>
  </si>
  <si>
    <t>002487.SZ</t>
  </si>
  <si>
    <t>002488.SZ</t>
  </si>
  <si>
    <t>002489.SZ</t>
  </si>
  <si>
    <t>002493.SZ</t>
  </si>
  <si>
    <t>002497.SZ</t>
  </si>
  <si>
    <t>002498.SZ</t>
  </si>
  <si>
    <t>002500.SZ</t>
  </si>
  <si>
    <t>002506.SZ</t>
  </si>
  <si>
    <t>002507.SZ</t>
  </si>
  <si>
    <t>002508.SZ</t>
  </si>
  <si>
    <t>002511.SZ</t>
  </si>
  <si>
    <t>002516.SZ</t>
  </si>
  <si>
    <t>002517.SZ</t>
  </si>
  <si>
    <t>002518.SZ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</si>
  <si>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</si>
  <si>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</si>
  <si>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</si>
  <si>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</si>
  <si>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</si>
  <si>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</si>
  <si>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</si>
  <si>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002543.SZ</t>
  </si>
  <si>
    <t>002544.SZ</t>
  </si>
  <si>
    <t>002545.SZ</t>
  </si>
  <si>
    <t>002550.SZ</t>
  </si>
  <si>
    <t>002557.SZ</t>
  </si>
  <si>
    <t>002558.SZ</t>
  </si>
  <si>
    <t>002563.SZ</t>
  </si>
  <si>
    <t>002568.SZ</t>
  </si>
  <si>
    <t>002572.SZ</t>
  </si>
  <si>
    <t>002583.SZ</t>
  </si>
  <si>
    <t>002588.SZ</t>
  </si>
  <si>
    <t>002594.SZ</t>
  </si>
  <si>
    <t>002595.SZ</t>
  </si>
  <si>
    <t>002597.SZ</t>
  </si>
  <si>
    <t>002600.SZ</t>
  </si>
  <si>
    <t>002601.SZ</t>
  </si>
  <si>
    <t>002603.SZ</t>
  </si>
  <si>
    <t>002605.SZ</t>
  </si>
  <si>
    <t>002607.SZ</t>
  </si>
  <si>
    <t>002608.SZ</t>
  </si>
  <si>
    <t>002611.SZ</t>
  </si>
  <si>
    <t>002612.SZ</t>
  </si>
  <si>
    <t>002617.SZ</t>
  </si>
  <si>
    <t>002624.SZ</t>
  </si>
  <si>
    <t>002625.SZ</t>
  </si>
  <si>
    <t>002626.SZ</t>
  </si>
  <si>
    <t>002635.SZ</t>
  </si>
  <si>
    <t>002643.SZ</t>
  </si>
  <si>
    <t>002648.SZ</t>
  </si>
  <si>
    <t>002649.SZ</t>
  </si>
  <si>
    <t>002651.SZ</t>
  </si>
  <si>
    <t>002654.SZ</t>
  </si>
  <si>
    <t>002668.SZ</t>
  </si>
  <si>
    <t>002670.SZ</t>
  </si>
  <si>
    <t>002673.SZ</t>
  </si>
  <si>
    <t>002675.SZ</t>
  </si>
  <si>
    <t>002681.SZ</t>
  </si>
  <si>
    <t>002683.SZ</t>
  </si>
  <si>
    <t>002690.SZ</t>
  </si>
  <si>
    <t>002697.SZ</t>
  </si>
  <si>
    <t>002698.SZ</t>
  </si>
  <si>
    <t>002701.SZ</t>
  </si>
  <si>
    <t>002705.SZ</t>
  </si>
  <si>
    <t>002706.SZ</t>
  </si>
  <si>
    <t>002709.SZ</t>
  </si>
  <si>
    <t>002714.SZ</t>
  </si>
  <si>
    <t>002716.SZ</t>
  </si>
  <si>
    <t>002727.SZ</t>
  </si>
  <si>
    <t>002736.SZ</t>
  </si>
  <si>
    <t>002737.SZ</t>
  </si>
  <si>
    <t>002738.SZ</t>
  </si>
  <si>
    <t>002739.SZ</t>
  </si>
  <si>
    <t>002745.SZ</t>
  </si>
  <si>
    <t>002747.SZ</t>
  </si>
  <si>
    <t>002755.SZ</t>
  </si>
  <si>
    <t>002756.SZ</t>
  </si>
  <si>
    <t>002761.SZ</t>
  </si>
  <si>
    <t>002773.SZ</t>
  </si>
  <si>
    <t>002777.SZ</t>
  </si>
  <si>
    <t>002779.SZ</t>
  </si>
  <si>
    <t>002791.SZ</t>
  </si>
  <si>
    <t>002797.SZ</t>
  </si>
  <si>
    <t>002807.SZ</t>
  </si>
  <si>
    <t>002815.SZ</t>
  </si>
  <si>
    <t>002821.SZ</t>
  </si>
  <si>
    <t>002827.SZ</t>
  </si>
  <si>
    <t>002831.SZ</t>
  </si>
  <si>
    <t>002832.SZ</t>
  </si>
  <si>
    <t>002837.SZ</t>
  </si>
  <si>
    <t>002839.SZ</t>
  </si>
  <si>
    <t>002840.SZ</t>
  </si>
  <si>
    <t>002841.SZ</t>
  </si>
  <si>
    <t>002847.SZ</t>
  </si>
  <si>
    <t>002850.SZ</t>
  </si>
  <si>
    <t>002851.SZ</t>
  </si>
  <si>
    <t>002859.SZ</t>
  </si>
  <si>
    <t>002867.SZ</t>
  </si>
  <si>
    <t>002881.SZ</t>
  </si>
  <si>
    <t>002882.SZ</t>
  </si>
  <si>
    <t>002891.SZ</t>
  </si>
  <si>
    <t>002892.SZ</t>
  </si>
  <si>
    <t>002895.SZ</t>
  </si>
  <si>
    <t>002896.SZ</t>
  </si>
  <si>
    <t>002897.SZ</t>
  </si>
  <si>
    <t>002901.SZ</t>
  </si>
  <si>
    <t>002906.SZ</t>
  </si>
  <si>
    <t>002911.SZ</t>
  </si>
  <si>
    <t>002913.SZ</t>
  </si>
  <si>
    <t>002916.SZ</t>
  </si>
  <si>
    <t>002920.SZ</t>
  </si>
  <si>
    <t>002925.SZ</t>
  </si>
  <si>
    <t>002926.SZ</t>
  </si>
  <si>
    <t>002928.SZ</t>
  </si>
  <si>
    <t>002929.SZ</t>
  </si>
  <si>
    <t>002936.SZ</t>
  </si>
  <si>
    <t>002938.SZ</t>
  </si>
  <si>
    <t>002939.SZ</t>
  </si>
  <si>
    <t>002941.SZ</t>
  </si>
  <si>
    <t>002945.SZ</t>
  </si>
  <si>
    <t>002946.SZ</t>
  </si>
  <si>
    <t>002947.SZ</t>
  </si>
  <si>
    <t>002948.SZ</t>
  </si>
  <si>
    <t>002958.SZ</t>
  </si>
  <si>
    <t>002960.SZ</t>
  </si>
  <si>
    <t>002965.SZ</t>
  </si>
  <si>
    <t>002966.SZ</t>
  </si>
  <si>
    <t>002967.SZ</t>
  </si>
  <si>
    <t>002978.SZ</t>
  </si>
  <si>
    <t>002979.SZ</t>
  </si>
  <si>
    <t>002984.SZ</t>
  </si>
  <si>
    <t>002985.SZ</t>
  </si>
  <si>
    <t>002987.SZ</t>
  </si>
  <si>
    <t>002993.SZ</t>
  </si>
  <si>
    <t>003006.SZ</t>
  </si>
  <si>
    <t>003012.SZ</t>
  </si>
  <si>
    <t>003021.SZ</t>
  </si>
  <si>
    <t>003022.SZ</t>
  </si>
  <si>
    <t>003031.SZ</t>
  </si>
  <si>
    <t>003035.SZ</t>
  </si>
  <si>
    <t>003039.SZ</t>
  </si>
  <si>
    <t>003816.SZ</t>
  </si>
  <si>
    <t>300001.SZ</t>
  </si>
  <si>
    <t>300002.SZ</t>
  </si>
  <si>
    <t>300003.SZ</t>
  </si>
  <si>
    <t>300007.SZ</t>
  </si>
  <si>
    <t>300008.SZ</t>
  </si>
  <si>
    <t>300009.SZ</t>
  </si>
  <si>
    <t>300012.SZ</t>
  </si>
  <si>
    <t>300014.SZ</t>
  </si>
  <si>
    <t>300015.SZ</t>
  </si>
  <si>
    <t>300017.SZ</t>
  </si>
  <si>
    <t>300024.SZ</t>
  </si>
  <si>
    <t>300026.SZ</t>
  </si>
  <si>
    <t>300031.SZ</t>
  </si>
  <si>
    <t>300033.SZ</t>
  </si>
  <si>
    <t>300034.SZ</t>
  </si>
  <si>
    <t>300035.SZ</t>
  </si>
  <si>
    <t>300036.SZ</t>
  </si>
  <si>
    <t>300037.SZ</t>
  </si>
  <si>
    <t>300045.SZ</t>
  </si>
  <si>
    <t>300047.SZ</t>
  </si>
  <si>
    <t>300049.SZ</t>
  </si>
  <si>
    <t>300054.SZ</t>
  </si>
  <si>
    <t>300058.SZ</t>
  </si>
  <si>
    <t>300059.SZ</t>
  </si>
  <si>
    <t>300065.SZ</t>
  </si>
  <si>
    <t>300070.SZ</t>
  </si>
  <si>
    <t>300073.SZ</t>
  </si>
  <si>
    <t>300075.SZ</t>
  </si>
  <si>
    <t>300077.SZ</t>
  </si>
  <si>
    <t>300079.SZ</t>
  </si>
  <si>
    <t>300080.SZ</t>
  </si>
  <si>
    <t>300083.SZ</t>
  </si>
  <si>
    <t>300085.SZ</t>
  </si>
  <si>
    <t>300087.SZ</t>
  </si>
  <si>
    <t>300088.SZ</t>
  </si>
  <si>
    <t>300098.SZ</t>
  </si>
  <si>
    <t>300100.SZ</t>
  </si>
  <si>
    <t>300101.SZ</t>
  </si>
  <si>
    <t>300102.SZ</t>
  </si>
  <si>
    <t>300113.SZ</t>
  </si>
  <si>
    <t>300115.SZ</t>
  </si>
  <si>
    <t>300119.SZ</t>
  </si>
  <si>
    <t>300122.SZ</t>
  </si>
  <si>
    <t>300124.SZ</t>
  </si>
  <si>
    <t>300127.SZ</t>
  </si>
  <si>
    <t>300130.SZ</t>
  </si>
  <si>
    <t>300131.SZ</t>
  </si>
  <si>
    <t>300133.SZ</t>
  </si>
  <si>
    <t>300134.SZ</t>
  </si>
  <si>
    <t>300136.SZ</t>
  </si>
  <si>
    <t>300140.SZ</t>
  </si>
  <si>
    <t>300142.SZ</t>
  </si>
  <si>
    <t>300144.SZ</t>
  </si>
  <si>
    <t>300146.SZ</t>
  </si>
  <si>
    <t>300151.SZ</t>
  </si>
  <si>
    <t>300166.SZ</t>
  </si>
  <si>
    <t>300170.SZ</t>
  </si>
  <si>
    <t>300171.SZ</t>
  </si>
  <si>
    <t>300180.SZ</t>
  </si>
  <si>
    <t>300181.SZ</t>
  </si>
  <si>
    <t>300182.SZ</t>
  </si>
  <si>
    <t>300183.SZ</t>
  </si>
  <si>
    <t>300184.SZ</t>
  </si>
  <si>
    <t>300185.SZ</t>
  </si>
  <si>
    <t>300188.SZ</t>
  </si>
  <si>
    <t>300199.SZ</t>
  </si>
  <si>
    <t>300207.SZ</t>
  </si>
  <si>
    <t>300223.SZ</t>
  </si>
  <si>
    <t>300224.SZ</t>
  </si>
  <si>
    <t>300226.SZ</t>
  </si>
  <si>
    <t>300229.SZ</t>
  </si>
  <si>
    <t>300232.SZ</t>
  </si>
  <si>
    <t>300236.SZ</t>
  </si>
  <si>
    <t>300244.SZ</t>
  </si>
  <si>
    <t>300251.SZ</t>
  </si>
  <si>
    <t>300253.SZ</t>
  </si>
  <si>
    <t>300257.SZ</t>
  </si>
  <si>
    <t>300260.SZ</t>
  </si>
  <si>
    <t>300274.SZ</t>
  </si>
  <si>
    <t>300276.SZ</t>
  </si>
  <si>
    <t>300284.SZ</t>
  </si>
  <si>
    <t>300285.SZ</t>
  </si>
  <si>
    <t>300294.SZ</t>
  </si>
  <si>
    <t>300296.SZ</t>
  </si>
  <si>
    <t>300298.SZ</t>
  </si>
  <si>
    <t>300303.SZ</t>
  </si>
  <si>
    <t>300308.SZ</t>
  </si>
  <si>
    <t>300315.SZ</t>
  </si>
  <si>
    <t>300316.SZ</t>
  </si>
  <si>
    <t>300319.SZ</t>
  </si>
  <si>
    <t>300323.SZ</t>
  </si>
  <si>
    <t>300327.SZ</t>
  </si>
  <si>
    <t>300337.SZ</t>
  </si>
  <si>
    <t>300339.SZ</t>
  </si>
  <si>
    <t>300341.SZ</t>
  </si>
  <si>
    <t>300346.SZ</t>
  </si>
  <si>
    <t>300347.SZ</t>
  </si>
  <si>
    <t>300348.SZ</t>
  </si>
  <si>
    <t>300357.SZ</t>
  </si>
  <si>
    <t>300360.SZ</t>
  </si>
  <si>
    <t>300363.SZ</t>
  </si>
  <si>
    <t>300373.SZ</t>
  </si>
  <si>
    <t>300378.SZ</t>
  </si>
  <si>
    <t>300383.SZ</t>
  </si>
  <si>
    <t>300390.SZ</t>
  </si>
  <si>
    <t>300394.SZ</t>
  </si>
  <si>
    <t>300395.SZ</t>
  </si>
  <si>
    <t>300398.SZ</t>
  </si>
  <si>
    <t>300401.SZ</t>
  </si>
  <si>
    <t>300406.SZ</t>
  </si>
  <si>
    <t>300408.SZ</t>
  </si>
  <si>
    <t>300409.SZ</t>
  </si>
  <si>
    <t>300413.SZ</t>
  </si>
  <si>
    <t>300415.SZ</t>
  </si>
  <si>
    <t>300416.SZ</t>
  </si>
  <si>
    <t>300418.SZ</t>
  </si>
  <si>
    <t>300428.SZ</t>
  </si>
  <si>
    <t>300432.SZ</t>
  </si>
  <si>
    <t>300433.SZ</t>
  </si>
  <si>
    <t>300438.SZ</t>
  </si>
  <si>
    <t>300442.SZ</t>
  </si>
  <si>
    <t>300443.SZ</t>
  </si>
  <si>
    <t>300446.SZ</t>
  </si>
  <si>
    <t>300450.SZ</t>
  </si>
  <si>
    <t>300451.SZ</t>
  </si>
  <si>
    <t>300454.SZ</t>
  </si>
  <si>
    <t>300455.SZ</t>
  </si>
  <si>
    <t>300456.SZ</t>
  </si>
  <si>
    <t>300457.SZ</t>
  </si>
  <si>
    <t>300458.SZ</t>
  </si>
  <si>
    <t>300459.SZ</t>
  </si>
  <si>
    <t>300463.SZ</t>
  </si>
  <si>
    <t>300468.SZ</t>
  </si>
  <si>
    <t>300470.SZ</t>
  </si>
  <si>
    <t>300474.SZ</t>
  </si>
  <si>
    <t>300475.SZ</t>
  </si>
  <si>
    <t>300476.SZ</t>
  </si>
  <si>
    <t>300482.SZ</t>
  </si>
  <si>
    <t>300487.SZ</t>
  </si>
  <si>
    <t>300492.SZ</t>
  </si>
  <si>
    <t>300493.SZ</t>
  </si>
  <si>
    <t>300496.SZ</t>
  </si>
  <si>
    <t>300498.SZ</t>
  </si>
  <si>
    <t>300502.SZ</t>
  </si>
  <si>
    <t>300525.SZ</t>
  </si>
  <si>
    <t>300529.SZ</t>
  </si>
  <si>
    <t>300548.SZ</t>
  </si>
  <si>
    <t>300558.SZ</t>
  </si>
  <si>
    <t>300567.SZ</t>
  </si>
  <si>
    <t>300568.SZ</t>
  </si>
  <si>
    <t>300570.SZ</t>
  </si>
  <si>
    <t>300573.SZ</t>
  </si>
  <si>
    <t>300576.SZ</t>
  </si>
  <si>
    <t>300579.SZ</t>
  </si>
  <si>
    <t>300580.SZ</t>
  </si>
  <si>
    <t>300593.SZ</t>
  </si>
  <si>
    <t>300595.SZ</t>
  </si>
  <si>
    <t>300598.SZ</t>
  </si>
  <si>
    <t>300601.SZ</t>
  </si>
  <si>
    <t>300602.SZ</t>
  </si>
  <si>
    <t>300604.SZ</t>
  </si>
  <si>
    <t>300607.SZ</t>
  </si>
  <si>
    <t>300613.SZ</t>
  </si>
  <si>
    <t>300618.SZ</t>
  </si>
  <si>
    <t>300620.SZ</t>
  </si>
  <si>
    <t>300623.SZ</t>
  </si>
  <si>
    <t>300624.SZ</t>
  </si>
  <si>
    <t>300627.SZ</t>
  </si>
  <si>
    <t>300628.SZ</t>
  </si>
  <si>
    <t>300633.SZ</t>
  </si>
  <si>
    <t>300634.SZ</t>
  </si>
  <si>
    <t>300638.SZ</t>
  </si>
  <si>
    <t>300641.SZ</t>
  </si>
  <si>
    <t>300655.SZ</t>
  </si>
  <si>
    <t>300657.SZ</t>
  </si>
  <si>
    <t>300660.SZ</t>
  </si>
  <si>
    <t>300661.SZ</t>
  </si>
  <si>
    <t>300663.SZ</t>
  </si>
  <si>
    <t>300666.SZ</t>
  </si>
  <si>
    <t>300672.SZ</t>
  </si>
  <si>
    <t>300674.SZ</t>
  </si>
  <si>
    <t>300676.SZ</t>
  </si>
  <si>
    <t>300677.SZ</t>
  </si>
  <si>
    <t>300678.SZ</t>
  </si>
  <si>
    <t>300679.SZ</t>
  </si>
  <si>
    <t>300682.SZ</t>
  </si>
  <si>
    <t>300685.SZ</t>
  </si>
  <si>
    <t>300687.SZ</t>
  </si>
  <si>
    <t>300693.SZ</t>
  </si>
  <si>
    <t>300699.SZ</t>
  </si>
  <si>
    <t>300702.SZ</t>
  </si>
  <si>
    <t>300705.SZ</t>
  </si>
  <si>
    <t>300718.SZ</t>
  </si>
  <si>
    <t>300723.SZ</t>
  </si>
  <si>
    <t>300724.SZ</t>
  </si>
  <si>
    <t>300725.SZ</t>
  </si>
  <si>
    <t>300726.SZ</t>
  </si>
  <si>
    <t>300735.SZ</t>
  </si>
  <si>
    <t>300738.SZ</t>
  </si>
  <si>
    <t>300747.SZ</t>
  </si>
  <si>
    <t>300748.SZ</t>
  </si>
  <si>
    <t>300750.SZ</t>
  </si>
  <si>
    <t>300751.SZ</t>
  </si>
  <si>
    <t>300755.SZ</t>
  </si>
  <si>
    <t>300757.SZ</t>
  </si>
  <si>
    <t>300759.SZ</t>
  </si>
  <si>
    <t>300760.SZ</t>
  </si>
  <si>
    <t>300761.SZ</t>
  </si>
  <si>
    <t>300762.SZ</t>
  </si>
  <si>
    <t>300763.SZ</t>
  </si>
  <si>
    <t>300768.SZ</t>
  </si>
  <si>
    <t>300770.SZ</t>
  </si>
  <si>
    <t>300772.SZ</t>
  </si>
  <si>
    <t>300773.SZ</t>
  </si>
  <si>
    <t>300775.SZ</t>
  </si>
  <si>
    <t>300776.SZ</t>
  </si>
  <si>
    <t>300777.SZ</t>
  </si>
  <si>
    <t>300779.SZ</t>
  </si>
  <si>
    <t>300782.SZ</t>
  </si>
  <si>
    <t>300783.SZ</t>
  </si>
  <si>
    <t>300803.SZ</t>
  </si>
  <si>
    <t>300809.SZ</t>
  </si>
  <si>
    <t>300811.SZ</t>
  </si>
  <si>
    <t>300820.SZ</t>
  </si>
  <si>
    <t>300821.SZ</t>
  </si>
  <si>
    <t>300827.SZ</t>
  </si>
  <si>
    <t>300832.SZ</t>
  </si>
  <si>
    <t>300841.SZ</t>
  </si>
  <si>
    <t>300850.SZ</t>
  </si>
  <si>
    <t>300855.SZ</t>
  </si>
  <si>
    <t>300856.SZ</t>
  </si>
  <si>
    <t>300857.SZ</t>
  </si>
  <si>
    <t>300861.SZ</t>
  </si>
  <si>
    <t>300866.SZ</t>
  </si>
  <si>
    <t>300870.SZ</t>
  </si>
  <si>
    <t>300872.SZ</t>
  </si>
  <si>
    <t>300888.SZ</t>
  </si>
  <si>
    <t>300896.SZ</t>
  </si>
  <si>
    <t>300910.SZ</t>
  </si>
  <si>
    <t>300913.SZ</t>
  </si>
  <si>
    <t>300917.SZ</t>
  </si>
  <si>
    <t>300919.SZ</t>
  </si>
  <si>
    <t>300925.SZ</t>
  </si>
  <si>
    <t>300926.SZ</t>
  </si>
  <si>
    <t>300953.SZ</t>
  </si>
  <si>
    <t>300957.SZ</t>
  </si>
  <si>
    <t>300972.SZ</t>
  </si>
  <si>
    <t>300979.SZ</t>
  </si>
  <si>
    <t>300999.SZ</t>
  </si>
  <si>
    <t>301000.SZ</t>
  </si>
  <si>
    <t>301004.SZ</t>
  </si>
  <si>
    <t>301015.SZ</t>
  </si>
  <si>
    <t>301018.SZ</t>
  </si>
  <si>
    <t>301029.SZ</t>
  </si>
  <si>
    <t>301031.SZ</t>
  </si>
  <si>
    <t>301035.SZ</t>
  </si>
  <si>
    <t>301039.SZ</t>
  </si>
  <si>
    <t>301047.SZ</t>
  </si>
  <si>
    <t>301050.SZ</t>
  </si>
  <si>
    <t>301061.SZ</t>
  </si>
  <si>
    <t>301071.SZ</t>
  </si>
  <si>
    <t>301078.SZ</t>
  </si>
  <si>
    <t>301087.SZ</t>
  </si>
  <si>
    <t>301091.SZ</t>
  </si>
  <si>
    <t>301095.SZ</t>
  </si>
  <si>
    <t>301101.SZ</t>
  </si>
  <si>
    <t>301109.SZ</t>
  </si>
  <si>
    <t>301127.SZ</t>
  </si>
  <si>
    <t>301153.SZ</t>
  </si>
  <si>
    <t>301155.SZ</t>
  </si>
  <si>
    <t>301171.SZ</t>
  </si>
  <si>
    <t>301175.SZ</t>
  </si>
  <si>
    <t>301177.SZ</t>
  </si>
  <si>
    <t>301200.SZ</t>
  </si>
  <si>
    <t>301205.SZ</t>
  </si>
  <si>
    <t>301207.SZ</t>
  </si>
  <si>
    <t>301215.SZ</t>
  </si>
  <si>
    <t>301217.SZ</t>
  </si>
  <si>
    <t>301219.SZ</t>
  </si>
  <si>
    <t>301236.SZ</t>
  </si>
  <si>
    <t>301238.SZ</t>
  </si>
  <si>
    <t>301262.SZ</t>
  </si>
  <si>
    <t>301263.SZ</t>
  </si>
  <si>
    <t>301267.SZ</t>
  </si>
  <si>
    <t>301268.SZ</t>
  </si>
  <si>
    <t>301269.SZ</t>
  </si>
  <si>
    <t>301275.SZ</t>
  </si>
  <si>
    <t>301291.SZ</t>
  </si>
  <si>
    <t>301293.SZ</t>
  </si>
  <si>
    <t>301297.SZ</t>
  </si>
  <si>
    <t>301301.SZ</t>
  </si>
  <si>
    <t>301308.SZ</t>
  </si>
  <si>
    <t>301316.SZ</t>
  </si>
  <si>
    <t>301325.SZ</t>
  </si>
  <si>
    <t>301327.SZ</t>
  </si>
  <si>
    <t>301339.SZ</t>
  </si>
  <si>
    <t>301345.SZ</t>
  </si>
  <si>
    <t>301358.SZ</t>
  </si>
  <si>
    <t>301363.SZ</t>
  </si>
  <si>
    <t>301371.SZ</t>
  </si>
  <si>
    <t>301376.SZ</t>
  </si>
  <si>
    <t>301377.SZ</t>
  </si>
  <si>
    <t>301381.SZ</t>
  </si>
  <si>
    <t>301392.SZ</t>
  </si>
  <si>
    <t>301458.SZ</t>
  </si>
  <si>
    <t>301487.SZ</t>
  </si>
  <si>
    <t>301498.SZ</t>
  </si>
  <si>
    <t>301500.SZ</t>
  </si>
  <si>
    <t>301508.SZ</t>
  </si>
  <si>
    <t>301510.SZ</t>
  </si>
  <si>
    <t>301511.SZ</t>
  </si>
  <si>
    <t>301522.SZ</t>
  </si>
  <si>
    <t>301526.SZ</t>
  </si>
  <si>
    <t>301536.SZ</t>
  </si>
  <si>
    <t>301550.SZ</t>
  </si>
  <si>
    <t>301551.SZ</t>
  </si>
  <si>
    <t>301556.SZ</t>
  </si>
  <si>
    <t>301565.SZ</t>
  </si>
  <si>
    <t>301571.SZ</t>
  </si>
  <si>
    <t>301589.SZ</t>
  </si>
  <si>
    <t>301592.SZ</t>
  </si>
  <si>
    <t>301600.SZ</t>
  </si>
  <si>
    <t>301602.SZ</t>
  </si>
  <si>
    <t>301606.SZ</t>
  </si>
  <si>
    <t>301611.SZ</t>
  </si>
  <si>
    <t>301622.SZ</t>
  </si>
  <si>
    <t>301626.SZ</t>
  </si>
  <si>
    <t>301631.SZ</t>
  </si>
  <si>
    <t>301658.SZ</t>
  </si>
  <si>
    <t>301665.SZ</t>
  </si>
  <si>
    <t>301678.SZ</t>
  </si>
  <si>
    <t>302132.SZ</t>
  </si>
  <si>
    <t>600000.SH</t>
  </si>
  <si>
    <t>600004.SH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</si>
  <si>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</si>
  <si>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</si>
  <si>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</si>
  <si>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</si>
  <si>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</si>
  <si>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</si>
  <si>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</si>
  <si>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</si>
  <si>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</si>
  <si>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</si>
  <si>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</si>
  <si>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</si>
  <si>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</si>
  <si>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</si>
  <si>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</si>
  <si>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</si>
  <si>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</si>
  <si>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</si>
  <si>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</si>
  <si>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</si>
  <si>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</si>
  <si>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</si>
  <si>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</si>
  <si>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</si>
  <si>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</si>
  <si>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600036.SH</t>
  </si>
  <si>
    <t>600037.SH</t>
  </si>
  <si>
    <t>600038.SH</t>
  </si>
  <si>
    <t>600039.SH</t>
  </si>
  <si>
    <t>600048.SH</t>
  </si>
  <si>
    <t>600050.SH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</si>
  <si>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</si>
  <si>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</si>
  <si>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</si>
  <si>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</si>
  <si>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</si>
  <si>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</si>
  <si>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</si>
  <si>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</si>
  <si>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</si>
  <si>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</si>
  <si>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</si>
  <si>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600072.SH</t>
  </si>
  <si>
    <t>600075.SH</t>
  </si>
  <si>
    <t>600085.SH</t>
  </si>
  <si>
    <t>600089.SH</t>
  </si>
  <si>
    <t>600094.SH</t>
  </si>
  <si>
    <t>600095.SH</t>
  </si>
  <si>
    <t>600096.SH</t>
  </si>
  <si>
    <t>600098.SH</t>
  </si>
  <si>
    <t>600100.SH</t>
  </si>
  <si>
    <t>600104.SH</t>
  </si>
  <si>
    <t>600105.SH</t>
  </si>
  <si>
    <t>600109.SH</t>
  </si>
  <si>
    <t>600111.SH</t>
  </si>
  <si>
    <t>600113.SH</t>
  </si>
  <si>
    <t>600114.SH</t>
  </si>
  <si>
    <t>600115.SH</t>
  </si>
  <si>
    <t>600116.SH</t>
  </si>
  <si>
    <t>600118.SH</t>
  </si>
  <si>
    <t>600120.SH</t>
  </si>
  <si>
    <t>600123.SH</t>
  </si>
  <si>
    <t>600125.SH</t>
  </si>
  <si>
    <t>600126.SH</t>
  </si>
  <si>
    <t>600129.SH</t>
  </si>
  <si>
    <t>600131.SH</t>
  </si>
  <si>
    <t>600132.SH</t>
  </si>
  <si>
    <t>600133.SH</t>
  </si>
  <si>
    <t>600141.SH</t>
  </si>
  <si>
    <t>600143.SH</t>
  </si>
  <si>
    <t>600150.SH</t>
  </si>
  <si>
    <t>600151.SH</t>
  </si>
  <si>
    <t>600153.SH</t>
  </si>
  <si>
    <t>600155.SH</t>
  </si>
  <si>
    <t>600157.SH</t>
  </si>
  <si>
    <t>600158.SH</t>
  </si>
  <si>
    <t>600160.SH</t>
  </si>
  <si>
    <t>600161.SH</t>
  </si>
  <si>
    <t>600163.SH</t>
  </si>
  <si>
    <t>600166.SH</t>
  </si>
  <si>
    <t>600167.SH</t>
  </si>
  <si>
    <t>600170.SH</t>
  </si>
  <si>
    <t>600171.SH</t>
  </si>
  <si>
    <t>600176.SH</t>
  </si>
  <si>
    <t>600177.SH</t>
  </si>
  <si>
    <t>600179.SH</t>
  </si>
  <si>
    <t>600183.SH</t>
  </si>
  <si>
    <t>600185.SH</t>
  </si>
  <si>
    <t>600186.SH</t>
  </si>
  <si>
    <t>600188.SH</t>
  </si>
  <si>
    <t>600196.SH</t>
  </si>
  <si>
    <t>600197.SH</t>
  </si>
  <si>
    <t>600201.SH</t>
  </si>
  <si>
    <t>600206.SH</t>
  </si>
  <si>
    <t>600208.SH</t>
  </si>
  <si>
    <t>600210.SH</t>
  </si>
  <si>
    <t>600211.SH</t>
  </si>
  <si>
    <t>600216.SH</t>
  </si>
  <si>
    <t>600217.SH</t>
  </si>
  <si>
    <t>600219.SH</t>
  </si>
  <si>
    <t>600223.SH</t>
  </si>
  <si>
    <t>600226.SH</t>
  </si>
  <si>
    <t>600233.SH</t>
  </si>
  <si>
    <t>600246.SH</t>
  </si>
  <si>
    <t>600248.SH</t>
  </si>
  <si>
    <t>600252.SH</t>
  </si>
  <si>
    <t>600258.SH</t>
  </si>
  <si>
    <t>600259.SH</t>
  </si>
  <si>
    <t>600266.SH</t>
  </si>
  <si>
    <t>600267.SH</t>
  </si>
  <si>
    <t>600269.SH</t>
  </si>
  <si>
    <t>600273.SH</t>
  </si>
  <si>
    <t>600276.SH</t>
  </si>
  <si>
    <t>600282.SH</t>
  </si>
  <si>
    <t>600285.SH</t>
  </si>
  <si>
    <t>600292.SH</t>
  </si>
  <si>
    <t>600295.SH</t>
  </si>
  <si>
    <t>600298.SH</t>
  </si>
  <si>
    <t>600299.SH</t>
  </si>
  <si>
    <t>600301.SH</t>
  </si>
  <si>
    <t>600305.SH</t>
  </si>
  <si>
    <t>600309.SH</t>
  </si>
  <si>
    <t>600312.SH</t>
  </si>
  <si>
    <t>600315.SH</t>
  </si>
  <si>
    <t>600316.SH</t>
  </si>
  <si>
    <t>600320.SH</t>
  </si>
  <si>
    <t>600323.SH</t>
  </si>
  <si>
    <t>600325.SH</t>
  </si>
  <si>
    <t>600328.SH</t>
  </si>
  <si>
    <t>600329.SH</t>
  </si>
  <si>
    <t>600330.SH</t>
  </si>
  <si>
    <t>600331.SH</t>
  </si>
  <si>
    <t>600332.SH</t>
  </si>
  <si>
    <t>600335.SH</t>
  </si>
  <si>
    <t>600338.SH</t>
  </si>
  <si>
    <t>600339.SH</t>
  </si>
  <si>
    <t>600346.SH</t>
  </si>
  <si>
    <t>600348.SH</t>
  </si>
  <si>
    <t>600352.SH</t>
  </si>
  <si>
    <t>600353.SH</t>
  </si>
  <si>
    <t>600361.SH</t>
  </si>
  <si>
    <t>600362.SH</t>
  </si>
  <si>
    <t>600363.SH</t>
  </si>
  <si>
    <t>600366.SH</t>
  </si>
  <si>
    <t>600369.SH</t>
  </si>
  <si>
    <t>600372.SH</t>
  </si>
  <si>
    <t>600373.SH</t>
  </si>
  <si>
    <t>600377.SH</t>
  </si>
  <si>
    <t>600378.SH</t>
  </si>
  <si>
    <t>600380.SH</t>
  </si>
  <si>
    <t>600388.SH</t>
  </si>
  <si>
    <t>600389.SH</t>
  </si>
  <si>
    <t>600390.SH</t>
  </si>
  <si>
    <t>600392.SH</t>
  </si>
  <si>
    <t>600395.SH</t>
  </si>
  <si>
    <t>600398.SH</t>
  </si>
  <si>
    <t>600399.SH</t>
  </si>
  <si>
    <t>600403.SH</t>
  </si>
  <si>
    <t>600406.SH</t>
  </si>
  <si>
    <t>600409.SH</t>
  </si>
  <si>
    <t>600415.SH</t>
  </si>
  <si>
    <t>600416.SH</t>
  </si>
  <si>
    <t>600420.SH</t>
  </si>
  <si>
    <t>600422.SH</t>
  </si>
  <si>
    <t>600426.SH</t>
  </si>
  <si>
    <t>600428.SH</t>
  </si>
  <si>
    <t>600435.SH</t>
  </si>
  <si>
    <t>600436.SH</t>
  </si>
  <si>
    <t>600438.SH</t>
  </si>
  <si>
    <t>600446.SH</t>
  </si>
  <si>
    <t>600452.SH</t>
  </si>
  <si>
    <t>600456.SH</t>
  </si>
  <si>
    <t>600458.SH</t>
  </si>
  <si>
    <t>600459.SH</t>
  </si>
  <si>
    <t>600460.SH</t>
  </si>
  <si>
    <t>600461.SH</t>
  </si>
  <si>
    <t>600475.SH</t>
  </si>
  <si>
    <t>600478.SH</t>
  </si>
  <si>
    <t>600480.SH</t>
  </si>
  <si>
    <t>600482.SH</t>
  </si>
  <si>
    <t>600483.SH</t>
  </si>
  <si>
    <t>600486.SH</t>
  </si>
  <si>
    <t>600487.SH</t>
  </si>
  <si>
    <t>600489.SH</t>
  </si>
  <si>
    <t>600490.SH</t>
  </si>
  <si>
    <t>600497.SH</t>
  </si>
  <si>
    <t>600498.SH</t>
  </si>
  <si>
    <t>600499.SH</t>
  </si>
  <si>
    <t>600502.SH</t>
  </si>
  <si>
    <t>600507.SH</t>
  </si>
  <si>
    <t>600508.SH</t>
  </si>
  <si>
    <t>600509.SH</t>
  </si>
  <si>
    <t>600511.SH</t>
  </si>
  <si>
    <t>600515.SH</t>
  </si>
  <si>
    <t>600516.SH</t>
  </si>
  <si>
    <t>600517.SH</t>
  </si>
  <si>
    <t>600519.SH</t>
  </si>
  <si>
    <t>600521.SH</t>
  </si>
  <si>
    <t>600522.SH</t>
  </si>
  <si>
    <t>600528.SH</t>
  </si>
  <si>
    <t>600529.SH</t>
  </si>
  <si>
    <t>600531.SH</t>
  </si>
  <si>
    <t>600535.SH</t>
  </si>
  <si>
    <t>600536.SH</t>
  </si>
  <si>
    <t>600546.SH</t>
  </si>
  <si>
    <t>600547.SH</t>
  </si>
  <si>
    <t>600549.SH</t>
  </si>
  <si>
    <t>600550.SH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</si>
  <si>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</si>
  <si>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</si>
  <si>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</si>
  <si>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</si>
  <si>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</si>
  <si>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</si>
  <si>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</si>
  <si>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</si>
  <si>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600572.SH</t>
  </si>
  <si>
    <t>600575.SH</t>
  </si>
  <si>
    <t>600577.SH</t>
  </si>
  <si>
    <t>600578.SH</t>
  </si>
  <si>
    <t>600580.SH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</si>
  <si>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</si>
  <si>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</si>
  <si>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</si>
  <si>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</si>
  <si>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</si>
  <si>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</si>
  <si>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</si>
  <si>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600595.SH</t>
  </si>
  <si>
    <t>600596.SH</t>
  </si>
  <si>
    <t>600597.SH</t>
  </si>
  <si>
    <t>600598.SH</t>
  </si>
  <si>
    <t>600600.SH</t>
  </si>
  <si>
    <t>600601.SH</t>
  </si>
  <si>
    <t>600602.SH</t>
  </si>
  <si>
    <t>600606.SH</t>
  </si>
  <si>
    <t>600612.SH</t>
  </si>
  <si>
    <t>600618.SH</t>
  </si>
  <si>
    <t>600619.SH</t>
  </si>
  <si>
    <t>600621.SH</t>
  </si>
  <si>
    <t>600623.SH</t>
  </si>
  <si>
    <t>600629.SH</t>
  </si>
  <si>
    <t>600633.SH</t>
  </si>
  <si>
    <t>600635.SH</t>
  </si>
  <si>
    <t>600637.SH</t>
  </si>
  <si>
    <t>600639.SH</t>
  </si>
  <si>
    <t>600640.SH</t>
  </si>
  <si>
    <t>600641.SH</t>
  </si>
  <si>
    <t>600642.SH</t>
  </si>
  <si>
    <t>600643.SH</t>
  </si>
  <si>
    <t>600645.SH</t>
  </si>
  <si>
    <t>600649.SH</t>
  </si>
  <si>
    <t>600651.SH</t>
  </si>
  <si>
    <t>600654.SH</t>
  </si>
  <si>
    <t>600655.SH</t>
  </si>
  <si>
    <t>600657.SH</t>
  </si>
  <si>
    <t>600660.SH</t>
  </si>
  <si>
    <t>600662.SH</t>
  </si>
  <si>
    <t>600663.SH</t>
  </si>
  <si>
    <t>600664.SH</t>
  </si>
  <si>
    <t>600667.SH</t>
  </si>
  <si>
    <t>600673.SH</t>
  </si>
  <si>
    <t>600674.SH</t>
  </si>
  <si>
    <t>600675.SH</t>
  </si>
  <si>
    <t>600682.SH</t>
  </si>
  <si>
    <t>600685.SH</t>
  </si>
  <si>
    <t>600686.SH</t>
  </si>
  <si>
    <t>600688.SH</t>
  </si>
  <si>
    <t>600690.SH</t>
  </si>
  <si>
    <t>600699.SH</t>
  </si>
  <si>
    <t>600704.SH</t>
  </si>
  <si>
    <t>600707.SH</t>
  </si>
  <si>
    <t>600710.SH</t>
  </si>
  <si>
    <t>600717.SH</t>
  </si>
  <si>
    <t>600718.SH</t>
  </si>
  <si>
    <t>600720.SH</t>
  </si>
  <si>
    <t>600726.SH</t>
  </si>
  <si>
    <t>600728.SH</t>
  </si>
  <si>
    <t>600729.SH</t>
  </si>
  <si>
    <t>600737.SH</t>
  </si>
  <si>
    <t>600739.SH</t>
  </si>
  <si>
    <t>600740.SH</t>
  </si>
  <si>
    <t>600741.SH</t>
  </si>
  <si>
    <t>600744.SH</t>
  </si>
  <si>
    <t>600746.SH</t>
  </si>
  <si>
    <t>600750.SH</t>
  </si>
  <si>
    <t>600751.SH</t>
  </si>
  <si>
    <t>600754.SH</t>
  </si>
  <si>
    <t>600757.SH</t>
  </si>
  <si>
    <t>600760.SH</t>
  </si>
  <si>
    <t>600761.SH</t>
  </si>
  <si>
    <t>600763.SH</t>
  </si>
  <si>
    <t>600764.SH</t>
  </si>
  <si>
    <t>600765.SH</t>
  </si>
  <si>
    <t>600771.SH</t>
  </si>
  <si>
    <t>600773.SH</t>
  </si>
  <si>
    <t>600776.SH</t>
  </si>
  <si>
    <t>600782.SH</t>
  </si>
  <si>
    <t>600783.SH</t>
  </si>
  <si>
    <t>600787.SH</t>
  </si>
  <si>
    <t>600789.SH</t>
  </si>
  <si>
    <t>600795.SH</t>
  </si>
  <si>
    <t>600801.SH</t>
  </si>
  <si>
    <t>600803.SH</t>
  </si>
  <si>
    <t>600808.SH</t>
  </si>
  <si>
    <t>600809.SH</t>
  </si>
  <si>
    <t>600810.SH</t>
  </si>
  <si>
    <t>600812.SH</t>
  </si>
  <si>
    <t>600816.SH</t>
  </si>
  <si>
    <t>600820.SH</t>
  </si>
  <si>
    <t>600821.SH</t>
  </si>
  <si>
    <t>600827.SH</t>
  </si>
  <si>
    <t>600835.SH</t>
  </si>
  <si>
    <t>600845.SH</t>
  </si>
  <si>
    <t>600848.SH</t>
  </si>
  <si>
    <t>600850.SH</t>
  </si>
  <si>
    <t>600859.SH</t>
  </si>
  <si>
    <t>600861.SH</t>
  </si>
  <si>
    <t>600862.SH</t>
  </si>
  <si>
    <t>600863.SH</t>
  </si>
  <si>
    <t>600864.SH</t>
  </si>
  <si>
    <t>600866.SH</t>
  </si>
  <si>
    <t>600867.SH</t>
  </si>
  <si>
    <t>600869.SH</t>
  </si>
  <si>
    <t>600871.SH</t>
  </si>
  <si>
    <t>600872.SH</t>
  </si>
  <si>
    <t>600873.SH</t>
  </si>
  <si>
    <t>600875.SH</t>
  </si>
  <si>
    <t>600877.SH</t>
  </si>
  <si>
    <t>600879.SH</t>
  </si>
  <si>
    <t>600882.SH</t>
  </si>
  <si>
    <t>600884.SH</t>
  </si>
  <si>
    <t>600885.SH</t>
  </si>
  <si>
    <t>600886.SH</t>
  </si>
  <si>
    <t>600887.SH</t>
  </si>
  <si>
    <t>600888.SH</t>
  </si>
  <si>
    <t>600893.SH</t>
  </si>
  <si>
    <t>600894.SH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</si>
  <si>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</si>
  <si>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</si>
  <si>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</si>
  <si>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</si>
  <si>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</si>
  <si>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</si>
  <si>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</si>
  <si>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</si>
  <si>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600918.SH</t>
  </si>
  <si>
    <t>600919.SH</t>
  </si>
  <si>
    <t>600926.SH</t>
  </si>
  <si>
    <t>600927.SH</t>
  </si>
  <si>
    <t>600928.SH</t>
  </si>
  <si>
    <t>600929.SH</t>
  </si>
  <si>
    <t>600930.SH</t>
  </si>
  <si>
    <t>600933.SH</t>
  </si>
  <si>
    <t>600938.SH</t>
  </si>
  <si>
    <t>600941.SH</t>
  </si>
  <si>
    <t>600958.SH</t>
  </si>
  <si>
    <t>600959.SH</t>
  </si>
  <si>
    <t>600961.SH</t>
  </si>
  <si>
    <t>600963.SH</t>
  </si>
  <si>
    <t>600967.SH</t>
  </si>
  <si>
    <t>600968.SH</t>
  </si>
  <si>
    <t>600970.SH</t>
  </si>
  <si>
    <t>600971.SH</t>
  </si>
  <si>
    <t>600975.SH</t>
  </si>
  <si>
    <t>600977.SH</t>
  </si>
  <si>
    <t>600985.SH</t>
  </si>
  <si>
    <t>600986.SH</t>
  </si>
  <si>
    <t>600988.SH</t>
  </si>
  <si>
    <t>600989.SH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</si>
  <si>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</si>
  <si>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</si>
  <si>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</si>
  <si>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</si>
  <si>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</si>
  <si>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</si>
  <si>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</si>
  <si>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</si>
  <si>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601003.SH</t>
  </si>
  <si>
    <t>601006.SH</t>
  </si>
  <si>
    <t>601009.SH</t>
  </si>
  <si>
    <t>601012.SH</t>
  </si>
  <si>
    <t>601016.SH</t>
  </si>
  <si>
    <t>601018.SH</t>
  </si>
  <si>
    <t>601019.SH</t>
  </si>
  <si>
    <t>601020.SH</t>
  </si>
  <si>
    <t>601021.SH</t>
  </si>
  <si>
    <t>601022.SH</t>
  </si>
  <si>
    <t>601033.SH</t>
  </si>
  <si>
    <t>601038.SH</t>
  </si>
  <si>
    <t>601058.SH</t>
  </si>
  <si>
    <t>601059.SH</t>
  </si>
  <si>
    <t>601061.SH</t>
  </si>
  <si>
    <t>601066.SH</t>
  </si>
  <si>
    <t>601068.SH</t>
  </si>
  <si>
    <t>601069.SH</t>
  </si>
  <si>
    <t>601077.SH</t>
  </si>
  <si>
    <t>601083.SH</t>
  </si>
  <si>
    <t>601088.SH</t>
  </si>
  <si>
    <t>601089.SH</t>
  </si>
  <si>
    <t>601096.SH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</si>
  <si>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</si>
  <si>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</si>
  <si>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</si>
  <si>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</si>
  <si>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</si>
  <si>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</si>
  <si>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</si>
  <si>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</si>
  <si>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</si>
  <si>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</si>
  <si>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</si>
  <si>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</si>
  <si>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</si>
  <si>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601136.SH</t>
  </si>
  <si>
    <t>601137.SH</t>
  </si>
  <si>
    <t>601138.SH</t>
  </si>
  <si>
    <t>601139.SH</t>
  </si>
  <si>
    <t>601155.SH</t>
  </si>
  <si>
    <t>601156.SH</t>
  </si>
  <si>
    <t>601162.SH</t>
  </si>
  <si>
    <t>601163.SH</t>
  </si>
  <si>
    <t>601166.SH</t>
  </si>
  <si>
    <t>601168.SH</t>
  </si>
  <si>
    <t>601169.SH</t>
  </si>
  <si>
    <t>601179.SH</t>
  </si>
  <si>
    <t>601186.SH</t>
  </si>
  <si>
    <t>601187.SH</t>
  </si>
  <si>
    <t>601198.SH</t>
  </si>
  <si>
    <t>601200.SH</t>
  </si>
  <si>
    <t>601208.SH</t>
  </si>
  <si>
    <t>601211.SH</t>
  </si>
  <si>
    <t>601212.SH</t>
  </si>
  <si>
    <t>601216.SH</t>
  </si>
  <si>
    <t>601222.SH</t>
  </si>
  <si>
    <t>601225.SH</t>
  </si>
  <si>
    <t>601228.SH</t>
  </si>
  <si>
    <t>601229.SH</t>
  </si>
  <si>
    <t>601231.SH</t>
  </si>
  <si>
    <t>601233.SH</t>
  </si>
  <si>
    <t>601236.SH</t>
  </si>
  <si>
    <t>601238.SH</t>
  </si>
  <si>
    <t>601288.SH</t>
  </si>
  <si>
    <t>601298.SH</t>
  </si>
  <si>
    <t>601311.SH</t>
  </si>
  <si>
    <t>601318.SH</t>
  </si>
  <si>
    <t>601319.SH</t>
  </si>
  <si>
    <t>601326.SH</t>
  </si>
  <si>
    <t>601328.SH</t>
  </si>
  <si>
    <t>601333.SH</t>
  </si>
  <si>
    <t>601336.SH</t>
  </si>
  <si>
    <t>601360.SH</t>
  </si>
  <si>
    <t>601369.SH</t>
  </si>
  <si>
    <t>601375.SH</t>
  </si>
  <si>
    <t>601377.SH</t>
  </si>
  <si>
    <t>601390.SH</t>
  </si>
  <si>
    <t>601398.SH</t>
  </si>
  <si>
    <t>601399.SH</t>
  </si>
  <si>
    <t>601456.SH</t>
  </si>
  <si>
    <t>601500.SH</t>
  </si>
  <si>
    <t>601519.SH</t>
  </si>
  <si>
    <t>601528.SH</t>
  </si>
  <si>
    <t>601555.SH</t>
  </si>
  <si>
    <t>601567.SH</t>
  </si>
  <si>
    <t>601577.SH</t>
  </si>
  <si>
    <t>601595.SH</t>
  </si>
  <si>
    <t>601598.SH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</si>
  <si>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</si>
  <si>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</si>
  <si>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</si>
  <si>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</si>
  <si>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</si>
  <si>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</si>
  <si>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</si>
  <si>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</si>
  <si>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601618.SH</t>
  </si>
  <si>
    <t>601619.SH</t>
  </si>
  <si>
    <t>601628.SH</t>
  </si>
  <si>
    <t>601633.SH</t>
  </si>
  <si>
    <t>601636.SH</t>
  </si>
  <si>
    <t>601658.SH</t>
  </si>
  <si>
    <t>601665.SH</t>
  </si>
  <si>
    <t>601666.SH</t>
  </si>
  <si>
    <t>601668.SH</t>
  </si>
  <si>
    <t>601669.SH</t>
  </si>
  <si>
    <t>601677.SH</t>
  </si>
  <si>
    <t>601678.SH</t>
  </si>
  <si>
    <t>601688.SH</t>
  </si>
  <si>
    <t>601689.SH</t>
  </si>
  <si>
    <t>601696.SH</t>
  </si>
  <si>
    <t>601698.SH</t>
  </si>
  <si>
    <t>601699.SH</t>
  </si>
  <si>
    <t>601702.SH</t>
  </si>
  <si>
    <t>601717.SH</t>
  </si>
  <si>
    <t>601728.SH</t>
  </si>
  <si>
    <t>601766.SH</t>
  </si>
  <si>
    <t>601777.SH</t>
  </si>
  <si>
    <t>601778.SH</t>
  </si>
  <si>
    <t>601788.SH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</si>
  <si>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</si>
  <si>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</si>
  <si>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</si>
  <si>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</si>
  <si>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</si>
  <si>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</si>
  <si>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</si>
  <si>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601825.SH</t>
  </si>
  <si>
    <t>601838.SH</t>
  </si>
  <si>
    <t>601857.SH</t>
  </si>
  <si>
    <t>601858.SH</t>
  </si>
  <si>
    <t>601860.SH</t>
  </si>
  <si>
    <t>601865.SH</t>
  </si>
  <si>
    <t>601866.SH</t>
  </si>
  <si>
    <t>601868.SH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</si>
  <si>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</si>
  <si>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</si>
  <si>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</si>
  <si>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</si>
  <si>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</si>
  <si>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</si>
  <si>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</si>
  <si>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</si>
  <si>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</si>
  <si>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</si>
  <si>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</si>
  <si>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</si>
  <si>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</si>
  <si>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</si>
  <si>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</si>
  <si>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</si>
  <si>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</si>
  <si>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601921.SH</t>
  </si>
  <si>
    <t>601928.SH</t>
  </si>
  <si>
    <t>601939.SH</t>
  </si>
  <si>
    <t>601949.SH</t>
  </si>
  <si>
    <t>601952.SH</t>
  </si>
  <si>
    <t>601958.SH</t>
  </si>
  <si>
    <t>601963.SH</t>
  </si>
  <si>
    <t>601965.SH</t>
  </si>
  <si>
    <t>601966.SH</t>
  </si>
  <si>
    <t>601969.SH</t>
  </si>
  <si>
    <t>601975.SH</t>
  </si>
  <si>
    <t>601985.SH</t>
  </si>
  <si>
    <t>601988.SH</t>
  </si>
  <si>
    <t>601990.SH</t>
  </si>
  <si>
    <t>601991.SH</t>
  </si>
  <si>
    <t>601995.SH</t>
  </si>
  <si>
    <t>601997.SH</t>
  </si>
  <si>
    <t>601998.SH</t>
  </si>
  <si>
    <t>603000.SH</t>
  </si>
  <si>
    <t>603005.SH</t>
  </si>
  <si>
    <t>603009.SH</t>
  </si>
  <si>
    <t>603013.SH</t>
  </si>
  <si>
    <t>603014.SH</t>
  </si>
  <si>
    <t>603019.SH</t>
  </si>
  <si>
    <t>603025.SH</t>
  </si>
  <si>
    <t>603026.SH</t>
  </si>
  <si>
    <t>603027.SH</t>
  </si>
  <si>
    <t>603033.SH</t>
  </si>
  <si>
    <t>603039.SH</t>
  </si>
  <si>
    <t>603043.SH</t>
  </si>
  <si>
    <t>603049.SH</t>
  </si>
  <si>
    <t>603055.SH</t>
  </si>
  <si>
    <t>603057.SH</t>
  </si>
  <si>
    <t>603063.SH</t>
  </si>
  <si>
    <t>603072.SH</t>
  </si>
  <si>
    <t>603077.SH</t>
  </si>
  <si>
    <t>603083.SH</t>
  </si>
  <si>
    <t>603087.SH</t>
  </si>
  <si>
    <t>603093.SH</t>
  </si>
  <si>
    <t>603099.SH</t>
  </si>
  <si>
    <t>603100.SH</t>
  </si>
  <si>
    <t>603103.SH</t>
  </si>
  <si>
    <t>603108.SH</t>
  </si>
  <si>
    <t>603118.SH</t>
  </si>
  <si>
    <t>603119.SH</t>
  </si>
  <si>
    <t>603127.SH</t>
  </si>
  <si>
    <t>603128.SH</t>
  </si>
  <si>
    <t>603129.SH</t>
  </si>
  <si>
    <t>603156.SH</t>
  </si>
  <si>
    <t>603160.SH</t>
  </si>
  <si>
    <t>603162.SH</t>
  </si>
  <si>
    <t>603169.SH</t>
  </si>
  <si>
    <t>603171.SH</t>
  </si>
  <si>
    <t>603179.SH</t>
  </si>
  <si>
    <t>603193.SH</t>
  </si>
  <si>
    <t>603194.SH</t>
  </si>
  <si>
    <t>603195.SH</t>
  </si>
  <si>
    <t>603197.SH</t>
  </si>
  <si>
    <t>603202.SH</t>
  </si>
  <si>
    <t>603218.SH</t>
  </si>
  <si>
    <t>603219.SH</t>
  </si>
  <si>
    <t>603220.SH</t>
  </si>
  <si>
    <t>603225.SH</t>
  </si>
  <si>
    <t>603227.SH</t>
  </si>
  <si>
    <t>603228.SH</t>
  </si>
  <si>
    <t>603229.SH</t>
  </si>
  <si>
    <t>603233.SH</t>
  </si>
  <si>
    <t>603236.SH</t>
  </si>
  <si>
    <t>603256.SH</t>
  </si>
  <si>
    <t>603259.SH</t>
  </si>
  <si>
    <t>603260.SH</t>
  </si>
  <si>
    <t>603262.SH</t>
  </si>
  <si>
    <t>603267.SH</t>
  </si>
  <si>
    <t>603279.SH</t>
  </si>
  <si>
    <t>603283.SH</t>
  </si>
  <si>
    <t>603288.SH</t>
  </si>
  <si>
    <t>603290.SH</t>
  </si>
  <si>
    <t>603296.SH</t>
  </si>
  <si>
    <t>603297.SH</t>
  </si>
  <si>
    <t>603298.SH</t>
  </si>
  <si>
    <t>603299.SH</t>
  </si>
  <si>
    <t>603300.SH</t>
  </si>
  <si>
    <t>603305.SH</t>
  </si>
  <si>
    <t>603306.SH</t>
  </si>
  <si>
    <t>603308.SH</t>
  </si>
  <si>
    <t>603317.SH</t>
  </si>
  <si>
    <t>603323.SH</t>
  </si>
  <si>
    <t>603327.SH</t>
  </si>
  <si>
    <t>603328.SH</t>
  </si>
  <si>
    <t>603337.SH</t>
  </si>
  <si>
    <t>603338.SH</t>
  </si>
  <si>
    <t>603341.SH</t>
  </si>
  <si>
    <t>603345.SH</t>
  </si>
  <si>
    <t>603355.SH</t>
  </si>
  <si>
    <t>603358.SH</t>
  </si>
  <si>
    <t>603360.SH</t>
  </si>
  <si>
    <t>603369.SH</t>
  </si>
  <si>
    <t>603379.SH</t>
  </si>
  <si>
    <t>603383.SH</t>
  </si>
  <si>
    <t>603392.SH</t>
  </si>
  <si>
    <t>603393.SH</t>
  </si>
  <si>
    <t>603395.SH</t>
  </si>
  <si>
    <t>603444.SH</t>
  </si>
  <si>
    <t>603456.SH</t>
  </si>
  <si>
    <t>603477.SH</t>
  </si>
  <si>
    <t>603486.SH</t>
  </si>
  <si>
    <t>603496.SH</t>
  </si>
  <si>
    <t>603501.SH</t>
  </si>
  <si>
    <t>603505.SH</t>
  </si>
  <si>
    <t>603508.SH</t>
  </si>
  <si>
    <t>603516.SH</t>
  </si>
  <si>
    <t>603529.SH</t>
  </si>
  <si>
    <t>603530.SH</t>
  </si>
  <si>
    <t>603533.SH</t>
  </si>
  <si>
    <t>603556.SH</t>
  </si>
  <si>
    <t>603565.SH</t>
  </si>
  <si>
    <t>603567.SH</t>
  </si>
  <si>
    <t>603568.SH</t>
  </si>
  <si>
    <t>603583.SH</t>
  </si>
  <si>
    <t>603588.SH</t>
  </si>
  <si>
    <t>603589.SH</t>
  </si>
  <si>
    <t>603596.SH</t>
  </si>
  <si>
    <t>603599.SH</t>
  </si>
  <si>
    <t>603605.SH</t>
  </si>
  <si>
    <t>603606.SH</t>
  </si>
  <si>
    <t>603612.SH</t>
  </si>
  <si>
    <t>603613.SH</t>
  </si>
  <si>
    <t>603619.SH</t>
  </si>
  <si>
    <t>603638.SH</t>
  </si>
  <si>
    <t>603650.SH</t>
  </si>
  <si>
    <t>603658.SH</t>
  </si>
  <si>
    <t>603659.SH</t>
  </si>
  <si>
    <t>603662.SH</t>
  </si>
  <si>
    <t>603663.SH</t>
  </si>
  <si>
    <t>603667.SH</t>
  </si>
  <si>
    <t>603678.SH</t>
  </si>
  <si>
    <t>603688.SH</t>
  </si>
  <si>
    <t>603690.SH</t>
  </si>
  <si>
    <t>603693.SH</t>
  </si>
  <si>
    <t>603698.SH</t>
  </si>
  <si>
    <t>603699.SH</t>
  </si>
  <si>
    <t>603707.SH</t>
  </si>
  <si>
    <t>603713.SH</t>
  </si>
  <si>
    <t>603728.SH</t>
  </si>
  <si>
    <t>603730.SH</t>
  </si>
  <si>
    <t>603733.SH</t>
  </si>
  <si>
    <t>603737.SH</t>
  </si>
  <si>
    <t>603766.SH</t>
  </si>
  <si>
    <t>603786.SH</t>
  </si>
  <si>
    <t>603799.SH</t>
  </si>
  <si>
    <t>603806.SH</t>
  </si>
  <si>
    <t>603809.SH</t>
  </si>
  <si>
    <t>603816.SH</t>
  </si>
  <si>
    <t>603826.SH</t>
  </si>
  <si>
    <t>603833.SH</t>
  </si>
  <si>
    <t>603858.SH</t>
  </si>
  <si>
    <t>603866.SH</t>
  </si>
  <si>
    <t>603871.SH</t>
  </si>
  <si>
    <t>603876.SH</t>
  </si>
  <si>
    <t>603881.SH</t>
  </si>
  <si>
    <t>603883.SH</t>
  </si>
  <si>
    <t>603885.SH</t>
  </si>
  <si>
    <t>603887.SH</t>
  </si>
  <si>
    <t>603888.SH</t>
  </si>
  <si>
    <t>603893.SH</t>
  </si>
  <si>
    <t>603899.SH</t>
  </si>
  <si>
    <t>603915.SH</t>
  </si>
  <si>
    <t>603919.SH</t>
  </si>
  <si>
    <t>603920.SH</t>
  </si>
  <si>
    <t>603927.SH</t>
  </si>
  <si>
    <t>603939.SH</t>
  </si>
  <si>
    <t>603979.SH</t>
  </si>
  <si>
    <t>603983.SH</t>
  </si>
  <si>
    <t>603986.SH</t>
  </si>
  <si>
    <t>603993.SH</t>
  </si>
  <si>
    <t>603997.SH</t>
  </si>
  <si>
    <t>605009.SH</t>
  </si>
  <si>
    <t>605011.SH</t>
  </si>
  <si>
    <t>605020.SH</t>
  </si>
  <si>
    <t>605090.SH</t>
  </si>
  <si>
    <t>605099.SH</t>
  </si>
  <si>
    <t>605111.SH</t>
  </si>
  <si>
    <t>605116.SH</t>
  </si>
  <si>
    <t>605117.SH</t>
  </si>
  <si>
    <t>605118.SH</t>
  </si>
  <si>
    <t>605123.SH</t>
  </si>
  <si>
    <t>605198.SH</t>
  </si>
  <si>
    <t>605296.SH</t>
  </si>
  <si>
    <t>605333.SH</t>
  </si>
  <si>
    <t>605358.SH</t>
  </si>
  <si>
    <t>605376.SH</t>
  </si>
  <si>
    <t>605499.SH</t>
  </si>
  <si>
    <t>605507.SH</t>
  </si>
  <si>
    <t>605555.SH</t>
  </si>
  <si>
    <t>605589.SH</t>
  </si>
  <si>
    <t>605599.SH</t>
  </si>
  <si>
    <t>688001.SH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</si>
  <si>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</si>
  <si>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</si>
  <si>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</si>
  <si>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</si>
  <si>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</si>
  <si>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</si>
  <si>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</si>
  <si>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688012.SH</t>
  </si>
  <si>
    <t>688016.SH</t>
  </si>
  <si>
    <t>688017.SH</t>
  </si>
  <si>
    <t>688018.SH</t>
  </si>
  <si>
    <t>688019.SH</t>
  </si>
  <si>
    <t>688027.SH</t>
  </si>
  <si>
    <t>688029.SH</t>
  </si>
  <si>
    <t>688032.SH</t>
  </si>
  <si>
    <t>688036.SH</t>
  </si>
  <si>
    <t>688037.SH</t>
  </si>
  <si>
    <t>688041.SH</t>
  </si>
  <si>
    <t>688047.SH</t>
  </si>
  <si>
    <t>688048.SH</t>
  </si>
  <si>
    <t>688050.SH</t>
  </si>
  <si>
    <t>688052.SH</t>
  </si>
  <si>
    <t>688062.SH</t>
  </si>
  <si>
    <t>688063.SH</t>
  </si>
  <si>
    <t>688065.SH</t>
  </si>
  <si>
    <t>688068.SH</t>
  </si>
  <si>
    <t>688082.SH</t>
  </si>
  <si>
    <t>688083.SH</t>
  </si>
  <si>
    <t>688088.SH</t>
  </si>
  <si>
    <t>688091.SH</t>
  </si>
  <si>
    <t>688097.SH</t>
  </si>
  <si>
    <t>688099.SH</t>
  </si>
  <si>
    <t>688100.SH</t>
  </si>
  <si>
    <t>688102.SH</t>
  </si>
  <si>
    <t>688106.SH</t>
  </si>
  <si>
    <t>688107.SH</t>
  </si>
  <si>
    <t>688110.SH</t>
  </si>
  <si>
    <t>688111.SH</t>
  </si>
  <si>
    <t>688114.SH</t>
  </si>
  <si>
    <t>688116.SH</t>
  </si>
  <si>
    <t>688120.SH</t>
  </si>
  <si>
    <t>688122.SH</t>
  </si>
  <si>
    <t>688123.SH</t>
  </si>
  <si>
    <t>688126.SH</t>
  </si>
  <si>
    <t>688127.SH</t>
  </si>
  <si>
    <t>688128.SH</t>
  </si>
  <si>
    <t>688131.SH</t>
  </si>
  <si>
    <t>688139.SH</t>
  </si>
  <si>
    <t>688141.SH</t>
  </si>
  <si>
    <t>688146.SH</t>
  </si>
  <si>
    <t>688147.SH</t>
  </si>
  <si>
    <t>688150.SH</t>
  </si>
  <si>
    <t>688153.SH</t>
  </si>
  <si>
    <t>688158.SH</t>
  </si>
  <si>
    <t>688165.SH</t>
  </si>
  <si>
    <t>688166.SH</t>
  </si>
  <si>
    <t>688169.SH</t>
  </si>
  <si>
    <t>688172.SH</t>
  </si>
  <si>
    <t>688177.SH</t>
  </si>
  <si>
    <t>688180.SH</t>
  </si>
  <si>
    <t>688182.SH</t>
  </si>
  <si>
    <t>688183.SH</t>
  </si>
  <si>
    <t>688185.SH</t>
  </si>
  <si>
    <t>688187.SH</t>
  </si>
  <si>
    <t>688188.SH</t>
  </si>
  <si>
    <t>688190.SH</t>
  </si>
  <si>
    <t>688192.SH</t>
  </si>
  <si>
    <t>688200.SH</t>
  </si>
  <si>
    <t>688205.SH</t>
  </si>
  <si>
    <t>688206.SH</t>
  </si>
  <si>
    <t>688208.SH</t>
  </si>
  <si>
    <t>688209.SH</t>
  </si>
  <si>
    <t>688213.SH</t>
  </si>
  <si>
    <t>688220.SH</t>
  </si>
  <si>
    <t>688223.SH</t>
  </si>
  <si>
    <t>688232.SH</t>
  </si>
  <si>
    <t>688234.SH</t>
  </si>
  <si>
    <t>688235.SH</t>
  </si>
  <si>
    <t>688248.SH</t>
  </si>
  <si>
    <t>688252.SH</t>
  </si>
  <si>
    <t>688256.SH</t>
  </si>
  <si>
    <t>688262.SH</t>
  </si>
  <si>
    <t>688266.SH</t>
  </si>
  <si>
    <t>688271.SH</t>
  </si>
  <si>
    <t>688276.SH</t>
  </si>
  <si>
    <t>688278.SH</t>
  </si>
  <si>
    <t>688279.SH</t>
  </si>
  <si>
    <t>688281.SH</t>
  </si>
  <si>
    <t>688289.SH</t>
  </si>
  <si>
    <t>688295.SH</t>
  </si>
  <si>
    <t>688297.SH</t>
  </si>
  <si>
    <t>688300.SH</t>
  </si>
  <si>
    <t>688301.SH</t>
  </si>
  <si>
    <t>688303.SH</t>
  </si>
  <si>
    <t>688306.SH</t>
  </si>
  <si>
    <t>688313.SH</t>
  </si>
  <si>
    <t>688318.SH</t>
  </si>
  <si>
    <t>688321.SH</t>
  </si>
  <si>
    <t>688322.SH</t>
  </si>
  <si>
    <t>688326.SH</t>
  </si>
  <si>
    <t>688327.SH</t>
  </si>
  <si>
    <t>688331.SH</t>
  </si>
  <si>
    <t>688332.SH</t>
  </si>
  <si>
    <t>688333.SH</t>
  </si>
  <si>
    <t>688336.SH</t>
  </si>
  <si>
    <t>688337.SH</t>
  </si>
  <si>
    <t>688343.SH</t>
  </si>
  <si>
    <t>688347.SH</t>
  </si>
  <si>
    <t>688348.SH</t>
  </si>
  <si>
    <t>688349.SH</t>
  </si>
  <si>
    <t>688351.SH</t>
  </si>
  <si>
    <t>688352.SH</t>
  </si>
  <si>
    <t>688361.SH</t>
  </si>
  <si>
    <t>688362.SH</t>
  </si>
  <si>
    <t>688363.SH</t>
  </si>
  <si>
    <t>688372.SH</t>
  </si>
  <si>
    <t>688375.SH</t>
  </si>
  <si>
    <t>688380.SH</t>
  </si>
  <si>
    <t>688382.SH</t>
  </si>
  <si>
    <t>688385.SH</t>
  </si>
  <si>
    <t>688387.SH</t>
  </si>
  <si>
    <t>688390.SH</t>
  </si>
  <si>
    <t>688396.SH</t>
  </si>
  <si>
    <t>688400.SH</t>
  </si>
  <si>
    <t>688403.SH</t>
  </si>
  <si>
    <t>688408.SH</t>
  </si>
  <si>
    <t>688409.SH</t>
  </si>
  <si>
    <t>688425.SH</t>
  </si>
  <si>
    <t>688432.SH</t>
  </si>
  <si>
    <t>688433.SH</t>
  </si>
  <si>
    <t>688439.SH</t>
  </si>
  <si>
    <t>688443.SH</t>
  </si>
  <si>
    <t>688469.SH</t>
  </si>
  <si>
    <t>688472.SH</t>
  </si>
  <si>
    <t>688475.SH</t>
  </si>
  <si>
    <t>688484.SH</t>
  </si>
  <si>
    <t>688486.SH</t>
  </si>
  <si>
    <t>688498.SH</t>
  </si>
  <si>
    <t>688502.SH</t>
  </si>
  <si>
    <t>688503.SH</t>
  </si>
  <si>
    <t>688506.SH</t>
  </si>
  <si>
    <t>688515.SH</t>
  </si>
  <si>
    <t>688516.SH</t>
  </si>
  <si>
    <t>688519.SH</t>
  </si>
  <si>
    <t>688520.SH</t>
  </si>
  <si>
    <t>688522.SH</t>
  </si>
  <si>
    <t>688523.SH</t>
  </si>
  <si>
    <t>688525.SH</t>
  </si>
  <si>
    <t>688536.SH</t>
  </si>
  <si>
    <t>688538.SH</t>
  </si>
  <si>
    <t>688543.SH</t>
  </si>
  <si>
    <t>688548.SH</t>
  </si>
  <si>
    <t>688549.SH</t>
  </si>
  <si>
    <t>688552.SH</t>
  </si>
  <si>
    <t>688559.SH</t>
  </si>
  <si>
    <t>688561.SH</t>
  </si>
  <si>
    <t>688563.SH</t>
  </si>
  <si>
    <t>688567.SH</t>
  </si>
  <si>
    <t>688568.SH</t>
  </si>
  <si>
    <t>688575.SH</t>
  </si>
  <si>
    <t>688578.SH</t>
  </si>
  <si>
    <t>688582.SH</t>
  </si>
  <si>
    <t>688584.SH</t>
  </si>
  <si>
    <t>688586.SH</t>
  </si>
  <si>
    <t>688591.SH</t>
  </si>
  <si>
    <t>688596.SH</t>
  </si>
  <si>
    <t>688599.SH</t>
  </si>
  <si>
    <t>688608.SH</t>
  </si>
  <si>
    <t>688612.SH</t>
  </si>
  <si>
    <t>688615.SH</t>
  </si>
  <si>
    <t>688617.SH</t>
  </si>
  <si>
    <t>688629.SH</t>
  </si>
  <si>
    <t>688630.SH</t>
  </si>
  <si>
    <t>688631.SH</t>
  </si>
  <si>
    <t>688639.SH</t>
  </si>
  <si>
    <t>688652.SH</t>
  </si>
  <si>
    <t>688658.SH</t>
  </si>
  <si>
    <t>688660.SH</t>
  </si>
  <si>
    <t>688676.SH</t>
  </si>
  <si>
    <t>688686.SH</t>
  </si>
  <si>
    <t>688690.SH</t>
  </si>
  <si>
    <t>688692.SH</t>
  </si>
  <si>
    <t>688696.SH</t>
  </si>
  <si>
    <t>688698.SH</t>
  </si>
  <si>
    <t>688700.SH</t>
  </si>
  <si>
    <t>688702.SH</t>
  </si>
  <si>
    <t>688709.SH</t>
  </si>
  <si>
    <t>688717.SH</t>
  </si>
  <si>
    <t>688726.SH</t>
  </si>
  <si>
    <t>688728.SH</t>
  </si>
  <si>
    <t>688739.SH</t>
  </si>
  <si>
    <t>688766.SH</t>
  </si>
  <si>
    <t>688772.SH</t>
  </si>
  <si>
    <t>688776.SH</t>
  </si>
  <si>
    <t>688777.SH</t>
  </si>
  <si>
    <t>688778.SH</t>
  </si>
  <si>
    <t>688779.SH</t>
  </si>
  <si>
    <t>688789.SH</t>
  </si>
  <si>
    <t>688798.SH</t>
  </si>
  <si>
    <t>688800.SH</t>
  </si>
  <si>
    <t>688819.SH</t>
  </si>
  <si>
    <t>688981.SH</t>
  </si>
  <si>
    <t>689009.SH</t>
  </si>
  <si>
    <t>0001.HK</t>
  </si>
  <si>
    <t>0002.HK</t>
  </si>
  <si>
    <t>0003.HK</t>
  </si>
  <si>
    <t>0005.HK</t>
  </si>
  <si>
    <t>0006.HK</t>
  </si>
  <si>
    <t>0012.HK</t>
  </si>
  <si>
    <t>0016.HK</t>
  </si>
  <si>
    <t>0020.HK</t>
  </si>
  <si>
    <t>0027.HK</t>
  </si>
  <si>
    <t>0066.HK</t>
  </si>
  <si>
    <t>0101.HK</t>
  </si>
  <si>
    <t>0175.HK</t>
  </si>
  <si>
    <t>0241.HK</t>
  </si>
  <si>
    <t>0267.HK</t>
  </si>
  <si>
    <t>0268.HK</t>
  </si>
  <si>
    <t>0285.HK</t>
  </si>
  <si>
    <t>0288.HK</t>
  </si>
  <si>
    <t>0291.HK</t>
  </si>
  <si>
    <t>0300.HK</t>
  </si>
  <si>
    <t>0316.HK</t>
  </si>
  <si>
    <t>0322.HK</t>
  </si>
  <si>
    <t>0386.HK</t>
  </si>
  <si>
    <t>0388.HK</t>
  </si>
  <si>
    <t>0669.HK</t>
  </si>
  <si>
    <t>0688.HK</t>
  </si>
  <si>
    <t>0700.HK</t>
  </si>
  <si>
    <t>0728.HK</t>
  </si>
  <si>
    <t>0762.HK</t>
  </si>
  <si>
    <t>0780.HK</t>
  </si>
  <si>
    <t>0823.HK</t>
  </si>
  <si>
    <t>0836.HK</t>
  </si>
  <si>
    <t>0857.HK</t>
  </si>
  <si>
    <t>0868.HK</t>
  </si>
  <si>
    <t>0883.HK</t>
  </si>
  <si>
    <t>0939.HK</t>
  </si>
  <si>
    <t>0941.HK</t>
  </si>
  <si>
    <t>0960.HK</t>
  </si>
  <si>
    <t>0968.HK</t>
  </si>
  <si>
    <t>0981.HK</t>
  </si>
  <si>
    <t>0992.HK</t>
  </si>
  <si>
    <t>1024.HK</t>
  </si>
  <si>
    <t>1038.HK</t>
  </si>
  <si>
    <t>1044.HK</t>
  </si>
  <si>
    <t>1088.HK</t>
  </si>
  <si>
    <t>1093.HK</t>
  </si>
  <si>
    <t>1099.HK</t>
  </si>
  <si>
    <t>1109.HK</t>
  </si>
  <si>
    <t>1113.HK</t>
  </si>
  <si>
    <t>1177.HK</t>
  </si>
  <si>
    <t>1209.HK</t>
  </si>
  <si>
    <t>1211.HK</t>
  </si>
  <si>
    <t>1288.HK</t>
  </si>
  <si>
    <t>1299.HK</t>
  </si>
  <si>
    <t>1347.HK</t>
  </si>
  <si>
    <t>1378.HK</t>
  </si>
  <si>
    <t>1398.HK</t>
  </si>
  <si>
    <t>1658.HK</t>
  </si>
  <si>
    <t>1698.HK</t>
  </si>
  <si>
    <t>1801.HK</t>
  </si>
  <si>
    <t>1810.HK</t>
  </si>
  <si>
    <t>1876.HK</t>
  </si>
  <si>
    <t>1928.HK</t>
  </si>
  <si>
    <t>1929.HK</t>
  </si>
  <si>
    <t>1997.HK</t>
  </si>
  <si>
    <t>2015.HK</t>
  </si>
  <si>
    <t>2020.HK</t>
  </si>
  <si>
    <t>2057.HK</t>
  </si>
  <si>
    <t>2269.HK</t>
  </si>
  <si>
    <t>2313.HK</t>
  </si>
  <si>
    <t>2318.HK</t>
  </si>
  <si>
    <t>2319.HK</t>
  </si>
  <si>
    <t>2328.HK</t>
  </si>
  <si>
    <t>2331.HK</t>
  </si>
  <si>
    <t>2359.HK</t>
  </si>
  <si>
    <t>2382.HK</t>
  </si>
  <si>
    <t>2388.HK</t>
  </si>
  <si>
    <t>2423.HK</t>
  </si>
  <si>
    <t>2618.HK</t>
  </si>
  <si>
    <t>2628.HK</t>
  </si>
  <si>
    <t>2688.HK</t>
  </si>
  <si>
    <t>2899.HK</t>
  </si>
  <si>
    <t>3328.HK</t>
  </si>
  <si>
    <t>3690.HK</t>
  </si>
  <si>
    <t>3692.HK</t>
  </si>
  <si>
    <t>3750.HK</t>
  </si>
  <si>
    <t>3888.HK</t>
  </si>
  <si>
    <t>3968.HK</t>
  </si>
  <si>
    <t>3988.HK</t>
  </si>
  <si>
    <t>3993.HK</t>
  </si>
  <si>
    <t>6160.HK</t>
  </si>
  <si>
    <t>6181.HK</t>
  </si>
  <si>
    <t>6618.HK</t>
  </si>
  <si>
    <t>6690.HK</t>
  </si>
  <si>
    <t>6862.HK</t>
  </si>
  <si>
    <t>9618.HK</t>
  </si>
  <si>
    <t>9626.HK</t>
  </si>
  <si>
    <t>9633.HK</t>
  </si>
  <si>
    <t>9660.HK</t>
  </si>
  <si>
    <t>9863.HK</t>
  </si>
  <si>
    <t>9866.HK</t>
  </si>
  <si>
    <t>9868.HK</t>
  </si>
  <si>
    <t>9888.HK</t>
  </si>
  <si>
    <t>9901.HK</t>
  </si>
  <si>
    <t>9961.HK</t>
  </si>
  <si>
    <t>9987.HK</t>
  </si>
  <si>
    <t>9988.HK</t>
  </si>
  <si>
    <t>9992.HK</t>
  </si>
  <si>
    <t>9999.HK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</si>
</sst>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ibrary/WindFunc/windfunc.xlam" TargetMode="External"/><Relationship Id="rId2" Type="http://schemas.openxmlformats.org/officeDocument/2006/relationships/externalLinkPath" Target="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definedNames>
      <definedName name="fa_apturndays"/>
      <definedName name="hks_fa_apturndays"/>
      <definedName name="hks_fa_arturndays"/>
      <definedName name="hks_fa_invturndays"/>
      <definedName name="s_fa_arturndays"/>
      <definedName name="S_FA_EPS_basic2"/>
      <definedName name="s_fa_invturndays"/>
      <definedName name="s_stm07_cs"/>
      <definedName name="s_stm07_is"/>
      <definedName name="s_stm07_is_103"/>
      <definedName name="s_stm07_is_104"/>
      <definedName name="s_stm07_is_105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CAD6-954A-8A46-B056-A5C9FA0E939D}">
  <dimension ref="A1:P1802"/>
  <sheetViews>
    <sheetView workbookViewId="0"/>
  </sheetViews>
  <sheetFormatPr baseColWidth="10" defaultRowHeight="16"/>
  <cols>
    <col min="2" max="2" width="12" bestFit="1" customWidth="1"/>
  </cols>
  <sheetData>
    <row r="1" spans="1:16">
      <c r="B1" s="1">
        <v>46022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t="s">
        <v>16</v>
      </c>
      <c r="B3">
        <f>IFERROR([1]!s_stm07_is($A3,"W70156729",TEXT($B$1,"yyyy/mm/dd"),1),"")</f>
        <v>131442000000</v>
      </c>
      <c r="C3">
        <f>IFERROR([1]!s_stm07_is($A3,"W75682424",TEXT($B$1,"yyyy/mm/dd"),1),"")</f>
        <v>0</v>
      </c>
      <c r="D3">
        <f>IFERROR([1]!s_stm07_is($A3,"W76031679",TEXT($B$1,"yyyy/mm/dd"),1),"")</f>
        <v>0</v>
      </c>
      <c r="E3">
        <f>IFERROR([1]!s_stm07_is($A3,"W70752487",TEXT($B$1,"yyyy/mm/dd"),1),"")</f>
        <v>38196000000</v>
      </c>
      <c r="F3">
        <f>IFERROR([1]!s_stm07_is_103($A3,TEXT($B$1,"yyyy/mm/dd"),1),"")</f>
        <v>0</v>
      </c>
      <c r="G3">
        <f>IFERROR([1]!s_stm07_is_104($A3,TEXT($B$1,"yyyy/mm/dd"),1),"")</f>
        <v>0</v>
      </c>
      <c r="H3">
        <f>IFERROR([1]!s_stm07_is_105($A3,TEXT($B$1,"yyyy/mm/dd"),1),"")</f>
        <v>0</v>
      </c>
      <c r="I3">
        <f>IFERROR([1]!s_stm07_is($A3,"W72946623",TEXT($B$1,"yyyy/mm/dd"),1),"")</f>
        <v>51159000000</v>
      </c>
      <c r="J3">
        <f>IFERROR([1]!s_stm07_is($A3,"W30028333",TEXT($B$1,"yyyy/mm/dd"),1),"")</f>
        <v>42633000000</v>
      </c>
      <c r="K3">
        <f>IFERROR([1]!s_stm07_cs($A3,"W77130581",TEXT($B$1,"yyyy/mm/dd"),1),"")</f>
        <v>315858000000</v>
      </c>
      <c r="L3">
        <f>IFERROR([1]!s_stm07_cs($A3,"W77745895",TEXT($B$1,"yyyy/mm/dd"),1),"")</f>
        <v>2893000000</v>
      </c>
      <c r="M3">
        <f>IFERROR([1]!S_FA_EPS_basic2($A3,$B$1,"Cur=CNY"),"")</f>
        <v>2.0699999999999998</v>
      </c>
      <c r="N3">
        <f>IFERROR([1]!s_fa_arturndays($A3,TEXT($B$1,"yyyy/mm/dd")),"")</f>
        <v>0</v>
      </c>
      <c r="O3" t="str">
        <f>IFERROR([1]!fa_apturndays($A3,TEXT($B$1,"yyyy/mm/dd")),"")</f>
        <v>Fetch...</v>
      </c>
      <c r="P3">
        <f>IFERROR([1]!s_fa_invturndays($A3,TEXT($B$1,"yyyy/mm/dd")),"")</f>
        <v>0</v>
      </c>
    </row>
    <row r="4" spans="1:16">
      <c r="A4" t="s">
        <v>17</v>
      </c>
      <c r="B4">
        <f>IFERROR([1]!s_stm07_is($A4,"W70156729",TEXT($B$1,"yyyy/mm/dd"),1),"")</f>
        <v>233432768960.42999</v>
      </c>
      <c r="C4">
        <f>IFERROR([1]!s_stm07_is($A4,"W75682424",TEXT($B$1,"yyyy/mm/dd"),1),"")</f>
        <v>211347291770.88</v>
      </c>
      <c r="D4">
        <f>IFERROR([1]!s_stm07_is($A4,"W76031679",TEXT($B$1,"yyyy/mm/dd"),1),"")</f>
        <v>7408003428.4200001</v>
      </c>
      <c r="E4">
        <f>IFERROR([1]!s_stm07_is($A4,"W70752487",TEXT($B$1,"yyyy/mm/dd"),1),"")</f>
        <v>6264925232.96</v>
      </c>
      <c r="F4">
        <f>IFERROR([1]!s_stm07_is_103($A4,TEXT($B$1,"yyyy/mm/dd"),1),"")</f>
        <v>444030295.44</v>
      </c>
      <c r="G4">
        <f>IFERROR([1]!s_stm07_is_104($A4,TEXT($B$1,"yyyy/mm/dd"),1),"")</f>
        <v>8501508726.6999998</v>
      </c>
      <c r="H4">
        <f>IFERROR([1]!s_stm07_is_105($A4,TEXT($B$1,"yyyy/mm/dd"),1),"")</f>
        <v>1355040263.8699999</v>
      </c>
      <c r="I4">
        <f>IFERROR([1]!s_stm07_is($A4,"W72946623",TEXT($B$1,"yyyy/mm/dd"),1),"")</f>
        <v>-73923814314.970001</v>
      </c>
      <c r="J4">
        <f>IFERROR([1]!s_stm07_is($A4,"W30028333",TEXT($B$1,"yyyy/mm/dd"),1),"")</f>
        <v>-88556470495.639999</v>
      </c>
      <c r="K4">
        <f>IFERROR([1]!s_stm07_cs($A4,"W77130581",TEXT($B$1,"yyyy/mm/dd"),1),"")</f>
        <v>-988124860.96000004</v>
      </c>
      <c r="L4">
        <f>IFERROR([1]!s_stm07_cs($A4,"W77745895",TEXT($B$1,"yyyy/mm/dd"),1),"")</f>
        <v>3195091544.2800002</v>
      </c>
      <c r="M4">
        <f>IFERROR([1]!S_FA_EPS_basic2($A4,$B$1,"Cur=CNY"),"")</f>
        <v>-7.4452999999999996</v>
      </c>
      <c r="N4">
        <f>IFERROR([1]!s_fa_arturndays($A4,TEXT($B$1,"yyyy/mm/dd")),"")</f>
        <v>13.5943</v>
      </c>
      <c r="O4" t="str">
        <f>IFERROR([1]!fa_apturndays($A4,TEXT($B$1,"yyyy/mm/dd")),"")</f>
        <v>Fetch...</v>
      </c>
      <c r="P4">
        <f>IFERROR([1]!s_fa_invturndays($A4,TEXT($B$1,"yyyy/mm/dd")),"")</f>
        <v>781.41959999999995</v>
      </c>
    </row>
    <row r="5" spans="1:16">
      <c r="A5" t="s">
        <v>18</v>
      </c>
      <c r="B5">
        <f>IFERROR([1]!s_stm07_is($A5,"W70156729",TEXT($B$1,"yyyy/mm/dd"),1),"")</f>
        <v>23036277153.400002</v>
      </c>
      <c r="C5">
        <f>IFERROR([1]!s_stm07_is($A5,"W75682424",TEXT($B$1,"yyyy/mm/dd"),1),"")</f>
        <v>17088662751.450001</v>
      </c>
      <c r="D5">
        <f>IFERROR([1]!s_stm07_is($A5,"W76031679",TEXT($B$1,"yyyy/mm/dd"),1),"")</f>
        <v>1194607320.24</v>
      </c>
      <c r="E5">
        <f>IFERROR([1]!s_stm07_is($A5,"W70752487",TEXT($B$1,"yyyy/mm/dd"),1),"")</f>
        <v>1391046129.4000001</v>
      </c>
      <c r="F5">
        <f>IFERROR([1]!s_stm07_is_103($A5,TEXT($B$1,"yyyy/mm/dd"),1),"")</f>
        <v>1052726195.86</v>
      </c>
      <c r="G5">
        <f>IFERROR([1]!s_stm07_is_104($A5,TEXT($B$1,"yyyy/mm/dd"),1),"")</f>
        <v>575831756.16999996</v>
      </c>
      <c r="H5">
        <f>IFERROR([1]!s_stm07_is_105($A5,TEXT($B$1,"yyyy/mm/dd"),1),"")</f>
        <v>88686534.700000003</v>
      </c>
      <c r="I5">
        <f>IFERROR([1]!s_stm07_is($A5,"W72946623",TEXT($B$1,"yyyy/mm/dd"),1),"")</f>
        <v>1692376653.0699999</v>
      </c>
      <c r="J5">
        <f>IFERROR([1]!s_stm07_is($A5,"W30028333",TEXT($B$1,"yyyy/mm/dd"),1),"")</f>
        <v>203041725.86000001</v>
      </c>
      <c r="K5">
        <f>IFERROR([1]!s_stm07_cs($A5,"W77130581",TEXT($B$1,"yyyy/mm/dd"),1),"")</f>
        <v>1161546515.3399999</v>
      </c>
      <c r="L5">
        <f>IFERROR([1]!s_stm07_cs($A5,"W77745895",TEXT($B$1,"yyyy/mm/dd"),1),"")</f>
        <v>2483140639.9699998</v>
      </c>
      <c r="M5">
        <f>IFERROR([1]!S_FA_EPS_basic2($A5,$B$1,"Cur=CNY"),"")</f>
        <v>7.8700000000000006E-2</v>
      </c>
      <c r="N5">
        <f>IFERROR([1]!s_fa_arturndays($A5,TEXT($B$1,"yyyy/mm/dd")),"")</f>
        <v>82.081199999999995</v>
      </c>
      <c r="O5" t="str">
        <f>IFERROR([1]!fa_apturndays($A5,TEXT($B$1,"yyyy/mm/dd")),"")</f>
        <v>Fetch...</v>
      </c>
      <c r="P5">
        <f>IFERROR([1]!s_fa_invturndays($A5,TEXT($B$1,"yyyy/mm/dd")),"")</f>
        <v>254.4709</v>
      </c>
    </row>
    <row r="6" spans="1:16">
      <c r="A6" t="s">
        <v>19</v>
      </c>
      <c r="B6">
        <f>IFERROR([1]!s_stm07_is($A6,"W70156729",TEXT($B$1,"yyyy/mm/dd"),1),"")</f>
        <v>13718969008</v>
      </c>
      <c r="C6">
        <f>IFERROR([1]!s_stm07_is($A6,"W75682424",TEXT($B$1,"yyyy/mm/dd"),1),"")</f>
        <v>11714880100</v>
      </c>
      <c r="D6">
        <f>IFERROR([1]!s_stm07_is($A6,"W76031679",TEXT($B$1,"yyyy/mm/dd"),1),"")</f>
        <v>294891682</v>
      </c>
      <c r="E6">
        <f>IFERROR([1]!s_stm07_is($A6,"W70752487",TEXT($B$1,"yyyy/mm/dd"),1),"")</f>
        <v>740357271</v>
      </c>
      <c r="F6">
        <f>IFERROR([1]!s_stm07_is_103($A6,TEXT($B$1,"yyyy/mm/dd"),1),"")</f>
        <v>519332680</v>
      </c>
      <c r="G6">
        <f>IFERROR([1]!s_stm07_is_104($A6,TEXT($B$1,"yyyy/mm/dd"),1),"")</f>
        <v>247130850</v>
      </c>
      <c r="H6">
        <f>IFERROR([1]!s_stm07_is_105($A6,TEXT($B$1,"yyyy/mm/dd"),1),"")</f>
        <v>40278639</v>
      </c>
      <c r="I6">
        <f>IFERROR([1]!s_stm07_is($A6,"W72946623",TEXT($B$1,"yyyy/mm/dd"),1),"")</f>
        <v>99075067</v>
      </c>
      <c r="J6">
        <f>IFERROR([1]!s_stm07_is($A6,"W30028333",TEXT($B$1,"yyyy/mm/dd"),1),"")</f>
        <v>125668291</v>
      </c>
      <c r="K6">
        <f>IFERROR([1]!s_stm07_cs($A6,"W77130581",TEXT($B$1,"yyyy/mm/dd"),1),"")</f>
        <v>1146547297</v>
      </c>
      <c r="L6">
        <f>IFERROR([1]!s_stm07_cs($A6,"W77745895",TEXT($B$1,"yyyy/mm/dd"),1),"")</f>
        <v>1023280563</v>
      </c>
      <c r="M6">
        <f>IFERROR([1]!S_FA_EPS_basic2($A6,$B$1,"Cur=CNY"),"")</f>
        <v>0.04</v>
      </c>
      <c r="N6">
        <f>IFERROR([1]!s_fa_arturndays($A6,TEXT($B$1,"yyyy/mm/dd")),"")</f>
        <v>45.774700000000003</v>
      </c>
      <c r="O6" t="str">
        <f>IFERROR([1]!fa_apturndays($A6,TEXT($B$1,"yyyy/mm/dd")),"")</f>
        <v>Fetch...</v>
      </c>
      <c r="P6">
        <f>IFERROR([1]!s_fa_invturndays($A6,TEXT($B$1,"yyyy/mm/dd")),"")</f>
        <v>54.653100000000002</v>
      </c>
    </row>
    <row r="7" spans="1:16">
      <c r="A7" t="s">
        <v>20</v>
      </c>
      <c r="B7">
        <f>IFERROR([1]!s_stm07_is($A7,"W70156729",TEXT($B$1,"yyyy/mm/dd"),1),"")</f>
        <v>5505279622.3500004</v>
      </c>
      <c r="C7">
        <f>IFERROR([1]!s_stm07_is($A7,"W75682424",TEXT($B$1,"yyyy/mm/dd"),1),"")</f>
        <v>4623410073.54</v>
      </c>
      <c r="D7">
        <f>IFERROR([1]!s_stm07_is($A7,"W76031679",TEXT($B$1,"yyyy/mm/dd"),1),"")</f>
        <v>138284538.25</v>
      </c>
      <c r="E7">
        <f>IFERROR([1]!s_stm07_is($A7,"W70752487",TEXT($B$1,"yyyy/mm/dd"),1),"")</f>
        <v>206252622.49000001</v>
      </c>
      <c r="F7">
        <f>IFERROR([1]!s_stm07_is_103($A7,TEXT($B$1,"yyyy/mm/dd"),1),"")</f>
        <v>24962654.98</v>
      </c>
      <c r="G7">
        <f>IFERROR([1]!s_stm07_is_104($A7,TEXT($B$1,"yyyy/mm/dd"),1),"")</f>
        <v>32969675.940000001</v>
      </c>
      <c r="H7">
        <f>IFERROR([1]!s_stm07_is_105($A7,TEXT($B$1,"yyyy/mm/dd"),1),"")</f>
        <v>1073602.3500000001</v>
      </c>
      <c r="I7">
        <f>IFERROR([1]!s_stm07_is($A7,"W72946623",TEXT($B$1,"yyyy/mm/dd"),1),"")</f>
        <v>465805476.18000001</v>
      </c>
      <c r="J7">
        <f>IFERROR([1]!s_stm07_is($A7,"W30028333",TEXT($B$1,"yyyy/mm/dd"),1),"")</f>
        <v>243215785.97</v>
      </c>
      <c r="K7">
        <f>IFERROR([1]!s_stm07_cs($A7,"W77130581",TEXT($B$1,"yyyy/mm/dd"),1),"")</f>
        <v>1100440103.9000001</v>
      </c>
      <c r="L7">
        <f>IFERROR([1]!s_stm07_cs($A7,"W77745895",TEXT($B$1,"yyyy/mm/dd"),1),"")</f>
        <v>115194556.43000001</v>
      </c>
      <c r="M7">
        <f>IFERROR([1]!S_FA_EPS_basic2($A7,$B$1,"Cur=CNY"),"")</f>
        <v>0.21099999999999999</v>
      </c>
      <c r="N7">
        <f>IFERROR([1]!s_fa_arturndays($A7,TEXT($B$1,"yyyy/mm/dd")),"")</f>
        <v>13.777699999999999</v>
      </c>
      <c r="O7" t="str">
        <f>IFERROR([1]!fa_apturndays($A7,TEXT($B$1,"yyyy/mm/dd")),"")</f>
        <v>Fetch...</v>
      </c>
      <c r="P7">
        <f>IFERROR([1]!s_fa_invturndays($A7,TEXT($B$1,"yyyy/mm/dd")),"")</f>
        <v>311.98540000000003</v>
      </c>
    </row>
    <row r="8" spans="1:16">
      <c r="A8" t="s">
        <v>21</v>
      </c>
      <c r="B8">
        <f>IFERROR([1]!s_stm07_is($A8,"W70156729",TEXT($B$1,"yyyy/mm/dd"),1),"")</f>
        <v>15747393092.5</v>
      </c>
      <c r="C8">
        <f>IFERROR([1]!s_stm07_is($A8,"W75682424",TEXT($B$1,"yyyy/mm/dd"),1),"")</f>
        <v>12861868306.98</v>
      </c>
      <c r="D8">
        <f>IFERROR([1]!s_stm07_is($A8,"W76031679",TEXT($B$1,"yyyy/mm/dd"),1),"")</f>
        <v>183992019.27000001</v>
      </c>
      <c r="E8">
        <f>IFERROR([1]!s_stm07_is($A8,"W70752487",TEXT($B$1,"yyyy/mm/dd"),1),"")</f>
        <v>638360316.16999996</v>
      </c>
      <c r="F8">
        <f>IFERROR([1]!s_stm07_is_103($A8,TEXT($B$1,"yyyy/mm/dd"),1),"")</f>
        <v>459801113.69999999</v>
      </c>
      <c r="G8">
        <f>IFERROR([1]!s_stm07_is_104($A8,TEXT($B$1,"yyyy/mm/dd"),1),"")</f>
        <v>172532640.31</v>
      </c>
      <c r="H8">
        <f>IFERROR([1]!s_stm07_is_105($A8,TEXT($B$1,"yyyy/mm/dd"),1),"")</f>
        <v>232332193.90000001</v>
      </c>
      <c r="I8">
        <f>IFERROR([1]!s_stm07_is($A8,"W72946623",TEXT($B$1,"yyyy/mm/dd"),1),"")</f>
        <v>1716796882.3299999</v>
      </c>
      <c r="J8">
        <f>IFERROR([1]!s_stm07_is($A8,"W30028333",TEXT($B$1,"yyyy/mm/dd"),1),"")</f>
        <v>1135679007.05</v>
      </c>
      <c r="K8">
        <f>IFERROR([1]!s_stm07_cs($A8,"W77130581",TEXT($B$1,"yyyy/mm/dd"),1),"")</f>
        <v>1764618556.72</v>
      </c>
      <c r="L8">
        <f>IFERROR([1]!s_stm07_cs($A8,"W77745895",TEXT($B$1,"yyyy/mm/dd"),1),"")</f>
        <v>1220286986.3199999</v>
      </c>
      <c r="M8">
        <f>IFERROR([1]!S_FA_EPS_basic2($A8,$B$1,"Cur=CNY"),"")</f>
        <v>0.72519999999999996</v>
      </c>
      <c r="N8">
        <f>IFERROR([1]!s_fa_arturndays($A8,TEXT($B$1,"yyyy/mm/dd")),"")</f>
        <v>93.569699999999997</v>
      </c>
      <c r="O8" t="str">
        <f>IFERROR([1]!fa_apturndays($A8,TEXT($B$1,"yyyy/mm/dd")),"")</f>
        <v>Fetch...</v>
      </c>
      <c r="P8">
        <f>IFERROR([1]!s_fa_invturndays($A8,TEXT($B$1,"yyyy/mm/dd")),"")</f>
        <v>70.7881</v>
      </c>
    </row>
    <row r="9" spans="1:16">
      <c r="A9" t="s">
        <v>22</v>
      </c>
      <c r="B9">
        <f>IFERROR([1]!s_stm07_is($A9,"W70156729",TEXT($B$1,"yyyy/mm/dd"),1),"")</f>
        <v>43429622180.480003</v>
      </c>
      <c r="C9">
        <f>IFERROR([1]!s_stm07_is($A9,"W75682424",TEXT($B$1,"yyyy/mm/dd"),1),"")</f>
        <v>34452224373.529999</v>
      </c>
      <c r="D9">
        <f>IFERROR([1]!s_stm07_is($A9,"W76031679",TEXT($B$1,"yyyy/mm/dd"),1),"")</f>
        <v>148552329.41999999</v>
      </c>
      <c r="E9">
        <f>IFERROR([1]!s_stm07_is($A9,"W70752487",TEXT($B$1,"yyyy/mm/dd"),1),"")</f>
        <v>1853254236.9300001</v>
      </c>
      <c r="F9">
        <f>IFERROR([1]!s_stm07_is_103($A9,TEXT($B$1,"yyyy/mm/dd"),1),"")</f>
        <v>233709359.05000001</v>
      </c>
      <c r="G9">
        <f>IFERROR([1]!s_stm07_is_104($A9,TEXT($B$1,"yyyy/mm/dd"),1),"")</f>
        <v>2497005446.0700002</v>
      </c>
      <c r="H9">
        <f>IFERROR([1]!s_stm07_is_105($A9,TEXT($B$1,"yyyy/mm/dd"),1),"")</f>
        <v>211193412.19</v>
      </c>
      <c r="I9">
        <f>IFERROR([1]!s_stm07_is($A9,"W72946623",TEXT($B$1,"yyyy/mm/dd"),1),"")</f>
        <v>4191416996.79</v>
      </c>
      <c r="J9">
        <f>IFERROR([1]!s_stm07_is($A9,"W30028333",TEXT($B$1,"yyyy/mm/dd"),1),"")</f>
        <v>2103342043.54</v>
      </c>
      <c r="K9">
        <f>IFERROR([1]!s_stm07_cs($A9,"W77130581",TEXT($B$1,"yyyy/mm/dd"),1),"")</f>
        <v>11817010849.290001</v>
      </c>
      <c r="L9">
        <f>IFERROR([1]!s_stm07_cs($A9,"W77745895",TEXT($B$1,"yyyy/mm/dd"),1),"")</f>
        <v>11342301001.49</v>
      </c>
      <c r="M9">
        <f>IFERROR([1]!S_FA_EPS_basic2($A9,$B$1,"Cur=CNY"),"")</f>
        <v>0.31</v>
      </c>
      <c r="N9">
        <f>IFERROR([1]!s_fa_arturndays($A9,TEXT($B$1,"yyyy/mm/dd")),"")</f>
        <v>118.7688</v>
      </c>
      <c r="O9" t="str">
        <f>IFERROR([1]!fa_apturndays($A9,TEXT($B$1,"yyyy/mm/dd")),"")</f>
        <v>Fetch...</v>
      </c>
      <c r="P9">
        <f>IFERROR([1]!s_fa_invturndays($A9,TEXT($B$1,"yyyy/mm/dd")),"")</f>
        <v>13.3637</v>
      </c>
    </row>
    <row r="10" spans="1:16">
      <c r="A10" t="s">
        <v>23</v>
      </c>
      <c r="B10">
        <f>IFERROR([1]!s_stm07_is($A10,"W70156729",TEXT($B$1,"yyyy/mm/dd"),1),"")</f>
        <v>73415858423.130005</v>
      </c>
      <c r="C10">
        <f>IFERROR([1]!s_stm07_is($A10,"W75682424",TEXT($B$1,"yyyy/mm/dd"),1),"")</f>
        <v>65575391355.230003</v>
      </c>
      <c r="D10">
        <f>IFERROR([1]!s_stm07_is($A10,"W76031679",TEXT($B$1,"yyyy/mm/dd"),1),"")</f>
        <v>4846915960.5699997</v>
      </c>
      <c r="E10">
        <f>IFERROR([1]!s_stm07_is($A10,"W70752487",TEXT($B$1,"yyyy/mm/dd"),1),"")</f>
        <v>1001267356.4</v>
      </c>
      <c r="F10">
        <f>IFERROR([1]!s_stm07_is_103($A10,TEXT($B$1,"yyyy/mm/dd"),1),"")</f>
        <v>19986945.440000001</v>
      </c>
      <c r="G10">
        <f>IFERROR([1]!s_stm07_is_104($A10,TEXT($B$1,"yyyy/mm/dd"),1),"")</f>
        <v>194497657.99000001</v>
      </c>
      <c r="H10">
        <f>IFERROR([1]!s_stm07_is_105($A10,TEXT($B$1,"yyyy/mm/dd"),1),"")</f>
        <v>46952873.740000002</v>
      </c>
      <c r="I10">
        <f>IFERROR([1]!s_stm07_is($A10,"W72946623",TEXT($B$1,"yyyy/mm/dd"),1),"")</f>
        <v>1509020328.6700001</v>
      </c>
      <c r="J10">
        <f>IFERROR([1]!s_stm07_is($A10,"W30028333",TEXT($B$1,"yyyy/mm/dd"),1),"")</f>
        <v>1135926834.8399999</v>
      </c>
      <c r="K10">
        <f>IFERROR([1]!s_stm07_cs($A10,"W77130581",TEXT($B$1,"yyyy/mm/dd"),1),"")</f>
        <v>1638588925.27</v>
      </c>
      <c r="L10">
        <f>IFERROR([1]!s_stm07_cs($A10,"W77745895",TEXT($B$1,"yyyy/mm/dd"),1),"")</f>
        <v>217347683.00999999</v>
      </c>
      <c r="M10">
        <f>IFERROR([1]!S_FA_EPS_basic2($A10,$B$1,"Cur=CNY"),"")</f>
        <v>2.04</v>
      </c>
      <c r="N10">
        <f>IFERROR([1]!s_fa_arturndays($A10,TEXT($B$1,"yyyy/mm/dd")),"")</f>
        <v>100.31489999999999</v>
      </c>
      <c r="O10" t="str">
        <f>IFERROR([1]!fa_apturndays($A10,TEXT($B$1,"yyyy/mm/dd")),"")</f>
        <v>Fetch...</v>
      </c>
      <c r="P10">
        <f>IFERROR([1]!s_fa_invturndays($A10,TEXT($B$1,"yyyy/mm/dd")),"")</f>
        <v>42.662599999999998</v>
      </c>
    </row>
    <row r="11" spans="1:16">
      <c r="A11" t="s">
        <v>24</v>
      </c>
      <c r="B11">
        <f>IFERROR([1]!s_stm07_is($A11,"W70156729",TEXT($B$1,"yyyy/mm/dd"),1),"")</f>
        <v>1482872299.3599999</v>
      </c>
      <c r="C11">
        <f>IFERROR([1]!s_stm07_is($A11,"W75682424",TEXT($B$1,"yyyy/mm/dd"),1),"")</f>
        <v>1069812444.74</v>
      </c>
      <c r="D11">
        <f>IFERROR([1]!s_stm07_is($A11,"W76031679",TEXT($B$1,"yyyy/mm/dd"),1),"")</f>
        <v>20775223.41</v>
      </c>
      <c r="E11">
        <f>IFERROR([1]!s_stm07_is($A11,"W70752487",TEXT($B$1,"yyyy/mm/dd"),1),"")</f>
        <v>72505249.030000001</v>
      </c>
      <c r="F11">
        <f>IFERROR([1]!s_stm07_is_103($A11,TEXT($B$1,"yyyy/mm/dd"),1),"")</f>
        <v>0</v>
      </c>
      <c r="G11">
        <f>IFERROR([1]!s_stm07_is_104($A11,TEXT($B$1,"yyyy/mm/dd"),1),"")</f>
        <v>3760510.21</v>
      </c>
      <c r="H11">
        <f>IFERROR([1]!s_stm07_is_105($A11,TEXT($B$1,"yyyy/mm/dd"),1),"")</f>
        <v>3829111.01</v>
      </c>
      <c r="I11">
        <f>IFERROR([1]!s_stm07_is($A11,"W72946623",TEXT($B$1,"yyyy/mm/dd"),1),"")</f>
        <v>161235927.19999999</v>
      </c>
      <c r="J11">
        <f>IFERROR([1]!s_stm07_is($A11,"W30028333",TEXT($B$1,"yyyy/mm/dd"),1),"")</f>
        <v>99956003.75</v>
      </c>
      <c r="K11">
        <f>IFERROR([1]!s_stm07_cs($A11,"W77130581",TEXT($B$1,"yyyy/mm/dd"),1),"")</f>
        <v>-95319433.930000007</v>
      </c>
      <c r="L11">
        <f>IFERROR([1]!s_stm07_cs($A11,"W77745895",TEXT($B$1,"yyyy/mm/dd"),1),"")</f>
        <v>1905620</v>
      </c>
      <c r="M11">
        <f>IFERROR([1]!S_FA_EPS_basic2($A11,$B$1,"Cur=CNY"),"")</f>
        <v>9.8799999999999999E-2</v>
      </c>
      <c r="N11">
        <f>IFERROR([1]!s_fa_arturndays($A11,TEXT($B$1,"yyyy/mm/dd")),"")</f>
        <v>12.3293</v>
      </c>
      <c r="O11" t="str">
        <f>IFERROR([1]!fa_apturndays($A11,TEXT($B$1,"yyyy/mm/dd")),"")</f>
        <v>Fetch...</v>
      </c>
      <c r="P11">
        <f>IFERROR([1]!s_fa_invturndays($A11,TEXT($B$1,"yyyy/mm/dd")),"")</f>
        <v>806.99390000000005</v>
      </c>
    </row>
    <row r="12" spans="1:16">
      <c r="A12" t="s">
        <v>25</v>
      </c>
      <c r="B12">
        <f>IFERROR([1]!s_stm07_is($A12,"W70156729",TEXT($B$1,"yyyy/mm/dd"),1),"")</f>
        <v>17410397362.619999</v>
      </c>
      <c r="C12">
        <f>IFERROR([1]!s_stm07_is($A12,"W75682424",TEXT($B$1,"yyyy/mm/dd"),1),"")</f>
        <v>15244757636.33</v>
      </c>
      <c r="D12">
        <f>IFERROR([1]!s_stm07_is($A12,"W76031679",TEXT($B$1,"yyyy/mm/dd"),1),"")</f>
        <v>215411715.63</v>
      </c>
      <c r="E12">
        <f>IFERROR([1]!s_stm07_is($A12,"W70752487",TEXT($B$1,"yyyy/mm/dd"),1),"")</f>
        <v>826360577.10000002</v>
      </c>
      <c r="F12">
        <f>IFERROR([1]!s_stm07_is_103($A12,TEXT($B$1,"yyyy/mm/dd"),1),"")</f>
        <v>647666644.67999995</v>
      </c>
      <c r="G12">
        <f>IFERROR([1]!s_stm07_is_104($A12,TEXT($B$1,"yyyy/mm/dd"),1),"")</f>
        <v>28850974.98</v>
      </c>
      <c r="H12">
        <f>IFERROR([1]!s_stm07_is_105($A12,TEXT($B$1,"yyyy/mm/dd"),1),"")</f>
        <v>14677919.02</v>
      </c>
      <c r="I12">
        <f>IFERROR([1]!s_stm07_is($A12,"W72946623",TEXT($B$1,"yyyy/mm/dd"),1),"")</f>
        <v>1004253780.8099999</v>
      </c>
      <c r="J12">
        <f>IFERROR([1]!s_stm07_is($A12,"W30028333",TEXT($B$1,"yyyy/mm/dd"),1),"")</f>
        <v>702615804.89999998</v>
      </c>
      <c r="K12">
        <f>IFERROR([1]!s_stm07_cs($A12,"W77130581",TEXT($B$1,"yyyy/mm/dd"),1),"")</f>
        <v>536199267.13</v>
      </c>
      <c r="L12">
        <f>IFERROR([1]!s_stm07_cs($A12,"W77745895",TEXT($B$1,"yyyy/mm/dd"),1),"")</f>
        <v>371940621.99000001</v>
      </c>
      <c r="M12">
        <f>IFERROR([1]!S_FA_EPS_basic2($A12,$B$1,"Cur=CNY"),"")</f>
        <v>0.41</v>
      </c>
      <c r="N12">
        <f>IFERROR([1]!s_fa_arturndays($A12,TEXT($B$1,"yyyy/mm/dd")),"")</f>
        <v>89.739800000000002</v>
      </c>
      <c r="O12" t="str">
        <f>IFERROR([1]!fa_apturndays($A12,TEXT($B$1,"yyyy/mm/dd")),"")</f>
        <v>Fetch...</v>
      </c>
      <c r="P12">
        <f>IFERROR([1]!s_fa_invturndays($A12,TEXT($B$1,"yyyy/mm/dd")),"")</f>
        <v>32.003999999999998</v>
      </c>
    </row>
    <row r="13" spans="1:16">
      <c r="A13" t="s">
        <v>26</v>
      </c>
      <c r="B13">
        <f>IFERROR([1]!s_stm07_is($A13,"W70156729",TEXT($B$1,"yyyy/mm/dd"),1),"")</f>
        <v>49170356917.150002</v>
      </c>
      <c r="C13">
        <f>IFERROR([1]!s_stm07_is($A13,"W75682424",TEXT($B$1,"yyyy/mm/dd"),1),"")</f>
        <v>44397126178.089996</v>
      </c>
      <c r="D13">
        <f>IFERROR([1]!s_stm07_is($A13,"W76031679",TEXT($B$1,"yyyy/mm/dd"),1),"")</f>
        <v>843684005.59000003</v>
      </c>
      <c r="E13">
        <f>IFERROR([1]!s_stm07_is($A13,"W70752487",TEXT($B$1,"yyyy/mm/dd"),1),"")</f>
        <v>1212852624.1700001</v>
      </c>
      <c r="F13">
        <f>IFERROR([1]!s_stm07_is_103($A13,TEXT($B$1,"yyyy/mm/dd"),1),"")</f>
        <v>1405446274.1500001</v>
      </c>
      <c r="G13">
        <f>IFERROR([1]!s_stm07_is_104($A13,TEXT($B$1,"yyyy/mm/dd"),1),"")</f>
        <v>391820151.54000002</v>
      </c>
      <c r="H13">
        <f>IFERROR([1]!s_stm07_is_105($A13,TEXT($B$1,"yyyy/mm/dd"),1),"")</f>
        <v>139379231.19</v>
      </c>
      <c r="I13">
        <f>IFERROR([1]!s_stm07_is($A13,"W72946623",TEXT($B$1,"yyyy/mm/dd"),1),"")</f>
        <v>508376635.63999999</v>
      </c>
      <c r="J13">
        <f>IFERROR([1]!s_stm07_is($A13,"W30028333",TEXT($B$1,"yyyy/mm/dd"),1),"")</f>
        <v>-127069431.40000001</v>
      </c>
      <c r="K13">
        <f>IFERROR([1]!s_stm07_cs($A13,"W77130581",TEXT($B$1,"yyyy/mm/dd"),1),"")</f>
        <v>-296557412.70999998</v>
      </c>
      <c r="L13">
        <f>IFERROR([1]!s_stm07_cs($A13,"W77745895",TEXT($B$1,"yyyy/mm/dd"),1),"")</f>
        <v>382666118.17000002</v>
      </c>
      <c r="M13">
        <f>IFERROR([1]!S_FA_EPS_basic2($A13,$B$1,"Cur=CNY"),"")</f>
        <v>-0.11169999999999999</v>
      </c>
      <c r="N13">
        <f>IFERROR([1]!s_fa_arturndays($A13,TEXT($B$1,"yyyy/mm/dd")),"")</f>
        <v>93.987399999999994</v>
      </c>
      <c r="O13" t="str">
        <f>IFERROR([1]!fa_apturndays($A13,TEXT($B$1,"yyyy/mm/dd")),"")</f>
        <v>Fetch...</v>
      </c>
      <c r="P13">
        <f>IFERROR([1]!s_fa_invturndays($A13,TEXT($B$1,"yyyy/mm/dd")),"")</f>
        <v>255.53659999999999</v>
      </c>
    </row>
    <row r="14" spans="1:16">
      <c r="A14" t="s">
        <v>27</v>
      </c>
      <c r="B14">
        <f>IFERROR([1]!s_stm07_is($A14,"W70156729",TEXT($B$1,"yyyy/mm/dd"),1),"")</f>
        <v>143751044503.13</v>
      </c>
      <c r="C14">
        <f>IFERROR([1]!s_stm07_is($A14,"W75682424",TEXT($B$1,"yyyy/mm/dd"),1),"")</f>
        <v>138866961377.34</v>
      </c>
      <c r="D14">
        <f>IFERROR([1]!s_stm07_is($A14,"W76031679",TEXT($B$1,"yyyy/mm/dd"),1),"")</f>
        <v>2187297357.1999998</v>
      </c>
      <c r="E14">
        <f>IFERROR([1]!s_stm07_is($A14,"W70752487",TEXT($B$1,"yyyy/mm/dd"),1),"")</f>
        <v>409495660.56999999</v>
      </c>
      <c r="F14">
        <f>IFERROR([1]!s_stm07_is_103($A14,TEXT($B$1,"yyyy/mm/dd"),1),"")</f>
        <v>392542129.51999998</v>
      </c>
      <c r="G14">
        <f>IFERROR([1]!s_stm07_is_104($A14,TEXT($B$1,"yyyy/mm/dd"),1),"")</f>
        <v>501482777.18000001</v>
      </c>
      <c r="H14">
        <f>IFERROR([1]!s_stm07_is_105($A14,TEXT($B$1,"yyyy/mm/dd"),1),"")</f>
        <v>51920040.039999999</v>
      </c>
      <c r="I14">
        <f>IFERROR([1]!s_stm07_is($A14,"W72946623",TEXT($B$1,"yyyy/mm/dd"),1),"")</f>
        <v>753414945.04999995</v>
      </c>
      <c r="J14">
        <f>IFERROR([1]!s_stm07_is($A14,"W30028333",TEXT($B$1,"yyyy/mm/dd"),1),"")</f>
        <v>522943843.22000003</v>
      </c>
      <c r="K14">
        <f>IFERROR([1]!s_stm07_cs($A14,"W77130581",TEXT($B$1,"yyyy/mm/dd"),1),"")</f>
        <v>-2425699608.73</v>
      </c>
      <c r="L14">
        <f>IFERROR([1]!s_stm07_cs($A14,"W77745895",TEXT($B$1,"yyyy/mm/dd"),1),"")</f>
        <v>478778743.95999998</v>
      </c>
      <c r="M14">
        <f>IFERROR([1]!S_FA_EPS_basic2($A14,$B$1,"Cur=CNY"),"")</f>
        <v>0.77110000000000001</v>
      </c>
      <c r="N14">
        <f>IFERROR([1]!s_fa_arturndays($A14,TEXT($B$1,"yyyy/mm/dd")),"")</f>
        <v>31.974399999999999</v>
      </c>
      <c r="O14" t="str">
        <f>IFERROR([1]!fa_apturndays($A14,TEXT($B$1,"yyyy/mm/dd")),"")</f>
        <v>Fetch...</v>
      </c>
      <c r="P14">
        <f>IFERROR([1]!s_fa_invturndays($A14,TEXT($B$1,"yyyy/mm/dd")),"")</f>
        <v>41.218699999999998</v>
      </c>
    </row>
    <row r="15" spans="1:16">
      <c r="A15" t="s">
        <v>28</v>
      </c>
      <c r="B15">
        <f>IFERROR([1]!s_stm07_is($A15,"W70156729",TEXT($B$1,"yyyy/mm/dd"),1),"")</f>
        <v>5283464987.5799999</v>
      </c>
      <c r="C15">
        <f>IFERROR([1]!s_stm07_is($A15,"W75682424",TEXT($B$1,"yyyy/mm/dd"),1),"")</f>
        <v>3742379673.5900002</v>
      </c>
      <c r="D15">
        <f>IFERROR([1]!s_stm07_is($A15,"W76031679",TEXT($B$1,"yyyy/mm/dd"),1),"")</f>
        <v>41708184.409999996</v>
      </c>
      <c r="E15">
        <f>IFERROR([1]!s_stm07_is($A15,"W70752487",TEXT($B$1,"yyyy/mm/dd"),1),"")</f>
        <v>517131277.12</v>
      </c>
      <c r="F15">
        <f>IFERROR([1]!s_stm07_is_103($A15,TEXT($B$1,"yyyy/mm/dd"),1),"")</f>
        <v>66502388.780000001</v>
      </c>
      <c r="G15">
        <f>IFERROR([1]!s_stm07_is_104($A15,TEXT($B$1,"yyyy/mm/dd"),1),"")</f>
        <v>465167136.39999998</v>
      </c>
      <c r="H15">
        <f>IFERROR([1]!s_stm07_is_105($A15,TEXT($B$1,"yyyy/mm/dd"),1),"")</f>
        <v>36536010.280000001</v>
      </c>
      <c r="I15">
        <f>IFERROR([1]!s_stm07_is($A15,"W72946623",TEXT($B$1,"yyyy/mm/dd"),1),"")</f>
        <v>406464107.76999998</v>
      </c>
      <c r="J15">
        <f>IFERROR([1]!s_stm07_is($A15,"W30028333",TEXT($B$1,"yyyy/mm/dd"),1),"")</f>
        <v>283949932.62</v>
      </c>
      <c r="K15">
        <f>IFERROR([1]!s_stm07_cs($A15,"W77130581",TEXT($B$1,"yyyy/mm/dd"),1),"")</f>
        <v>653089056.42999995</v>
      </c>
      <c r="L15">
        <f>IFERROR([1]!s_stm07_cs($A15,"W77745895",TEXT($B$1,"yyyy/mm/dd"),1),"")</f>
        <v>1570291924.55</v>
      </c>
      <c r="M15">
        <f>IFERROR([1]!S_FA_EPS_basic2($A15,$B$1,"Cur=CNY"),"")</f>
        <v>0.12</v>
      </c>
      <c r="N15">
        <f>IFERROR([1]!s_fa_arturndays($A15,TEXT($B$1,"yyyy/mm/dd")),"")</f>
        <v>147.6317</v>
      </c>
      <c r="O15" t="str">
        <f>IFERROR([1]!fa_apturndays($A15,TEXT($B$1,"yyyy/mm/dd")),"")</f>
        <v>Fetch...</v>
      </c>
      <c r="P15">
        <f>IFERROR([1]!s_fa_invturndays($A15,TEXT($B$1,"yyyy/mm/dd")),"")</f>
        <v>76.441199999999995</v>
      </c>
    </row>
    <row r="16" spans="1:16">
      <c r="A16" t="s">
        <v>29</v>
      </c>
      <c r="B16">
        <f>IFERROR([1]!s_stm07_is($A16,"W70156729",TEXT($B$1,"yyyy/mm/dd"),1),"")</f>
        <v>156611446000</v>
      </c>
      <c r="C16">
        <f>IFERROR([1]!s_stm07_is($A16,"W75682424",TEXT($B$1,"yyyy/mm/dd"),1),"")</f>
        <v>137116422000</v>
      </c>
      <c r="D16">
        <f>IFERROR([1]!s_stm07_is($A16,"W76031679",TEXT($B$1,"yyyy/mm/dd"),1),"")</f>
        <v>2706853000</v>
      </c>
      <c r="E16">
        <f>IFERROR([1]!s_stm07_is($A16,"W70752487",TEXT($B$1,"yyyy/mm/dd"),1),"")</f>
        <v>6319429000</v>
      </c>
      <c r="F16">
        <f>IFERROR([1]!s_stm07_is_103($A16,TEXT($B$1,"yyyy/mm/dd"),1),"")</f>
        <v>2787780000</v>
      </c>
      <c r="G16">
        <f>IFERROR([1]!s_stm07_is_104($A16,TEXT($B$1,"yyyy/mm/dd"),1),"")</f>
        <v>1508467000</v>
      </c>
      <c r="H16">
        <f>IFERROR([1]!s_stm07_is_105($A16,TEXT($B$1,"yyyy/mm/dd"),1),"")</f>
        <v>683893000</v>
      </c>
      <c r="I16">
        <f>IFERROR([1]!s_stm07_is($A16,"W72946623",TEXT($B$1,"yyyy/mm/dd"),1),"")</f>
        <v>2816061000</v>
      </c>
      <c r="J16">
        <f>IFERROR([1]!s_stm07_is($A16,"W30028333",TEXT($B$1,"yyyy/mm/dd"),1),"")</f>
        <v>220820000</v>
      </c>
      <c r="K16">
        <f>IFERROR([1]!s_stm07_cs($A16,"W77130581",TEXT($B$1,"yyyy/mm/dd"),1),"")</f>
        <v>18514449000</v>
      </c>
      <c r="L16">
        <f>IFERROR([1]!s_stm07_cs($A16,"W77745895",TEXT($B$1,"yyyy/mm/dd"),1),"")</f>
        <v>4718727000</v>
      </c>
      <c r="M16">
        <f>IFERROR([1]!S_FA_EPS_basic2($A16,$B$1,"Cur=CNY"),"")</f>
        <v>0.03</v>
      </c>
      <c r="N16">
        <f>IFERROR([1]!s_fa_arturndays($A16,TEXT($B$1,"yyyy/mm/dd")),"")</f>
        <v>65.661100000000005</v>
      </c>
      <c r="O16" t="str">
        <f>IFERROR([1]!fa_apturndays($A16,TEXT($B$1,"yyyy/mm/dd")),"")</f>
        <v>Fetch...</v>
      </c>
      <c r="P16">
        <f>IFERROR([1]!s_fa_invturndays($A16,TEXT($B$1,"yyyy/mm/dd")),"")</f>
        <v>75.493899999999996</v>
      </c>
    </row>
    <row r="17" spans="1:16">
      <c r="A17" t="s">
        <v>30</v>
      </c>
      <c r="B17">
        <f>IFERROR([1]!s_stm07_is($A17,"W70156729",TEXT($B$1,"yyyy/mm/dd"),1),"")</f>
        <v>4871819142.4499998</v>
      </c>
      <c r="C17">
        <f>IFERROR([1]!s_stm07_is($A17,"W75682424",TEXT($B$1,"yyyy/mm/dd"),1),"")</f>
        <v>4200481714.8400002</v>
      </c>
      <c r="D17">
        <f>IFERROR([1]!s_stm07_is($A17,"W76031679",TEXT($B$1,"yyyy/mm/dd"),1),"")</f>
        <v>24219460.449999999</v>
      </c>
      <c r="E17">
        <f>IFERROR([1]!s_stm07_is($A17,"W70752487",TEXT($B$1,"yyyy/mm/dd"),1),"")</f>
        <v>313151769.67000002</v>
      </c>
      <c r="F17">
        <f>IFERROR([1]!s_stm07_is_103($A17,TEXT($B$1,"yyyy/mm/dd"),1),"")</f>
        <v>50019143.899999999</v>
      </c>
      <c r="G17">
        <f>IFERROR([1]!s_stm07_is_104($A17,TEXT($B$1,"yyyy/mm/dd"),1),"")</f>
        <v>73835222.189999998</v>
      </c>
      <c r="H17">
        <f>IFERROR([1]!s_stm07_is_105($A17,TEXT($B$1,"yyyy/mm/dd"),1),"")</f>
        <v>5086676.67</v>
      </c>
      <c r="I17">
        <f>IFERROR([1]!s_stm07_is($A17,"W72946623",TEXT($B$1,"yyyy/mm/dd"),1),"")</f>
        <v>145648086.27000001</v>
      </c>
      <c r="J17">
        <f>IFERROR([1]!s_stm07_is($A17,"W30028333",TEXT($B$1,"yyyy/mm/dd"),1),"")</f>
        <v>152808661.81999999</v>
      </c>
      <c r="K17">
        <f>IFERROR([1]!s_stm07_cs($A17,"W77130581",TEXT($B$1,"yyyy/mm/dd"),1),"")</f>
        <v>597311894.41999996</v>
      </c>
      <c r="L17">
        <f>IFERROR([1]!s_stm07_cs($A17,"W77745895",TEXT($B$1,"yyyy/mm/dd"),1),"")</f>
        <v>204192709.81</v>
      </c>
      <c r="M17">
        <f>IFERROR([1]!S_FA_EPS_basic2($A17,$B$1,"Cur=CNY"),"")</f>
        <v>0.29649999999999999</v>
      </c>
      <c r="N17">
        <f>IFERROR([1]!s_fa_arturndays($A17,TEXT($B$1,"yyyy/mm/dd")),"")</f>
        <v>3.6497000000000002</v>
      </c>
      <c r="O17" t="str">
        <f>IFERROR([1]!fa_apturndays($A17,TEXT($B$1,"yyyy/mm/dd")),"")</f>
        <v>Fetch...</v>
      </c>
      <c r="P17">
        <f>IFERROR([1]!s_fa_invturndays($A17,TEXT($B$1,"yyyy/mm/dd")),"")</f>
        <v>145.173</v>
      </c>
    </row>
    <row r="18" spans="1:16">
      <c r="A18" t="s">
        <v>31</v>
      </c>
      <c r="B18">
        <f>IFERROR([1]!s_stm07_is($A18,"W70156729",TEXT($B$1,"yyyy/mm/dd"),1),"")</f>
        <v>22399427302.939999</v>
      </c>
      <c r="C18">
        <f>IFERROR([1]!s_stm07_is($A18,"W75682424",TEXT($B$1,"yyyy/mm/dd"),1),"")</f>
        <v>20379412302.959999</v>
      </c>
      <c r="D18">
        <f>IFERROR([1]!s_stm07_is($A18,"W76031679",TEXT($B$1,"yyyy/mm/dd"),1),"")</f>
        <v>158190420.93000001</v>
      </c>
      <c r="E18">
        <f>IFERROR([1]!s_stm07_is($A18,"W70752487",TEXT($B$1,"yyyy/mm/dd"),1),"")</f>
        <v>381669838.07999998</v>
      </c>
      <c r="F18">
        <f>IFERROR([1]!s_stm07_is_103($A18,TEXT($B$1,"yyyy/mm/dd"),1),"")</f>
        <v>1030741518.21</v>
      </c>
      <c r="G18">
        <f>IFERROR([1]!s_stm07_is_104($A18,TEXT($B$1,"yyyy/mm/dd"),1),"")</f>
        <v>117677799.45</v>
      </c>
      <c r="H18">
        <f>IFERROR([1]!s_stm07_is_105($A18,TEXT($B$1,"yyyy/mm/dd"),1),"")</f>
        <v>29613283.57</v>
      </c>
      <c r="I18">
        <f>IFERROR([1]!s_stm07_is($A18,"W72946623",TEXT($B$1,"yyyy/mm/dd"),1),"")</f>
        <v>158585732.37</v>
      </c>
      <c r="J18">
        <f>IFERROR([1]!s_stm07_is($A18,"W30028333",TEXT($B$1,"yyyy/mm/dd"),1),"")</f>
        <v>292270104.14999998</v>
      </c>
      <c r="K18">
        <f>IFERROR([1]!s_stm07_cs($A18,"W77130581",TEXT($B$1,"yyyy/mm/dd"),1),"")</f>
        <v>1226211658.1500001</v>
      </c>
      <c r="L18">
        <f>IFERROR([1]!s_stm07_cs($A18,"W77745895",TEXT($B$1,"yyyy/mm/dd"),1),"")</f>
        <v>998760587.23000002</v>
      </c>
      <c r="M18">
        <f>IFERROR([1]!S_FA_EPS_basic2($A18,$B$1,"Cur=CNY"),"")</f>
        <v>0.75990000000000002</v>
      </c>
      <c r="N18">
        <f>IFERROR([1]!s_fa_arturndays($A18,TEXT($B$1,"yyyy/mm/dd")),"")</f>
        <v>89.894400000000005</v>
      </c>
      <c r="O18" t="str">
        <f>IFERROR([1]!fa_apturndays($A18,TEXT($B$1,"yyyy/mm/dd")),"")</f>
        <v>Fetch...</v>
      </c>
      <c r="P18">
        <f>IFERROR([1]!s_fa_invturndays($A18,TEXT($B$1,"yyyy/mm/dd")),"")</f>
        <v>43.106000000000002</v>
      </c>
    </row>
    <row r="19" spans="1:16">
      <c r="A19" t="s">
        <v>32</v>
      </c>
      <c r="B19">
        <f>IFERROR([1]!s_stm07_is($A19,"W70156729",TEXT($B$1,"yyyy/mm/dd"),1),"")</f>
        <v>36226540318.589996</v>
      </c>
      <c r="C19">
        <f>IFERROR([1]!s_stm07_is($A19,"W75682424",TEXT($B$1,"yyyy/mm/dd"),1),"")</f>
        <v>30341845431.470001</v>
      </c>
      <c r="D19">
        <f>IFERROR([1]!s_stm07_is($A19,"W76031679",TEXT($B$1,"yyyy/mm/dd"),1),"")</f>
        <v>426798675.38</v>
      </c>
      <c r="E19">
        <f>IFERROR([1]!s_stm07_is($A19,"W70752487",TEXT($B$1,"yyyy/mm/dd"),1),"")</f>
        <v>846151571.64999998</v>
      </c>
      <c r="F19">
        <f>IFERROR([1]!s_stm07_is_103($A19,TEXT($B$1,"yyyy/mm/dd"),1),"")</f>
        <v>3336043272.3000002</v>
      </c>
      <c r="G19">
        <f>IFERROR([1]!s_stm07_is_104($A19,TEXT($B$1,"yyyy/mm/dd"),1),"")</f>
        <v>776025189.94000006</v>
      </c>
      <c r="H19">
        <f>IFERROR([1]!s_stm07_is_105($A19,TEXT($B$1,"yyyy/mm/dd"),1),"")</f>
        <v>28405291.649999999</v>
      </c>
      <c r="I19">
        <f>IFERROR([1]!s_stm07_is($A19,"W72946623",TEXT($B$1,"yyyy/mm/dd"),1),"")</f>
        <v>251596286.43000001</v>
      </c>
      <c r="J19">
        <f>IFERROR([1]!s_stm07_is($A19,"W30028333",TEXT($B$1,"yyyy/mm/dd"),1),"")</f>
        <v>167375926.83000001</v>
      </c>
      <c r="K19">
        <f>IFERROR([1]!s_stm07_cs($A19,"W77130581",TEXT($B$1,"yyyy/mm/dd"),1),"")</f>
        <v>6988145917.2799997</v>
      </c>
      <c r="L19">
        <f>IFERROR([1]!s_stm07_cs($A19,"W77745895",TEXT($B$1,"yyyy/mm/dd"),1),"")</f>
        <v>2254039714.73</v>
      </c>
      <c r="M19">
        <f>IFERROR([1]!S_FA_EPS_basic2($A19,$B$1,"Cur=CNY"),"")</f>
        <v>6.8199999999999997E-2</v>
      </c>
      <c r="N19">
        <f>IFERROR([1]!s_fa_arturndays($A19,TEXT($B$1,"yyyy/mm/dd")),"")</f>
        <v>105.3648</v>
      </c>
      <c r="O19" t="str">
        <f>IFERROR([1]!fa_apturndays($A19,TEXT($B$1,"yyyy/mm/dd")),"")</f>
        <v>Fetch...</v>
      </c>
      <c r="P19">
        <f>IFERROR([1]!s_fa_invturndays($A19,TEXT($B$1,"yyyy/mm/dd")),"")</f>
        <v>50.458300000000001</v>
      </c>
    </row>
    <row r="20" spans="1:16">
      <c r="A20" t="s">
        <v>33</v>
      </c>
      <c r="B20">
        <f>IFERROR([1]!s_stm07_is($A20,"W70156729",TEXT($B$1,"yyyy/mm/dd"),1),"")</f>
        <v>1687654147.6900001</v>
      </c>
      <c r="C20">
        <f>IFERROR([1]!s_stm07_is($A20,"W75682424",TEXT($B$1,"yyyy/mm/dd"),1),"")</f>
        <v>1233813641.05</v>
      </c>
      <c r="D20">
        <f>IFERROR([1]!s_stm07_is($A20,"W76031679",TEXT($B$1,"yyyy/mm/dd"),1),"")</f>
        <v>26679209.379999999</v>
      </c>
      <c r="E20">
        <f>IFERROR([1]!s_stm07_is($A20,"W70752487",TEXT($B$1,"yyyy/mm/dd"),1),"")</f>
        <v>118419776.20999999</v>
      </c>
      <c r="F20">
        <f>IFERROR([1]!s_stm07_is_103($A20,TEXT($B$1,"yyyy/mm/dd"),1),"")</f>
        <v>29282221.030000001</v>
      </c>
      <c r="G20">
        <f>IFERROR([1]!s_stm07_is_104($A20,TEXT($B$1,"yyyy/mm/dd"),1),"")</f>
        <v>37028844.979999997</v>
      </c>
      <c r="H20">
        <f>IFERROR([1]!s_stm07_is_105($A20,TEXT($B$1,"yyyy/mm/dd"),1),"")</f>
        <v>9320500.5999999996</v>
      </c>
      <c r="I20">
        <f>IFERROR([1]!s_stm07_is($A20,"W72946623",TEXT($B$1,"yyyy/mm/dd"),1),"")</f>
        <v>141556349.87</v>
      </c>
      <c r="J20">
        <f>IFERROR([1]!s_stm07_is($A20,"W30028333",TEXT($B$1,"yyyy/mm/dd"),1),"")</f>
        <v>69394739.700000003</v>
      </c>
      <c r="K20">
        <f>IFERROR([1]!s_stm07_cs($A20,"W77130581",TEXT($B$1,"yyyy/mm/dd"),1),"")</f>
        <v>297224389.69</v>
      </c>
      <c r="L20">
        <f>IFERROR([1]!s_stm07_cs($A20,"W77745895",TEXT($B$1,"yyyy/mm/dd"),1),"")</f>
        <v>233075026.96000001</v>
      </c>
      <c r="M20">
        <f>IFERROR([1]!S_FA_EPS_basic2($A20,$B$1,"Cur=CNY"),"")</f>
        <v>5.6399999999999999E-2</v>
      </c>
      <c r="N20">
        <f>IFERROR([1]!s_fa_arturndays($A20,TEXT($B$1,"yyyy/mm/dd")),"")</f>
        <v>59.075499999999998</v>
      </c>
      <c r="O20" t="str">
        <f>IFERROR([1]!fa_apturndays($A20,TEXT($B$1,"yyyy/mm/dd")),"")</f>
        <v>Fetch...</v>
      </c>
      <c r="P20">
        <f>IFERROR([1]!s_fa_invturndays($A20,TEXT($B$1,"yyyy/mm/dd")),"")</f>
        <v>419.04320000000001</v>
      </c>
    </row>
    <row r="21" spans="1:16">
      <c r="A21" t="s">
        <v>34</v>
      </c>
      <c r="B21">
        <f>IFERROR([1]!s_stm07_is($A21,"W70156729",TEXT($B$1,"yyyy/mm/dd"),1),"")</f>
        <v>41756479557.709999</v>
      </c>
      <c r="C21">
        <f>IFERROR([1]!s_stm07_is($A21,"W75682424",TEXT($B$1,"yyyy/mm/dd"),1),"")</f>
        <v>36702860468.190002</v>
      </c>
      <c r="D21">
        <f>IFERROR([1]!s_stm07_is($A21,"W76031679",TEXT($B$1,"yyyy/mm/dd"),1),"")</f>
        <v>208772869.38999999</v>
      </c>
      <c r="E21">
        <f>IFERROR([1]!s_stm07_is($A21,"W70752487",TEXT($B$1,"yyyy/mm/dd"),1),"")</f>
        <v>984487497.22000003</v>
      </c>
      <c r="F21">
        <f>IFERROR([1]!s_stm07_is_103($A21,TEXT($B$1,"yyyy/mm/dd"),1),"")</f>
        <v>129773753.56999999</v>
      </c>
      <c r="G21">
        <f>IFERROR([1]!s_stm07_is_104($A21,TEXT($B$1,"yyyy/mm/dd"),1),"")</f>
        <v>324685302.82999998</v>
      </c>
      <c r="H21">
        <f>IFERROR([1]!s_stm07_is_105($A21,TEXT($B$1,"yyyy/mm/dd"),1),"")</f>
        <v>42330570.439999998</v>
      </c>
      <c r="I21">
        <f>IFERROR([1]!s_stm07_is($A21,"W72946623",TEXT($B$1,"yyyy/mm/dd"),1),"")</f>
        <v>-1686365577.0899999</v>
      </c>
      <c r="J21">
        <f>IFERROR([1]!s_stm07_is($A21,"W30028333",TEXT($B$1,"yyyy/mm/dd"),1),"")</f>
        <v>-1763294889.03</v>
      </c>
      <c r="K21">
        <f>IFERROR([1]!s_stm07_cs($A21,"W77130581",TEXT($B$1,"yyyy/mm/dd"),1),"")</f>
        <v>-2567271889.5799999</v>
      </c>
      <c r="L21">
        <f>IFERROR([1]!s_stm07_cs($A21,"W77745895",TEXT($B$1,"yyyy/mm/dd"),1),"")</f>
        <v>513636806.20999998</v>
      </c>
      <c r="M21">
        <f>IFERROR([1]!S_FA_EPS_basic2($A21,$B$1,"Cur=CNY"),"")</f>
        <v>-1.1000000000000001</v>
      </c>
      <c r="N21">
        <f>IFERROR([1]!s_fa_arturndays($A21,TEXT($B$1,"yyyy/mm/dd")),"")</f>
        <v>1.1435</v>
      </c>
      <c r="O21" t="str">
        <f>IFERROR([1]!fa_apturndays($A21,TEXT($B$1,"yyyy/mm/dd")),"")</f>
        <v>Fetch...</v>
      </c>
      <c r="P21">
        <f>IFERROR([1]!s_fa_invturndays($A21,TEXT($B$1,"yyyy/mm/dd")),"")</f>
        <v>53.308100000000003</v>
      </c>
    </row>
    <row r="22" spans="1:16">
      <c r="A22" t="s">
        <v>35</v>
      </c>
      <c r="B22">
        <f>IFERROR([1]!s_stm07_is($A22,"W70156729",TEXT($B$1,"yyyy/mm/dd"),1),"")</f>
        <v>60543580352.449997</v>
      </c>
      <c r="C22">
        <f>IFERROR([1]!s_stm07_is($A22,"W75682424",TEXT($B$1,"yyyy/mm/dd"),1),"")</f>
        <v>56538988207.669998</v>
      </c>
      <c r="D22">
        <f>IFERROR([1]!s_stm07_is($A22,"W76031679",TEXT($B$1,"yyyy/mm/dd"),1),"")</f>
        <v>162870265.91</v>
      </c>
      <c r="E22">
        <f>IFERROR([1]!s_stm07_is($A22,"W70752487",TEXT($B$1,"yyyy/mm/dd"),1),"")</f>
        <v>796819485</v>
      </c>
      <c r="F22">
        <f>IFERROR([1]!s_stm07_is_103($A22,TEXT($B$1,"yyyy/mm/dd"),1),"")</f>
        <v>501654785.99000001</v>
      </c>
      <c r="G22">
        <f>IFERROR([1]!s_stm07_is_104($A22,TEXT($B$1,"yyyy/mm/dd"),1),"")</f>
        <v>543654228.00999999</v>
      </c>
      <c r="H22">
        <f>IFERROR([1]!s_stm07_is_105($A22,TEXT($B$1,"yyyy/mm/dd"),1),"")</f>
        <v>50176568.950000003</v>
      </c>
      <c r="I22">
        <f>IFERROR([1]!s_stm07_is($A22,"W72946623",TEXT($B$1,"yyyy/mm/dd"),1),"")</f>
        <v>1120921432.8800001</v>
      </c>
      <c r="J22">
        <f>IFERROR([1]!s_stm07_is($A22,"W30028333",TEXT($B$1,"yyyy/mm/dd"),1),"")</f>
        <v>801756079.52999997</v>
      </c>
      <c r="K22">
        <f>IFERROR([1]!s_stm07_cs($A22,"W77130581",TEXT($B$1,"yyyy/mm/dd"),1),"")</f>
        <v>2409708434.6599998</v>
      </c>
      <c r="L22">
        <f>IFERROR([1]!s_stm07_cs($A22,"W77745895",TEXT($B$1,"yyyy/mm/dd"),1),"")</f>
        <v>985397515.21000004</v>
      </c>
      <c r="M22">
        <f>IFERROR([1]!S_FA_EPS_basic2($A22,$B$1,"Cur=CNY"),"")</f>
        <v>0.21</v>
      </c>
      <c r="N22">
        <f>IFERROR([1]!s_fa_arturndays($A22,TEXT($B$1,"yyyy/mm/dd")),"")</f>
        <v>4.8685</v>
      </c>
      <c r="O22" t="str">
        <f>IFERROR([1]!fa_apturndays($A22,TEXT($B$1,"yyyy/mm/dd")),"")</f>
        <v>Fetch...</v>
      </c>
      <c r="P22">
        <f>IFERROR([1]!s_fa_invturndays($A22,TEXT($B$1,"yyyy/mm/dd")),"")</f>
        <v>76.929699999999997</v>
      </c>
    </row>
    <row r="23" spans="1:16">
      <c r="A23" t="s">
        <v>36</v>
      </c>
      <c r="B23">
        <f>IFERROR([1]!s_stm07_is($A23,"W70156729",TEXT($B$1,"yyyy/mm/dd"),1),"")</f>
        <v>6528350316.1099997</v>
      </c>
      <c r="C23">
        <f>IFERROR([1]!s_stm07_is($A23,"W75682424",TEXT($B$1,"yyyy/mm/dd"),1),"")</f>
        <v>5073547220.1999998</v>
      </c>
      <c r="D23">
        <f>IFERROR([1]!s_stm07_is($A23,"W76031679",TEXT($B$1,"yyyy/mm/dd"),1),"")</f>
        <v>145207953.44</v>
      </c>
      <c r="E23">
        <f>IFERROR([1]!s_stm07_is($A23,"W70752487",TEXT($B$1,"yyyy/mm/dd"),1),"")</f>
        <v>488571599.25999999</v>
      </c>
      <c r="F23">
        <f>IFERROR([1]!s_stm07_is_103($A23,TEXT($B$1,"yyyy/mm/dd"),1),"")</f>
        <v>17805294.809999999</v>
      </c>
      <c r="G23">
        <f>IFERROR([1]!s_stm07_is_104($A23,TEXT($B$1,"yyyy/mm/dd"),1),"")</f>
        <v>178255668.68000001</v>
      </c>
      <c r="H23">
        <f>IFERROR([1]!s_stm07_is_105($A23,TEXT($B$1,"yyyy/mm/dd"),1),"")</f>
        <v>28000142.489999998</v>
      </c>
      <c r="I23">
        <f>IFERROR([1]!s_stm07_is($A23,"W72946623",TEXT($B$1,"yyyy/mm/dd"),1),"")</f>
        <v>779402882.54999995</v>
      </c>
      <c r="J23">
        <f>IFERROR([1]!s_stm07_is($A23,"W30028333",TEXT($B$1,"yyyy/mm/dd"),1),"")</f>
        <v>372470153.54000002</v>
      </c>
      <c r="K23">
        <f>IFERROR([1]!s_stm07_cs($A23,"W77130581",TEXT($B$1,"yyyy/mm/dd"),1),"")</f>
        <v>907421666.37</v>
      </c>
      <c r="L23">
        <f>IFERROR([1]!s_stm07_cs($A23,"W77745895",TEXT($B$1,"yyyy/mm/dd"),1),"")</f>
        <v>1322342177.3</v>
      </c>
      <c r="M23">
        <f>IFERROR([1]!S_FA_EPS_basic2($A23,$B$1,"Cur=CNY"),"")</f>
        <v>0.21060000000000001</v>
      </c>
      <c r="N23">
        <f>IFERROR([1]!s_fa_arturndays($A23,TEXT($B$1,"yyyy/mm/dd")),"")</f>
        <v>21.5017</v>
      </c>
      <c r="O23" t="str">
        <f>IFERROR([1]!fa_apturndays($A23,TEXT($B$1,"yyyy/mm/dd")),"")</f>
        <v>Fetch...</v>
      </c>
      <c r="P23">
        <f>IFERROR([1]!s_fa_invturndays($A23,TEXT($B$1,"yyyy/mm/dd")),"")</f>
        <v>69.085999999999999</v>
      </c>
    </row>
    <row r="24" spans="1:16">
      <c r="A24" t="s">
        <v>37</v>
      </c>
      <c r="B24">
        <f>IFERROR([1]!s_stm07_is($A24,"W70156729",TEXT($B$1,"yyyy/mm/dd"),1),"")</f>
        <v>24908894154.619999</v>
      </c>
      <c r="C24">
        <f>IFERROR([1]!s_stm07_is($A24,"W75682424",TEXT($B$1,"yyyy/mm/dd"),1),"")</f>
        <v>22866688914.709999</v>
      </c>
      <c r="D24">
        <f>IFERROR([1]!s_stm07_is($A24,"W76031679",TEXT($B$1,"yyyy/mm/dd"),1),"")</f>
        <v>537103183.04999995</v>
      </c>
      <c r="E24">
        <f>IFERROR([1]!s_stm07_is($A24,"W70752487",TEXT($B$1,"yyyy/mm/dd"),1),"")</f>
        <v>336410360.30000001</v>
      </c>
      <c r="F24">
        <f>IFERROR([1]!s_stm07_is_103($A24,TEXT($B$1,"yyyy/mm/dd"),1),"")</f>
        <v>115642389.25</v>
      </c>
      <c r="G24">
        <f>IFERROR([1]!s_stm07_is_104($A24,TEXT($B$1,"yyyy/mm/dd"),1),"")</f>
        <v>212601721.06</v>
      </c>
      <c r="H24">
        <f>IFERROR([1]!s_stm07_is_105($A24,TEXT($B$1,"yyyy/mm/dd"),1),"")</f>
        <v>26953333.170000002</v>
      </c>
      <c r="I24">
        <f>IFERROR([1]!s_stm07_is($A24,"W72946623",TEXT($B$1,"yyyy/mm/dd"),1),"")</f>
        <v>707626606.08000004</v>
      </c>
      <c r="J24">
        <f>IFERROR([1]!s_stm07_is($A24,"W30028333",TEXT($B$1,"yyyy/mm/dd"),1),"")</f>
        <v>462938895.43000001</v>
      </c>
      <c r="K24">
        <f>IFERROR([1]!s_stm07_cs($A24,"W77130581",TEXT($B$1,"yyyy/mm/dd"),1),"")</f>
        <v>-990401922.15999997</v>
      </c>
      <c r="L24">
        <f>IFERROR([1]!s_stm07_cs($A24,"W77745895",TEXT($B$1,"yyyy/mm/dd"),1),"")</f>
        <v>149299614.38</v>
      </c>
      <c r="M24">
        <f>IFERROR([1]!S_FA_EPS_basic2($A24,$B$1,"Cur=CNY"),"")</f>
        <v>0.44259999999999999</v>
      </c>
      <c r="N24">
        <f>IFERROR([1]!s_fa_arturndays($A24,TEXT($B$1,"yyyy/mm/dd")),"")</f>
        <v>91.885999999999996</v>
      </c>
      <c r="O24" t="str">
        <f>IFERROR([1]!fa_apturndays($A24,TEXT($B$1,"yyyy/mm/dd")),"")</f>
        <v>Fetch...</v>
      </c>
      <c r="P24">
        <f>IFERROR([1]!s_fa_invturndays($A24,TEXT($B$1,"yyyy/mm/dd")),"")</f>
        <v>46.750799999999998</v>
      </c>
    </row>
    <row r="25" spans="1:16">
      <c r="A25" t="s">
        <v>38</v>
      </c>
      <c r="B25">
        <f>IFERROR([1]!s_stm07_is($A25,"W70156729",TEXT($B$1,"yyyy/mm/dd"),1),"")</f>
        <v>133895460000</v>
      </c>
      <c r="C25">
        <f>IFERROR([1]!s_stm07_is($A25,"W75682424",TEXT($B$1,"yyyy/mm/dd"),1),"")</f>
        <v>93391318000</v>
      </c>
      <c r="D25">
        <f>IFERROR([1]!s_stm07_is($A25,"W76031679",TEXT($B$1,"yyyy/mm/dd"),1),"")</f>
        <v>9223495000</v>
      </c>
      <c r="E25">
        <f>IFERROR([1]!s_stm07_is($A25,"W70752487",TEXT($B$1,"yyyy/mm/dd"),1),"")</f>
        <v>4219760000</v>
      </c>
      <c r="F25">
        <f>IFERROR([1]!s_stm07_is_103($A25,TEXT($B$1,"yyyy/mm/dd"),1),"")</f>
        <v>22754978000</v>
      </c>
      <c r="G25">
        <f>IFERROR([1]!s_stm07_is_104($A25,TEXT($B$1,"yyyy/mm/dd"),1),"")</f>
        <v>3744052000</v>
      </c>
      <c r="H25">
        <f>IFERROR([1]!s_stm07_is_105($A25,TEXT($B$1,"yyyy/mm/dd"),1),"")</f>
        <v>4346036000</v>
      </c>
      <c r="I25">
        <f>IFERROR([1]!s_stm07_is($A25,"W72946623",TEXT($B$1,"yyyy/mm/dd"),1),"")</f>
        <v>6302867000</v>
      </c>
      <c r="J25">
        <f>IFERROR([1]!s_stm07_is($A25,"W30028333",TEXT($B$1,"yyyy/mm/dd"),1),"")</f>
        <v>5617745000</v>
      </c>
      <c r="K25">
        <f>IFERROR([1]!s_stm07_cs($A25,"W77130581",TEXT($B$1,"yyyy/mm/dd"),1),"")</f>
        <v>3918746000</v>
      </c>
      <c r="L25">
        <f>IFERROR([1]!s_stm07_cs($A25,"W77745895",TEXT($B$1,"yyyy/mm/dd"),1),"")</f>
        <v>3892988000</v>
      </c>
      <c r="M25">
        <f>IFERROR([1]!S_FA_EPS_basic2($A25,$B$1,"Cur=CNY"),"")</f>
        <v>1.17</v>
      </c>
      <c r="N25">
        <f>IFERROR([1]!s_fa_arturndays($A25,TEXT($B$1,"yyyy/mm/dd")),"")</f>
        <v>57.750599999999999</v>
      </c>
      <c r="O25" t="str">
        <f>IFERROR([1]!fa_apturndays($A25,TEXT($B$1,"yyyy/mm/dd")),"")</f>
        <v>Fetch...</v>
      </c>
      <c r="P25">
        <f>IFERROR([1]!s_fa_invturndays($A25,TEXT($B$1,"yyyy/mm/dd")),"")</f>
        <v>191.05240000000001</v>
      </c>
    </row>
    <row r="26" spans="1:16">
      <c r="A26" t="s">
        <v>39</v>
      </c>
      <c r="B26">
        <f>IFERROR([1]!s_stm07_is($A26,"W70156729",TEXT($B$1,"yyyy/mm/dd"),1),"")</f>
        <v>13553927839.780001</v>
      </c>
      <c r="C26">
        <f>IFERROR([1]!s_stm07_is($A26,"W75682424",TEXT($B$1,"yyyy/mm/dd"),1),"")</f>
        <v>11618417727.67</v>
      </c>
      <c r="D26">
        <f>IFERROR([1]!s_stm07_is($A26,"W76031679",TEXT($B$1,"yyyy/mm/dd"),1),"")</f>
        <v>468528662</v>
      </c>
      <c r="E26">
        <f>IFERROR([1]!s_stm07_is($A26,"W70752487",TEXT($B$1,"yyyy/mm/dd"),1),"")</f>
        <v>388221714.92000002</v>
      </c>
      <c r="F26">
        <f>IFERROR([1]!s_stm07_is_103($A26,TEXT($B$1,"yyyy/mm/dd"),1),"")</f>
        <v>72600313.120000005</v>
      </c>
      <c r="G26">
        <f>IFERROR([1]!s_stm07_is_104($A26,TEXT($B$1,"yyyy/mm/dd"),1),"")</f>
        <v>173817741.43000001</v>
      </c>
      <c r="H26">
        <f>IFERROR([1]!s_stm07_is_105($A26,TEXT($B$1,"yyyy/mm/dd"),1),"")</f>
        <v>253248503.58000001</v>
      </c>
      <c r="I26">
        <f>IFERROR([1]!s_stm07_is($A26,"W72946623",TEXT($B$1,"yyyy/mm/dd"),1),"")</f>
        <v>932978843.92999995</v>
      </c>
      <c r="J26">
        <f>IFERROR([1]!s_stm07_is($A26,"W30028333",TEXT($B$1,"yyyy/mm/dd"),1),"")</f>
        <v>723310917.63</v>
      </c>
      <c r="K26">
        <f>IFERROR([1]!s_stm07_cs($A26,"W77130581",TEXT($B$1,"yyyy/mm/dd"),1),"")</f>
        <v>1048812790.9400001</v>
      </c>
      <c r="L26">
        <f>IFERROR([1]!s_stm07_cs($A26,"W77745895",TEXT($B$1,"yyyy/mm/dd"),1),"")</f>
        <v>498615376.26999998</v>
      </c>
      <c r="M26">
        <f>IFERROR([1]!S_FA_EPS_basic2($A26,$B$1,"Cur=CNY"),"")</f>
        <v>0.68</v>
      </c>
      <c r="N26">
        <f>IFERROR([1]!s_fa_arturndays($A26,TEXT($B$1,"yyyy/mm/dd")),"")</f>
        <v>105.98520000000001</v>
      </c>
      <c r="O26" t="str">
        <f>IFERROR([1]!fa_apturndays($A26,TEXT($B$1,"yyyy/mm/dd")),"")</f>
        <v>Fetch...</v>
      </c>
      <c r="P26">
        <f>IFERROR([1]!s_fa_invturndays($A26,TEXT($B$1,"yyyy/mm/dd")),"")</f>
        <v>61.941899999999997</v>
      </c>
    </row>
    <row r="27" spans="1:16">
      <c r="A27" t="s">
        <v>40</v>
      </c>
      <c r="B27">
        <f>IFERROR([1]!s_stm07_is($A27,"W70156729",TEXT($B$1,"yyyy/mm/dd"),1),"")</f>
        <v>858334827.14999998</v>
      </c>
      <c r="C27">
        <f>IFERROR([1]!s_stm07_is($A27,"W75682424",TEXT($B$1,"yyyy/mm/dd"),1),"")</f>
        <v>592944936.78999996</v>
      </c>
      <c r="D27">
        <f>IFERROR([1]!s_stm07_is($A27,"W76031679",TEXT($B$1,"yyyy/mm/dd"),1),"")</f>
        <v>9220400</v>
      </c>
      <c r="E27">
        <f>IFERROR([1]!s_stm07_is($A27,"W70752487",TEXT($B$1,"yyyy/mm/dd"),1),"")</f>
        <v>125990056.34</v>
      </c>
      <c r="F27">
        <f>IFERROR([1]!s_stm07_is_103($A27,TEXT($B$1,"yyyy/mm/dd"),1),"")</f>
        <v>5232495.57</v>
      </c>
      <c r="G27">
        <f>IFERROR([1]!s_stm07_is_104($A27,TEXT($B$1,"yyyy/mm/dd"),1),"")</f>
        <v>64556406.159999996</v>
      </c>
      <c r="H27">
        <f>IFERROR([1]!s_stm07_is_105($A27,TEXT($B$1,"yyyy/mm/dd"),1),"")</f>
        <v>84873383.230000004</v>
      </c>
      <c r="I27">
        <f>IFERROR([1]!s_stm07_is($A27,"W72946623",TEXT($B$1,"yyyy/mm/dd"),1),"")</f>
        <v>1550455935.49</v>
      </c>
      <c r="J27">
        <f>IFERROR([1]!s_stm07_is($A27,"W30028333",TEXT($B$1,"yyyy/mm/dd"),1),"")</f>
        <v>1447533202.29</v>
      </c>
      <c r="K27">
        <f>IFERROR([1]!s_stm07_cs($A27,"W77130581",TEXT($B$1,"yyyy/mm/dd"),1),"")</f>
        <v>404494208.44999999</v>
      </c>
      <c r="L27">
        <f>IFERROR([1]!s_stm07_cs($A27,"W77745895",TEXT($B$1,"yyyy/mm/dd"),1),"")</f>
        <v>779331014.79999995</v>
      </c>
      <c r="M27">
        <f>IFERROR([1]!S_FA_EPS_basic2($A27,$B$1,"Cur=CNY"),"")</f>
        <v>0.28000000000000003</v>
      </c>
      <c r="N27">
        <f>IFERROR([1]!s_fa_arturndays($A27,TEXT($B$1,"yyyy/mm/dd")),"")</f>
        <v>37.578299999999999</v>
      </c>
      <c r="O27" t="str">
        <f>IFERROR([1]!fa_apturndays($A27,TEXT($B$1,"yyyy/mm/dd")),"")</f>
        <v>Fetch...</v>
      </c>
      <c r="P27">
        <f>IFERROR([1]!s_fa_invturndays($A27,TEXT($B$1,"yyyy/mm/dd")),"")</f>
        <v>12.2087</v>
      </c>
    </row>
    <row r="28" spans="1:16">
      <c r="A28" t="s">
        <v>41</v>
      </c>
      <c r="B28">
        <f>IFERROR([1]!s_stm07_is($A28,"W70156729",TEXT($B$1,"yyyy/mm/dd"),1),"")</f>
        <v>5128350945.5200005</v>
      </c>
      <c r="C28">
        <f>IFERROR([1]!s_stm07_is($A28,"W75682424",TEXT($B$1,"yyyy/mm/dd"),1),"")</f>
        <v>4037350573.9699998</v>
      </c>
      <c r="D28">
        <f>IFERROR([1]!s_stm07_is($A28,"W76031679",TEXT($B$1,"yyyy/mm/dd"),1),"")</f>
        <v>10298335.66</v>
      </c>
      <c r="E28">
        <f>IFERROR([1]!s_stm07_is($A28,"W70752487",TEXT($B$1,"yyyy/mm/dd"),1),"")</f>
        <v>146166146.88</v>
      </c>
      <c r="F28">
        <f>IFERROR([1]!s_stm07_is_103($A28,TEXT($B$1,"yyyy/mm/dd"),1),"")</f>
        <v>0</v>
      </c>
      <c r="G28">
        <f>IFERROR([1]!s_stm07_is_104($A28,TEXT($B$1,"yyyy/mm/dd"),1),"")</f>
        <v>353066659.91000003</v>
      </c>
      <c r="H28">
        <f>IFERROR([1]!s_stm07_is_105($A28,TEXT($B$1,"yyyy/mm/dd"),1),"")</f>
        <v>26171850.899999999</v>
      </c>
      <c r="I28">
        <f>IFERROR([1]!s_stm07_is($A28,"W72946623",TEXT($B$1,"yyyy/mm/dd"),1),"")</f>
        <v>667859724.04999995</v>
      </c>
      <c r="J28">
        <f>IFERROR([1]!s_stm07_is($A28,"W30028333",TEXT($B$1,"yyyy/mm/dd"),1),"")</f>
        <v>525205361.13</v>
      </c>
      <c r="K28">
        <f>IFERROR([1]!s_stm07_cs($A28,"W77130581",TEXT($B$1,"yyyy/mm/dd"),1),"")</f>
        <v>1836036908.23</v>
      </c>
      <c r="L28">
        <f>IFERROR([1]!s_stm07_cs($A28,"W77745895",TEXT($B$1,"yyyy/mm/dd"),1),"")</f>
        <v>481538184.30000001</v>
      </c>
      <c r="M28">
        <f>IFERROR([1]!S_FA_EPS_basic2($A28,$B$1,"Cur=CNY"),"")</f>
        <v>0.25609999999999999</v>
      </c>
      <c r="N28">
        <f>IFERROR([1]!s_fa_arturndays($A28,TEXT($B$1,"yyyy/mm/dd")),"")</f>
        <v>61.070799999999998</v>
      </c>
      <c r="O28" t="str">
        <f>IFERROR([1]!fa_apturndays($A28,TEXT($B$1,"yyyy/mm/dd")),"")</f>
        <v>Fetch...</v>
      </c>
      <c r="P28">
        <f>IFERROR([1]!s_fa_invturndays($A28,TEXT($B$1,"yyyy/mm/dd")),"")</f>
        <v>0.77949999999999997</v>
      </c>
    </row>
    <row r="29" spans="1:16">
      <c r="A29" t="s">
        <v>42</v>
      </c>
      <c r="B29">
        <f>IFERROR([1]!s_stm07_is($A29,"W70156729",TEXT($B$1,"yyyy/mm/dd"),1),"")</f>
        <v>2235378155.3200002</v>
      </c>
      <c r="C29">
        <f>IFERROR([1]!s_stm07_is($A29,"W75682424",TEXT($B$1,"yyyy/mm/dd"),1),"")</f>
        <v>1703857862.76</v>
      </c>
      <c r="D29">
        <f>IFERROR([1]!s_stm07_is($A29,"W76031679",TEXT($B$1,"yyyy/mm/dd"),1),"")</f>
        <v>7348428.3600000003</v>
      </c>
      <c r="E29">
        <f>IFERROR([1]!s_stm07_is($A29,"W70752487",TEXT($B$1,"yyyy/mm/dd"),1),"")</f>
        <v>99934154.840000004</v>
      </c>
      <c r="F29">
        <f>IFERROR([1]!s_stm07_is_103($A29,TEXT($B$1,"yyyy/mm/dd"),1),"")</f>
        <v>4349217.6100000003</v>
      </c>
      <c r="G29">
        <f>IFERROR([1]!s_stm07_is_104($A29,TEXT($B$1,"yyyy/mm/dd"),1),"")</f>
        <v>43786007.920000002</v>
      </c>
      <c r="H29">
        <f>IFERROR([1]!s_stm07_is_105($A29,TEXT($B$1,"yyyy/mm/dd"),1),"")</f>
        <v>25116294.449999999</v>
      </c>
      <c r="I29">
        <f>IFERROR([1]!s_stm07_is($A29,"W72946623",TEXT($B$1,"yyyy/mm/dd"),1),"")</f>
        <v>408825543.19999999</v>
      </c>
      <c r="J29">
        <f>IFERROR([1]!s_stm07_is($A29,"W30028333",TEXT($B$1,"yyyy/mm/dd"),1),"")</f>
        <v>308669167.81</v>
      </c>
      <c r="K29">
        <f>IFERROR([1]!s_stm07_cs($A29,"W77130581",TEXT($B$1,"yyyy/mm/dd"),1),"")</f>
        <v>988071142.74000001</v>
      </c>
      <c r="L29">
        <f>IFERROR([1]!s_stm07_cs($A29,"W77745895",TEXT($B$1,"yyyy/mm/dd"),1),"")</f>
        <v>231549677.81999999</v>
      </c>
      <c r="M29">
        <f>IFERROR([1]!S_FA_EPS_basic2($A29,$B$1,"Cur=CNY"),"")</f>
        <v>0.4</v>
      </c>
      <c r="N29">
        <f>IFERROR([1]!s_fa_arturndays($A29,TEXT($B$1,"yyyy/mm/dd")),"")</f>
        <v>171.19220000000001</v>
      </c>
      <c r="O29" t="str">
        <f>IFERROR([1]!fa_apturndays($A29,TEXT($B$1,"yyyy/mm/dd")),"")</f>
        <v>Fetch...</v>
      </c>
      <c r="P29">
        <f>IFERROR([1]!s_fa_invturndays($A29,TEXT($B$1,"yyyy/mm/dd")),"")</f>
        <v>75.025000000000006</v>
      </c>
    </row>
    <row r="30" spans="1:16">
      <c r="A30" t="s">
        <v>43</v>
      </c>
      <c r="B30">
        <f>IFERROR([1]!s_stm07_is($A30,"W70156729",TEXT($B$1,"yyyy/mm/dd"),1),"")</f>
        <v>184210915000</v>
      </c>
      <c r="C30">
        <f>IFERROR([1]!s_stm07_is($A30,"W75682424",TEXT($B$1,"yyyy/mm/dd"),1),"")</f>
        <v>159857487000</v>
      </c>
      <c r="D30">
        <f>IFERROR([1]!s_stm07_is($A30,"W76031679",TEXT($B$1,"yyyy/mm/dd"),1),"")</f>
        <v>2403614000</v>
      </c>
      <c r="E30">
        <f>IFERROR([1]!s_stm07_is($A30,"W70752487",TEXT($B$1,"yyyy/mm/dd"),1),"")</f>
        <v>4601265000</v>
      </c>
      <c r="F30">
        <f>IFERROR([1]!s_stm07_is_103($A30,TEXT($B$1,"yyyy/mm/dd"),1),"")</f>
        <v>11144742000</v>
      </c>
      <c r="G30">
        <f>IFERROR([1]!s_stm07_is_104($A30,TEXT($B$1,"yyyy/mm/dd"),1),"")</f>
        <v>4952205000</v>
      </c>
      <c r="H30">
        <f>IFERROR([1]!s_stm07_is_105($A30,TEXT($B$1,"yyyy/mm/dd"),1),"")</f>
        <v>626161000</v>
      </c>
      <c r="I30">
        <f>IFERROR([1]!s_stm07_is($A30,"W72946623",TEXT($B$1,"yyyy/mm/dd"),1),"")</f>
        <v>434645000</v>
      </c>
      <c r="J30">
        <f>IFERROR([1]!s_stm07_is($A30,"W30028333",TEXT($B$1,"yyyy/mm/dd"),1),"")</f>
        <v>4516782000</v>
      </c>
      <c r="K30">
        <f>IFERROR([1]!s_stm07_cs($A30,"W77130581",TEXT($B$1,"yyyy/mm/dd"),1),"")</f>
        <v>44021698000</v>
      </c>
      <c r="L30">
        <f>IFERROR([1]!s_stm07_cs($A30,"W77745895",TEXT($B$1,"yyyy/mm/dd"),1),"")</f>
        <v>16278407000</v>
      </c>
      <c r="M30">
        <f>IFERROR([1]!S_FA_EPS_basic2($A30,$B$1,"Cur=CNY"),"")</f>
        <v>0.23330000000000001</v>
      </c>
      <c r="N30">
        <f>IFERROR([1]!s_fa_arturndays($A30,TEXT($B$1,"yyyy/mm/dd")),"")</f>
        <v>43.415300000000002</v>
      </c>
      <c r="O30" t="str">
        <f>IFERROR([1]!fa_apturndays($A30,TEXT($B$1,"yyyy/mm/dd")),"")</f>
        <v>Fetch...</v>
      </c>
      <c r="P30">
        <f>IFERROR([1]!s_fa_invturndays($A30,TEXT($B$1,"yyyy/mm/dd")),"")</f>
        <v>41.375500000000002</v>
      </c>
    </row>
    <row r="31" spans="1:16">
      <c r="A31" t="s">
        <v>44</v>
      </c>
      <c r="B31">
        <f>IFERROR([1]!s_stm07_is($A31,"W70156729",TEXT($B$1,"yyyy/mm/dd"),1),"")</f>
        <v>3599590490.3400002</v>
      </c>
      <c r="C31">
        <f>IFERROR([1]!s_stm07_is($A31,"W75682424",TEXT($B$1,"yyyy/mm/dd"),1),"")</f>
        <v>2104479117.5699999</v>
      </c>
      <c r="D31">
        <f>IFERROR([1]!s_stm07_is($A31,"W76031679",TEXT($B$1,"yyyy/mm/dd"),1),"")</f>
        <v>6096992.5700000003</v>
      </c>
      <c r="E31">
        <f>IFERROR([1]!s_stm07_is($A31,"W70752487",TEXT($B$1,"yyyy/mm/dd"),1),"")</f>
        <v>325092079.56</v>
      </c>
      <c r="F31">
        <f>IFERROR([1]!s_stm07_is_103($A31,TEXT($B$1,"yyyy/mm/dd"),1),"")</f>
        <v>29516939.510000002</v>
      </c>
      <c r="G31">
        <f>IFERROR([1]!s_stm07_is_104($A31,TEXT($B$1,"yyyy/mm/dd"),1),"")</f>
        <v>277132243.73000002</v>
      </c>
      <c r="H31">
        <f>IFERROR([1]!s_stm07_is_105($A31,TEXT($B$1,"yyyy/mm/dd"),1),"")</f>
        <v>69450793.709999993</v>
      </c>
      <c r="I31">
        <f>IFERROR([1]!s_stm07_is($A31,"W72946623",TEXT($B$1,"yyyy/mm/dd"),1),"")</f>
        <v>814885848.14999998</v>
      </c>
      <c r="J31">
        <f>IFERROR([1]!s_stm07_is($A31,"W30028333",TEXT($B$1,"yyyy/mm/dd"),1),"")</f>
        <v>502494436.56</v>
      </c>
      <c r="K31">
        <f>IFERROR([1]!s_stm07_cs($A31,"W77130581",TEXT($B$1,"yyyy/mm/dd"),1),"")</f>
        <v>2302707543.8699999</v>
      </c>
      <c r="L31">
        <f>IFERROR([1]!s_stm07_cs($A31,"W77745895",TEXT($B$1,"yyyy/mm/dd"),1),"")</f>
        <v>2321922709.9899998</v>
      </c>
      <c r="M31">
        <f>IFERROR([1]!S_FA_EPS_basic2($A31,$B$1,"Cur=CNY"),"")</f>
        <v>0.27</v>
      </c>
      <c r="N31">
        <f>IFERROR([1]!s_fa_arturndays($A31,TEXT($B$1,"yyyy/mm/dd")),"")</f>
        <v>220.5882</v>
      </c>
      <c r="O31" t="str">
        <f>IFERROR([1]!fa_apturndays($A31,TEXT($B$1,"yyyy/mm/dd")),"")</f>
        <v>Fetch...</v>
      </c>
      <c r="P31">
        <f>IFERROR([1]!s_fa_invturndays($A31,TEXT($B$1,"yyyy/mm/dd")),"")</f>
        <v>37.555199999999999</v>
      </c>
    </row>
    <row r="32" spans="1:16">
      <c r="A32" t="s">
        <v>45</v>
      </c>
      <c r="B32">
        <f>IFERROR([1]!s_stm07_is($A32,"W70156729",TEXT($B$1,"yyyy/mm/dd"),1),"")</f>
        <v>9178132953.6599998</v>
      </c>
      <c r="C32">
        <f>IFERROR([1]!s_stm07_is($A32,"W75682424",TEXT($B$1,"yyyy/mm/dd"),1),"")</f>
        <v>6470038985.3400002</v>
      </c>
      <c r="D32">
        <f>IFERROR([1]!s_stm07_is($A32,"W76031679",TEXT($B$1,"yyyy/mm/dd"),1),"")</f>
        <v>990429609</v>
      </c>
      <c r="E32">
        <f>IFERROR([1]!s_stm07_is($A32,"W70752487",TEXT($B$1,"yyyy/mm/dd"),1),"")</f>
        <v>873573057.70000005</v>
      </c>
      <c r="F32">
        <f>IFERROR([1]!s_stm07_is_103($A32,TEXT($B$1,"yyyy/mm/dd"),1),"")</f>
        <v>595782957.28999996</v>
      </c>
      <c r="G32">
        <f>IFERROR([1]!s_stm07_is_104($A32,TEXT($B$1,"yyyy/mm/dd"),1),"")</f>
        <v>53939133.18</v>
      </c>
      <c r="H32">
        <f>IFERROR([1]!s_stm07_is_105($A32,TEXT($B$1,"yyyy/mm/dd"),1),"")</f>
        <v>195743302.99000001</v>
      </c>
      <c r="I32">
        <f>IFERROR([1]!s_stm07_is($A32,"W72946623",TEXT($B$1,"yyyy/mm/dd"),1),"")</f>
        <v>480970455.22000003</v>
      </c>
      <c r="J32">
        <f>IFERROR([1]!s_stm07_is($A32,"W30028333",TEXT($B$1,"yyyy/mm/dd"),1),"")</f>
        <v>466444967.68000001</v>
      </c>
      <c r="K32">
        <f>IFERROR([1]!s_stm07_cs($A32,"W77130581",TEXT($B$1,"yyyy/mm/dd"),1),"")</f>
        <v>1859846961.49</v>
      </c>
      <c r="L32">
        <f>IFERROR([1]!s_stm07_cs($A32,"W77745895",TEXT($B$1,"yyyy/mm/dd"),1),"")</f>
        <v>976467130.41999996</v>
      </c>
      <c r="M32">
        <f>IFERROR([1]!S_FA_EPS_basic2($A32,$B$1,"Cur=CNY"),"")</f>
        <v>0.25</v>
      </c>
      <c r="N32">
        <f>IFERROR([1]!s_fa_arturndays($A32,TEXT($B$1,"yyyy/mm/dd")),"")</f>
        <v>76.491600000000005</v>
      </c>
      <c r="O32" t="str">
        <f>IFERROR([1]!fa_apturndays($A32,TEXT($B$1,"yyyy/mm/dd")),"")</f>
        <v>Fetch...</v>
      </c>
      <c r="P32">
        <f>IFERROR([1]!s_fa_invturndays($A32,TEXT($B$1,"yyyy/mm/dd")),"")</f>
        <v>154.6857</v>
      </c>
    </row>
    <row r="33" spans="1:16">
      <c r="A33" t="s">
        <v>46</v>
      </c>
      <c r="B33">
        <f>IFERROR([1]!s_stm07_is($A33,"W70156729",TEXT($B$1,"yyyy/mm/dd"),1),"")</f>
        <v>52107129173.910004</v>
      </c>
      <c r="C33">
        <f>IFERROR([1]!s_stm07_is($A33,"W75682424",TEXT($B$1,"yyyy/mm/dd"),1),"")</f>
        <v>37496807305.870003</v>
      </c>
      <c r="D33">
        <f>IFERROR([1]!s_stm07_is($A33,"W76031679",TEXT($B$1,"yyyy/mm/dd"),1),"")</f>
        <v>4537038454.3100004</v>
      </c>
      <c r="E33">
        <f>IFERROR([1]!s_stm07_is($A33,"W70752487",TEXT($B$1,"yyyy/mm/dd"),1),"")</f>
        <v>2057356401.3499999</v>
      </c>
      <c r="F33">
        <f>IFERROR([1]!s_stm07_is_103($A33,TEXT($B$1,"yyyy/mm/dd"),1),"")</f>
        <v>2894822441.8099999</v>
      </c>
      <c r="G33">
        <f>IFERROR([1]!s_stm07_is_104($A33,TEXT($B$1,"yyyy/mm/dd"),1),"")</f>
        <v>596313998.59000003</v>
      </c>
      <c r="H33">
        <f>IFERROR([1]!s_stm07_is_105($A33,TEXT($B$1,"yyyy/mm/dd"),1),"")</f>
        <v>469679124.94999999</v>
      </c>
      <c r="I33">
        <f>IFERROR([1]!s_stm07_is($A33,"W72946623",TEXT($B$1,"yyyy/mm/dd"),1),"")</f>
        <v>5873585455.9399996</v>
      </c>
      <c r="J33">
        <f>IFERROR([1]!s_stm07_is($A33,"W30028333",TEXT($B$1,"yyyy/mm/dd"),1),"")</f>
        <v>4858487017.8000002</v>
      </c>
      <c r="K33">
        <f>IFERROR([1]!s_stm07_cs($A33,"W77130581",TEXT($B$1,"yyyy/mm/dd"),1),"")</f>
        <v>4873901652.9300003</v>
      </c>
      <c r="L33">
        <f>IFERROR([1]!s_stm07_cs($A33,"W77745895",TEXT($B$1,"yyyy/mm/dd"),1),"")</f>
        <v>4654893365.8199997</v>
      </c>
      <c r="M33">
        <f>IFERROR([1]!S_FA_EPS_basic2($A33,$B$1,"Cur=CNY"),"")</f>
        <v>0.56000000000000005</v>
      </c>
      <c r="N33">
        <f>IFERROR([1]!s_fa_arturndays($A33,TEXT($B$1,"yyyy/mm/dd")),"")</f>
        <v>204.0932</v>
      </c>
      <c r="O33" t="str">
        <f>IFERROR([1]!fa_apturndays($A33,TEXT($B$1,"yyyy/mm/dd")),"")</f>
        <v>Fetch...</v>
      </c>
      <c r="P33">
        <f>IFERROR([1]!s_fa_invturndays($A33,TEXT($B$1,"yyyy/mm/dd")),"")</f>
        <v>206.83709999999999</v>
      </c>
    </row>
    <row r="34" spans="1:16">
      <c r="A34" t="s">
        <v>47</v>
      </c>
      <c r="B34">
        <f>IFERROR([1]!s_stm07_is($A34,"W70156729",TEXT($B$1,"yyyy/mm/dd"),1),"")</f>
        <v>24256073184.060001</v>
      </c>
      <c r="C34">
        <f>IFERROR([1]!s_stm07_is($A34,"W75682424",TEXT($B$1,"yyyy/mm/dd"),1),"")</f>
        <v>0</v>
      </c>
      <c r="D34">
        <f>IFERROR([1]!s_stm07_is($A34,"W76031679",TEXT($B$1,"yyyy/mm/dd"),1),"")</f>
        <v>0</v>
      </c>
      <c r="E34">
        <f>IFERROR([1]!s_stm07_is($A34,"W70752487",TEXT($B$1,"yyyy/mm/dd"),1),"")</f>
        <v>10661664369.389999</v>
      </c>
      <c r="F34">
        <f>IFERROR([1]!s_stm07_is_103($A34,TEXT($B$1,"yyyy/mm/dd"),1),"")</f>
        <v>0</v>
      </c>
      <c r="G34">
        <f>IFERROR([1]!s_stm07_is_104($A34,TEXT($B$1,"yyyy/mm/dd"),1),"")</f>
        <v>0</v>
      </c>
      <c r="H34">
        <f>IFERROR([1]!s_stm07_is_105($A34,TEXT($B$1,"yyyy/mm/dd"),1),"")</f>
        <v>0</v>
      </c>
      <c r="I34">
        <f>IFERROR([1]!s_stm07_is($A34,"W72946623",TEXT($B$1,"yyyy/mm/dd"),1),"")</f>
        <v>13021106583.49</v>
      </c>
      <c r="J34">
        <f>IFERROR([1]!s_stm07_is($A34,"W30028333",TEXT($B$1,"yyyy/mm/dd"),1),"")</f>
        <v>9507226300.4200001</v>
      </c>
      <c r="K34">
        <f>IFERROR([1]!s_stm07_cs($A34,"W77130581",TEXT($B$1,"yyyy/mm/dd"),1),"")</f>
        <v>1523845538.8</v>
      </c>
      <c r="L34">
        <f>IFERROR([1]!s_stm07_cs($A34,"W77745895",TEXT($B$1,"yyyy/mm/dd"),1),"")</f>
        <v>417841197.32999998</v>
      </c>
      <c r="M34">
        <f>IFERROR([1]!S_FA_EPS_basic2($A34,$B$1,"Cur=CNY"),"")</f>
        <v>0.38</v>
      </c>
      <c r="N34">
        <f>IFERROR([1]!s_fa_arturndays($A34,TEXT($B$1,"yyyy/mm/dd")),"")</f>
        <v>0</v>
      </c>
      <c r="O34" t="str">
        <f>IFERROR([1]!fa_apturndays($A34,TEXT($B$1,"yyyy/mm/dd")),"")</f>
        <v>Fetch...</v>
      </c>
      <c r="P34">
        <f>IFERROR([1]!s_fa_invturndays($A34,TEXT($B$1,"yyyy/mm/dd")),"")</f>
        <v>0</v>
      </c>
    </row>
    <row r="35" spans="1:16">
      <c r="A35" t="s">
        <v>48</v>
      </c>
      <c r="B35">
        <f>IFERROR([1]!s_stm07_is($A35,"W70156729",TEXT($B$1,"yyyy/mm/dd"),1),"")</f>
        <v>125587320327.07001</v>
      </c>
      <c r="C35">
        <f>IFERROR([1]!s_stm07_is($A35,"W75682424",TEXT($B$1,"yyyy/mm/dd"),1),"")</f>
        <v>112064001076.77</v>
      </c>
      <c r="D35">
        <f>IFERROR([1]!s_stm07_is($A35,"W76031679",TEXT($B$1,"yyyy/mm/dd"),1),"")</f>
        <v>317926218.98000002</v>
      </c>
      <c r="E35">
        <f>IFERROR([1]!s_stm07_is($A35,"W70752487",TEXT($B$1,"yyyy/mm/dd"),1),"")</f>
        <v>1028992464.5599999</v>
      </c>
      <c r="F35">
        <f>IFERROR([1]!s_stm07_is_103($A35,TEXT($B$1,"yyyy/mm/dd"),1),"")</f>
        <v>969268392.97000003</v>
      </c>
      <c r="G35">
        <f>IFERROR([1]!s_stm07_is_104($A35,TEXT($B$1,"yyyy/mm/dd"),1),"")</f>
        <v>4621677028.5</v>
      </c>
      <c r="H35">
        <f>IFERROR([1]!s_stm07_is_105($A35,TEXT($B$1,"yyyy/mm/dd"),1),"")</f>
        <v>161356200.49000001</v>
      </c>
      <c r="I35">
        <f>IFERROR([1]!s_stm07_is($A35,"W72946623",TEXT($B$1,"yyyy/mm/dd"),1),"")</f>
        <v>-252976121.77000001</v>
      </c>
      <c r="J35">
        <f>IFERROR([1]!s_stm07_is($A35,"W30028333",TEXT($B$1,"yyyy/mm/dd"),1),"")</f>
        <v>133746317.81</v>
      </c>
      <c r="K35">
        <f>IFERROR([1]!s_stm07_cs($A35,"W77130581",TEXT($B$1,"yyyy/mm/dd"),1),"")</f>
        <v>16052986507.389999</v>
      </c>
      <c r="L35">
        <f>IFERROR([1]!s_stm07_cs($A35,"W77745895",TEXT($B$1,"yyyy/mm/dd"),1),"")</f>
        <v>8659944194.8899994</v>
      </c>
      <c r="M35">
        <f>IFERROR([1]!S_FA_EPS_basic2($A35,$B$1,"Cur=CNY"),"")</f>
        <v>0.02</v>
      </c>
      <c r="N35">
        <f>IFERROR([1]!s_fa_arturndays($A35,TEXT($B$1,"yyyy/mm/dd")),"")</f>
        <v>7.6242999999999999</v>
      </c>
      <c r="O35" t="str">
        <f>IFERROR([1]!fa_apturndays($A35,TEXT($B$1,"yyyy/mm/dd")),"")</f>
        <v>Fetch...</v>
      </c>
      <c r="P35">
        <f>IFERROR([1]!s_fa_invturndays($A35,TEXT($B$1,"yyyy/mm/dd")),"")</f>
        <v>54.4679</v>
      </c>
    </row>
    <row r="36" spans="1:16">
      <c r="A36" t="s">
        <v>49</v>
      </c>
      <c r="B36">
        <f>IFERROR([1]!s_stm07_is($A36,"W70156729",TEXT($B$1,"yyyy/mm/dd"),1),"")</f>
        <v>458502407000</v>
      </c>
      <c r="C36">
        <f>IFERROR([1]!s_stm07_is($A36,"W75682424",TEXT($B$1,"yyyy/mm/dd"),1),"")</f>
        <v>335989528000</v>
      </c>
      <c r="D36">
        <f>IFERROR([1]!s_stm07_is($A36,"W76031679",TEXT($B$1,"yyyy/mm/dd"),1),"")</f>
        <v>42891490000</v>
      </c>
      <c r="E36">
        <f>IFERROR([1]!s_stm07_is($A36,"W70752487",TEXT($B$1,"yyyy/mm/dd"),1),"")</f>
        <v>16092311000</v>
      </c>
      <c r="F36">
        <f>IFERROR([1]!s_stm07_is_103($A36,TEXT($B$1,"yyyy/mm/dd"),1),"")</f>
        <v>17787624000</v>
      </c>
      <c r="G36">
        <f>IFERROR([1]!s_stm07_is_104($A36,TEXT($B$1,"yyyy/mm/dd"),1),"")</f>
        <v>2211331000</v>
      </c>
      <c r="H36">
        <f>IFERROR([1]!s_stm07_is_105($A36,TEXT($B$1,"yyyy/mm/dd"),1),"")</f>
        <v>8444301000</v>
      </c>
      <c r="I36">
        <f>IFERROR([1]!s_stm07_is($A36,"W72946623",TEXT($B$1,"yyyy/mm/dd"),1),"")</f>
        <v>53085343000</v>
      </c>
      <c r="J36">
        <f>IFERROR([1]!s_stm07_is($A36,"W30028333",TEXT($B$1,"yyyy/mm/dd"),1),"")</f>
        <v>43945411000</v>
      </c>
      <c r="K36">
        <f>IFERROR([1]!s_stm07_cs($A36,"W77130581",TEXT($B$1,"yyyy/mm/dd"),1),"")</f>
        <v>53345930000</v>
      </c>
      <c r="L36">
        <f>IFERROR([1]!s_stm07_cs($A36,"W77745895",TEXT($B$1,"yyyy/mm/dd"),1),"")</f>
        <v>11141889000</v>
      </c>
      <c r="M36">
        <f>IFERROR([1]!S_FA_EPS_basic2($A36,$B$1,"Cur=CNY"),"")</f>
        <v>5.8</v>
      </c>
      <c r="N36">
        <f>IFERROR([1]!s_fa_arturndays($A36,TEXT($B$1,"yyyy/mm/dd")),"")</f>
        <v>30.0684</v>
      </c>
      <c r="O36" t="str">
        <f>IFERROR([1]!fa_apturndays($A36,TEXT($B$1,"yyyy/mm/dd")),"")</f>
        <v>Fetch...</v>
      </c>
      <c r="P36">
        <f>IFERROR([1]!s_fa_invturndays($A36,TEXT($B$1,"yyyy/mm/dd")),"")</f>
        <v>72.718500000000006</v>
      </c>
    </row>
    <row r="37" spans="1:16">
      <c r="A37" t="s">
        <v>50</v>
      </c>
      <c r="B37">
        <f>IFERROR([1]!s_stm07_is($A37,"W70156729",TEXT($B$1,"yyyy/mm/dd"),1),"")</f>
        <v>231809281106.82001</v>
      </c>
      <c r="C37">
        <f>IFERROR([1]!s_stm07_is($A37,"W75682424",TEXT($B$1,"yyyy/mm/dd"),1),"")</f>
        <v>182027337736.01999</v>
      </c>
      <c r="D37">
        <f>IFERROR([1]!s_stm07_is($A37,"W76031679",TEXT($B$1,"yyyy/mm/dd"),1),"")</f>
        <v>13621489980.860001</v>
      </c>
      <c r="E37">
        <f>IFERROR([1]!s_stm07_is($A37,"W70752487",TEXT($B$1,"yyyy/mm/dd"),1),"")</f>
        <v>12000796817.309999</v>
      </c>
      <c r="F37">
        <f>IFERROR([1]!s_stm07_is_103($A37,TEXT($B$1,"yyyy/mm/dd"),1),"")</f>
        <v>8284484022.3699999</v>
      </c>
      <c r="G37">
        <f>IFERROR([1]!s_stm07_is_104($A37,TEXT($B$1,"yyyy/mm/dd"),1),"")</f>
        <v>3628593475.52</v>
      </c>
      <c r="H37">
        <f>IFERROR([1]!s_stm07_is_105($A37,TEXT($B$1,"yyyy/mm/dd"),1),"")</f>
        <v>3560864589.6999998</v>
      </c>
      <c r="I37">
        <f>IFERROR([1]!s_stm07_is($A37,"W72946623",TEXT($B$1,"yyyy/mm/dd"),1),"")</f>
        <v>16213910290.01</v>
      </c>
      <c r="J37">
        <f>IFERROR([1]!s_stm07_is($A37,"W30028333",TEXT($B$1,"yyyy/mm/dd"),1),"")</f>
        <v>10930504451.02</v>
      </c>
      <c r="K37">
        <f>IFERROR([1]!s_stm07_cs($A37,"W77130581",TEXT($B$1,"yyyy/mm/dd"),1),"")</f>
        <v>28681522296.049999</v>
      </c>
      <c r="L37">
        <f>IFERROR([1]!s_stm07_cs($A37,"W77745895",TEXT($B$1,"yyyy/mm/dd"),1),"")</f>
        <v>6796720341.7299995</v>
      </c>
      <c r="M37">
        <f>IFERROR([1]!S_FA_EPS_basic2($A37,$B$1,"Cur=CNY"),"")</f>
        <v>1.27</v>
      </c>
      <c r="N37">
        <f>IFERROR([1]!s_fa_arturndays($A37,TEXT($B$1,"yyyy/mm/dd")),"")</f>
        <v>50.652900000000002</v>
      </c>
      <c r="O37" t="str">
        <f>IFERROR([1]!fa_apturndays($A37,TEXT($B$1,"yyyy/mm/dd")),"")</f>
        <v>Fetch...</v>
      </c>
      <c r="P37">
        <f>IFERROR([1]!s_fa_invturndays($A37,TEXT($B$1,"yyyy/mm/dd")),"")</f>
        <v>74.676400000000001</v>
      </c>
    </row>
    <row r="38" spans="1:16">
      <c r="A38" t="s">
        <v>51</v>
      </c>
      <c r="B38">
        <f>IFERROR([1]!s_stm07_is($A38,"W70156729",TEXT($B$1,"yyyy/mm/dd"),1),"")</f>
        <v>14991906066.24</v>
      </c>
      <c r="C38">
        <f>IFERROR([1]!s_stm07_is($A38,"W75682424",TEXT($B$1,"yyyy/mm/dd"),1),"")</f>
        <v>11490215378.17</v>
      </c>
      <c r="D38">
        <f>IFERROR([1]!s_stm07_is($A38,"W76031679",TEXT($B$1,"yyyy/mm/dd"),1),"")</f>
        <v>769522512.25999999</v>
      </c>
      <c r="E38">
        <f>IFERROR([1]!s_stm07_is($A38,"W70752487",TEXT($B$1,"yyyy/mm/dd"),1),"")</f>
        <v>604557483.42999995</v>
      </c>
      <c r="F38">
        <f>IFERROR([1]!s_stm07_is_103($A38,TEXT($B$1,"yyyy/mm/dd"),1),"")</f>
        <v>781179103.15999997</v>
      </c>
      <c r="G38">
        <f>IFERROR([1]!s_stm07_is_104($A38,TEXT($B$1,"yyyy/mm/dd"),1),"")</f>
        <v>11691851.390000001</v>
      </c>
      <c r="H38">
        <f>IFERROR([1]!s_stm07_is_105($A38,TEXT($B$1,"yyyy/mm/dd"),1),"")</f>
        <v>74958276.400000006</v>
      </c>
      <c r="I38">
        <f>IFERROR([1]!s_stm07_is($A38,"W72946623",TEXT($B$1,"yyyy/mm/dd"),1),"")</f>
        <v>1480392671.3699999</v>
      </c>
      <c r="J38">
        <f>IFERROR([1]!s_stm07_is($A38,"W30028333",TEXT($B$1,"yyyy/mm/dd"),1),"")</f>
        <v>1167210009.73</v>
      </c>
      <c r="K38">
        <f>IFERROR([1]!s_stm07_cs($A38,"W77130581",TEXT($B$1,"yyyy/mm/dd"),1),"")</f>
        <v>2670382574.9699998</v>
      </c>
      <c r="L38">
        <f>IFERROR([1]!s_stm07_cs($A38,"W77745895",TEXT($B$1,"yyyy/mm/dd"),1),"")</f>
        <v>248448282.49000001</v>
      </c>
      <c r="M38">
        <f>IFERROR([1]!S_FA_EPS_basic2($A38,$B$1,"Cur=CNY"),"")</f>
        <v>1.1531</v>
      </c>
      <c r="N38">
        <f>IFERROR([1]!s_fa_arturndays($A38,TEXT($B$1,"yyyy/mm/dd")),"")</f>
        <v>190.8296</v>
      </c>
      <c r="O38" t="str">
        <f>IFERROR([1]!fa_apturndays($A38,TEXT($B$1,"yyyy/mm/dd")),"")</f>
        <v>Fetch...</v>
      </c>
      <c r="P38">
        <f>IFERROR([1]!s_fa_invturndays($A38,TEXT($B$1,"yyyy/mm/dd")),"")</f>
        <v>123.1148</v>
      </c>
    </row>
    <row r="39" spans="1:16">
      <c r="A39" t="s">
        <v>52</v>
      </c>
      <c r="B39">
        <f>IFERROR([1]!s_stm07_is($A39,"W70156729",TEXT($B$1,"yyyy/mm/dd"),1),"")</f>
        <v>2632607334.5100002</v>
      </c>
      <c r="C39">
        <f>IFERROR([1]!s_stm07_is($A39,"W75682424",TEXT($B$1,"yyyy/mm/dd"),1),"")</f>
        <v>1539167751.8199999</v>
      </c>
      <c r="D39">
        <f>IFERROR([1]!s_stm07_is($A39,"W76031679",TEXT($B$1,"yyyy/mm/dd"),1),"")</f>
        <v>243229998.06999999</v>
      </c>
      <c r="E39">
        <f>IFERROR([1]!s_stm07_is($A39,"W70752487",TEXT($B$1,"yyyy/mm/dd"),1),"")</f>
        <v>194937098.61000001</v>
      </c>
      <c r="F39">
        <f>IFERROR([1]!s_stm07_is_103($A39,TEXT($B$1,"yyyy/mm/dd"),1),"")</f>
        <v>55919841.229999997</v>
      </c>
      <c r="G39">
        <f>IFERROR([1]!s_stm07_is_104($A39,TEXT($B$1,"yyyy/mm/dd"),1),"")</f>
        <v>18191761.039999999</v>
      </c>
      <c r="H39">
        <f>IFERROR([1]!s_stm07_is_105($A39,TEXT($B$1,"yyyy/mm/dd"),1),"")</f>
        <v>54567975.780000001</v>
      </c>
      <c r="I39">
        <f>IFERROR([1]!s_stm07_is($A39,"W72946623",TEXT($B$1,"yyyy/mm/dd"),1),"")</f>
        <v>500301403.36000001</v>
      </c>
      <c r="J39">
        <f>IFERROR([1]!s_stm07_is($A39,"W30028333",TEXT($B$1,"yyyy/mm/dd"),1),"")</f>
        <v>419266377.5</v>
      </c>
      <c r="K39">
        <f>IFERROR([1]!s_stm07_cs($A39,"W77130581",TEXT($B$1,"yyyy/mm/dd"),1),"")</f>
        <v>-215990613.25999999</v>
      </c>
      <c r="L39">
        <f>IFERROR([1]!s_stm07_cs($A39,"W77745895",TEXT($B$1,"yyyy/mm/dd"),1),"")</f>
        <v>333403421.76999998</v>
      </c>
      <c r="M39">
        <f>IFERROR([1]!S_FA_EPS_basic2($A39,$B$1,"Cur=CNY"),"")</f>
        <v>0.44</v>
      </c>
      <c r="N39">
        <f>IFERROR([1]!s_fa_arturndays($A39,TEXT($B$1,"yyyy/mm/dd")),"")</f>
        <v>106.71729999999999</v>
      </c>
      <c r="O39" t="str">
        <f>IFERROR([1]!fa_apturndays($A39,TEXT($B$1,"yyyy/mm/dd")),"")</f>
        <v>Fetch...</v>
      </c>
      <c r="P39">
        <f>IFERROR([1]!s_fa_invturndays($A39,TEXT($B$1,"yyyy/mm/dd")),"")</f>
        <v>327.06459999999998</v>
      </c>
    </row>
    <row r="40" spans="1:16">
      <c r="A40" t="s">
        <v>53</v>
      </c>
      <c r="B40">
        <f>IFERROR([1]!s_stm07_is($A40,"W70156729",TEXT($B$1,"yyyy/mm/dd"),1),"")</f>
        <v>3576752605.9699998</v>
      </c>
      <c r="C40">
        <f>IFERROR([1]!s_stm07_is($A40,"W75682424",TEXT($B$1,"yyyy/mm/dd"),1),"")</f>
        <v>1457916888.1300001</v>
      </c>
      <c r="D40">
        <f>IFERROR([1]!s_stm07_is($A40,"W76031679",TEXT($B$1,"yyyy/mm/dd"),1),"")</f>
        <v>49482799.140000001</v>
      </c>
      <c r="E40">
        <f>IFERROR([1]!s_stm07_is($A40,"W70752487",TEXT($B$1,"yyyy/mm/dd"),1),"")</f>
        <v>280197550.02999997</v>
      </c>
      <c r="F40">
        <f>IFERROR([1]!s_stm07_is_103($A40,TEXT($B$1,"yyyy/mm/dd"),1),"")</f>
        <v>21220978</v>
      </c>
      <c r="G40">
        <f>IFERROR([1]!s_stm07_is_104($A40,TEXT($B$1,"yyyy/mm/dd"),1),"")</f>
        <v>18805450.469999999</v>
      </c>
      <c r="H40">
        <f>IFERROR([1]!s_stm07_is_105($A40,TEXT($B$1,"yyyy/mm/dd"),1),"")</f>
        <v>14923611.75</v>
      </c>
      <c r="I40">
        <f>IFERROR([1]!s_stm07_is($A40,"W72946623",TEXT($B$1,"yyyy/mm/dd"),1),"")</f>
        <v>4055322495.4299998</v>
      </c>
      <c r="J40">
        <f>IFERROR([1]!s_stm07_is($A40,"W30028333",TEXT($B$1,"yyyy/mm/dd"),1),"")</f>
        <v>3852353240.98</v>
      </c>
      <c r="K40">
        <f>IFERROR([1]!s_stm07_cs($A40,"W77130581",TEXT($B$1,"yyyy/mm/dd"),1),"")</f>
        <v>2100261818.8800001</v>
      </c>
      <c r="L40">
        <f>IFERROR([1]!s_stm07_cs($A40,"W77745895",TEXT($B$1,"yyyy/mm/dd"),1),"")</f>
        <v>82335365.049999997</v>
      </c>
      <c r="M40">
        <f>IFERROR([1]!S_FA_EPS_basic2($A40,$B$1,"Cur=CNY"),"")</f>
        <v>2.46</v>
      </c>
      <c r="N40">
        <f>IFERROR([1]!s_fa_arturndays($A40,TEXT($B$1,"yyyy/mm/dd")),"")</f>
        <v>2.552</v>
      </c>
      <c r="O40" t="str">
        <f>IFERROR([1]!fa_apturndays($A40,TEXT($B$1,"yyyy/mm/dd")),"")</f>
        <v>Fetch...</v>
      </c>
      <c r="P40">
        <f>IFERROR([1]!s_fa_invturndays($A40,TEXT($B$1,"yyyy/mm/dd")),"")</f>
        <v>106.6698</v>
      </c>
    </row>
    <row r="41" spans="1:16">
      <c r="A41" t="s">
        <v>54</v>
      </c>
      <c r="B41">
        <f>IFERROR([1]!s_stm07_is($A41,"W70156729",TEXT($B$1,"yyyy/mm/dd"),1),"")</f>
        <v>52923962000</v>
      </c>
      <c r="C41">
        <f>IFERROR([1]!s_stm07_is($A41,"W75682424",TEXT($B$1,"yyyy/mm/dd"),1),"")</f>
        <v>36885524000</v>
      </c>
      <c r="D41">
        <f>IFERROR([1]!s_stm07_is($A41,"W76031679",TEXT($B$1,"yyyy/mm/dd"),1),"")</f>
        <v>174613000</v>
      </c>
      <c r="E41">
        <f>IFERROR([1]!s_stm07_is($A41,"W70752487",TEXT($B$1,"yyyy/mm/dd"),1),"")</f>
        <v>1745611000</v>
      </c>
      <c r="F41">
        <f>IFERROR([1]!s_stm07_is_103($A41,TEXT($B$1,"yyyy/mm/dd"),1),"")</f>
        <v>0</v>
      </c>
      <c r="G41">
        <f>IFERROR([1]!s_stm07_is_104($A41,TEXT($B$1,"yyyy/mm/dd"),1),"")</f>
        <v>10949803000</v>
      </c>
      <c r="H41">
        <f>IFERROR([1]!s_stm07_is_105($A41,TEXT($B$1,"yyyy/mm/dd"),1),"")</f>
        <v>1005796000</v>
      </c>
      <c r="I41">
        <f>IFERROR([1]!s_stm07_is($A41,"W72946623",TEXT($B$1,"yyyy/mm/dd"),1),"")</f>
        <v>1984343000</v>
      </c>
      <c r="J41">
        <f>IFERROR([1]!s_stm07_is($A41,"W30028333",TEXT($B$1,"yyyy/mm/dd"),1),"")</f>
        <v>-405925000</v>
      </c>
      <c r="K41">
        <f>IFERROR([1]!s_stm07_cs($A41,"W77130581",TEXT($B$1,"yyyy/mm/dd"),1),"")</f>
        <v>23324938000</v>
      </c>
      <c r="L41">
        <f>IFERROR([1]!s_stm07_cs($A41,"W77745895",TEXT($B$1,"yyyy/mm/dd"),1),"")</f>
        <v>23346150000</v>
      </c>
      <c r="M41">
        <f>IFERROR([1]!S_FA_EPS_basic2($A41,$B$1,"Cur=CNY"),"")</f>
        <v>-6.5600000000000006E-2</v>
      </c>
      <c r="N41">
        <f>IFERROR([1]!s_fa_arturndays($A41,TEXT($B$1,"yyyy/mm/dd")),"")</f>
        <v>10.297700000000001</v>
      </c>
      <c r="O41" t="str">
        <f>IFERROR([1]!fa_apturndays($A41,TEXT($B$1,"yyyy/mm/dd")),"")</f>
        <v>Fetch...</v>
      </c>
      <c r="P41">
        <f>IFERROR([1]!s_fa_invturndays($A41,TEXT($B$1,"yyyy/mm/dd")),"")</f>
        <v>1.157</v>
      </c>
    </row>
    <row r="42" spans="1:16">
      <c r="A42" t="s">
        <v>55</v>
      </c>
      <c r="B42">
        <f>IFERROR([1]!s_stm07_is($A42,"W70156729",TEXT($B$1,"yyyy/mm/dd"),1),"")</f>
        <v>5427849832.3299999</v>
      </c>
      <c r="C42">
        <f>IFERROR([1]!s_stm07_is($A42,"W75682424",TEXT($B$1,"yyyy/mm/dd"),1),"")</f>
        <v>4860372344.1199999</v>
      </c>
      <c r="D42">
        <f>IFERROR([1]!s_stm07_is($A42,"W76031679",TEXT($B$1,"yyyy/mm/dd"),1),"")</f>
        <v>43039505.119999997</v>
      </c>
      <c r="E42">
        <f>IFERROR([1]!s_stm07_is($A42,"W70752487",TEXT($B$1,"yyyy/mm/dd"),1),"")</f>
        <v>104804750.28</v>
      </c>
      <c r="F42">
        <f>IFERROR([1]!s_stm07_is_103($A42,TEXT($B$1,"yyyy/mm/dd"),1),"")</f>
        <v>26827664.949999999</v>
      </c>
      <c r="G42">
        <f>IFERROR([1]!s_stm07_is_104($A42,TEXT($B$1,"yyyy/mm/dd"),1),"")</f>
        <v>270354918.68000001</v>
      </c>
      <c r="H42">
        <f>IFERROR([1]!s_stm07_is_105($A42,TEXT($B$1,"yyyy/mm/dd"),1),"")</f>
        <v>6049026.8499999996</v>
      </c>
      <c r="I42">
        <f>IFERROR([1]!s_stm07_is($A42,"W72946623",TEXT($B$1,"yyyy/mm/dd"),1),"")</f>
        <v>49210003.840000004</v>
      </c>
      <c r="J42">
        <f>IFERROR([1]!s_stm07_is($A42,"W30028333",TEXT($B$1,"yyyy/mm/dd"),1),"")</f>
        <v>22730386.5</v>
      </c>
      <c r="K42">
        <f>IFERROR([1]!s_stm07_cs($A42,"W77130581",TEXT($B$1,"yyyy/mm/dd"),1),"")</f>
        <v>248142595.31</v>
      </c>
      <c r="L42">
        <f>IFERROR([1]!s_stm07_cs($A42,"W77745895",TEXT($B$1,"yyyy/mm/dd"),1),"")</f>
        <v>516215189.01999998</v>
      </c>
      <c r="M42">
        <f>IFERROR([1]!S_FA_EPS_basic2($A42,$B$1,"Cur=CNY"),"")</f>
        <v>9.1999999999999998E-3</v>
      </c>
      <c r="N42">
        <f>IFERROR([1]!s_fa_arturndays($A42,TEXT($B$1,"yyyy/mm/dd")),"")</f>
        <v>60.074100000000001</v>
      </c>
      <c r="O42" t="str">
        <f>IFERROR([1]!fa_apturndays($A42,TEXT($B$1,"yyyy/mm/dd")),"")</f>
        <v>Fetch...</v>
      </c>
      <c r="P42">
        <f>IFERROR([1]!s_fa_invturndays($A42,TEXT($B$1,"yyyy/mm/dd")),"")</f>
        <v>54.868000000000002</v>
      </c>
    </row>
    <row r="43" spans="1:16">
      <c r="A43" t="s">
        <v>56</v>
      </c>
      <c r="B43">
        <f>IFERROR([1]!s_stm07_is($A43,"W70156729",TEXT($B$1,"yyyy/mm/dd"),1),"")</f>
        <v>25652882508.52</v>
      </c>
      <c r="C43">
        <f>IFERROR([1]!s_stm07_is($A43,"W75682424",TEXT($B$1,"yyyy/mm/dd"),1),"")</f>
        <v>20998380865.299999</v>
      </c>
      <c r="D43">
        <f>IFERROR([1]!s_stm07_is($A43,"W76031679",TEXT($B$1,"yyyy/mm/dd"),1),"")</f>
        <v>150492717.80000001</v>
      </c>
      <c r="E43">
        <f>IFERROR([1]!s_stm07_is($A43,"W70752487",TEXT($B$1,"yyyy/mm/dd"),1),"")</f>
        <v>967079423</v>
      </c>
      <c r="F43">
        <f>IFERROR([1]!s_stm07_is_103($A43,TEXT($B$1,"yyyy/mm/dd"),1),"")</f>
        <v>885256710.48000002</v>
      </c>
      <c r="G43">
        <f>IFERROR([1]!s_stm07_is_104($A43,TEXT($B$1,"yyyy/mm/dd"),1),"")</f>
        <v>534822308.35000002</v>
      </c>
      <c r="H43">
        <f>IFERROR([1]!s_stm07_is_105($A43,TEXT($B$1,"yyyy/mm/dd"),1),"")</f>
        <v>57691328.890000001</v>
      </c>
      <c r="I43">
        <f>IFERROR([1]!s_stm07_is($A43,"W72946623",TEXT($B$1,"yyyy/mm/dd"),1),"")</f>
        <v>1708625445.6199999</v>
      </c>
      <c r="J43">
        <f>IFERROR([1]!s_stm07_is($A43,"W30028333",TEXT($B$1,"yyyy/mm/dd"),1),"")</f>
        <v>808587873.83000004</v>
      </c>
      <c r="K43">
        <f>IFERROR([1]!s_stm07_cs($A43,"W77130581",TEXT($B$1,"yyyy/mm/dd"),1),"")</f>
        <v>3606060151.5500002</v>
      </c>
      <c r="L43">
        <f>IFERROR([1]!s_stm07_cs($A43,"W77745895",TEXT($B$1,"yyyy/mm/dd"),1),"")</f>
        <v>4796739490.3699999</v>
      </c>
      <c r="M43">
        <f>IFERROR([1]!S_FA_EPS_basic2($A43,$B$1,"Cur=CNY"),"")</f>
        <v>0.74519999999999997</v>
      </c>
      <c r="N43">
        <f>IFERROR([1]!s_fa_arturndays($A43,TEXT($B$1,"yyyy/mm/dd")),"")</f>
        <v>6.2241</v>
      </c>
      <c r="O43" t="str">
        <f>IFERROR([1]!fa_apturndays($A43,TEXT($B$1,"yyyy/mm/dd")),"")</f>
        <v>Fetch...</v>
      </c>
      <c r="P43">
        <f>IFERROR([1]!s_fa_invturndays($A43,TEXT($B$1,"yyyy/mm/dd")),"")</f>
        <v>42.989699999999999</v>
      </c>
    </row>
    <row r="44" spans="1:16">
      <c r="A44" t="s">
        <v>57</v>
      </c>
      <c r="B44">
        <f>IFERROR([1]!s_stm07_is($A44,"W70156729",TEXT($B$1,"yyyy/mm/dd"),1),"")</f>
        <v>6700474184.4700003</v>
      </c>
      <c r="C44">
        <f>IFERROR([1]!s_stm07_is($A44,"W75682424",TEXT($B$1,"yyyy/mm/dd"),1),"")</f>
        <v>1777652843.0599999</v>
      </c>
      <c r="D44">
        <f>IFERROR([1]!s_stm07_is($A44,"W76031679",TEXT($B$1,"yyyy/mm/dd"),1),"")</f>
        <v>2144436541.8699999</v>
      </c>
      <c r="E44">
        <f>IFERROR([1]!s_stm07_is($A44,"W70752487",TEXT($B$1,"yyyy/mm/dd"),1),"")</f>
        <v>482859565.13</v>
      </c>
      <c r="F44">
        <f>IFERROR([1]!s_stm07_is_103($A44,TEXT($B$1,"yyyy/mm/dd"),1),"")</f>
        <v>272449725.79000002</v>
      </c>
      <c r="G44">
        <f>IFERROR([1]!s_stm07_is_104($A44,TEXT($B$1,"yyyy/mm/dd"),1),"")</f>
        <v>6589218.8399999999</v>
      </c>
      <c r="H44">
        <f>IFERROR([1]!s_stm07_is_105($A44,TEXT($B$1,"yyyy/mm/dd"),1),"")</f>
        <v>58867519.579999998</v>
      </c>
      <c r="I44">
        <f>IFERROR([1]!s_stm07_is($A44,"W72946623",TEXT($B$1,"yyyy/mm/dd"),1),"")</f>
        <v>2059941168.8299999</v>
      </c>
      <c r="J44">
        <f>IFERROR([1]!s_stm07_is($A44,"W30028333",TEXT($B$1,"yyyy/mm/dd"),1),"")</f>
        <v>1738741090.72</v>
      </c>
      <c r="K44">
        <f>IFERROR([1]!s_stm07_cs($A44,"W77130581",TEXT($B$1,"yyyy/mm/dd"),1),"")</f>
        <v>2289207775.27</v>
      </c>
      <c r="L44">
        <f>IFERROR([1]!s_stm07_cs($A44,"W77745895",TEXT($B$1,"yyyy/mm/dd"),1),"")</f>
        <v>82671902.760000005</v>
      </c>
      <c r="M44">
        <f>IFERROR([1]!S_FA_EPS_basic2($A44,$B$1,"Cur=CNY"),"")</f>
        <v>2.7</v>
      </c>
      <c r="N44">
        <f>IFERROR([1]!s_fa_arturndays($A44,TEXT($B$1,"yyyy/mm/dd")),"")</f>
        <v>5.6801000000000004</v>
      </c>
      <c r="O44" t="str">
        <f>IFERROR([1]!fa_apturndays($A44,TEXT($B$1,"yyyy/mm/dd")),"")</f>
        <v>Fetch...</v>
      </c>
      <c r="P44">
        <f>IFERROR([1]!s_fa_invturndays($A44,TEXT($B$1,"yyyy/mm/dd")),"")</f>
        <v>178.39439999999999</v>
      </c>
    </row>
    <row r="45" spans="1:16">
      <c r="A45" t="s">
        <v>58</v>
      </c>
      <c r="B45">
        <f>IFERROR([1]!s_stm07_is($A45,"W70156729",TEXT($B$1,"yyyy/mm/dd"),1),"")</f>
        <v>100822903512.12</v>
      </c>
      <c r="C45">
        <f>IFERROR([1]!s_stm07_is($A45,"W75682424",TEXT($B$1,"yyyy/mm/dd"),1),"")</f>
        <v>78028893823.289993</v>
      </c>
      <c r="D45">
        <f>IFERROR([1]!s_stm07_is($A45,"W76031679",TEXT($B$1,"yyyy/mm/dd"),1),"")</f>
        <v>5779200353.4799995</v>
      </c>
      <c r="E45">
        <f>IFERROR([1]!s_stm07_is($A45,"W70752487",TEXT($B$1,"yyyy/mm/dd"),1),"")</f>
        <v>3086294537.6100001</v>
      </c>
      <c r="F45">
        <f>IFERROR([1]!s_stm07_is_103($A45,TEXT($B$1,"yyyy/mm/dd"),1),"")</f>
        <v>4242077281.1500001</v>
      </c>
      <c r="G45">
        <f>IFERROR([1]!s_stm07_is_104($A45,TEXT($B$1,"yyyy/mm/dd"),1),"")</f>
        <v>1141183627.1400001</v>
      </c>
      <c r="H45">
        <f>IFERROR([1]!s_stm07_is_105($A45,TEXT($B$1,"yyyy/mm/dd"),1),"")</f>
        <v>707567205.25999999</v>
      </c>
      <c r="I45">
        <f>IFERROR([1]!s_stm07_is($A45,"W72946623",TEXT($B$1,"yyyy/mm/dd"),1),"")</f>
        <v>7258245392.4399996</v>
      </c>
      <c r="J45">
        <f>IFERROR([1]!s_stm07_is($A45,"W30028333",TEXT($B$1,"yyyy/mm/dd"),1),"")</f>
        <v>6572221644.2700005</v>
      </c>
      <c r="K45">
        <f>IFERROR([1]!s_stm07_cs($A45,"W77130581",TEXT($B$1,"yyyy/mm/dd"),1),"")</f>
        <v>14142346479.280001</v>
      </c>
      <c r="L45">
        <f>IFERROR([1]!s_stm07_cs($A45,"W77745895",TEXT($B$1,"yyyy/mm/dd"),1),"")</f>
        <v>4136793157.0300002</v>
      </c>
      <c r="M45">
        <f>IFERROR([1]!S_FA_EPS_basic2($A45,$B$1,"Cur=CNY"),"")</f>
        <v>0.56999999999999995</v>
      </c>
      <c r="N45">
        <f>IFERROR([1]!s_fa_arturndays($A45,TEXT($B$1,"yyyy/mm/dd")),"")</f>
        <v>143.8561</v>
      </c>
      <c r="O45" t="str">
        <f>IFERROR([1]!fa_apturndays($A45,TEXT($B$1,"yyyy/mm/dd")),"")</f>
        <v>Fetch...</v>
      </c>
      <c r="P45">
        <f>IFERROR([1]!s_fa_invturndays($A45,TEXT($B$1,"yyyy/mm/dd")),"")</f>
        <v>165.79929999999999</v>
      </c>
    </row>
    <row r="46" spans="1:16">
      <c r="A46" t="s">
        <v>59</v>
      </c>
      <c r="B46">
        <f>IFERROR([1]!s_stm07_is($A46,"W70156729",TEXT($B$1,"yyyy/mm/dd"),1),"")</f>
        <v>5555253610.0699997</v>
      </c>
      <c r="C46">
        <f>IFERROR([1]!s_stm07_is($A46,"W75682424",TEXT($B$1,"yyyy/mm/dd"),1),"")</f>
        <v>2355958527.8899999</v>
      </c>
      <c r="D46">
        <f>IFERROR([1]!s_stm07_is($A46,"W76031679",TEXT($B$1,"yyyy/mm/dd"),1),"")</f>
        <v>4925146.6100000003</v>
      </c>
      <c r="E46">
        <f>IFERROR([1]!s_stm07_is($A46,"W70752487",TEXT($B$1,"yyyy/mm/dd"),1),"")</f>
        <v>397391615.17000002</v>
      </c>
      <c r="F46">
        <f>IFERROR([1]!s_stm07_is_103($A46,TEXT($B$1,"yyyy/mm/dd"),1),"")</f>
        <v>114216916.83</v>
      </c>
      <c r="G46">
        <f>IFERROR([1]!s_stm07_is_104($A46,TEXT($B$1,"yyyy/mm/dd"),1),"")</f>
        <v>215049589.96000001</v>
      </c>
      <c r="H46">
        <f>IFERROR([1]!s_stm07_is_105($A46,TEXT($B$1,"yyyy/mm/dd"),1),"")</f>
        <v>3450825.64</v>
      </c>
      <c r="I46">
        <f>IFERROR([1]!s_stm07_is($A46,"W72946623",TEXT($B$1,"yyyy/mm/dd"),1),"")</f>
        <v>2096236965.3099999</v>
      </c>
      <c r="J46">
        <f>IFERROR([1]!s_stm07_is($A46,"W30028333",TEXT($B$1,"yyyy/mm/dd"),1),"")</f>
        <v>1704239280.8800001</v>
      </c>
      <c r="K46">
        <f>IFERROR([1]!s_stm07_cs($A46,"W77130581",TEXT($B$1,"yyyy/mm/dd"),1),"")</f>
        <v>2488264347.5</v>
      </c>
      <c r="L46">
        <f>IFERROR([1]!s_stm07_cs($A46,"W77745895",TEXT($B$1,"yyyy/mm/dd"),1),"")</f>
        <v>528032643.45999998</v>
      </c>
      <c r="M46">
        <f>IFERROR([1]!S_FA_EPS_basic2($A46,$B$1,"Cur=CNY"),"")</f>
        <v>0.95979999999999999</v>
      </c>
      <c r="N46">
        <f>IFERROR([1]!s_fa_arturndays($A46,TEXT($B$1,"yyyy/mm/dd")),"")</f>
        <v>0.2266</v>
      </c>
      <c r="O46" t="str">
        <f>IFERROR([1]!fa_apturndays($A46,TEXT($B$1,"yyyy/mm/dd")),"")</f>
        <v>Fetch...</v>
      </c>
      <c r="P46">
        <f>IFERROR([1]!s_fa_invturndays($A46,TEXT($B$1,"yyyy/mm/dd")),"")</f>
        <v>82.5745</v>
      </c>
    </row>
    <row r="47" spans="1:16">
      <c r="A47" t="s">
        <v>60</v>
      </c>
      <c r="B47">
        <f>IFERROR([1]!s_stm07_is($A47,"W70156729",TEXT($B$1,"yyyy/mm/dd"),1),"")</f>
        <v>4469738160.5100002</v>
      </c>
      <c r="C47">
        <f>IFERROR([1]!s_stm07_is($A47,"W75682424",TEXT($B$1,"yyyy/mm/dd"),1),"")</f>
        <v>1586145349.99</v>
      </c>
      <c r="D47">
        <f>IFERROR([1]!s_stm07_is($A47,"W76031679",TEXT($B$1,"yyyy/mm/dd"),1),"")</f>
        <v>0</v>
      </c>
      <c r="E47">
        <f>IFERROR([1]!s_stm07_is($A47,"W70752487",TEXT($B$1,"yyyy/mm/dd"),1),"")</f>
        <v>200164930.86000001</v>
      </c>
      <c r="F47">
        <f>IFERROR([1]!s_stm07_is_103($A47,TEXT($B$1,"yyyy/mm/dd"),1),"")</f>
        <v>6071273.3300000001</v>
      </c>
      <c r="G47">
        <f>IFERROR([1]!s_stm07_is_104($A47,TEXT($B$1,"yyyy/mm/dd"),1),"")</f>
        <v>126160548.68000001</v>
      </c>
      <c r="H47">
        <f>IFERROR([1]!s_stm07_is_105($A47,TEXT($B$1,"yyyy/mm/dd"),1),"")</f>
        <v>54143805.090000004</v>
      </c>
      <c r="I47">
        <f>IFERROR([1]!s_stm07_is($A47,"W72946623",TEXT($B$1,"yyyy/mm/dd"),1),"")</f>
        <v>3164900248.6799998</v>
      </c>
      <c r="J47">
        <f>IFERROR([1]!s_stm07_is($A47,"W30028333",TEXT($B$1,"yyyy/mm/dd"),1),"")</f>
        <v>1801337614.9300001</v>
      </c>
      <c r="K47">
        <f>IFERROR([1]!s_stm07_cs($A47,"W77130581",TEXT($B$1,"yyyy/mm/dd"),1),"")</f>
        <v>3559494395.2800002</v>
      </c>
      <c r="L47">
        <f>IFERROR([1]!s_stm07_cs($A47,"W77745895",TEXT($B$1,"yyyy/mm/dd"),1),"")</f>
        <v>2430180575.9000001</v>
      </c>
      <c r="M47">
        <f>IFERROR([1]!S_FA_EPS_basic2($A47,$B$1,"Cur=CNY"),"")</f>
        <v>0.86</v>
      </c>
      <c r="N47">
        <f>IFERROR([1]!s_fa_arturndays($A47,TEXT($B$1,"yyyy/mm/dd")),"")</f>
        <v>7.2110000000000003</v>
      </c>
      <c r="O47" t="str">
        <f>IFERROR([1]!fa_apturndays($A47,TEXT($B$1,"yyyy/mm/dd")),"")</f>
        <v>Fetch...</v>
      </c>
      <c r="P47">
        <f>IFERROR([1]!s_fa_invturndays($A47,TEXT($B$1,"yyyy/mm/dd")),"")</f>
        <v>0</v>
      </c>
    </row>
    <row r="48" spans="1:16">
      <c r="A48" t="s">
        <v>61</v>
      </c>
      <c r="B48">
        <f>IFERROR([1]!s_stm07_is($A48,"W70156729",TEXT($B$1,"yyyy/mm/dd"),1),"")</f>
        <v>68567696803.550003</v>
      </c>
      <c r="C48">
        <f>IFERROR([1]!s_stm07_is($A48,"W75682424",TEXT($B$1,"yyyy/mm/dd"),1),"")</f>
        <v>58721668737.25</v>
      </c>
      <c r="D48">
        <f>IFERROR([1]!s_stm07_is($A48,"W76031679",TEXT($B$1,"yyyy/mm/dd"),1),"")</f>
        <v>6813710.5099999998</v>
      </c>
      <c r="E48">
        <f>IFERROR([1]!s_stm07_is($A48,"W70752487",TEXT($B$1,"yyyy/mm/dd"),1),"")</f>
        <v>1559094165.4100001</v>
      </c>
      <c r="F48">
        <f>IFERROR([1]!s_stm07_is_103($A48,TEXT($B$1,"yyyy/mm/dd"),1),"")</f>
        <v>2109002929.55</v>
      </c>
      <c r="G48">
        <f>IFERROR([1]!s_stm07_is_104($A48,TEXT($B$1,"yyyy/mm/dd"),1),"")</f>
        <v>1247477333.52</v>
      </c>
      <c r="H48">
        <f>IFERROR([1]!s_stm07_is_105($A48,TEXT($B$1,"yyyy/mm/dd"),1),"")</f>
        <v>621234922.36000001</v>
      </c>
      <c r="I48">
        <f>IFERROR([1]!s_stm07_is($A48,"W72946623",TEXT($B$1,"yyyy/mm/dd"),1),"")</f>
        <v>3822893849.8400002</v>
      </c>
      <c r="J48">
        <f>IFERROR([1]!s_stm07_is($A48,"W30028333",TEXT($B$1,"yyyy/mm/dd"),1),"")</f>
        <v>2227194256.2399998</v>
      </c>
      <c r="K48">
        <f>IFERROR([1]!s_stm07_cs($A48,"W77130581",TEXT($B$1,"yyyy/mm/dd"),1),"")</f>
        <v>257053838.84999999</v>
      </c>
      <c r="L48">
        <f>IFERROR([1]!s_stm07_cs($A48,"W77745895",TEXT($B$1,"yyyy/mm/dd"),1),"")</f>
        <v>1014615775.71</v>
      </c>
      <c r="M48">
        <f>IFERROR([1]!S_FA_EPS_basic2($A48,$B$1,"Cur=CNY"),"")</f>
        <v>1.1613</v>
      </c>
      <c r="N48">
        <f>IFERROR([1]!s_fa_arturndays($A48,TEXT($B$1,"yyyy/mm/dd")),"")</f>
        <v>104.42959999999999</v>
      </c>
      <c r="O48" t="str">
        <f>IFERROR([1]!fa_apturndays($A48,TEXT($B$1,"yyyy/mm/dd")),"")</f>
        <v>Fetch...</v>
      </c>
      <c r="P48">
        <f>IFERROR([1]!s_fa_invturndays($A48,TEXT($B$1,"yyyy/mm/dd")),"")</f>
        <v>465.4169</v>
      </c>
    </row>
    <row r="49" spans="1:16">
      <c r="A49" t="s">
        <v>62</v>
      </c>
      <c r="B49">
        <f>IFERROR([1]!s_stm07_is($A49,"W70156729",TEXT($B$1,"yyyy/mm/dd"),1),"")</f>
        <v>350444166.56999999</v>
      </c>
      <c r="C49">
        <f>IFERROR([1]!s_stm07_is($A49,"W75682424",TEXT($B$1,"yyyy/mm/dd"),1),"")</f>
        <v>276111254.92000002</v>
      </c>
      <c r="D49">
        <f>IFERROR([1]!s_stm07_is($A49,"W76031679",TEXT($B$1,"yyyy/mm/dd"),1),"")</f>
        <v>80872793.459999993</v>
      </c>
      <c r="E49">
        <f>IFERROR([1]!s_stm07_is($A49,"W70752487",TEXT($B$1,"yyyy/mm/dd"),1),"")</f>
        <v>130960106.95999999</v>
      </c>
      <c r="F49">
        <f>IFERROR([1]!s_stm07_is_103($A49,TEXT($B$1,"yyyy/mm/dd"),1),"")</f>
        <v>2799146.34</v>
      </c>
      <c r="G49">
        <f>IFERROR([1]!s_stm07_is_104($A49,TEXT($B$1,"yyyy/mm/dd"),1),"")</f>
        <v>10872718.34</v>
      </c>
      <c r="H49">
        <f>IFERROR([1]!s_stm07_is_105($A49,TEXT($B$1,"yyyy/mm/dd"),1),"")</f>
        <v>1953990.24</v>
      </c>
      <c r="I49">
        <f>IFERROR([1]!s_stm07_is($A49,"W72946623",TEXT($B$1,"yyyy/mm/dd"),1),"")</f>
        <v>-403919647.23000002</v>
      </c>
      <c r="J49">
        <f>IFERROR([1]!s_stm07_is($A49,"W30028333",TEXT($B$1,"yyyy/mm/dd"),1),"")</f>
        <v>-403993560.01999998</v>
      </c>
      <c r="K49">
        <f>IFERROR([1]!s_stm07_cs($A49,"W77130581",TEXT($B$1,"yyyy/mm/dd"),1),"")</f>
        <v>-81659811.409999996</v>
      </c>
      <c r="L49">
        <f>IFERROR([1]!s_stm07_cs($A49,"W77745895",TEXT($B$1,"yyyy/mm/dd"),1),"")</f>
        <v>45656087.899999999</v>
      </c>
      <c r="M49">
        <f>IFERROR([1]!S_FA_EPS_basic2($A49,$B$1,"Cur=CNY"),"")</f>
        <v>-0.41260000000000002</v>
      </c>
      <c r="N49">
        <f>IFERROR([1]!s_fa_arturndays($A49,TEXT($B$1,"yyyy/mm/dd")),"")</f>
        <v>139.7353</v>
      </c>
      <c r="O49" t="str">
        <f>IFERROR([1]!fa_apturndays($A49,TEXT($B$1,"yyyy/mm/dd")),"")</f>
        <v>Fetch...</v>
      </c>
      <c r="P49">
        <f>IFERROR([1]!s_fa_invturndays($A49,TEXT($B$1,"yyyy/mm/dd")),"")</f>
        <v>61.442900000000002</v>
      </c>
    </row>
    <row r="50" spans="1:16">
      <c r="A50" t="s">
        <v>63</v>
      </c>
      <c r="B50">
        <f>IFERROR([1]!s_stm07_is($A50,"W70156729",TEXT($B$1,"yyyy/mm/dd"),1),"")</f>
        <v>12020349219.610001</v>
      </c>
      <c r="C50">
        <f>IFERROR([1]!s_stm07_is($A50,"W75682424",TEXT($B$1,"yyyy/mm/dd"),1),"")</f>
        <v>4099300682.1399999</v>
      </c>
      <c r="D50">
        <f>IFERROR([1]!s_stm07_is($A50,"W76031679",TEXT($B$1,"yyyy/mm/dd"),1),"")</f>
        <v>3580896256.8699999</v>
      </c>
      <c r="E50">
        <f>IFERROR([1]!s_stm07_is($A50,"W70752487",TEXT($B$1,"yyyy/mm/dd"),1),"")</f>
        <v>598457787.08000004</v>
      </c>
      <c r="F50">
        <f>IFERROR([1]!s_stm07_is_103($A50,TEXT($B$1,"yyyy/mm/dd"),1),"")</f>
        <v>937945606.30999994</v>
      </c>
      <c r="G50">
        <f>IFERROR([1]!s_stm07_is_104($A50,TEXT($B$1,"yyyy/mm/dd"),1),"")</f>
        <v>57205595.789999999</v>
      </c>
      <c r="H50">
        <f>IFERROR([1]!s_stm07_is_105($A50,TEXT($B$1,"yyyy/mm/dd"),1),"")</f>
        <v>297577267.38</v>
      </c>
      <c r="I50">
        <f>IFERROR([1]!s_stm07_is($A50,"W72946623",TEXT($B$1,"yyyy/mm/dd"),1),"")</f>
        <v>2862050544.6399999</v>
      </c>
      <c r="J50">
        <f>IFERROR([1]!s_stm07_is($A50,"W30028333",TEXT($B$1,"yyyy/mm/dd"),1),"")</f>
        <v>2023249327.79</v>
      </c>
      <c r="K50">
        <f>IFERROR([1]!s_stm07_cs($A50,"W77130581",TEXT($B$1,"yyyy/mm/dd"),1),"")</f>
        <v>3145038968.0900002</v>
      </c>
      <c r="L50">
        <f>IFERROR([1]!s_stm07_cs($A50,"W77745895",TEXT($B$1,"yyyy/mm/dd"),1),"")</f>
        <v>574136191.60000002</v>
      </c>
      <c r="M50">
        <f>IFERROR([1]!S_FA_EPS_basic2($A50,$B$1,"Cur=CNY"),"")</f>
        <v>2.27</v>
      </c>
      <c r="N50">
        <f>IFERROR([1]!s_fa_arturndays($A50,TEXT($B$1,"yyyy/mm/dd")),"")</f>
        <v>62.651200000000003</v>
      </c>
      <c r="O50" t="str">
        <f>IFERROR([1]!fa_apturndays($A50,TEXT($B$1,"yyyy/mm/dd")),"")</f>
        <v>Fetch...</v>
      </c>
      <c r="P50">
        <f>IFERROR([1]!s_fa_invturndays($A50,TEXT($B$1,"yyyy/mm/dd")),"")</f>
        <v>156.27029999999999</v>
      </c>
    </row>
    <row r="51" spans="1:16">
      <c r="A51" t="s">
        <v>64</v>
      </c>
      <c r="B51">
        <f>IFERROR([1]!s_stm07_is($A51,"W70156729",TEXT($B$1,"yyyy/mm/dd"),1),"")</f>
        <v>9273941700.6700001</v>
      </c>
      <c r="C51">
        <f>IFERROR([1]!s_stm07_is($A51,"W75682424",TEXT($B$1,"yyyy/mm/dd"),1),"")</f>
        <v>7943511882.8199997</v>
      </c>
      <c r="D51">
        <f>IFERROR([1]!s_stm07_is($A51,"W76031679",TEXT($B$1,"yyyy/mm/dd"),1),"")</f>
        <v>36254613.009999998</v>
      </c>
      <c r="E51">
        <f>IFERROR([1]!s_stm07_is($A51,"W70752487",TEXT($B$1,"yyyy/mm/dd"),1),"")</f>
        <v>576558471.85000002</v>
      </c>
      <c r="F51">
        <f>IFERROR([1]!s_stm07_is_103($A51,TEXT($B$1,"yyyy/mm/dd"),1),"")</f>
        <v>483172977.14999998</v>
      </c>
      <c r="G51">
        <f>IFERROR([1]!s_stm07_is_104($A51,TEXT($B$1,"yyyy/mm/dd"),1),"")</f>
        <v>1859412.59</v>
      </c>
      <c r="H51">
        <f>IFERROR([1]!s_stm07_is_105($A51,TEXT($B$1,"yyyy/mm/dd"),1),"")</f>
        <v>79360383.900000006</v>
      </c>
      <c r="I51">
        <f>IFERROR([1]!s_stm07_is($A51,"W72946623",TEXT($B$1,"yyyy/mm/dd"),1),"")</f>
        <v>92241919.790000007</v>
      </c>
      <c r="J51">
        <f>IFERROR([1]!s_stm07_is($A51,"W30028333",TEXT($B$1,"yyyy/mm/dd"),1),"")</f>
        <v>41696043.159999996</v>
      </c>
      <c r="K51">
        <f>IFERROR([1]!s_stm07_cs($A51,"W77130581",TEXT($B$1,"yyyy/mm/dd"),1),"")</f>
        <v>482993396.51999998</v>
      </c>
      <c r="L51">
        <f>IFERROR([1]!s_stm07_cs($A51,"W77745895",TEXT($B$1,"yyyy/mm/dd"),1),"")</f>
        <v>867269801.30999994</v>
      </c>
      <c r="M51">
        <f>IFERROR([1]!S_FA_EPS_basic2($A51,$B$1,"Cur=CNY"),"")</f>
        <v>2.9899999999999999E-2</v>
      </c>
      <c r="N51">
        <f>IFERROR([1]!s_fa_arturndays($A51,TEXT($B$1,"yyyy/mm/dd")),"")</f>
        <v>98.296199999999999</v>
      </c>
      <c r="O51" t="str">
        <f>IFERROR([1]!fa_apturndays($A51,TEXT($B$1,"yyyy/mm/dd")),"")</f>
        <v>Fetch...</v>
      </c>
      <c r="P51">
        <f>IFERROR([1]!s_fa_invturndays($A51,TEXT($B$1,"yyyy/mm/dd")),"")</f>
        <v>124.41249999999999</v>
      </c>
    </row>
    <row r="52" spans="1:16">
      <c r="A52" t="s">
        <v>65</v>
      </c>
      <c r="B52">
        <f>IFERROR([1]!s_stm07_is($A52,"W70156729",TEXT($B$1,"yyyy/mm/dd"),1),"")</f>
        <v>33143878244.369999</v>
      </c>
      <c r="C52">
        <f>IFERROR([1]!s_stm07_is($A52,"W75682424",TEXT($B$1,"yyyy/mm/dd"),1),"")</f>
        <v>25716308585.34</v>
      </c>
      <c r="D52">
        <f>IFERROR([1]!s_stm07_is($A52,"W76031679",TEXT($B$1,"yyyy/mm/dd"),1),"")</f>
        <v>2463831679.73</v>
      </c>
      <c r="E52">
        <f>IFERROR([1]!s_stm07_is($A52,"W70752487",TEXT($B$1,"yyyy/mm/dd"),1),"")</f>
        <v>880870062.53999996</v>
      </c>
      <c r="F52">
        <f>IFERROR([1]!s_stm07_is_103($A52,TEXT($B$1,"yyyy/mm/dd"),1),"")</f>
        <v>1354988656.5599999</v>
      </c>
      <c r="G52">
        <f>IFERROR([1]!s_stm07_is_104($A52,TEXT($B$1,"yyyy/mm/dd"),1),"")</f>
        <v>313352366.32999998</v>
      </c>
      <c r="H52">
        <f>IFERROR([1]!s_stm07_is_105($A52,TEXT($B$1,"yyyy/mm/dd"),1),"")</f>
        <v>216007925.28</v>
      </c>
      <c r="I52">
        <f>IFERROR([1]!s_stm07_is($A52,"W72946623",TEXT($B$1,"yyyy/mm/dd"),1),"")</f>
        <v>1694240102.51</v>
      </c>
      <c r="J52">
        <f>IFERROR([1]!s_stm07_is($A52,"W30028333",TEXT($B$1,"yyyy/mm/dd"),1),"")</f>
        <v>1609225714.3</v>
      </c>
      <c r="K52">
        <f>IFERROR([1]!s_stm07_cs($A52,"W77130581",TEXT($B$1,"yyyy/mm/dd"),1),"")</f>
        <v>1005334550.87</v>
      </c>
      <c r="L52">
        <f>IFERROR([1]!s_stm07_cs($A52,"W77745895",TEXT($B$1,"yyyy/mm/dd"),1),"")</f>
        <v>715058347.74000001</v>
      </c>
      <c r="M52">
        <f>IFERROR([1]!S_FA_EPS_basic2($A52,$B$1,"Cur=CNY"),"")</f>
        <v>0.79779999999999995</v>
      </c>
      <c r="N52">
        <f>IFERROR([1]!s_fa_arturndays($A52,TEXT($B$1,"yyyy/mm/dd")),"")</f>
        <v>117.0123</v>
      </c>
      <c r="O52" t="str">
        <f>IFERROR([1]!fa_apturndays($A52,TEXT($B$1,"yyyy/mm/dd")),"")</f>
        <v>Fetch...</v>
      </c>
      <c r="P52">
        <f>IFERROR([1]!s_fa_invturndays($A52,TEXT($B$1,"yyyy/mm/dd")),"")</f>
        <v>136.2398</v>
      </c>
    </row>
    <row r="53" spans="1:16">
      <c r="A53" t="s">
        <v>66</v>
      </c>
      <c r="B53">
        <f>IFERROR([1]!s_stm07_is($A53,"W70156729",TEXT($B$1,"yyyy/mm/dd"),1),"")</f>
        <v>4892941936.1499996</v>
      </c>
      <c r="C53">
        <f>IFERROR([1]!s_stm07_is($A53,"W75682424",TEXT($B$1,"yyyy/mm/dd"),1),"")</f>
        <v>2588203105.79</v>
      </c>
      <c r="D53">
        <f>IFERROR([1]!s_stm07_is($A53,"W76031679",TEXT($B$1,"yyyy/mm/dd"),1),"")</f>
        <v>0</v>
      </c>
      <c r="E53">
        <f>IFERROR([1]!s_stm07_is($A53,"W70752487",TEXT($B$1,"yyyy/mm/dd"),1),"")</f>
        <v>256457518.09999999</v>
      </c>
      <c r="F53">
        <f>IFERROR([1]!s_stm07_is_103($A53,TEXT($B$1,"yyyy/mm/dd"),1),"")</f>
        <v>2968587.5</v>
      </c>
      <c r="G53">
        <f>IFERROR([1]!s_stm07_is_104($A53,TEXT($B$1,"yyyy/mm/dd"),1),"")</f>
        <v>694251380.40999997</v>
      </c>
      <c r="H53">
        <f>IFERROR([1]!s_stm07_is_105($A53,TEXT($B$1,"yyyy/mm/dd"),1),"")</f>
        <v>45297224.799999997</v>
      </c>
      <c r="I53">
        <f>IFERROR([1]!s_stm07_is($A53,"W72946623",TEXT($B$1,"yyyy/mm/dd"),1),"")</f>
        <v>1368828977.4100001</v>
      </c>
      <c r="J53">
        <f>IFERROR([1]!s_stm07_is($A53,"W30028333",TEXT($B$1,"yyyy/mm/dd"),1),"")</f>
        <v>800708972.59000003</v>
      </c>
      <c r="K53">
        <f>IFERROR([1]!s_stm07_cs($A53,"W77130581",TEXT($B$1,"yyyy/mm/dd"),1),"")</f>
        <v>4908820404.1199999</v>
      </c>
      <c r="L53">
        <f>IFERROR([1]!s_stm07_cs($A53,"W77745895",TEXT($B$1,"yyyy/mm/dd"),1),"")</f>
        <v>11395125051.469999</v>
      </c>
      <c r="M53">
        <f>IFERROR([1]!S_FA_EPS_basic2($A53,$B$1,"Cur=CNY"),"")</f>
        <v>0.39</v>
      </c>
      <c r="N53">
        <f>IFERROR([1]!s_fa_arturndays($A53,TEXT($B$1,"yyyy/mm/dd")),"")</f>
        <v>436.46940000000001</v>
      </c>
      <c r="O53" t="str">
        <f>IFERROR([1]!fa_apturndays($A53,TEXT($B$1,"yyyy/mm/dd")),"")</f>
        <v>Fetch...</v>
      </c>
      <c r="P53">
        <f>IFERROR([1]!s_fa_invturndays($A53,TEXT($B$1,"yyyy/mm/dd")),"")</f>
        <v>0</v>
      </c>
    </row>
    <row r="54" spans="1:16">
      <c r="A54" t="s">
        <v>67</v>
      </c>
      <c r="B54">
        <f>IFERROR([1]!s_stm07_is($A54,"W70156729",TEXT($B$1,"yyyy/mm/dd"),1),"")</f>
        <v>41186999090.309998</v>
      </c>
      <c r="C54">
        <f>IFERROR([1]!s_stm07_is($A54,"W75682424",TEXT($B$1,"yyyy/mm/dd"),1),"")</f>
        <v>29032923195.82</v>
      </c>
      <c r="D54">
        <f>IFERROR([1]!s_stm07_is($A54,"W76031679",TEXT($B$1,"yyyy/mm/dd"),1),"")</f>
        <v>5619465376.8900003</v>
      </c>
      <c r="E54">
        <f>IFERROR([1]!s_stm07_is($A54,"W70752487",TEXT($B$1,"yyyy/mm/dd"),1),"")</f>
        <v>1020080152.22</v>
      </c>
      <c r="F54">
        <f>IFERROR([1]!s_stm07_is_103($A54,TEXT($B$1,"yyyy/mm/dd"),1),"")</f>
        <v>350545386.25</v>
      </c>
      <c r="G54">
        <f>IFERROR([1]!s_stm07_is_104($A54,TEXT($B$1,"yyyy/mm/dd"),1),"")</f>
        <v>24049890.09</v>
      </c>
      <c r="H54">
        <f>IFERROR([1]!s_stm07_is_105($A54,TEXT($B$1,"yyyy/mm/dd"),1),"")</f>
        <v>90467001.340000004</v>
      </c>
      <c r="I54">
        <f>IFERROR([1]!s_stm07_is($A54,"W72946623",TEXT($B$1,"yyyy/mm/dd"),1),"")</f>
        <v>6043270703.7299995</v>
      </c>
      <c r="J54">
        <f>IFERROR([1]!s_stm07_is($A54,"W30028333",TEXT($B$1,"yyyy/mm/dd"),1),"")</f>
        <v>5153486838.9099998</v>
      </c>
      <c r="K54">
        <f>IFERROR([1]!s_stm07_cs($A54,"W77130581",TEXT($B$1,"yyyy/mm/dd"),1),"")</f>
        <v>4599693880.4399996</v>
      </c>
      <c r="L54">
        <f>IFERROR([1]!s_stm07_cs($A54,"W77745895",TEXT($B$1,"yyyy/mm/dd"),1),"")</f>
        <v>479661609.93000001</v>
      </c>
      <c r="M54">
        <f>IFERROR([1]!S_FA_EPS_basic2($A54,$B$1,"Cur=CNY"),"")</f>
        <v>2.89</v>
      </c>
      <c r="N54">
        <f>IFERROR([1]!s_fa_arturndays($A54,TEXT($B$1,"yyyy/mm/dd")),"")</f>
        <v>87.770600000000002</v>
      </c>
      <c r="O54" t="str">
        <f>IFERROR([1]!fa_apturndays($A54,TEXT($B$1,"yyyy/mm/dd")),"")</f>
        <v>Fetch...</v>
      </c>
      <c r="P54">
        <f>IFERROR([1]!s_fa_invturndays($A54,TEXT($B$1,"yyyy/mm/dd")),"")</f>
        <v>77.658199999999994</v>
      </c>
    </row>
    <row r="55" spans="1:16">
      <c r="A55" t="s">
        <v>68</v>
      </c>
      <c r="B55">
        <f>IFERROR([1]!s_stm07_is($A55,"W70156729",TEXT($B$1,"yyyy/mm/dd"),1),"")</f>
        <v>51541178630</v>
      </c>
      <c r="C55">
        <f>IFERROR([1]!s_stm07_is($A55,"W75682424",TEXT($B$1,"yyyy/mm/dd"),1),"")</f>
        <v>45713513995</v>
      </c>
      <c r="D55">
        <f>IFERROR([1]!s_stm07_is($A55,"W76031679",TEXT($B$1,"yyyy/mm/dd"),1),"")</f>
        <v>100752930</v>
      </c>
      <c r="E55">
        <f>IFERROR([1]!s_stm07_is($A55,"W70752487",TEXT($B$1,"yyyy/mm/dd"),1),"")</f>
        <v>1653359835</v>
      </c>
      <c r="F55">
        <f>IFERROR([1]!s_stm07_is_103($A55,TEXT($B$1,"yyyy/mm/dd"),1),"")</f>
        <v>567198811</v>
      </c>
      <c r="G55">
        <f>IFERROR([1]!s_stm07_is_104($A55,TEXT($B$1,"yyyy/mm/dd"),1),"")</f>
        <v>2247806946</v>
      </c>
      <c r="H55">
        <f>IFERROR([1]!s_stm07_is_105($A55,TEXT($B$1,"yyyy/mm/dd"),1),"")</f>
        <v>89069206</v>
      </c>
      <c r="I55">
        <f>IFERROR([1]!s_stm07_is($A55,"W72946623",TEXT($B$1,"yyyy/mm/dd"),1),"")</f>
        <v>1511406255</v>
      </c>
      <c r="J55">
        <f>IFERROR([1]!s_stm07_is($A55,"W30028333",TEXT($B$1,"yyyy/mm/dd"),1),"")</f>
        <v>599942339</v>
      </c>
      <c r="K55">
        <f>IFERROR([1]!s_stm07_cs($A55,"W77130581",TEXT($B$1,"yyyy/mm/dd"),1),"")</f>
        <v>10233219388</v>
      </c>
      <c r="L55">
        <f>IFERROR([1]!s_stm07_cs($A55,"W77745895",TEXT($B$1,"yyyy/mm/dd"),1),"")</f>
        <v>12355060130</v>
      </c>
      <c r="M55">
        <f>IFERROR([1]!S_FA_EPS_basic2($A55,$B$1,"Cur=CNY"),"")</f>
        <v>0.1143</v>
      </c>
      <c r="N55">
        <f>IFERROR([1]!s_fa_arturndays($A55,TEXT($B$1,"yyyy/mm/dd")),"")</f>
        <v>65.254000000000005</v>
      </c>
      <c r="O55" t="str">
        <f>IFERROR([1]!fa_apturndays($A55,TEXT($B$1,"yyyy/mm/dd")),"")</f>
        <v>Fetch...</v>
      </c>
      <c r="P55">
        <f>IFERROR([1]!s_fa_invturndays($A55,TEXT($B$1,"yyyy/mm/dd")),"")</f>
        <v>19.188600000000001</v>
      </c>
    </row>
    <row r="56" spans="1:16">
      <c r="A56" t="s">
        <v>69</v>
      </c>
      <c r="B56">
        <f>IFERROR([1]!s_stm07_is($A56,"W70156729",TEXT($B$1,"yyyy/mm/dd"),1),"")</f>
        <v>27305760344.59</v>
      </c>
      <c r="C56">
        <f>IFERROR([1]!s_stm07_is($A56,"W75682424",TEXT($B$1,"yyyy/mm/dd"),1),"")</f>
        <v>22863271346.52</v>
      </c>
      <c r="D56">
        <f>IFERROR([1]!s_stm07_is($A56,"W76031679",TEXT($B$1,"yyyy/mm/dd"),1),"")</f>
        <v>19592443.129999999</v>
      </c>
      <c r="E56">
        <f>IFERROR([1]!s_stm07_is($A56,"W70752487",TEXT($B$1,"yyyy/mm/dd"),1),"")</f>
        <v>215096950.5</v>
      </c>
      <c r="F56">
        <f>IFERROR([1]!s_stm07_is_103($A56,TEXT($B$1,"yyyy/mm/dd"),1),"")</f>
        <v>213127853.13999999</v>
      </c>
      <c r="G56">
        <f>IFERROR([1]!s_stm07_is_104($A56,TEXT($B$1,"yyyy/mm/dd"),1),"")</f>
        <v>811129587.74000001</v>
      </c>
      <c r="H56">
        <f>IFERROR([1]!s_stm07_is_105($A56,TEXT($B$1,"yyyy/mm/dd"),1),"")</f>
        <v>14568923.449999999</v>
      </c>
      <c r="I56">
        <f>IFERROR([1]!s_stm07_is($A56,"W72946623",TEXT($B$1,"yyyy/mm/dd"),1),"")</f>
        <v>3802912874.96</v>
      </c>
      <c r="J56">
        <f>IFERROR([1]!s_stm07_is($A56,"W30028333",TEXT($B$1,"yyyy/mm/dd"),1),"")</f>
        <v>2149137046.8499999</v>
      </c>
      <c r="K56">
        <f>IFERROR([1]!s_stm07_cs($A56,"W77130581",TEXT($B$1,"yyyy/mm/dd"),1),"")</f>
        <v>5390412751.8100004</v>
      </c>
      <c r="L56">
        <f>IFERROR([1]!s_stm07_cs($A56,"W77745895",TEXT($B$1,"yyyy/mm/dd"),1),"")</f>
        <v>3247320956.1999998</v>
      </c>
      <c r="M56">
        <f>IFERROR([1]!S_FA_EPS_basic2($A56,$B$1,"Cur=CNY"),"")</f>
        <v>0.95</v>
      </c>
      <c r="N56">
        <f>IFERROR([1]!s_fa_arturndays($A56,TEXT($B$1,"yyyy/mm/dd")),"")</f>
        <v>52.7256</v>
      </c>
      <c r="O56" t="str">
        <f>IFERROR([1]!fa_apturndays($A56,TEXT($B$1,"yyyy/mm/dd")),"")</f>
        <v>Fetch...</v>
      </c>
      <c r="P56">
        <f>IFERROR([1]!s_fa_invturndays($A56,TEXT($B$1,"yyyy/mm/dd")),"")</f>
        <v>14.8454</v>
      </c>
    </row>
    <row r="57" spans="1:16">
      <c r="A57" t="s">
        <v>70</v>
      </c>
      <c r="B57">
        <f>IFERROR([1]!s_stm07_is($A57,"W70156729",TEXT($B$1,"yyyy/mm/dd"),1),"")</f>
        <v>39169909929</v>
      </c>
      <c r="C57">
        <f>IFERROR([1]!s_stm07_is($A57,"W75682424",TEXT($B$1,"yyyy/mm/dd"),1),"")</f>
        <v>33851518907</v>
      </c>
      <c r="D57">
        <f>IFERROR([1]!s_stm07_is($A57,"W76031679",TEXT($B$1,"yyyy/mm/dd"),1),"")</f>
        <v>899660536</v>
      </c>
      <c r="E57">
        <f>IFERROR([1]!s_stm07_is($A57,"W70752487",TEXT($B$1,"yyyy/mm/dd"),1),"")</f>
        <v>1050129082</v>
      </c>
      <c r="F57">
        <f>IFERROR([1]!s_stm07_is_103($A57,TEXT($B$1,"yyyy/mm/dd"),1),"")</f>
        <v>1216003539</v>
      </c>
      <c r="G57">
        <f>IFERROR([1]!s_stm07_is_104($A57,TEXT($B$1,"yyyy/mm/dd"),1),"")</f>
        <v>18280197</v>
      </c>
      <c r="H57">
        <f>IFERROR([1]!s_stm07_is_105($A57,TEXT($B$1,"yyyy/mm/dd"),1),"")</f>
        <v>164866232</v>
      </c>
      <c r="I57">
        <f>IFERROR([1]!s_stm07_is($A57,"W72946623",TEXT($B$1,"yyyy/mm/dd"),1),"")</f>
        <v>1395134383</v>
      </c>
      <c r="J57">
        <f>IFERROR([1]!s_stm07_is($A57,"W30028333",TEXT($B$1,"yyyy/mm/dd"),1),"")</f>
        <v>1187465719</v>
      </c>
      <c r="K57">
        <f>IFERROR([1]!s_stm07_cs($A57,"W77130581",TEXT($B$1,"yyyy/mm/dd"),1),"")</f>
        <v>2411911290</v>
      </c>
      <c r="L57">
        <f>IFERROR([1]!s_stm07_cs($A57,"W77745895",TEXT($B$1,"yyyy/mm/dd"),1),"")</f>
        <v>1088237558</v>
      </c>
      <c r="M57">
        <f>IFERROR([1]!S_FA_EPS_basic2($A57,$B$1,"Cur=CNY"),"")</f>
        <v>1.38</v>
      </c>
      <c r="N57">
        <f>IFERROR([1]!s_fa_arturndays($A57,TEXT($B$1,"yyyy/mm/dd")),"")</f>
        <v>47.435200000000002</v>
      </c>
      <c r="O57" t="str">
        <f>IFERROR([1]!fa_apturndays($A57,TEXT($B$1,"yyyy/mm/dd")),"")</f>
        <v>Fetch...</v>
      </c>
      <c r="P57">
        <f>IFERROR([1]!s_fa_invturndays($A57,TEXT($B$1,"yyyy/mm/dd")),"")</f>
        <v>21.622699999999998</v>
      </c>
    </row>
    <row r="58" spans="1:16">
      <c r="A58" t="s">
        <v>71</v>
      </c>
      <c r="B58">
        <f>IFERROR([1]!s_stm07_is($A58,"W70156729",TEXT($B$1,"yyyy/mm/dd"),1),"")</f>
        <v>7838630994.9200001</v>
      </c>
      <c r="C58">
        <f>IFERROR([1]!s_stm07_is($A58,"W75682424",TEXT($B$1,"yyyy/mm/dd"),1),"")</f>
        <v>6600214339.3999996</v>
      </c>
      <c r="D58">
        <f>IFERROR([1]!s_stm07_is($A58,"W76031679",TEXT($B$1,"yyyy/mm/dd"),1),"")</f>
        <v>102796059.27</v>
      </c>
      <c r="E58">
        <f>IFERROR([1]!s_stm07_is($A58,"W70752487",TEXT($B$1,"yyyy/mm/dd"),1),"")</f>
        <v>702247523.49000001</v>
      </c>
      <c r="F58">
        <f>IFERROR([1]!s_stm07_is_103($A58,TEXT($B$1,"yyyy/mm/dd"),1),"")</f>
        <v>308714637.69999999</v>
      </c>
      <c r="G58">
        <f>IFERROR([1]!s_stm07_is_104($A58,TEXT($B$1,"yyyy/mm/dd"),1),"")</f>
        <v>198381550.53999999</v>
      </c>
      <c r="H58">
        <f>IFERROR([1]!s_stm07_is_105($A58,TEXT($B$1,"yyyy/mm/dd"),1),"")</f>
        <v>53440096.479999997</v>
      </c>
      <c r="I58">
        <f>IFERROR([1]!s_stm07_is($A58,"W72946623",TEXT($B$1,"yyyy/mm/dd"),1),"")</f>
        <v>-201601872.12</v>
      </c>
      <c r="J58">
        <f>IFERROR([1]!s_stm07_is($A58,"W30028333",TEXT($B$1,"yyyy/mm/dd"),1),"")</f>
        <v>-211251852.03</v>
      </c>
      <c r="K58">
        <f>IFERROR([1]!s_stm07_cs($A58,"W77130581",TEXT($B$1,"yyyy/mm/dd"),1),"")</f>
        <v>695153667.25999999</v>
      </c>
      <c r="L58">
        <f>IFERROR([1]!s_stm07_cs($A58,"W77745895",TEXT($B$1,"yyyy/mm/dd"),1),"")</f>
        <v>5379370871.8999996</v>
      </c>
      <c r="M58">
        <f>IFERROR([1]!S_FA_EPS_basic2($A58,$B$1,"Cur=CNY"),"")</f>
        <v>-0.04</v>
      </c>
      <c r="N58">
        <f>IFERROR([1]!s_fa_arturndays($A58,TEXT($B$1,"yyyy/mm/dd")),"")</f>
        <v>41.542099999999998</v>
      </c>
      <c r="O58" t="str">
        <f>IFERROR([1]!fa_apturndays($A58,TEXT($B$1,"yyyy/mm/dd")),"")</f>
        <v>Fetch...</v>
      </c>
      <c r="P58">
        <f>IFERROR([1]!s_fa_invturndays($A58,TEXT($B$1,"yyyy/mm/dd")),"")</f>
        <v>60.845799999999997</v>
      </c>
    </row>
    <row r="59" spans="1:16">
      <c r="A59" t="s">
        <v>72</v>
      </c>
      <c r="B59">
        <f>IFERROR([1]!s_stm07_is($A59,"W70156729",TEXT($B$1,"yyyy/mm/dd"),1),"")</f>
        <v>13162811905.52</v>
      </c>
      <c r="C59">
        <f>IFERROR([1]!s_stm07_is($A59,"W75682424",TEXT($B$1,"yyyy/mm/dd"),1),"")</f>
        <v>11530967124.24</v>
      </c>
      <c r="D59">
        <f>IFERROR([1]!s_stm07_is($A59,"W76031679",TEXT($B$1,"yyyy/mm/dd"),1),"")</f>
        <v>466556889.87</v>
      </c>
      <c r="E59">
        <f>IFERROR([1]!s_stm07_is($A59,"W70752487",TEXT($B$1,"yyyy/mm/dd"),1),"")</f>
        <v>315598960.32999998</v>
      </c>
      <c r="F59">
        <f>IFERROR([1]!s_stm07_is_103($A59,TEXT($B$1,"yyyy/mm/dd"),1),"")</f>
        <v>552968539.34000003</v>
      </c>
      <c r="G59">
        <f>IFERROR([1]!s_stm07_is_104($A59,TEXT($B$1,"yyyy/mm/dd"),1),"")</f>
        <v>64621595.909999996</v>
      </c>
      <c r="H59">
        <f>IFERROR([1]!s_stm07_is_105($A59,TEXT($B$1,"yyyy/mm/dd"),1),"")</f>
        <v>17423234.050000001</v>
      </c>
      <c r="I59">
        <f>IFERROR([1]!s_stm07_is($A59,"W72946623",TEXT($B$1,"yyyy/mm/dd"),1),"")</f>
        <v>12730894.75</v>
      </c>
      <c r="J59">
        <f>IFERROR([1]!s_stm07_is($A59,"W30028333",TEXT($B$1,"yyyy/mm/dd"),1),"")</f>
        <v>56428334.460000001</v>
      </c>
      <c r="K59">
        <f>IFERROR([1]!s_stm07_cs($A59,"W77130581",TEXT($B$1,"yyyy/mm/dd"),1),"")</f>
        <v>-38842539.700000003</v>
      </c>
      <c r="L59">
        <f>IFERROR([1]!s_stm07_cs($A59,"W77745895",TEXT($B$1,"yyyy/mm/dd"),1),"")</f>
        <v>61886384.149999999</v>
      </c>
      <c r="M59">
        <f>IFERROR([1]!S_FA_EPS_basic2($A59,$B$1,"Cur=CNY"),"")</f>
        <v>5.8700000000000002E-2</v>
      </c>
      <c r="N59">
        <f>IFERROR([1]!s_fa_arturndays($A59,TEXT($B$1,"yyyy/mm/dd")),"")</f>
        <v>53.387900000000002</v>
      </c>
      <c r="O59" t="str">
        <f>IFERROR([1]!fa_apturndays($A59,TEXT($B$1,"yyyy/mm/dd")),"")</f>
        <v>Fetch...</v>
      </c>
      <c r="P59">
        <f>IFERROR([1]!s_fa_invturndays($A59,TEXT($B$1,"yyyy/mm/dd")),"")</f>
        <v>153.62289999999999</v>
      </c>
    </row>
    <row r="60" spans="1:16">
      <c r="A60" t="s">
        <v>73</v>
      </c>
      <c r="B60">
        <f>IFERROR([1]!s_stm07_is($A60,"W70156729",TEXT($B$1,"yyyy/mm/dd"),1),"")</f>
        <v>1329180730.6300001</v>
      </c>
      <c r="C60">
        <f>IFERROR([1]!s_stm07_is($A60,"W75682424",TEXT($B$1,"yyyy/mm/dd"),1),"")</f>
        <v>1104193726.6600001</v>
      </c>
      <c r="D60">
        <f>IFERROR([1]!s_stm07_is($A60,"W76031679",TEXT($B$1,"yyyy/mm/dd"),1),"")</f>
        <v>48795.17</v>
      </c>
      <c r="E60">
        <f>IFERROR([1]!s_stm07_is($A60,"W70752487",TEXT($B$1,"yyyy/mm/dd"),1),"")</f>
        <v>75833465.010000005</v>
      </c>
      <c r="F60">
        <f>IFERROR([1]!s_stm07_is_103($A60,TEXT($B$1,"yyyy/mm/dd"),1),"")</f>
        <v>405660.38</v>
      </c>
      <c r="G60">
        <f>IFERROR([1]!s_stm07_is_104($A60,TEXT($B$1,"yyyy/mm/dd"),1),"")</f>
        <v>4718.58</v>
      </c>
      <c r="H60">
        <f>IFERROR([1]!s_stm07_is_105($A60,TEXT($B$1,"yyyy/mm/dd"),1),"")</f>
        <v>40488360.119999997</v>
      </c>
      <c r="I60">
        <f>IFERROR([1]!s_stm07_is($A60,"W72946623",TEXT($B$1,"yyyy/mm/dd"),1),"")</f>
        <v>323690678.56999999</v>
      </c>
      <c r="J60">
        <f>IFERROR([1]!s_stm07_is($A60,"W30028333",TEXT($B$1,"yyyy/mm/dd"),1),"")</f>
        <v>292557430.47000003</v>
      </c>
      <c r="K60">
        <f>IFERROR([1]!s_stm07_cs($A60,"W77130581",TEXT($B$1,"yyyy/mm/dd"),1),"")</f>
        <v>383306665.41000003</v>
      </c>
      <c r="L60">
        <f>IFERROR([1]!s_stm07_cs($A60,"W77745895",TEXT($B$1,"yyyy/mm/dd"),1),"")</f>
        <v>648433806.20000005</v>
      </c>
      <c r="M60">
        <f>IFERROR([1]!S_FA_EPS_basic2($A60,$B$1,"Cur=CNY"),"")</f>
        <v>0.2006</v>
      </c>
      <c r="N60">
        <f>IFERROR([1]!s_fa_arturndays($A60,TEXT($B$1,"yyyy/mm/dd")),"")</f>
        <v>13.816700000000001</v>
      </c>
      <c r="O60" t="str">
        <f>IFERROR([1]!fa_apturndays($A60,TEXT($B$1,"yyyy/mm/dd")),"")</f>
        <v>Fetch...</v>
      </c>
      <c r="P60">
        <f>IFERROR([1]!s_fa_invturndays($A60,TEXT($B$1,"yyyy/mm/dd")),"")</f>
        <v>18.279499999999999</v>
      </c>
    </row>
    <row r="61" spans="1:16">
      <c r="A61" t="s">
        <v>74</v>
      </c>
      <c r="B61">
        <f>IFERROR([1]!s_stm07_is($A61,"W70156729",TEXT($B$1,"yyyy/mm/dd"),1),"")</f>
        <v>13390817405.940001</v>
      </c>
      <c r="C61">
        <f>IFERROR([1]!s_stm07_is($A61,"W75682424",TEXT($B$1,"yyyy/mm/dd"),1),"")</f>
        <v>11013479521.82</v>
      </c>
      <c r="D61">
        <f>IFERROR([1]!s_stm07_is($A61,"W76031679",TEXT($B$1,"yyyy/mm/dd"),1),"")</f>
        <v>153040104.03999999</v>
      </c>
      <c r="E61">
        <f>IFERROR([1]!s_stm07_is($A61,"W70752487",TEXT($B$1,"yyyy/mm/dd"),1),"")</f>
        <v>453674503.82999998</v>
      </c>
      <c r="F61">
        <f>IFERROR([1]!s_stm07_is_103($A61,TEXT($B$1,"yyyy/mm/dd"),1),"")</f>
        <v>558749282.85000002</v>
      </c>
      <c r="G61">
        <f>IFERROR([1]!s_stm07_is_104($A61,TEXT($B$1,"yyyy/mm/dd"),1),"")</f>
        <v>228520734.08000001</v>
      </c>
      <c r="H61">
        <f>IFERROR([1]!s_stm07_is_105($A61,TEXT($B$1,"yyyy/mm/dd"),1),"")</f>
        <v>168042350.63999999</v>
      </c>
      <c r="I61">
        <f>IFERROR([1]!s_stm07_is($A61,"W72946623",TEXT($B$1,"yyyy/mm/dd"),1),"")</f>
        <v>1176441016.75</v>
      </c>
      <c r="J61">
        <f>IFERROR([1]!s_stm07_is($A61,"W30028333",TEXT($B$1,"yyyy/mm/dd"),1),"")</f>
        <v>1035577689.61</v>
      </c>
      <c r="K61">
        <f>IFERROR([1]!s_stm07_cs($A61,"W77130581",TEXT($B$1,"yyyy/mm/dd"),1),"")</f>
        <v>1594291840.0699999</v>
      </c>
      <c r="L61">
        <f>IFERROR([1]!s_stm07_cs($A61,"W77745895",TEXT($B$1,"yyyy/mm/dd"),1),"")</f>
        <v>230350067.18000001</v>
      </c>
      <c r="M61">
        <f>IFERROR([1]!S_FA_EPS_basic2($A61,$B$1,"Cur=CNY"),"")</f>
        <v>0.31</v>
      </c>
      <c r="N61">
        <f>IFERROR([1]!s_fa_arturndays($A61,TEXT($B$1,"yyyy/mm/dd")),"")</f>
        <v>78.128399999999999</v>
      </c>
      <c r="O61" t="str">
        <f>IFERROR([1]!fa_apturndays($A61,TEXT($B$1,"yyyy/mm/dd")),"")</f>
        <v>Fetch...</v>
      </c>
      <c r="P61">
        <f>IFERROR([1]!s_fa_invturndays($A61,TEXT($B$1,"yyyy/mm/dd")),"")</f>
        <v>109.95050000000001</v>
      </c>
    </row>
    <row r="62" spans="1:16">
      <c r="A62" t="s">
        <v>75</v>
      </c>
      <c r="B62">
        <f>IFERROR([1]!s_stm07_is($A62,"W70156729",TEXT($B$1,"yyyy/mm/dd"),1),"")</f>
        <v>2952464974.0900002</v>
      </c>
      <c r="C62">
        <f>IFERROR([1]!s_stm07_is($A62,"W75682424",TEXT($B$1,"yyyy/mm/dd"),1),"")</f>
        <v>0</v>
      </c>
      <c r="D62">
        <f>IFERROR([1]!s_stm07_is($A62,"W76031679",TEXT($B$1,"yyyy/mm/dd"),1),"")</f>
        <v>0</v>
      </c>
      <c r="E62">
        <f>IFERROR([1]!s_stm07_is($A62,"W70752487",TEXT($B$1,"yyyy/mm/dd"),1),"")</f>
        <v>876934350.96000004</v>
      </c>
      <c r="F62">
        <f>IFERROR([1]!s_stm07_is_103($A62,TEXT($B$1,"yyyy/mm/dd"),1),"")</f>
        <v>0</v>
      </c>
      <c r="G62">
        <f>IFERROR([1]!s_stm07_is_104($A62,TEXT($B$1,"yyyy/mm/dd"),1),"")</f>
        <v>0</v>
      </c>
      <c r="H62">
        <f>IFERROR([1]!s_stm07_is_105($A62,TEXT($B$1,"yyyy/mm/dd"),1),"")</f>
        <v>0</v>
      </c>
      <c r="I62">
        <f>IFERROR([1]!s_stm07_is($A62,"W72946623",TEXT($B$1,"yyyy/mm/dd"),1),"")</f>
        <v>1907591070.71</v>
      </c>
      <c r="J62">
        <f>IFERROR([1]!s_stm07_is($A62,"W30028333",TEXT($B$1,"yyyy/mm/dd"),1),"")</f>
        <v>1432568054.95</v>
      </c>
      <c r="K62">
        <f>IFERROR([1]!s_stm07_cs($A62,"W77130581",TEXT($B$1,"yyyy/mm/dd"),1),"")</f>
        <v>-879487928.37</v>
      </c>
      <c r="L62">
        <f>IFERROR([1]!s_stm07_cs($A62,"W77745895",TEXT($B$1,"yyyy/mm/dd"),1),"")</f>
        <v>220097292.69999999</v>
      </c>
      <c r="M62">
        <f>IFERROR([1]!S_FA_EPS_basic2($A62,$B$1,"Cur=CNY"),"")</f>
        <v>0.28010000000000002</v>
      </c>
      <c r="N62">
        <f>IFERROR([1]!s_fa_arturndays($A62,TEXT($B$1,"yyyy/mm/dd")),"")</f>
        <v>0</v>
      </c>
      <c r="O62" t="str">
        <f>IFERROR([1]!fa_apturndays($A62,TEXT($B$1,"yyyy/mm/dd")),"")</f>
        <v>Fetch...</v>
      </c>
      <c r="P62">
        <f>IFERROR([1]!s_fa_invturndays($A62,TEXT($B$1,"yyyy/mm/dd")),"")</f>
        <v>0</v>
      </c>
    </row>
    <row r="63" spans="1:16">
      <c r="A63" t="s">
        <v>76</v>
      </c>
      <c r="B63">
        <f>IFERROR([1]!s_stm07_is($A63,"W70156729",TEXT($B$1,"yyyy/mm/dd"),1),"")</f>
        <v>703746312.73000002</v>
      </c>
      <c r="C63">
        <f>IFERROR([1]!s_stm07_is($A63,"W75682424",TEXT($B$1,"yyyy/mm/dd"),1),"")</f>
        <v>27180553.59</v>
      </c>
      <c r="D63">
        <f>IFERROR([1]!s_stm07_is($A63,"W76031679",TEXT($B$1,"yyyy/mm/dd"),1),"")</f>
        <v>1222082.83</v>
      </c>
      <c r="E63">
        <f>IFERROR([1]!s_stm07_is($A63,"W70752487",TEXT($B$1,"yyyy/mm/dd"),1),"")</f>
        <v>149881825.25</v>
      </c>
      <c r="F63">
        <f>IFERROR([1]!s_stm07_is_103($A63,TEXT($B$1,"yyyy/mm/dd"),1),"")</f>
        <v>657926.06999999995</v>
      </c>
      <c r="G63">
        <f>IFERROR([1]!s_stm07_is_104($A63,TEXT($B$1,"yyyy/mm/dd"),1),"")</f>
        <v>204883624.97</v>
      </c>
      <c r="H63">
        <f>IFERROR([1]!s_stm07_is_105($A63,TEXT($B$1,"yyyy/mm/dd"),1),"")</f>
        <v>2944656.56</v>
      </c>
      <c r="I63">
        <f>IFERROR([1]!s_stm07_is($A63,"W72946623",TEXT($B$1,"yyyy/mm/dd"),1),"")</f>
        <v>435492584.20999998</v>
      </c>
      <c r="J63">
        <f>IFERROR([1]!s_stm07_is($A63,"W30028333",TEXT($B$1,"yyyy/mm/dd"),1),"")</f>
        <v>384990918.20999998</v>
      </c>
      <c r="K63">
        <f>IFERROR([1]!s_stm07_cs($A63,"W77130581",TEXT($B$1,"yyyy/mm/dd"),1),"")</f>
        <v>1224828043.48</v>
      </c>
      <c r="L63">
        <f>IFERROR([1]!s_stm07_cs($A63,"W77745895",TEXT($B$1,"yyyy/mm/dd"),1),"")</f>
        <v>2782818.26</v>
      </c>
      <c r="M63">
        <f>IFERROR([1]!S_FA_EPS_basic2($A63,$B$1,"Cur=CNY"),"")</f>
        <v>0.19700000000000001</v>
      </c>
      <c r="N63">
        <f>IFERROR([1]!s_fa_arturndays($A63,TEXT($B$1,"yyyy/mm/dd")),"")</f>
        <v>17.220300000000002</v>
      </c>
      <c r="O63" t="str">
        <f>IFERROR([1]!fa_apturndays($A63,TEXT($B$1,"yyyy/mm/dd")),"")</f>
        <v>Fetch...</v>
      </c>
      <c r="P63">
        <f>IFERROR([1]!s_fa_invturndays($A63,TEXT($B$1,"yyyy/mm/dd")),"")</f>
        <v>0</v>
      </c>
    </row>
    <row r="64" spans="1:16">
      <c r="A64" t="s">
        <v>77</v>
      </c>
      <c r="B64">
        <f>IFERROR([1]!s_stm07_is($A64,"W70156729",TEXT($B$1,"yyyy/mm/dd"),1),"")</f>
        <v>25731010647.32</v>
      </c>
      <c r="C64">
        <f>IFERROR([1]!s_stm07_is($A64,"W75682424",TEXT($B$1,"yyyy/mm/dd"),1),"")</f>
        <v>3441749582.6900001</v>
      </c>
      <c r="D64">
        <f>IFERROR([1]!s_stm07_is($A64,"W76031679",TEXT($B$1,"yyyy/mm/dd"),1),"")</f>
        <v>3237149369.1500001</v>
      </c>
      <c r="E64">
        <f>IFERROR([1]!s_stm07_is($A64,"W70752487",TEXT($B$1,"yyyy/mm/dd"),1),"")</f>
        <v>962421600.79999995</v>
      </c>
      <c r="F64">
        <f>IFERROR([1]!s_stm07_is_103($A64,TEXT($B$1,"yyyy/mm/dd"),1),"")</f>
        <v>215855671.81</v>
      </c>
      <c r="G64">
        <f>IFERROR([1]!s_stm07_is_104($A64,TEXT($B$1,"yyyy/mm/dd"),1),"")</f>
        <v>157503475.68000001</v>
      </c>
      <c r="H64">
        <f>IFERROR([1]!s_stm07_is_105($A64,TEXT($B$1,"yyyy/mm/dd"),1),"")</f>
        <v>678460704.25999999</v>
      </c>
      <c r="I64">
        <f>IFERROR([1]!s_stm07_is($A64,"W72946623",TEXT($B$1,"yyyy/mm/dd"),1),"")</f>
        <v>14653935736.33</v>
      </c>
      <c r="J64">
        <f>IFERROR([1]!s_stm07_is($A64,"W30028333",TEXT($B$1,"yyyy/mm/dd"),1),"")</f>
        <v>10830713936.139999</v>
      </c>
      <c r="K64">
        <f>IFERROR([1]!s_stm07_cs($A64,"W77130581",TEXT($B$1,"yyyy/mm/dd"),1),"")</f>
        <v>7123218677.8800001</v>
      </c>
      <c r="L64">
        <f>IFERROR([1]!s_stm07_cs($A64,"W77745895",TEXT($B$1,"yyyy/mm/dd"),1),"")</f>
        <v>1932762969.97</v>
      </c>
      <c r="M64">
        <f>IFERROR([1]!S_FA_EPS_basic2($A64,$B$1,"Cur=CNY"),"")</f>
        <v>7.36</v>
      </c>
      <c r="N64">
        <f>IFERROR([1]!s_fa_arturndays($A64,TEXT($B$1,"yyyy/mm/dd")),"")</f>
        <v>0.1196</v>
      </c>
      <c r="O64" t="str">
        <f>IFERROR([1]!fa_apturndays($A64,TEXT($B$1,"yyyy/mm/dd")),"")</f>
        <v>Fetch...</v>
      </c>
      <c r="P64">
        <f>IFERROR([1]!s_fa_invturndays($A64,TEXT($B$1,"yyyy/mm/dd")),"")</f>
        <v>1505.6461999999999</v>
      </c>
    </row>
    <row r="65" spans="1:16">
      <c r="A65" t="s">
        <v>78</v>
      </c>
      <c r="B65">
        <f>IFERROR([1]!s_stm07_is($A65,"W70156729",TEXT($B$1,"yyyy/mm/dd"),1),"")</f>
        <v>12023879058.27</v>
      </c>
      <c r="C65">
        <f>IFERROR([1]!s_stm07_is($A65,"W75682424",TEXT($B$1,"yyyy/mm/dd"),1),"")</f>
        <v>9939838148.7399998</v>
      </c>
      <c r="D65">
        <f>IFERROR([1]!s_stm07_is($A65,"W76031679",TEXT($B$1,"yyyy/mm/dd"),1),"")</f>
        <v>204860008.41999999</v>
      </c>
      <c r="E65">
        <f>IFERROR([1]!s_stm07_is($A65,"W70752487",TEXT($B$1,"yyyy/mm/dd"),1),"")</f>
        <v>807541005.61000001</v>
      </c>
      <c r="F65">
        <f>IFERROR([1]!s_stm07_is_103($A65,TEXT($B$1,"yyyy/mm/dd"),1),"")</f>
        <v>695553391.88999999</v>
      </c>
      <c r="G65">
        <f>IFERROR([1]!s_stm07_is_104($A65,TEXT($B$1,"yyyy/mm/dd"),1),"")</f>
        <v>22596287.739999998</v>
      </c>
      <c r="H65">
        <f>IFERROR([1]!s_stm07_is_105($A65,TEXT($B$1,"yyyy/mm/dd"),1),"")</f>
        <v>51524160.25</v>
      </c>
      <c r="I65">
        <f>IFERROR([1]!s_stm07_is($A65,"W72946623",TEXT($B$1,"yyyy/mm/dd"),1),"")</f>
        <v>1163377187.22</v>
      </c>
      <c r="J65">
        <f>IFERROR([1]!s_stm07_is($A65,"W30028333",TEXT($B$1,"yyyy/mm/dd"),1),"")</f>
        <v>1068167498.05</v>
      </c>
      <c r="K65">
        <f>IFERROR([1]!s_stm07_cs($A65,"W77130581",TEXT($B$1,"yyyy/mm/dd"),1),"")</f>
        <v>992727022.87</v>
      </c>
      <c r="L65">
        <f>IFERROR([1]!s_stm07_cs($A65,"W77745895",TEXT($B$1,"yyyy/mm/dd"),1),"")</f>
        <v>941942102.19000006</v>
      </c>
      <c r="M65">
        <f>IFERROR([1]!S_FA_EPS_basic2($A65,$B$1,"Cur=CNY"),"")</f>
        <v>1.1000000000000001</v>
      </c>
      <c r="N65">
        <f>IFERROR([1]!s_fa_arturndays($A65,TEXT($B$1,"yyyy/mm/dd")),"")</f>
        <v>120.9393</v>
      </c>
      <c r="O65" t="str">
        <f>IFERROR([1]!fa_apturndays($A65,TEXT($B$1,"yyyy/mm/dd")),"")</f>
        <v>Fetch...</v>
      </c>
      <c r="P65">
        <f>IFERROR([1]!s_fa_invturndays($A65,TEXT($B$1,"yyyy/mm/dd")),"")</f>
        <v>86.326800000000006</v>
      </c>
    </row>
    <row r="66" spans="1:16">
      <c r="A66" t="s">
        <v>79</v>
      </c>
      <c r="B66">
        <f>IFERROR([1]!s_stm07_is($A66,"W70156729",TEXT($B$1,"yyyy/mm/dd"),1),"")</f>
        <v>7613959063.5799999</v>
      </c>
      <c r="C66">
        <f>IFERROR([1]!s_stm07_is($A66,"W75682424",TEXT($B$1,"yyyy/mm/dd"),1),"")</f>
        <v>5309620598.3000002</v>
      </c>
      <c r="D66">
        <f>IFERROR([1]!s_stm07_is($A66,"W76031679",TEXT($B$1,"yyyy/mm/dd"),1),"")</f>
        <v>0</v>
      </c>
      <c r="E66">
        <f>IFERROR([1]!s_stm07_is($A66,"W70752487",TEXT($B$1,"yyyy/mm/dd"),1),"")</f>
        <v>585048713.10000002</v>
      </c>
      <c r="F66">
        <f>IFERROR([1]!s_stm07_is_103($A66,TEXT($B$1,"yyyy/mm/dd"),1),"")</f>
        <v>45361439.020000003</v>
      </c>
      <c r="G66">
        <f>IFERROR([1]!s_stm07_is_104($A66,TEXT($B$1,"yyyy/mm/dd"),1),"")</f>
        <v>309350844.04000002</v>
      </c>
      <c r="H66">
        <f>IFERROR([1]!s_stm07_is_105($A66,TEXT($B$1,"yyyy/mm/dd"),1),"")</f>
        <v>20236426.75</v>
      </c>
      <c r="I66">
        <f>IFERROR([1]!s_stm07_is($A66,"W72946623",TEXT($B$1,"yyyy/mm/dd"),1),"")</f>
        <v>1441906529.21</v>
      </c>
      <c r="J66">
        <f>IFERROR([1]!s_stm07_is($A66,"W30028333",TEXT($B$1,"yyyy/mm/dd"),1),"")</f>
        <v>1038024485.4</v>
      </c>
      <c r="K66">
        <f>IFERROR([1]!s_stm07_cs($A66,"W77130581",TEXT($B$1,"yyyy/mm/dd"),1),"")</f>
        <v>3063130247.29</v>
      </c>
      <c r="L66">
        <f>IFERROR([1]!s_stm07_cs($A66,"W77745895",TEXT($B$1,"yyyy/mm/dd"),1),"")</f>
        <v>2734502708.1999998</v>
      </c>
      <c r="M66">
        <f>IFERROR([1]!S_FA_EPS_basic2($A66,$B$1,"Cur=CNY"),"")</f>
        <v>0.44500000000000001</v>
      </c>
      <c r="N66">
        <f>IFERROR([1]!s_fa_arturndays($A66,TEXT($B$1,"yyyy/mm/dd")),"")</f>
        <v>24.499600000000001</v>
      </c>
      <c r="O66" t="str">
        <f>IFERROR([1]!fa_apturndays($A66,TEXT($B$1,"yyyy/mm/dd")),"")</f>
        <v>Fetch...</v>
      </c>
      <c r="P66">
        <f>IFERROR([1]!s_fa_invturndays($A66,TEXT($B$1,"yyyy/mm/dd")),"")</f>
        <v>2.7317</v>
      </c>
    </row>
    <row r="67" spans="1:16">
      <c r="A67" t="s">
        <v>80</v>
      </c>
      <c r="B67">
        <f>IFERROR([1]!s_stm07_is($A67,"W70156729",TEXT($B$1,"yyyy/mm/dd"),1),"")</f>
        <v>10945780971.219999</v>
      </c>
      <c r="C67">
        <f>IFERROR([1]!s_stm07_is($A67,"W75682424",TEXT($B$1,"yyyy/mm/dd"),1),"")</f>
        <v>8941957466.2900009</v>
      </c>
      <c r="D67">
        <f>IFERROR([1]!s_stm07_is($A67,"W76031679",TEXT($B$1,"yyyy/mm/dd"),1),"")</f>
        <v>467397574.91000003</v>
      </c>
      <c r="E67">
        <f>IFERROR([1]!s_stm07_is($A67,"W70752487",TEXT($B$1,"yyyy/mm/dd"),1),"")</f>
        <v>329069810.29000002</v>
      </c>
      <c r="F67">
        <f>IFERROR([1]!s_stm07_is_103($A67,TEXT($B$1,"yyyy/mm/dd"),1),"")</f>
        <v>383659429.94999999</v>
      </c>
      <c r="G67">
        <f>IFERROR([1]!s_stm07_is_104($A67,TEXT($B$1,"yyyy/mm/dd"),1),"")</f>
        <v>120106889.7</v>
      </c>
      <c r="H67">
        <f>IFERROR([1]!s_stm07_is_105($A67,TEXT($B$1,"yyyy/mm/dd"),1),"")</f>
        <v>38236101.939999998</v>
      </c>
      <c r="I67">
        <f>IFERROR([1]!s_stm07_is($A67,"W72946623",TEXT($B$1,"yyyy/mm/dd"),1),"")</f>
        <v>720593482.35000002</v>
      </c>
      <c r="J67">
        <f>IFERROR([1]!s_stm07_is($A67,"W30028333",TEXT($B$1,"yyyy/mm/dd"),1),"")</f>
        <v>620018085.48000002</v>
      </c>
      <c r="K67">
        <f>IFERROR([1]!s_stm07_cs($A67,"W77130581",TEXT($B$1,"yyyy/mm/dd"),1),"")</f>
        <v>799279694.03999996</v>
      </c>
      <c r="L67">
        <f>IFERROR([1]!s_stm07_cs($A67,"W77745895",TEXT($B$1,"yyyy/mm/dd"),1),"")</f>
        <v>1484650043</v>
      </c>
      <c r="M67">
        <f>IFERROR([1]!S_FA_EPS_basic2($A67,$B$1,"Cur=CNY"),"")</f>
        <v>0.4</v>
      </c>
      <c r="N67">
        <f>IFERROR([1]!s_fa_arturndays($A67,TEXT($B$1,"yyyy/mm/dd")),"")</f>
        <v>75.001599999999996</v>
      </c>
      <c r="O67" t="str">
        <f>IFERROR([1]!fa_apturndays($A67,TEXT($B$1,"yyyy/mm/dd")),"")</f>
        <v>Fetch...</v>
      </c>
      <c r="P67">
        <f>IFERROR([1]!s_fa_invturndays($A67,TEXT($B$1,"yyyy/mm/dd")),"")</f>
        <v>75.703400000000002</v>
      </c>
    </row>
    <row r="68" spans="1:16">
      <c r="A68" t="s">
        <v>81</v>
      </c>
      <c r="B68">
        <f>IFERROR([1]!s_stm07_is($A68,"W70156729",TEXT($B$1,"yyyy/mm/dd"),1),"")</f>
        <v>4957477263.1099997</v>
      </c>
      <c r="C68">
        <f>IFERROR([1]!s_stm07_is($A68,"W75682424",TEXT($B$1,"yyyy/mm/dd"),1),"")</f>
        <v>2648076566.71</v>
      </c>
      <c r="D68">
        <f>IFERROR([1]!s_stm07_is($A68,"W76031679",TEXT($B$1,"yyyy/mm/dd"),1),"")</f>
        <v>15087989.43</v>
      </c>
      <c r="E68">
        <f>IFERROR([1]!s_stm07_is($A68,"W70752487",TEXT($B$1,"yyyy/mm/dd"),1),"")</f>
        <v>267434893.31999999</v>
      </c>
      <c r="F68">
        <f>IFERROR([1]!s_stm07_is_103($A68,TEXT($B$1,"yyyy/mm/dd"),1),"")</f>
        <v>99365844.590000004</v>
      </c>
      <c r="G68">
        <f>IFERROR([1]!s_stm07_is_104($A68,TEXT($B$1,"yyyy/mm/dd"),1),"")</f>
        <v>617554427.72000003</v>
      </c>
      <c r="H68">
        <f>IFERROR([1]!s_stm07_is_105($A68,TEXT($B$1,"yyyy/mm/dd"),1),"")</f>
        <v>22390599.239999998</v>
      </c>
      <c r="I68">
        <f>IFERROR([1]!s_stm07_is($A68,"W72946623",TEXT($B$1,"yyyy/mm/dd"),1),"")</f>
        <v>1119613510.54</v>
      </c>
      <c r="J68">
        <f>IFERROR([1]!s_stm07_is($A68,"W30028333",TEXT($B$1,"yyyy/mm/dd"),1),"")</f>
        <v>822649685.21000004</v>
      </c>
      <c r="K68">
        <f>IFERROR([1]!s_stm07_cs($A68,"W77130581",TEXT($B$1,"yyyy/mm/dd"),1),"")</f>
        <v>4133466777.6199999</v>
      </c>
      <c r="L68">
        <f>IFERROR([1]!s_stm07_cs($A68,"W77745895",TEXT($B$1,"yyyy/mm/dd"),1),"")</f>
        <v>3857160554.6500001</v>
      </c>
      <c r="M68">
        <f>IFERROR([1]!S_FA_EPS_basic2($A68,$B$1,"Cur=CNY"),"")</f>
        <v>0.2099</v>
      </c>
      <c r="N68">
        <f>IFERROR([1]!s_fa_arturndays($A68,TEXT($B$1,"yyyy/mm/dd")),"")</f>
        <v>896.63760000000002</v>
      </c>
      <c r="O68" t="str">
        <f>IFERROR([1]!fa_apturndays($A68,TEXT($B$1,"yyyy/mm/dd")),"")</f>
        <v>Fetch...</v>
      </c>
      <c r="P68">
        <f>IFERROR([1]!s_fa_invturndays($A68,TEXT($B$1,"yyyy/mm/dd")),"")</f>
        <v>13.701599999999999</v>
      </c>
    </row>
    <row r="69" spans="1:16">
      <c r="A69" t="s">
        <v>82</v>
      </c>
      <c r="B69">
        <f>IFERROR([1]!s_stm07_is($A69,"W70156729",TEXT($B$1,"yyyy/mm/dd"),1),"")</f>
        <v>18831982591.240002</v>
      </c>
      <c r="C69">
        <f>IFERROR([1]!s_stm07_is($A69,"W75682424",TEXT($B$1,"yyyy/mm/dd"),1),"")</f>
        <v>3906499790.1700001</v>
      </c>
      <c r="D69">
        <f>IFERROR([1]!s_stm07_is($A69,"W76031679",TEXT($B$1,"yyyy/mm/dd"),1),"")</f>
        <v>5458012676.2700005</v>
      </c>
      <c r="E69">
        <f>IFERROR([1]!s_stm07_is($A69,"W70752487",TEXT($B$1,"yyyy/mm/dd"),1),"")</f>
        <v>1454681864.6800001</v>
      </c>
      <c r="F69">
        <f>IFERROR([1]!s_stm07_is_103($A69,TEXT($B$1,"yyyy/mm/dd"),1),"")</f>
        <v>88190543.640000001</v>
      </c>
      <c r="G69">
        <f>IFERROR([1]!s_stm07_is_104($A69,TEXT($B$1,"yyyy/mm/dd"),1),"")</f>
        <v>10592597.93</v>
      </c>
      <c r="H69">
        <f>IFERROR([1]!s_stm07_is_105($A69,TEXT($B$1,"yyyy/mm/dd"),1),"")</f>
        <v>538057668.12</v>
      </c>
      <c r="I69">
        <f>IFERROR([1]!s_stm07_is($A69,"W72946623",TEXT($B$1,"yyyy/mm/dd"),1),"")</f>
        <v>5084148233.1499996</v>
      </c>
      <c r="J69">
        <f>IFERROR([1]!s_stm07_is($A69,"W30028333",TEXT($B$1,"yyyy/mm/dd"),1),"")</f>
        <v>3549108530.3400002</v>
      </c>
      <c r="K69">
        <f>IFERROR([1]!s_stm07_cs($A69,"W77130581",TEXT($B$1,"yyyy/mm/dd"),1),"")</f>
        <v>1947212977</v>
      </c>
      <c r="L69">
        <f>IFERROR([1]!s_stm07_cs($A69,"W77745895",TEXT($B$1,"yyyy/mm/dd"),1),"")</f>
        <v>1663125672.79</v>
      </c>
      <c r="M69">
        <f>IFERROR([1]!S_FA_EPS_basic2($A69,$B$1,"Cur=CNY"),"")</f>
        <v>6.71</v>
      </c>
      <c r="N69">
        <f>IFERROR([1]!s_fa_arturndays($A69,TEXT($B$1,"yyyy/mm/dd")),"")</f>
        <v>1.1835</v>
      </c>
      <c r="O69" t="str">
        <f>IFERROR([1]!fa_apturndays($A69,TEXT($B$1,"yyyy/mm/dd")),"")</f>
        <v>Fetch...</v>
      </c>
      <c r="P69">
        <f>IFERROR([1]!s_fa_invturndays($A69,TEXT($B$1,"yyyy/mm/dd")),"")</f>
        <v>921.65899999999999</v>
      </c>
    </row>
    <row r="70" spans="1:16">
      <c r="A70" t="s">
        <v>83</v>
      </c>
      <c r="B70">
        <f>IFERROR([1]!s_stm07_is($A70,"W70156729",TEXT($B$1,"yyyy/mm/dd"),1),"")</f>
        <v>7074853263.9200001</v>
      </c>
      <c r="C70">
        <f>IFERROR([1]!s_stm07_is($A70,"W75682424",TEXT($B$1,"yyyy/mm/dd"),1),"")</f>
        <v>4437711164.9099998</v>
      </c>
      <c r="D70">
        <f>IFERROR([1]!s_stm07_is($A70,"W76031679",TEXT($B$1,"yyyy/mm/dd"),1),"")</f>
        <v>1264523861.6800001</v>
      </c>
      <c r="E70">
        <f>IFERROR([1]!s_stm07_is($A70,"W70752487",TEXT($B$1,"yyyy/mm/dd"),1),"")</f>
        <v>702328686.07000005</v>
      </c>
      <c r="F70">
        <f>IFERROR([1]!s_stm07_is_103($A70,TEXT($B$1,"yyyy/mm/dd"),1),"")</f>
        <v>172266427.47999999</v>
      </c>
      <c r="G70">
        <f>IFERROR([1]!s_stm07_is_104($A70,TEXT($B$1,"yyyy/mm/dd"),1),"")</f>
        <v>49163074.740000002</v>
      </c>
      <c r="H70">
        <f>IFERROR([1]!s_stm07_is_105($A70,TEXT($B$1,"yyyy/mm/dd"),1),"")</f>
        <v>90670813.430000007</v>
      </c>
      <c r="I70">
        <f>IFERROR([1]!s_stm07_is($A70,"W72946623",TEXT($B$1,"yyyy/mm/dd"),1),"")</f>
        <v>305263043.5</v>
      </c>
      <c r="J70">
        <f>IFERROR([1]!s_stm07_is($A70,"W30028333",TEXT($B$1,"yyyy/mm/dd"),1),"")</f>
        <v>260070456.65000001</v>
      </c>
      <c r="K70">
        <f>IFERROR([1]!s_stm07_cs($A70,"W77130581",TEXT($B$1,"yyyy/mm/dd"),1),"")</f>
        <v>1106382481.27</v>
      </c>
      <c r="L70">
        <f>IFERROR([1]!s_stm07_cs($A70,"W77745895",TEXT($B$1,"yyyy/mm/dd"),1),"")</f>
        <v>97784716.480000004</v>
      </c>
      <c r="M70">
        <f>IFERROR([1]!S_FA_EPS_basic2($A70,$B$1,"Cur=CNY"),"")</f>
        <v>0.18</v>
      </c>
      <c r="N70">
        <f>IFERROR([1]!s_fa_arturndays($A70,TEXT($B$1,"yyyy/mm/dd")),"")</f>
        <v>93.930999999999997</v>
      </c>
      <c r="O70" t="str">
        <f>IFERROR([1]!fa_apturndays($A70,TEXT($B$1,"yyyy/mm/dd")),"")</f>
        <v>Fetch...</v>
      </c>
      <c r="P70">
        <f>IFERROR([1]!s_fa_invturndays($A70,TEXT($B$1,"yyyy/mm/dd")),"")</f>
        <v>101.87050000000001</v>
      </c>
    </row>
    <row r="71" spans="1:16">
      <c r="A71" t="s">
        <v>84</v>
      </c>
      <c r="B71">
        <f>IFERROR([1]!s_stm07_is($A71,"W70156729",TEXT($B$1,"yyyy/mm/dd"),1),"")</f>
        <v>9067634073.3500004</v>
      </c>
      <c r="C71">
        <f>IFERROR([1]!s_stm07_is($A71,"W75682424",TEXT($B$1,"yyyy/mm/dd"),1),"")</f>
        <v>5067557302.5100002</v>
      </c>
      <c r="D71">
        <f>IFERROR([1]!s_stm07_is($A71,"W76031679",TEXT($B$1,"yyyy/mm/dd"),1),"")</f>
        <v>224824162.88999999</v>
      </c>
      <c r="E71">
        <f>IFERROR([1]!s_stm07_is($A71,"W70752487",TEXT($B$1,"yyyy/mm/dd"),1),"")</f>
        <v>574064491.91999996</v>
      </c>
      <c r="F71">
        <f>IFERROR([1]!s_stm07_is_103($A71,TEXT($B$1,"yyyy/mm/dd"),1),"")</f>
        <v>41006479.829999998</v>
      </c>
      <c r="G71">
        <f>IFERROR([1]!s_stm07_is_104($A71,TEXT($B$1,"yyyy/mm/dd"),1),"")</f>
        <v>553497143.04999995</v>
      </c>
      <c r="H71">
        <f>IFERROR([1]!s_stm07_is_105($A71,TEXT($B$1,"yyyy/mm/dd"),1),"")</f>
        <v>153216478.22999999</v>
      </c>
      <c r="I71">
        <f>IFERROR([1]!s_stm07_is($A71,"W72946623",TEXT($B$1,"yyyy/mm/dd"),1),"")</f>
        <v>2453987553.02</v>
      </c>
      <c r="J71">
        <f>IFERROR([1]!s_stm07_is($A71,"W30028333",TEXT($B$1,"yyyy/mm/dd"),1),"")</f>
        <v>2005011770.27</v>
      </c>
      <c r="K71">
        <f>IFERROR([1]!s_stm07_cs($A71,"W77130581",TEXT($B$1,"yyyy/mm/dd"),1),"")</f>
        <v>3700670021.6999998</v>
      </c>
      <c r="L71">
        <f>IFERROR([1]!s_stm07_cs($A71,"W77745895",TEXT($B$1,"yyyy/mm/dd"),1),"")</f>
        <v>3366477493.5999999</v>
      </c>
      <c r="M71">
        <f>IFERROR([1]!S_FA_EPS_basic2($A71,$B$1,"Cur=CNY"),"")</f>
        <v>0.67269999999999996</v>
      </c>
      <c r="N71">
        <f>IFERROR([1]!s_fa_arturndays($A71,TEXT($B$1,"yyyy/mm/dd")),"")</f>
        <v>135.87979999999999</v>
      </c>
      <c r="O71" t="str">
        <f>IFERROR([1]!fa_apturndays($A71,TEXT($B$1,"yyyy/mm/dd")),"")</f>
        <v>Fetch...</v>
      </c>
      <c r="P71">
        <f>IFERROR([1]!s_fa_invturndays($A71,TEXT($B$1,"yyyy/mm/dd")),"")</f>
        <v>63.811700000000002</v>
      </c>
    </row>
    <row r="72" spans="1:16">
      <c r="A72" t="s">
        <v>85</v>
      </c>
      <c r="B72">
        <f>IFERROR([1]!s_stm07_is($A72,"W70156729",TEXT($B$1,"yyyy/mm/dd"),1),"")</f>
        <v>22785638149.330002</v>
      </c>
      <c r="C72">
        <f>IFERROR([1]!s_stm07_is($A72,"W75682424",TEXT($B$1,"yyyy/mm/dd"),1),"")</f>
        <v>16713805568.379999</v>
      </c>
      <c r="D72">
        <f>IFERROR([1]!s_stm07_is($A72,"W76031679",TEXT($B$1,"yyyy/mm/dd"),1),"")</f>
        <v>184915416.87</v>
      </c>
      <c r="E72">
        <f>IFERROR([1]!s_stm07_is($A72,"W70752487",TEXT($B$1,"yyyy/mm/dd"),1),"")</f>
        <v>946310435.86000001</v>
      </c>
      <c r="F72">
        <f>IFERROR([1]!s_stm07_is_103($A72,TEXT($B$1,"yyyy/mm/dd"),1),"")</f>
        <v>1333812373.6300001</v>
      </c>
      <c r="G72">
        <f>IFERROR([1]!s_stm07_is_104($A72,TEXT($B$1,"yyyy/mm/dd"),1),"")</f>
        <v>550445266.38999999</v>
      </c>
      <c r="H72">
        <f>IFERROR([1]!s_stm07_is_105($A72,TEXT($B$1,"yyyy/mm/dd"),1),"")</f>
        <v>16346552.960000001</v>
      </c>
      <c r="I72">
        <f>IFERROR([1]!s_stm07_is($A72,"W72946623",TEXT($B$1,"yyyy/mm/dd"),1),"")</f>
        <v>3418609439.8099999</v>
      </c>
      <c r="J72">
        <f>IFERROR([1]!s_stm07_is($A72,"W30028333",TEXT($B$1,"yyyy/mm/dd"),1),"")</f>
        <v>1878525272.3</v>
      </c>
      <c r="K72">
        <f>IFERROR([1]!s_stm07_cs($A72,"W77130581",TEXT($B$1,"yyyy/mm/dd"),1),"")</f>
        <v>5418057757.0900002</v>
      </c>
      <c r="L72">
        <f>IFERROR([1]!s_stm07_cs($A72,"W77745895",TEXT($B$1,"yyyy/mm/dd"),1),"")</f>
        <v>4266648504.54</v>
      </c>
      <c r="M72">
        <f>IFERROR([1]!S_FA_EPS_basic2($A72,$B$1,"Cur=CNY"),"")</f>
        <v>1.0389999999999999</v>
      </c>
      <c r="N72">
        <f>IFERROR([1]!s_fa_arturndays($A72,TEXT($B$1,"yyyy/mm/dd")),"")</f>
        <v>45.403500000000001</v>
      </c>
      <c r="O72" t="str">
        <f>IFERROR([1]!fa_apturndays($A72,TEXT($B$1,"yyyy/mm/dd")),"")</f>
        <v>Fetch...</v>
      </c>
      <c r="P72">
        <f>IFERROR([1]!s_fa_invturndays($A72,TEXT($B$1,"yyyy/mm/dd")),"")</f>
        <v>25.025200000000002</v>
      </c>
    </row>
    <row r="73" spans="1:16">
      <c r="A73" t="s">
        <v>86</v>
      </c>
      <c r="B73">
        <f>IFERROR([1]!s_stm07_is($A73,"W70156729",TEXT($B$1,"yyyy/mm/dd"),1),"")</f>
        <v>2461443145.5900002</v>
      </c>
      <c r="C73">
        <f>IFERROR([1]!s_stm07_is($A73,"W75682424",TEXT($B$1,"yyyy/mm/dd"),1),"")</f>
        <v>1043447750.3200001</v>
      </c>
      <c r="D73">
        <f>IFERROR([1]!s_stm07_is($A73,"W76031679",TEXT($B$1,"yyyy/mm/dd"),1),"")</f>
        <v>1232205.08</v>
      </c>
      <c r="E73">
        <f>IFERROR([1]!s_stm07_is($A73,"W70752487",TEXT($B$1,"yyyy/mm/dd"),1),"")</f>
        <v>300635641.67000002</v>
      </c>
      <c r="F73">
        <f>IFERROR([1]!s_stm07_is_103($A73,TEXT($B$1,"yyyy/mm/dd"),1),"")</f>
        <v>9296699.9299999997</v>
      </c>
      <c r="G73">
        <f>IFERROR([1]!s_stm07_is_104($A73,TEXT($B$1,"yyyy/mm/dd"),1),"")</f>
        <v>85895895.060000002</v>
      </c>
      <c r="H73">
        <f>IFERROR([1]!s_stm07_is_105($A73,TEXT($B$1,"yyyy/mm/dd"),1),"")</f>
        <v>3590130.21</v>
      </c>
      <c r="I73">
        <f>IFERROR([1]!s_stm07_is($A73,"W72946623",TEXT($B$1,"yyyy/mm/dd"),1),"")</f>
        <v>818910746.69000006</v>
      </c>
      <c r="J73">
        <f>IFERROR([1]!s_stm07_is($A73,"W30028333",TEXT($B$1,"yyyy/mm/dd"),1),"")</f>
        <v>532455211.98000002</v>
      </c>
      <c r="K73">
        <f>IFERROR([1]!s_stm07_cs($A73,"W77130581",TEXT($B$1,"yyyy/mm/dd"),1),"")</f>
        <v>868179630.49000001</v>
      </c>
      <c r="L73">
        <f>IFERROR([1]!s_stm07_cs($A73,"W77745895",TEXT($B$1,"yyyy/mm/dd"),1),"")</f>
        <v>700075214.48000002</v>
      </c>
      <c r="M73">
        <f>IFERROR([1]!S_FA_EPS_basic2($A73,$B$1,"Cur=CNY"),"")</f>
        <v>0.77</v>
      </c>
      <c r="N73">
        <f>IFERROR([1]!s_fa_arturndays($A73,TEXT($B$1,"yyyy/mm/dd")),"")</f>
        <v>4.4122000000000003</v>
      </c>
      <c r="O73" t="str">
        <f>IFERROR([1]!fa_apturndays($A73,TEXT($B$1,"yyyy/mm/dd")),"")</f>
        <v>Fetch...</v>
      </c>
      <c r="P73">
        <f>IFERROR([1]!s_fa_invturndays($A73,TEXT($B$1,"yyyy/mm/dd")),"")</f>
        <v>116.14400000000001</v>
      </c>
    </row>
    <row r="74" spans="1:16">
      <c r="A74" t="s">
        <v>87</v>
      </c>
      <c r="B74">
        <f>IFERROR([1]!s_stm07_is($A74,"W70156729",TEXT($B$1,"yyyy/mm/dd"),1),"")</f>
        <v>6494970140.46</v>
      </c>
      <c r="C74">
        <f>IFERROR([1]!s_stm07_is($A74,"W75682424",TEXT($B$1,"yyyy/mm/dd"),1),"")</f>
        <v>5038014974.4399996</v>
      </c>
      <c r="D74">
        <f>IFERROR([1]!s_stm07_is($A74,"W76031679",TEXT($B$1,"yyyy/mm/dd"),1),"")</f>
        <v>2762498.76</v>
      </c>
      <c r="E74">
        <f>IFERROR([1]!s_stm07_is($A74,"W70752487",TEXT($B$1,"yyyy/mm/dd"),1),"")</f>
        <v>123634888.09999999</v>
      </c>
      <c r="F74">
        <f>IFERROR([1]!s_stm07_is_103($A74,TEXT($B$1,"yyyy/mm/dd"),1),"")</f>
        <v>5934343.5099999998</v>
      </c>
      <c r="G74">
        <f>IFERROR([1]!s_stm07_is_104($A74,TEXT($B$1,"yyyy/mm/dd"),1),"")</f>
        <v>16310551.310000001</v>
      </c>
      <c r="H74">
        <f>IFERROR([1]!s_stm07_is_105($A74,TEXT($B$1,"yyyy/mm/dd"),1),"")</f>
        <v>37736023.399999999</v>
      </c>
      <c r="I74">
        <f>IFERROR([1]!s_stm07_is($A74,"W72946623",TEXT($B$1,"yyyy/mm/dd"),1),"")</f>
        <v>1387877128.6700001</v>
      </c>
      <c r="J74">
        <f>IFERROR([1]!s_stm07_is($A74,"W30028333",TEXT($B$1,"yyyy/mm/dd"),1),"")</f>
        <v>1071123219.17</v>
      </c>
      <c r="K74">
        <f>IFERROR([1]!s_stm07_cs($A74,"W77130581",TEXT($B$1,"yyyy/mm/dd"),1),"")</f>
        <v>1005955555.71</v>
      </c>
      <c r="L74">
        <f>IFERROR([1]!s_stm07_cs($A74,"W77745895",TEXT($B$1,"yyyy/mm/dd"),1),"")</f>
        <v>61711096.229999997</v>
      </c>
      <c r="M74">
        <f>IFERROR([1]!S_FA_EPS_basic2($A74,$B$1,"Cur=CNY"),"")</f>
        <v>0.89800000000000002</v>
      </c>
      <c r="N74">
        <f>IFERROR([1]!s_fa_arturndays($A74,TEXT($B$1,"yyyy/mm/dd")),"")</f>
        <v>0.72209999999999996</v>
      </c>
      <c r="O74" t="str">
        <f>IFERROR([1]!fa_apturndays($A74,TEXT($B$1,"yyyy/mm/dd")),"")</f>
        <v>Fetch...</v>
      </c>
      <c r="P74">
        <f>IFERROR([1]!s_fa_invturndays($A74,TEXT($B$1,"yyyy/mm/dd")),"")</f>
        <v>40.876600000000003</v>
      </c>
    </row>
    <row r="75" spans="1:16">
      <c r="A75" t="s">
        <v>88</v>
      </c>
      <c r="B75">
        <f>IFERROR([1]!s_stm07_is($A75,"W70156729",TEXT($B$1,"yyyy/mm/dd"),1),"")</f>
        <v>33796846677.450001</v>
      </c>
      <c r="C75">
        <f>IFERROR([1]!s_stm07_is($A75,"W75682424",TEXT($B$1,"yyyy/mm/dd"),1),"")</f>
        <v>601026222.26999998</v>
      </c>
      <c r="D75">
        <f>IFERROR([1]!s_stm07_is($A75,"W76031679",TEXT($B$1,"yyyy/mm/dd"),1),"")</f>
        <v>0</v>
      </c>
      <c r="E75">
        <f>IFERROR([1]!s_stm07_is($A75,"W70752487",TEXT($B$1,"yyyy/mm/dd"),1),"")</f>
        <v>3986045362.7399998</v>
      </c>
      <c r="F75">
        <f>IFERROR([1]!s_stm07_is_103($A75,TEXT($B$1,"yyyy/mm/dd"),1),"")</f>
        <v>0</v>
      </c>
      <c r="G75">
        <f>IFERROR([1]!s_stm07_is_104($A75,TEXT($B$1,"yyyy/mm/dd"),1),"")</f>
        <v>147131756.05000001</v>
      </c>
      <c r="H75">
        <f>IFERROR([1]!s_stm07_is_105($A75,TEXT($B$1,"yyyy/mm/dd"),1),"")</f>
        <v>8017694.6900000004</v>
      </c>
      <c r="I75">
        <f>IFERROR([1]!s_stm07_is($A75,"W72946623",TEXT($B$1,"yyyy/mm/dd"),1),"")</f>
        <v>10799970026.040001</v>
      </c>
      <c r="J75">
        <f>IFERROR([1]!s_stm07_is($A75,"W30028333",TEXT($B$1,"yyyy/mm/dd"),1),"")</f>
        <v>4299941107.3900003</v>
      </c>
      <c r="K75">
        <f>IFERROR([1]!s_stm07_cs($A75,"W77130581",TEXT($B$1,"yyyy/mm/dd"),1),"")</f>
        <v>-18277767921.32</v>
      </c>
      <c r="L75">
        <f>IFERROR([1]!s_stm07_cs($A75,"W77745895",TEXT($B$1,"yyyy/mm/dd"),1),"")</f>
        <v>930154721.77999997</v>
      </c>
      <c r="M75">
        <f>IFERROR([1]!S_FA_EPS_basic2($A75,$B$1,"Cur=CNY"),"")</f>
        <v>0.34</v>
      </c>
      <c r="N75">
        <f>IFERROR([1]!s_fa_arturndays($A75,TEXT($B$1,"yyyy/mm/dd")),"")</f>
        <v>15.9369</v>
      </c>
      <c r="O75" t="str">
        <f>IFERROR([1]!fa_apturndays($A75,TEXT($B$1,"yyyy/mm/dd")),"")</f>
        <v>Fetch...</v>
      </c>
      <c r="P75">
        <f>IFERROR([1]!s_fa_invturndays($A75,TEXT($B$1,"yyyy/mm/dd")),"")</f>
        <v>0</v>
      </c>
    </row>
    <row r="76" spans="1:16">
      <c r="A76" t="s">
        <v>89</v>
      </c>
      <c r="B76">
        <f>IFERROR([1]!s_stm07_is($A76,"W70156729",TEXT($B$1,"yyyy/mm/dd"),1),"")</f>
        <v>1710902297.04</v>
      </c>
      <c r="C76">
        <f>IFERROR([1]!s_stm07_is($A76,"W75682424",TEXT($B$1,"yyyy/mm/dd"),1),"")</f>
        <v>1543808377.76</v>
      </c>
      <c r="D76">
        <f>IFERROR([1]!s_stm07_is($A76,"W76031679",TEXT($B$1,"yyyy/mm/dd"),1),"")</f>
        <v>142562139.47</v>
      </c>
      <c r="E76">
        <f>IFERROR([1]!s_stm07_is($A76,"W70752487",TEXT($B$1,"yyyy/mm/dd"),1),"")</f>
        <v>239832159.49000001</v>
      </c>
      <c r="F76">
        <f>IFERROR([1]!s_stm07_is_103($A76,TEXT($B$1,"yyyy/mm/dd"),1),"")</f>
        <v>0</v>
      </c>
      <c r="G76">
        <f>IFERROR([1]!s_stm07_is_104($A76,TEXT($B$1,"yyyy/mm/dd"),1),"")</f>
        <v>106970654.54000001</v>
      </c>
      <c r="H76">
        <f>IFERROR([1]!s_stm07_is_105($A76,TEXT($B$1,"yyyy/mm/dd"),1),"")</f>
        <v>10017229.390000001</v>
      </c>
      <c r="I76">
        <f>IFERROR([1]!s_stm07_is($A76,"W72946623",TEXT($B$1,"yyyy/mm/dd"),1),"")</f>
        <v>-1162168382.8</v>
      </c>
      <c r="J76">
        <f>IFERROR([1]!s_stm07_is($A76,"W30028333",TEXT($B$1,"yyyy/mm/dd"),1),"")</f>
        <v>-1173093919.6400001</v>
      </c>
      <c r="K76">
        <f>IFERROR([1]!s_stm07_cs($A76,"W77130581",TEXT($B$1,"yyyy/mm/dd"),1),"")</f>
        <v>246219406.47</v>
      </c>
      <c r="L76">
        <f>IFERROR([1]!s_stm07_cs($A76,"W77745895",TEXT($B$1,"yyyy/mm/dd"),1),"")</f>
        <v>7923782.4299999997</v>
      </c>
      <c r="M76">
        <f>IFERROR([1]!S_FA_EPS_basic2($A76,$B$1,"Cur=CNY"),"")</f>
        <v>-0.2</v>
      </c>
      <c r="N76">
        <f>IFERROR([1]!s_fa_arturndays($A76,TEXT($B$1,"yyyy/mm/dd")),"")</f>
        <v>55.974499999999999</v>
      </c>
      <c r="O76" t="str">
        <f>IFERROR([1]!fa_apturndays($A76,TEXT($B$1,"yyyy/mm/dd")),"")</f>
        <v>Fetch...</v>
      </c>
      <c r="P76">
        <f>IFERROR([1]!s_fa_invturndays($A76,TEXT($B$1,"yyyy/mm/dd")),"")</f>
        <v>1101.9284</v>
      </c>
    </row>
    <row r="77" spans="1:16">
      <c r="A77" t="s">
        <v>90</v>
      </c>
      <c r="B77">
        <f>IFERROR([1]!s_stm07_is($A77,"W70156729",TEXT($B$1,"yyyy/mm/dd"),1),"")</f>
        <v>2335191263.8000002</v>
      </c>
      <c r="C77">
        <f>IFERROR([1]!s_stm07_is($A77,"W75682424",TEXT($B$1,"yyyy/mm/dd"),1),"")</f>
        <v>1209951484.1500001</v>
      </c>
      <c r="D77">
        <f>IFERROR([1]!s_stm07_is($A77,"W76031679",TEXT($B$1,"yyyy/mm/dd"),1),"")</f>
        <v>825327691.83000004</v>
      </c>
      <c r="E77">
        <f>IFERROR([1]!s_stm07_is($A77,"W70752487",TEXT($B$1,"yyyy/mm/dd"),1),"")</f>
        <v>260317657.71000001</v>
      </c>
      <c r="F77">
        <f>IFERROR([1]!s_stm07_is_103($A77,TEXT($B$1,"yyyy/mm/dd"),1),"")</f>
        <v>101913267.19</v>
      </c>
      <c r="G77">
        <f>IFERROR([1]!s_stm07_is_104($A77,TEXT($B$1,"yyyy/mm/dd"),1),"")</f>
        <v>52258878.57</v>
      </c>
      <c r="H77">
        <f>IFERROR([1]!s_stm07_is_105($A77,TEXT($B$1,"yyyy/mm/dd"),1),"")</f>
        <v>7841730.1500000004</v>
      </c>
      <c r="I77">
        <f>IFERROR([1]!s_stm07_is($A77,"W72946623",TEXT($B$1,"yyyy/mm/dd"),1),"")</f>
        <v>2420594632.1399999</v>
      </c>
      <c r="J77">
        <f>IFERROR([1]!s_stm07_is($A77,"W30028333",TEXT($B$1,"yyyy/mm/dd"),1),"")</f>
        <v>2395240134.98</v>
      </c>
      <c r="K77">
        <f>IFERROR([1]!s_stm07_cs($A77,"W77130581",TEXT($B$1,"yyyy/mm/dd"),1),"")</f>
        <v>272258821.17000002</v>
      </c>
      <c r="L77">
        <f>IFERROR([1]!s_stm07_cs($A77,"W77745895",TEXT($B$1,"yyyy/mm/dd"),1),"")</f>
        <v>128449505.58</v>
      </c>
      <c r="M77">
        <f>IFERROR([1]!S_FA_EPS_basic2($A77,$B$1,"Cur=CNY"),"")</f>
        <v>2.0415999999999999</v>
      </c>
      <c r="N77">
        <f>IFERROR([1]!s_fa_arturndays($A77,TEXT($B$1,"yyyy/mm/dd")),"")</f>
        <v>112.0902</v>
      </c>
      <c r="O77" t="str">
        <f>IFERROR([1]!fa_apturndays($A77,TEXT($B$1,"yyyy/mm/dd")),"")</f>
        <v>Fetch...</v>
      </c>
      <c r="P77">
        <f>IFERROR([1]!s_fa_invturndays($A77,TEXT($B$1,"yyyy/mm/dd")),"")</f>
        <v>258.69499999999999</v>
      </c>
    </row>
    <row r="78" spans="1:16">
      <c r="A78" t="s">
        <v>91</v>
      </c>
      <c r="B78">
        <f>IFERROR([1]!s_stm07_is($A78,"W70156729",TEXT($B$1,"yyyy/mm/dd"),1),"")</f>
        <v>163999803875.87</v>
      </c>
      <c r="C78">
        <f>IFERROR([1]!s_stm07_is($A78,"W75682424",TEXT($B$1,"yyyy/mm/dd"),1),"")</f>
        <v>138514092642.10999</v>
      </c>
      <c r="D78">
        <f>IFERROR([1]!s_stm07_is($A78,"W76031679",TEXT($B$1,"yyyy/mm/dd"),1),"")</f>
        <v>9992992499.0400009</v>
      </c>
      <c r="E78">
        <f>IFERROR([1]!s_stm07_is($A78,"W70752487",TEXT($B$1,"yyyy/mm/dd"),1),"")</f>
        <v>4523042375.6700001</v>
      </c>
      <c r="F78">
        <f>IFERROR([1]!s_stm07_is_103($A78,TEXT($B$1,"yyyy/mm/dd"),1),"")</f>
        <v>7157598927.2399998</v>
      </c>
      <c r="G78">
        <f>IFERROR([1]!s_stm07_is_104($A78,TEXT($B$1,"yyyy/mm/dd"),1),"")</f>
        <v>106577955.08</v>
      </c>
      <c r="H78">
        <f>IFERROR([1]!s_stm07_is_105($A78,TEXT($B$1,"yyyy/mm/dd"),1),"")</f>
        <v>1100271951.5999999</v>
      </c>
      <c r="I78">
        <f>IFERROR([1]!s_stm07_is($A78,"W72946623",TEXT($B$1,"yyyy/mm/dd"),1),"")</f>
        <v>3857438001.4099998</v>
      </c>
      <c r="J78">
        <f>IFERROR([1]!s_stm07_is($A78,"W30028333",TEXT($B$1,"yyyy/mm/dd"),1),"")</f>
        <v>4075223181.54</v>
      </c>
      <c r="K78">
        <f>IFERROR([1]!s_stm07_cs($A78,"W77130581",TEXT($B$1,"yyyy/mm/dd"),1),"")</f>
        <v>1835673358.5599999</v>
      </c>
      <c r="L78">
        <f>IFERROR([1]!s_stm07_cs($A78,"W77745895",TEXT($B$1,"yyyy/mm/dd"),1),"")</f>
        <v>4678988656.0799999</v>
      </c>
      <c r="M78">
        <f>IFERROR([1]!S_FA_EPS_basic2($A78,$B$1,"Cur=CNY"),"")</f>
        <v>0.41</v>
      </c>
      <c r="N78">
        <f>IFERROR([1]!s_fa_arturndays($A78,TEXT($B$1,"yyyy/mm/dd")),"")</f>
        <v>8.3362999999999996</v>
      </c>
      <c r="O78" t="str">
        <f>IFERROR([1]!fa_apturndays($A78,TEXT($B$1,"yyyy/mm/dd")),"")</f>
        <v>Fetch...</v>
      </c>
      <c r="P78">
        <f>IFERROR([1]!s_fa_invturndays($A78,TEXT($B$1,"yyyy/mm/dd")),"")</f>
        <v>52.4315</v>
      </c>
    </row>
    <row r="79" spans="1:16">
      <c r="A79" t="s">
        <v>92</v>
      </c>
      <c r="B79">
        <f>IFERROR([1]!s_stm07_is($A79,"W70156729",TEXT($B$1,"yyyy/mm/dd"),1),"")</f>
        <v>4980160344.6700001</v>
      </c>
      <c r="C79">
        <f>IFERROR([1]!s_stm07_is($A79,"W75682424",TEXT($B$1,"yyyy/mm/dd"),1),"")</f>
        <v>4381692290.7799997</v>
      </c>
      <c r="D79">
        <f>IFERROR([1]!s_stm07_is($A79,"W76031679",TEXT($B$1,"yyyy/mm/dd"),1),"")</f>
        <v>32814864.75</v>
      </c>
      <c r="E79">
        <f>IFERROR([1]!s_stm07_is($A79,"W70752487",TEXT($B$1,"yyyy/mm/dd"),1),"")</f>
        <v>191348819.19999999</v>
      </c>
      <c r="F79">
        <f>IFERROR([1]!s_stm07_is_103($A79,TEXT($B$1,"yyyy/mm/dd"),1),"")</f>
        <v>24436013.25</v>
      </c>
      <c r="G79">
        <f>IFERROR([1]!s_stm07_is_104($A79,TEXT($B$1,"yyyy/mm/dd"),1),"")</f>
        <v>64642349.490000002</v>
      </c>
      <c r="H79">
        <f>IFERROR([1]!s_stm07_is_105($A79,TEXT($B$1,"yyyy/mm/dd"),1),"")</f>
        <v>4200308.16</v>
      </c>
      <c r="I79">
        <f>IFERROR([1]!s_stm07_is($A79,"W72946623",TEXT($B$1,"yyyy/mm/dd"),1),"")</f>
        <v>157828124.31999999</v>
      </c>
      <c r="J79">
        <f>IFERROR([1]!s_stm07_is($A79,"W30028333",TEXT($B$1,"yyyy/mm/dd"),1),"")</f>
        <v>109235235</v>
      </c>
      <c r="K79">
        <f>IFERROR([1]!s_stm07_cs($A79,"W77130581",TEXT($B$1,"yyyy/mm/dd"),1),"")</f>
        <v>226554680.03999999</v>
      </c>
      <c r="L79">
        <f>IFERROR([1]!s_stm07_cs($A79,"W77745895",TEXT($B$1,"yyyy/mm/dd"),1),"")</f>
        <v>41203462.109999999</v>
      </c>
      <c r="M79">
        <f>IFERROR([1]!S_FA_EPS_basic2($A79,$B$1,"Cur=CNY"),"")</f>
        <v>0.31</v>
      </c>
      <c r="N79">
        <f>IFERROR([1]!s_fa_arturndays($A79,TEXT($B$1,"yyyy/mm/dd")),"")</f>
        <v>80.811700000000002</v>
      </c>
      <c r="O79" t="str">
        <f>IFERROR([1]!fa_apturndays($A79,TEXT($B$1,"yyyy/mm/dd")),"")</f>
        <v>Fetch...</v>
      </c>
      <c r="P79">
        <f>IFERROR([1]!s_fa_invturndays($A79,TEXT($B$1,"yyyy/mm/dd")),"")</f>
        <v>761.74350000000004</v>
      </c>
    </row>
    <row r="80" spans="1:16">
      <c r="A80" t="s">
        <v>93</v>
      </c>
      <c r="B80">
        <f>IFERROR([1]!s_stm07_is($A80,"W70156729",TEXT($B$1,"yyyy/mm/dd"),1),"")</f>
        <v>8890211562.6800003</v>
      </c>
      <c r="C80">
        <f>IFERROR([1]!s_stm07_is($A80,"W75682424",TEXT($B$1,"yyyy/mm/dd"),1),"")</f>
        <v>8089622822.21</v>
      </c>
      <c r="D80">
        <f>IFERROR([1]!s_stm07_is($A80,"W76031679",TEXT($B$1,"yyyy/mm/dd"),1),"")</f>
        <v>142860318.28999999</v>
      </c>
      <c r="E80">
        <f>IFERROR([1]!s_stm07_is($A80,"W70752487",TEXT($B$1,"yyyy/mm/dd"),1),"")</f>
        <v>163568922.5</v>
      </c>
      <c r="F80">
        <f>IFERROR([1]!s_stm07_is_103($A80,TEXT($B$1,"yyyy/mm/dd"),1),"")</f>
        <v>287229668.75999999</v>
      </c>
      <c r="G80">
        <f>IFERROR([1]!s_stm07_is_104($A80,TEXT($B$1,"yyyy/mm/dd"),1),"")</f>
        <v>6745379.4900000002</v>
      </c>
      <c r="H80">
        <f>IFERROR([1]!s_stm07_is_105($A80,TEXT($B$1,"yyyy/mm/dd"),1),"")</f>
        <v>10945337.84</v>
      </c>
      <c r="I80">
        <f>IFERROR([1]!s_stm07_is($A80,"W72946623",TEXT($B$1,"yyyy/mm/dd"),1),"")</f>
        <v>-92930876.620000005</v>
      </c>
      <c r="J80">
        <f>IFERROR([1]!s_stm07_is($A80,"W30028333",TEXT($B$1,"yyyy/mm/dd"),1),"")</f>
        <v>-93315320.519999996</v>
      </c>
      <c r="K80">
        <f>IFERROR([1]!s_stm07_cs($A80,"W77130581",TEXT($B$1,"yyyy/mm/dd"),1),"")</f>
        <v>435206950.99000001</v>
      </c>
      <c r="L80">
        <f>IFERROR([1]!s_stm07_cs($A80,"W77745895",TEXT($B$1,"yyyy/mm/dd"),1),"")</f>
        <v>228296321.56</v>
      </c>
      <c r="M80">
        <f>IFERROR([1]!S_FA_EPS_basic2($A80,$B$1,"Cur=CNY"),"")</f>
        <v>-1.01E-2</v>
      </c>
      <c r="N80">
        <f>IFERROR([1]!s_fa_arturndays($A80,TEXT($B$1,"yyyy/mm/dd")),"")</f>
        <v>5.3594999999999997</v>
      </c>
      <c r="O80" t="str">
        <f>IFERROR([1]!fa_apturndays($A80,TEXT($B$1,"yyyy/mm/dd")),"")</f>
        <v>Fetch...</v>
      </c>
      <c r="P80">
        <f>IFERROR([1]!s_fa_invturndays($A80,TEXT($B$1,"yyyy/mm/dd")),"")</f>
        <v>36.250900000000001</v>
      </c>
    </row>
    <row r="81" spans="1:16">
      <c r="A81" t="s">
        <v>94</v>
      </c>
      <c r="B81">
        <f>IFERROR([1]!s_stm07_is($A81,"W70156729",TEXT($B$1,"yyyy/mm/dd"),1),"")</f>
        <v>172824678779.98999</v>
      </c>
      <c r="C81">
        <f>IFERROR([1]!s_stm07_is($A81,"W75682424",TEXT($B$1,"yyyy/mm/dd"),1),"")</f>
        <v>159150008289.63</v>
      </c>
      <c r="D81">
        <f>IFERROR([1]!s_stm07_is($A81,"W76031679",TEXT($B$1,"yyyy/mm/dd"),1),"")</f>
        <v>106116296.78</v>
      </c>
      <c r="E81">
        <f>IFERROR([1]!s_stm07_is($A81,"W70752487",TEXT($B$1,"yyyy/mm/dd"),1),"")</f>
        <v>1828507118.5599999</v>
      </c>
      <c r="F81">
        <f>IFERROR([1]!s_stm07_is_103($A81,TEXT($B$1,"yyyy/mm/dd"),1),"")</f>
        <v>592418782.95000005</v>
      </c>
      <c r="G81">
        <f>IFERROR([1]!s_stm07_is_104($A81,TEXT($B$1,"yyyy/mm/dd"),1),"")</f>
        <v>694288534.90999997</v>
      </c>
      <c r="H81">
        <f>IFERROR([1]!s_stm07_is_105($A81,TEXT($B$1,"yyyy/mm/dd"),1),"")</f>
        <v>100693968.92</v>
      </c>
      <c r="I81">
        <f>IFERROR([1]!s_stm07_is($A81,"W72946623",TEXT($B$1,"yyyy/mm/dd"),1),"")</f>
        <v>7205094148.0500002</v>
      </c>
      <c r="J81">
        <f>IFERROR([1]!s_stm07_is($A81,"W30028333",TEXT($B$1,"yyyy/mm/dd"),1),"")</f>
        <v>2415007111.0100002</v>
      </c>
      <c r="K81">
        <f>IFERROR([1]!s_stm07_cs($A81,"W77130581",TEXT($B$1,"yyyy/mm/dd"),1),"")</f>
        <v>-226940948.72</v>
      </c>
      <c r="L81">
        <f>IFERROR([1]!s_stm07_cs($A81,"W77745895",TEXT($B$1,"yyyy/mm/dd"),1),"")</f>
        <v>3188087982.1999998</v>
      </c>
      <c r="M81">
        <f>IFERROR([1]!S_FA_EPS_basic2($A81,$B$1,"Cur=CNY"),"")</f>
        <v>0.19</v>
      </c>
      <c r="N81">
        <f>IFERROR([1]!s_fa_arturndays($A81,TEXT($B$1,"yyyy/mm/dd")),"")</f>
        <v>5.8604000000000003</v>
      </c>
      <c r="O81" t="str">
        <f>IFERROR([1]!fa_apturndays($A81,TEXT($B$1,"yyyy/mm/dd")),"")</f>
        <v>Fetch...</v>
      </c>
      <c r="P81">
        <f>IFERROR([1]!s_fa_invturndays($A81,TEXT($B$1,"yyyy/mm/dd")),"")</f>
        <v>55.876300000000001</v>
      </c>
    </row>
    <row r="82" spans="1:16">
      <c r="A82" t="s">
        <v>95</v>
      </c>
      <c r="B82">
        <f>IFERROR([1]!s_stm07_is($A82,"W70156729",TEXT($B$1,"yyyy/mm/dd"),1),"")</f>
        <v>5756408165.1400003</v>
      </c>
      <c r="C82">
        <f>IFERROR([1]!s_stm07_is($A82,"W75682424",TEXT($B$1,"yyyy/mm/dd"),1),"")</f>
        <v>4734770565.8000002</v>
      </c>
      <c r="D82">
        <f>IFERROR([1]!s_stm07_is($A82,"W76031679",TEXT($B$1,"yyyy/mm/dd"),1),"")</f>
        <v>106869859.56999999</v>
      </c>
      <c r="E82">
        <f>IFERROR([1]!s_stm07_is($A82,"W70752487",TEXT($B$1,"yyyy/mm/dd"),1),"")</f>
        <v>289706385.81999999</v>
      </c>
      <c r="F82">
        <f>IFERROR([1]!s_stm07_is_103($A82,TEXT($B$1,"yyyy/mm/dd"),1),"")</f>
        <v>283991893.95999998</v>
      </c>
      <c r="G82">
        <f>IFERROR([1]!s_stm07_is_104($A82,TEXT($B$1,"yyyy/mm/dd"),1),"")</f>
        <v>10775407.58</v>
      </c>
      <c r="H82">
        <f>IFERROR([1]!s_stm07_is_105($A82,TEXT($B$1,"yyyy/mm/dd"),1),"")</f>
        <v>79031179.780000001</v>
      </c>
      <c r="I82">
        <f>IFERROR([1]!s_stm07_is($A82,"W72946623",TEXT($B$1,"yyyy/mm/dd"),1),"")</f>
        <v>310208990.49000001</v>
      </c>
      <c r="J82">
        <f>IFERROR([1]!s_stm07_is($A82,"W30028333",TEXT($B$1,"yyyy/mm/dd"),1),"")</f>
        <v>283316717.04000002</v>
      </c>
      <c r="K82">
        <f>IFERROR([1]!s_stm07_cs($A82,"W77130581",TEXT($B$1,"yyyy/mm/dd"),1),"")</f>
        <v>425641193.38</v>
      </c>
      <c r="L82">
        <f>IFERROR([1]!s_stm07_cs($A82,"W77745895",TEXT($B$1,"yyyy/mm/dd"),1),"")</f>
        <v>417702350.68000001</v>
      </c>
      <c r="M82">
        <f>IFERROR([1]!S_FA_EPS_basic2($A82,$B$1,"Cur=CNY"),"")</f>
        <v>0.25</v>
      </c>
      <c r="N82">
        <f>IFERROR([1]!s_fa_arturndays($A82,TEXT($B$1,"yyyy/mm/dd")),"")</f>
        <v>92.359800000000007</v>
      </c>
      <c r="O82" t="str">
        <f>IFERROR([1]!fa_apturndays($A82,TEXT($B$1,"yyyy/mm/dd")),"")</f>
        <v>Fetch...</v>
      </c>
      <c r="P82">
        <f>IFERROR([1]!s_fa_invturndays($A82,TEXT($B$1,"yyyy/mm/dd")),"")</f>
        <v>76.332599999999999</v>
      </c>
    </row>
    <row r="83" spans="1:16">
      <c r="A83" t="s">
        <v>96</v>
      </c>
      <c r="B83">
        <f>IFERROR([1]!s_stm07_is($A83,"W70156729",TEXT($B$1,"yyyy/mm/dd"),1),"")</f>
        <v>3536422014.4499998</v>
      </c>
      <c r="C83">
        <f>IFERROR([1]!s_stm07_is($A83,"W75682424",TEXT($B$1,"yyyy/mm/dd"),1),"")</f>
        <v>2229233513.0599999</v>
      </c>
      <c r="D83">
        <f>IFERROR([1]!s_stm07_is($A83,"W76031679",TEXT($B$1,"yyyy/mm/dd"),1),"")</f>
        <v>345393966.88</v>
      </c>
      <c r="E83">
        <f>IFERROR([1]!s_stm07_is($A83,"W70752487",TEXT($B$1,"yyyy/mm/dd"),1),"")</f>
        <v>255855558.88</v>
      </c>
      <c r="F83">
        <f>IFERROR([1]!s_stm07_is_103($A83,TEXT($B$1,"yyyy/mm/dd"),1),"")</f>
        <v>45065951.509999998</v>
      </c>
      <c r="G83">
        <f>IFERROR([1]!s_stm07_is_104($A83,TEXT($B$1,"yyyy/mm/dd"),1),"")</f>
        <v>86906.3</v>
      </c>
      <c r="H83">
        <f>IFERROR([1]!s_stm07_is_105($A83,TEXT($B$1,"yyyy/mm/dd"),1),"")</f>
        <v>2695760.04</v>
      </c>
      <c r="I83">
        <f>IFERROR([1]!s_stm07_is($A83,"W72946623",TEXT($B$1,"yyyy/mm/dd"),1),"")</f>
        <v>664896992.99000001</v>
      </c>
      <c r="J83">
        <f>IFERROR([1]!s_stm07_is($A83,"W30028333",TEXT($B$1,"yyyy/mm/dd"),1),"")</f>
        <v>393208100.62</v>
      </c>
      <c r="K83">
        <f>IFERROR([1]!s_stm07_cs($A83,"W77130581",TEXT($B$1,"yyyy/mm/dd"),1),"")</f>
        <v>851311999.89999998</v>
      </c>
      <c r="L83">
        <f>IFERROR([1]!s_stm07_cs($A83,"W77745895",TEXT($B$1,"yyyy/mm/dd"),1),"")</f>
        <v>74587219.129999995</v>
      </c>
      <c r="M83">
        <f>IFERROR([1]!S_FA_EPS_basic2($A83,$B$1,"Cur=CNY"),"")</f>
        <v>0.28000000000000003</v>
      </c>
      <c r="N83">
        <f>IFERROR([1]!s_fa_arturndays($A83,TEXT($B$1,"yyyy/mm/dd")),"")</f>
        <v>29.1297</v>
      </c>
      <c r="O83" t="str">
        <f>IFERROR([1]!fa_apturndays($A83,TEXT($B$1,"yyyy/mm/dd")),"")</f>
        <v>Fetch...</v>
      </c>
      <c r="P83">
        <f>IFERROR([1]!s_fa_invturndays($A83,TEXT($B$1,"yyyy/mm/dd")),"")</f>
        <v>82.203000000000003</v>
      </c>
    </row>
    <row r="84" spans="1:16">
      <c r="A84" t="s">
        <v>97</v>
      </c>
      <c r="B84">
        <f>IFERROR([1]!s_stm07_is($A84,"W70156729",TEXT($B$1,"yyyy/mm/dd"),1),"")</f>
        <v>171118161275.41</v>
      </c>
      <c r="C84">
        <f>IFERROR([1]!s_stm07_is($A84,"W75682424",TEXT($B$1,"yyyy/mm/dd"),1),"")</f>
        <v>119641353216.21001</v>
      </c>
      <c r="D84">
        <f>IFERROR([1]!s_stm07_is($A84,"W76031679",TEXT($B$1,"yyyy/mm/dd"),1),"")</f>
        <v>8410739569.54</v>
      </c>
      <c r="E84">
        <f>IFERROR([1]!s_stm07_is($A84,"W70752487",TEXT($B$1,"yyyy/mm/dd"),1),"")</f>
        <v>5180260235.3800001</v>
      </c>
      <c r="F84">
        <f>IFERROR([1]!s_stm07_is_103($A84,TEXT($B$1,"yyyy/mm/dd"),1),"")</f>
        <v>6463100763.6599998</v>
      </c>
      <c r="G84">
        <f>IFERROR([1]!s_stm07_is_104($A84,TEXT($B$1,"yyyy/mm/dd"),1),"")</f>
        <v>1964864912.1500001</v>
      </c>
      <c r="H84">
        <f>IFERROR([1]!s_stm07_is_105($A84,TEXT($B$1,"yyyy/mm/dd"),1),"")</f>
        <v>5885051089.3999996</v>
      </c>
      <c r="I84">
        <f>IFERROR([1]!s_stm07_is($A84,"W72946623",TEXT($B$1,"yyyy/mm/dd"),1),"")</f>
        <v>34644658951.120003</v>
      </c>
      <c r="J84">
        <f>IFERROR([1]!s_stm07_is($A84,"W30028333",TEXT($B$1,"yyyy/mm/dd"),1),"")</f>
        <v>29003103411.66</v>
      </c>
      <c r="K84">
        <f>IFERROR([1]!s_stm07_cs($A84,"W77130581",TEXT($B$1,"yyyy/mm/dd"),1),"")</f>
        <v>46383114754.019997</v>
      </c>
      <c r="L84">
        <f>IFERROR([1]!s_stm07_cs($A84,"W77745895",TEXT($B$1,"yyyy/mm/dd"),1),"")</f>
        <v>1717311068.0999999</v>
      </c>
      <c r="M84">
        <f>IFERROR([1]!S_FA_EPS_basic2($A84,$B$1,"Cur=CNY"),"")</f>
        <v>5.2</v>
      </c>
      <c r="N84">
        <f>IFERROR([1]!s_fa_arturndays($A84,TEXT($B$1,"yyyy/mm/dd")),"")</f>
        <v>34.6584</v>
      </c>
      <c r="O84" t="str">
        <f>IFERROR([1]!fa_apturndays($A84,TEXT($B$1,"yyyy/mm/dd")),"")</f>
        <v>Fetch...</v>
      </c>
      <c r="P84">
        <f>IFERROR([1]!s_fa_invturndays($A84,TEXT($B$1,"yyyy/mm/dd")),"")</f>
        <v>85.886099999999999</v>
      </c>
    </row>
    <row r="85" spans="1:16">
      <c r="A85" t="s">
        <v>98</v>
      </c>
      <c r="B85">
        <f>IFERROR([1]!s_stm07_is($A85,"W70156729",TEXT($B$1,"yyyy/mm/dd"),1),"")</f>
        <v>17638510948.369999</v>
      </c>
      <c r="C85">
        <f>IFERROR([1]!s_stm07_is($A85,"W75682424",TEXT($B$1,"yyyy/mm/dd"),1),"")</f>
        <v>13463397999.049999</v>
      </c>
      <c r="D85">
        <f>IFERROR([1]!s_stm07_is($A85,"W76031679",TEXT($B$1,"yyyy/mm/dd"),1),"")</f>
        <v>508897311.06999999</v>
      </c>
      <c r="E85">
        <f>IFERROR([1]!s_stm07_is($A85,"W70752487",TEXT($B$1,"yyyy/mm/dd"),1),"")</f>
        <v>795077541.76999998</v>
      </c>
      <c r="F85">
        <f>IFERROR([1]!s_stm07_is_103($A85,TEXT($B$1,"yyyy/mm/dd"),1),"")</f>
        <v>765096726.91999996</v>
      </c>
      <c r="G85">
        <f>IFERROR([1]!s_stm07_is_104($A85,TEXT($B$1,"yyyy/mm/dd"),1),"")</f>
        <v>97305796.340000004</v>
      </c>
      <c r="H85">
        <f>IFERROR([1]!s_stm07_is_105($A85,TEXT($B$1,"yyyy/mm/dd"),1),"")</f>
        <v>9812435.4700000007</v>
      </c>
      <c r="I85">
        <f>IFERROR([1]!s_stm07_is($A85,"W72946623",TEXT($B$1,"yyyy/mm/dd"),1),"")</f>
        <v>1627992397.2</v>
      </c>
      <c r="J85">
        <f>IFERROR([1]!s_stm07_is($A85,"W30028333",TEXT($B$1,"yyyy/mm/dd"),1),"")</f>
        <v>1280667298.04</v>
      </c>
      <c r="K85">
        <f>IFERROR([1]!s_stm07_cs($A85,"W77130581",TEXT($B$1,"yyyy/mm/dd"),1),"")</f>
        <v>389243638.99000001</v>
      </c>
      <c r="L85">
        <f>IFERROR([1]!s_stm07_cs($A85,"W77745895",TEXT($B$1,"yyyy/mm/dd"),1),"")</f>
        <v>791581490.26999998</v>
      </c>
      <c r="M85">
        <f>IFERROR([1]!S_FA_EPS_basic2($A85,$B$1,"Cur=CNY"),"")</f>
        <v>0.57999999999999996</v>
      </c>
      <c r="N85">
        <f>IFERROR([1]!s_fa_arturndays($A85,TEXT($B$1,"yyyy/mm/dd")),"")</f>
        <v>42.164900000000003</v>
      </c>
      <c r="O85" t="str">
        <f>IFERROR([1]!fa_apturndays($A85,TEXT($B$1,"yyyy/mm/dd")),"")</f>
        <v>Fetch...</v>
      </c>
      <c r="P85">
        <f>IFERROR([1]!s_fa_invturndays($A85,TEXT($B$1,"yyyy/mm/dd")),"")</f>
        <v>115.4957</v>
      </c>
    </row>
    <row r="86" spans="1:16">
      <c r="A86" t="s">
        <v>99</v>
      </c>
      <c r="B86">
        <f>IFERROR([1]!s_stm07_is($A86,"W70156729",TEXT($B$1,"yyyy/mm/dd"),1),"")</f>
        <v>12083140489.049999</v>
      </c>
      <c r="C86">
        <f>IFERROR([1]!s_stm07_is($A86,"W75682424",TEXT($B$1,"yyyy/mm/dd"),1),"")</f>
        <v>2161130533.5799999</v>
      </c>
      <c r="D86">
        <f>IFERROR([1]!s_stm07_is($A86,"W76031679",TEXT($B$1,"yyyy/mm/dd"),1),"")</f>
        <v>5090503139.9399996</v>
      </c>
      <c r="E86">
        <f>IFERROR([1]!s_stm07_is($A86,"W70752487",TEXT($B$1,"yyyy/mm/dd"),1),"")</f>
        <v>1499088494.55</v>
      </c>
      <c r="F86">
        <f>IFERROR([1]!s_stm07_is_103($A86,TEXT($B$1,"yyyy/mm/dd"),1),"")</f>
        <v>2472388294.5300002</v>
      </c>
      <c r="G86">
        <f>IFERROR([1]!s_stm07_is_104($A86,TEXT($B$1,"yyyy/mm/dd"),1),"")</f>
        <v>43265433.960000001</v>
      </c>
      <c r="H86">
        <f>IFERROR([1]!s_stm07_is_105($A86,TEXT($B$1,"yyyy/mm/dd"),1),"")</f>
        <v>49264863.009999998</v>
      </c>
      <c r="I86">
        <f>IFERROR([1]!s_stm07_is($A86,"W72946623",TEXT($B$1,"yyyy/mm/dd"),1),"")</f>
        <v>462924.88</v>
      </c>
      <c r="J86">
        <f>IFERROR([1]!s_stm07_is($A86,"W30028333",TEXT($B$1,"yyyy/mm/dd"),1),"")</f>
        <v>154971452.80000001</v>
      </c>
      <c r="K86">
        <f>IFERROR([1]!s_stm07_cs($A86,"W77130581",TEXT($B$1,"yyyy/mm/dd"),1),"")</f>
        <v>802133083.05999994</v>
      </c>
      <c r="L86">
        <f>IFERROR([1]!s_stm07_cs($A86,"W77745895",TEXT($B$1,"yyyy/mm/dd"),1),"")</f>
        <v>2202738611.5599999</v>
      </c>
      <c r="M86">
        <f>IFERROR([1]!S_FA_EPS_basic2($A86,$B$1,"Cur=CNY"),"")</f>
        <v>0.39</v>
      </c>
      <c r="N86">
        <f>IFERROR([1]!s_fa_arturndays($A86,TEXT($B$1,"yyyy/mm/dd")),"")</f>
        <v>70.789500000000004</v>
      </c>
      <c r="O86" t="str">
        <f>IFERROR([1]!fa_apturndays($A86,TEXT($B$1,"yyyy/mm/dd")),"")</f>
        <v>Fetch...</v>
      </c>
      <c r="P86">
        <f>IFERROR([1]!s_fa_invturndays($A86,TEXT($B$1,"yyyy/mm/dd")),"")</f>
        <v>881.92060000000004</v>
      </c>
    </row>
    <row r="87" spans="1:16">
      <c r="A87" t="s">
        <v>100</v>
      </c>
      <c r="B87">
        <f>IFERROR([1]!s_stm07_is($A87,"W70156729",TEXT($B$1,"yyyy/mm/dd"),1),"")</f>
        <v>4692383239.2399998</v>
      </c>
      <c r="C87">
        <f>IFERROR([1]!s_stm07_is($A87,"W75682424",TEXT($B$1,"yyyy/mm/dd"),1),"")</f>
        <v>3336593718.6199999</v>
      </c>
      <c r="D87">
        <f>IFERROR([1]!s_stm07_is($A87,"W76031679",TEXT($B$1,"yyyy/mm/dd"),1),"")</f>
        <v>123887201.03</v>
      </c>
      <c r="E87">
        <f>IFERROR([1]!s_stm07_is($A87,"W70752487",TEXT($B$1,"yyyy/mm/dd"),1),"")</f>
        <v>471246653.72000003</v>
      </c>
      <c r="F87">
        <f>IFERROR([1]!s_stm07_is_103($A87,TEXT($B$1,"yyyy/mm/dd"),1),"")</f>
        <v>111595375.01000001</v>
      </c>
      <c r="G87">
        <f>IFERROR([1]!s_stm07_is_104($A87,TEXT($B$1,"yyyy/mm/dd"),1),"")</f>
        <v>129061958.58</v>
      </c>
      <c r="H87">
        <f>IFERROR([1]!s_stm07_is_105($A87,TEXT($B$1,"yyyy/mm/dd"),1),"")</f>
        <v>57381793.5</v>
      </c>
      <c r="I87">
        <f>IFERROR([1]!s_stm07_is($A87,"W72946623",TEXT($B$1,"yyyy/mm/dd"),1),"")</f>
        <v>858106512.24000001</v>
      </c>
      <c r="J87">
        <f>IFERROR([1]!s_stm07_is($A87,"W30028333",TEXT($B$1,"yyyy/mm/dd"),1),"")</f>
        <v>637644367.88999999</v>
      </c>
      <c r="K87">
        <f>IFERROR([1]!s_stm07_cs($A87,"W77130581",TEXT($B$1,"yyyy/mm/dd"),1),"")</f>
        <v>1004860422.03</v>
      </c>
      <c r="L87">
        <f>IFERROR([1]!s_stm07_cs($A87,"W77745895",TEXT($B$1,"yyyy/mm/dd"),1),"")</f>
        <v>190838833.74000001</v>
      </c>
      <c r="M87">
        <f>IFERROR([1]!S_FA_EPS_basic2($A87,$B$1,"Cur=CNY"),"")</f>
        <v>0.67600000000000005</v>
      </c>
      <c r="N87">
        <f>IFERROR([1]!s_fa_arturndays($A87,TEXT($B$1,"yyyy/mm/dd")),"")</f>
        <v>14.3733</v>
      </c>
      <c r="O87" t="str">
        <f>IFERROR([1]!fa_apturndays($A87,TEXT($B$1,"yyyy/mm/dd")),"")</f>
        <v>Fetch...</v>
      </c>
      <c r="P87">
        <f>IFERROR([1]!s_fa_invturndays($A87,TEXT($B$1,"yyyy/mm/dd")),"")</f>
        <v>86.843199999999996</v>
      </c>
    </row>
    <row r="88" spans="1:16">
      <c r="A88" t="s">
        <v>101</v>
      </c>
      <c r="B88">
        <f>IFERROR([1]!s_stm07_is($A88,"W70156729",TEXT($B$1,"yyyy/mm/dd"),1),"")</f>
        <v>4119346995.04</v>
      </c>
      <c r="C88">
        <f>IFERROR([1]!s_stm07_is($A88,"W75682424",TEXT($B$1,"yyyy/mm/dd"),1),"")</f>
        <v>3364791799.8800001</v>
      </c>
      <c r="D88">
        <f>IFERROR([1]!s_stm07_is($A88,"W76031679",TEXT($B$1,"yyyy/mm/dd"),1),"")</f>
        <v>102161954.81999999</v>
      </c>
      <c r="E88">
        <f>IFERROR([1]!s_stm07_is($A88,"W70752487",TEXT($B$1,"yyyy/mm/dd"),1),"")</f>
        <v>195456197.50999999</v>
      </c>
      <c r="F88">
        <f>IFERROR([1]!s_stm07_is_103($A88,TEXT($B$1,"yyyy/mm/dd"),1),"")</f>
        <v>159937109.28999999</v>
      </c>
      <c r="G88">
        <f>IFERROR([1]!s_stm07_is_104($A88,TEXT($B$1,"yyyy/mm/dd"),1),"")</f>
        <v>7834780.9400000004</v>
      </c>
      <c r="H88">
        <f>IFERROR([1]!s_stm07_is_105($A88,TEXT($B$1,"yyyy/mm/dd"),1),"")</f>
        <v>27076209.800000001</v>
      </c>
      <c r="I88">
        <f>IFERROR([1]!s_stm07_is($A88,"W72946623",TEXT($B$1,"yyyy/mm/dd"),1),"")</f>
        <v>186925522.16999999</v>
      </c>
      <c r="J88">
        <f>IFERROR([1]!s_stm07_is($A88,"W30028333",TEXT($B$1,"yyyy/mm/dd"),1),"")</f>
        <v>141596148.38999999</v>
      </c>
      <c r="K88">
        <f>IFERROR([1]!s_stm07_cs($A88,"W77130581",TEXT($B$1,"yyyy/mm/dd"),1),"")</f>
        <v>-94035407.200000003</v>
      </c>
      <c r="L88">
        <f>IFERROR([1]!s_stm07_cs($A88,"W77745895",TEXT($B$1,"yyyy/mm/dd"),1),"")</f>
        <v>1398537</v>
      </c>
      <c r="M88">
        <f>IFERROR([1]!S_FA_EPS_basic2($A88,$B$1,"Cur=CNY"),"")</f>
        <v>0.113</v>
      </c>
      <c r="N88">
        <f>IFERROR([1]!s_fa_arturndays($A88,TEXT($B$1,"yyyy/mm/dd")),"")</f>
        <v>93.331999999999994</v>
      </c>
      <c r="O88" t="str">
        <f>IFERROR([1]!fa_apturndays($A88,TEXT($B$1,"yyyy/mm/dd")),"")</f>
        <v>Fetch...</v>
      </c>
      <c r="P88">
        <f>IFERROR([1]!s_fa_invturndays($A88,TEXT($B$1,"yyyy/mm/dd")),"")</f>
        <v>2.2353000000000001</v>
      </c>
    </row>
    <row r="89" spans="1:16">
      <c r="A89" t="s">
        <v>102</v>
      </c>
      <c r="B89">
        <f>IFERROR([1]!s_stm07_is($A89,"W70156729",TEXT($B$1,"yyyy/mm/dd"),1),"")</f>
        <v>14620170066.18</v>
      </c>
      <c r="C89">
        <f>IFERROR([1]!s_stm07_is($A89,"W75682424",TEXT($B$1,"yyyy/mm/dd"),1),"")</f>
        <v>11479952567.48</v>
      </c>
      <c r="D89">
        <f>IFERROR([1]!s_stm07_is($A89,"W76031679",TEXT($B$1,"yyyy/mm/dd"),1),"")</f>
        <v>621265121.44000006</v>
      </c>
      <c r="E89">
        <f>IFERROR([1]!s_stm07_is($A89,"W70752487",TEXT($B$1,"yyyy/mm/dd"),1),"")</f>
        <v>423980207.75</v>
      </c>
      <c r="F89">
        <f>IFERROR([1]!s_stm07_is_103($A89,TEXT($B$1,"yyyy/mm/dd"),1),"")</f>
        <v>574885128.17999995</v>
      </c>
      <c r="G89">
        <f>IFERROR([1]!s_stm07_is_104($A89,TEXT($B$1,"yyyy/mm/dd"),1),"")</f>
        <v>100792534.5</v>
      </c>
      <c r="H89">
        <f>IFERROR([1]!s_stm07_is_105($A89,TEXT($B$1,"yyyy/mm/dd"),1),"")</f>
        <v>60989909.630000003</v>
      </c>
      <c r="I89">
        <f>IFERROR([1]!s_stm07_is($A89,"W72946623",TEXT($B$1,"yyyy/mm/dd"),1),"")</f>
        <v>1284495188.1500001</v>
      </c>
      <c r="J89">
        <f>IFERROR([1]!s_stm07_is($A89,"W30028333",TEXT($B$1,"yyyy/mm/dd"),1),"")</f>
        <v>1210975183.6099999</v>
      </c>
      <c r="K89">
        <f>IFERROR([1]!s_stm07_cs($A89,"W77130581",TEXT($B$1,"yyyy/mm/dd"),1),"")</f>
        <v>781122357.30999994</v>
      </c>
      <c r="L89">
        <f>IFERROR([1]!s_stm07_cs($A89,"W77745895",TEXT($B$1,"yyyy/mm/dd"),1),"")</f>
        <v>66821516.140000001</v>
      </c>
      <c r="M89">
        <f>IFERROR([1]!S_FA_EPS_basic2($A89,$B$1,"Cur=CNY"),"")</f>
        <v>0.80940000000000001</v>
      </c>
      <c r="N89">
        <f>IFERROR([1]!s_fa_arturndays($A89,TEXT($B$1,"yyyy/mm/dd")),"")</f>
        <v>131.66560000000001</v>
      </c>
      <c r="O89" t="str">
        <f>IFERROR([1]!fa_apturndays($A89,TEXT($B$1,"yyyy/mm/dd")),"")</f>
        <v>Fetch...</v>
      </c>
      <c r="P89">
        <f>IFERROR([1]!s_fa_invturndays($A89,TEXT($B$1,"yyyy/mm/dd")),"")</f>
        <v>102.1682</v>
      </c>
    </row>
    <row r="90" spans="1:16">
      <c r="A90" t="s">
        <v>103</v>
      </c>
      <c r="B90">
        <f>IFERROR([1]!s_stm07_is($A90,"W70156729",TEXT($B$1,"yyyy/mm/dd"),1),"")</f>
        <v>778470135.73000002</v>
      </c>
      <c r="C90">
        <f>IFERROR([1]!s_stm07_is($A90,"W75682424",TEXT($B$1,"yyyy/mm/dd"),1),"")</f>
        <v>454012273.95999998</v>
      </c>
      <c r="D90">
        <f>IFERROR([1]!s_stm07_is($A90,"W76031679",TEXT($B$1,"yyyy/mm/dd"),1),"")</f>
        <v>82068626.579999998</v>
      </c>
      <c r="E90">
        <f>IFERROR([1]!s_stm07_is($A90,"W70752487",TEXT($B$1,"yyyy/mm/dd"),1),"")</f>
        <v>107397700.02</v>
      </c>
      <c r="F90">
        <f>IFERROR([1]!s_stm07_is_103($A90,TEXT($B$1,"yyyy/mm/dd"),1),"")</f>
        <v>73024031.200000003</v>
      </c>
      <c r="G90">
        <f>IFERROR([1]!s_stm07_is_104($A90,TEXT($B$1,"yyyy/mm/dd"),1),"")</f>
        <v>10280292.51</v>
      </c>
      <c r="H90">
        <f>IFERROR([1]!s_stm07_is_105($A90,TEXT($B$1,"yyyy/mm/dd"),1),"")</f>
        <v>7147773.8300000001</v>
      </c>
      <c r="I90">
        <f>IFERROR([1]!s_stm07_is($A90,"W72946623",TEXT($B$1,"yyyy/mm/dd"),1),"")</f>
        <v>98012253.25</v>
      </c>
      <c r="J90">
        <f>IFERROR([1]!s_stm07_is($A90,"W30028333",TEXT($B$1,"yyyy/mm/dd"),1),"")</f>
        <v>83027487.680000007</v>
      </c>
      <c r="K90">
        <f>IFERROR([1]!s_stm07_cs($A90,"W77130581",TEXT($B$1,"yyyy/mm/dd"),1),"")</f>
        <v>97958987.340000004</v>
      </c>
      <c r="L90">
        <f>IFERROR([1]!s_stm07_cs($A90,"W77745895",TEXT($B$1,"yyyy/mm/dd"),1),"")</f>
        <v>28346508.550000001</v>
      </c>
      <c r="M90">
        <f>IFERROR([1]!S_FA_EPS_basic2($A90,$B$1,"Cur=CNY"),"")</f>
        <v>0.1188</v>
      </c>
      <c r="N90">
        <f>IFERROR([1]!s_fa_arturndays($A90,TEXT($B$1,"yyyy/mm/dd")),"")</f>
        <v>71.803299999999993</v>
      </c>
      <c r="O90" t="str">
        <f>IFERROR([1]!fa_apturndays($A90,TEXT($B$1,"yyyy/mm/dd")),"")</f>
        <v>Fetch...</v>
      </c>
      <c r="P90">
        <f>IFERROR([1]!s_fa_invturndays($A90,TEXT($B$1,"yyyy/mm/dd")),"")</f>
        <v>0</v>
      </c>
    </row>
    <row r="91" spans="1:16">
      <c r="A91" t="s">
        <v>104</v>
      </c>
      <c r="B91">
        <f>IFERROR([1]!s_stm07_is($A91,"W70156729",TEXT($B$1,"yyyy/mm/dd"),1),"")</f>
        <v>8377482887.3999996</v>
      </c>
      <c r="C91">
        <f>IFERROR([1]!s_stm07_is($A91,"W75682424",TEXT($B$1,"yyyy/mm/dd"),1),"")</f>
        <v>5676209551.0799999</v>
      </c>
      <c r="D91">
        <f>IFERROR([1]!s_stm07_is($A91,"W76031679",TEXT($B$1,"yyyy/mm/dd"),1),"")</f>
        <v>824429947.54999995</v>
      </c>
      <c r="E91">
        <f>IFERROR([1]!s_stm07_is($A91,"W70752487",TEXT($B$1,"yyyy/mm/dd"),1),"")</f>
        <v>429157260.45999998</v>
      </c>
      <c r="F91">
        <f>IFERROR([1]!s_stm07_is_103($A91,TEXT($B$1,"yyyy/mm/dd"),1),"")</f>
        <v>681631509</v>
      </c>
      <c r="G91">
        <f>IFERROR([1]!s_stm07_is_104($A91,TEXT($B$1,"yyyy/mm/dd"),1),"")</f>
        <v>4279671.6500000004</v>
      </c>
      <c r="H91">
        <f>IFERROR([1]!s_stm07_is_105($A91,TEXT($B$1,"yyyy/mm/dd"),1),"")</f>
        <v>89738267.480000004</v>
      </c>
      <c r="I91">
        <f>IFERROR([1]!s_stm07_is($A91,"W72946623",TEXT($B$1,"yyyy/mm/dd"),1),"")</f>
        <v>1026802169.34</v>
      </c>
      <c r="J91">
        <f>IFERROR([1]!s_stm07_is($A91,"W30028333",TEXT($B$1,"yyyy/mm/dd"),1),"")</f>
        <v>911992429.89999998</v>
      </c>
      <c r="K91">
        <f>IFERROR([1]!s_stm07_cs($A91,"W77130581",TEXT($B$1,"yyyy/mm/dd"),1),"")</f>
        <v>808247051.74000001</v>
      </c>
      <c r="L91">
        <f>IFERROR([1]!s_stm07_cs($A91,"W77745895",TEXT($B$1,"yyyy/mm/dd"),1),"")</f>
        <v>225504856.22999999</v>
      </c>
      <c r="M91">
        <f>IFERROR([1]!S_FA_EPS_basic2($A91,$B$1,"Cur=CNY"),"")</f>
        <v>0.68020000000000003</v>
      </c>
      <c r="N91">
        <f>IFERROR([1]!s_fa_arturndays($A91,TEXT($B$1,"yyyy/mm/dd")),"")</f>
        <v>72.287700000000001</v>
      </c>
      <c r="O91" t="str">
        <f>IFERROR([1]!fa_apturndays($A91,TEXT($B$1,"yyyy/mm/dd")),"")</f>
        <v>Fetch...</v>
      </c>
      <c r="P91">
        <f>IFERROR([1]!s_fa_invturndays($A91,TEXT($B$1,"yyyy/mm/dd")),"")</f>
        <v>268.13650000000001</v>
      </c>
    </row>
    <row r="92" spans="1:16">
      <c r="A92" t="s">
        <v>105</v>
      </c>
      <c r="B92">
        <f>IFERROR([1]!s_stm07_is($A92,"W70156729",TEXT($B$1,"yyyy/mm/dd"),1),"")</f>
        <v>12074666694.16</v>
      </c>
      <c r="C92">
        <f>IFERROR([1]!s_stm07_is($A92,"W75682424",TEXT($B$1,"yyyy/mm/dd"),1),"")</f>
        <v>8396636272.6400003</v>
      </c>
      <c r="D92">
        <f>IFERROR([1]!s_stm07_is($A92,"W76031679",TEXT($B$1,"yyyy/mm/dd"),1),"")</f>
        <v>278709892.69</v>
      </c>
      <c r="E92">
        <f>IFERROR([1]!s_stm07_is($A92,"W70752487",TEXT($B$1,"yyyy/mm/dd"),1),"")</f>
        <v>822638527.13</v>
      </c>
      <c r="F92">
        <f>IFERROR([1]!s_stm07_is_103($A92,TEXT($B$1,"yyyy/mm/dd"),1),"")</f>
        <v>97745020.640000001</v>
      </c>
      <c r="G92">
        <f>IFERROR([1]!s_stm07_is_104($A92,TEXT($B$1,"yyyy/mm/dd"),1),"")</f>
        <v>266222952.58000001</v>
      </c>
      <c r="H92">
        <f>IFERROR([1]!s_stm07_is_105($A92,TEXT($B$1,"yyyy/mm/dd"),1),"")</f>
        <v>40959611.5</v>
      </c>
      <c r="I92">
        <f>IFERROR([1]!s_stm07_is($A92,"W72946623",TEXT($B$1,"yyyy/mm/dd"),1),"")</f>
        <v>1890313683.2</v>
      </c>
      <c r="J92">
        <f>IFERROR([1]!s_stm07_is($A92,"W30028333",TEXT($B$1,"yyyy/mm/dd"),1),"")</f>
        <v>942169508.89999998</v>
      </c>
      <c r="K92">
        <f>IFERROR([1]!s_stm07_cs($A92,"W77130581",TEXT($B$1,"yyyy/mm/dd"),1),"")</f>
        <v>2559844673.8000002</v>
      </c>
      <c r="L92">
        <f>IFERROR([1]!s_stm07_cs($A92,"W77745895",TEXT($B$1,"yyyy/mm/dd"),1),"")</f>
        <v>3383700522.2600002</v>
      </c>
      <c r="M92">
        <f>IFERROR([1]!S_FA_EPS_basic2($A92,$B$1,"Cur=CNY"),"")</f>
        <v>0.25</v>
      </c>
      <c r="N92">
        <f>IFERROR([1]!s_fa_arturndays($A92,TEXT($B$1,"yyyy/mm/dd")),"")</f>
        <v>1.4087000000000001</v>
      </c>
      <c r="O92" t="str">
        <f>IFERROR([1]!fa_apturndays($A92,TEXT($B$1,"yyyy/mm/dd")),"")</f>
        <v>Fetch...</v>
      </c>
      <c r="P92">
        <f>IFERROR([1]!s_fa_invturndays($A92,TEXT($B$1,"yyyy/mm/dd")),"")</f>
        <v>29.7727</v>
      </c>
    </row>
    <row r="93" spans="1:16">
      <c r="A93" t="s">
        <v>106</v>
      </c>
      <c r="B93">
        <f>IFERROR([1]!s_stm07_is($A93,"W70156729",TEXT($B$1,"yyyy/mm/dd"),1),"")</f>
        <v>4611966487.5100002</v>
      </c>
      <c r="C93">
        <f>IFERROR([1]!s_stm07_is($A93,"W75682424",TEXT($B$1,"yyyy/mm/dd"),1),"")</f>
        <v>3557088301.5</v>
      </c>
      <c r="D93">
        <f>IFERROR([1]!s_stm07_is($A93,"W76031679",TEXT($B$1,"yyyy/mm/dd"),1),"")</f>
        <v>75454091.219999999</v>
      </c>
      <c r="E93">
        <f>IFERROR([1]!s_stm07_is($A93,"W70752487",TEXT($B$1,"yyyy/mm/dd"),1),"")</f>
        <v>363319781.56999999</v>
      </c>
      <c r="F93">
        <f>IFERROR([1]!s_stm07_is_103($A93,TEXT($B$1,"yyyy/mm/dd"),1),"")</f>
        <v>116573389.81999999</v>
      </c>
      <c r="G93">
        <f>IFERROR([1]!s_stm07_is_104($A93,TEXT($B$1,"yyyy/mm/dd"),1),"")</f>
        <v>292757370.19999999</v>
      </c>
      <c r="H93">
        <f>IFERROR([1]!s_stm07_is_105($A93,TEXT($B$1,"yyyy/mm/dd"),1),"")</f>
        <v>115390488.44</v>
      </c>
      <c r="I93">
        <f>IFERROR([1]!s_stm07_is($A93,"W72946623",TEXT($B$1,"yyyy/mm/dd"),1),"")</f>
        <v>1953892098.77</v>
      </c>
      <c r="J93">
        <f>IFERROR([1]!s_stm07_is($A93,"W30028333",TEXT($B$1,"yyyy/mm/dd"),1),"")</f>
        <v>1879358032.9200001</v>
      </c>
      <c r="K93">
        <f>IFERROR([1]!s_stm07_cs($A93,"W77130581",TEXT($B$1,"yyyy/mm/dd"),1),"")</f>
        <v>297655046.67000002</v>
      </c>
      <c r="L93">
        <f>IFERROR([1]!s_stm07_cs($A93,"W77745895",TEXT($B$1,"yyyy/mm/dd"),1),"")</f>
        <v>1091948010.1900001</v>
      </c>
      <c r="M93">
        <f>IFERROR([1]!S_FA_EPS_basic2($A93,$B$1,"Cur=CNY"),"")</f>
        <v>1.28</v>
      </c>
      <c r="N93">
        <f>IFERROR([1]!s_fa_arturndays($A93,TEXT($B$1,"yyyy/mm/dd")),"")</f>
        <v>145.67230000000001</v>
      </c>
      <c r="O93" t="str">
        <f>IFERROR([1]!fa_apturndays($A93,TEXT($B$1,"yyyy/mm/dd")),"")</f>
        <v>Fetch...</v>
      </c>
      <c r="P93">
        <f>IFERROR([1]!s_fa_invturndays($A93,TEXT($B$1,"yyyy/mm/dd")),"")</f>
        <v>179.2115</v>
      </c>
    </row>
    <row r="94" spans="1:16">
      <c r="A94" t="s">
        <v>107</v>
      </c>
      <c r="B94">
        <f>IFERROR([1]!s_stm07_is($A94,"W70156729",TEXT($B$1,"yyyy/mm/dd"),1),"")</f>
        <v>5068936529.8599997</v>
      </c>
      <c r="C94">
        <f>IFERROR([1]!s_stm07_is($A94,"W75682424",TEXT($B$1,"yyyy/mm/dd"),1),"")</f>
        <v>0</v>
      </c>
      <c r="D94">
        <f>IFERROR([1]!s_stm07_is($A94,"W76031679",TEXT($B$1,"yyyy/mm/dd"),1),"")</f>
        <v>0</v>
      </c>
      <c r="E94">
        <f>IFERROR([1]!s_stm07_is($A94,"W70752487",TEXT($B$1,"yyyy/mm/dd"),1),"")</f>
        <v>3209291848.4000001</v>
      </c>
      <c r="F94">
        <f>IFERROR([1]!s_stm07_is_103($A94,TEXT($B$1,"yyyy/mm/dd"),1),"")</f>
        <v>0</v>
      </c>
      <c r="G94">
        <f>IFERROR([1]!s_stm07_is_104($A94,TEXT($B$1,"yyyy/mm/dd"),1),"")</f>
        <v>0</v>
      </c>
      <c r="H94">
        <f>IFERROR([1]!s_stm07_is_105($A94,TEXT($B$1,"yyyy/mm/dd"),1),"")</f>
        <v>0</v>
      </c>
      <c r="I94">
        <f>IFERROR([1]!s_stm07_is($A94,"W72946623",TEXT($B$1,"yyyy/mm/dd"),1),"")</f>
        <v>1763605679.5599999</v>
      </c>
      <c r="J94">
        <f>IFERROR([1]!s_stm07_is($A94,"W30028333",TEXT($B$1,"yyyy/mm/dd"),1),"")</f>
        <v>1451396794.0599999</v>
      </c>
      <c r="K94">
        <f>IFERROR([1]!s_stm07_cs($A94,"W77130581",TEXT($B$1,"yyyy/mm/dd"),1),"")</f>
        <v>1003020982.71</v>
      </c>
      <c r="L94">
        <f>IFERROR([1]!s_stm07_cs($A94,"W77745895",TEXT($B$1,"yyyy/mm/dd"),1),"")</f>
        <v>93147665.420000002</v>
      </c>
      <c r="M94">
        <f>IFERROR([1]!S_FA_EPS_basic2($A94,$B$1,"Cur=CNY"),"")</f>
        <v>0.62</v>
      </c>
      <c r="N94">
        <f>IFERROR([1]!s_fa_arturndays($A94,TEXT($B$1,"yyyy/mm/dd")),"")</f>
        <v>0</v>
      </c>
      <c r="O94" t="str">
        <f>IFERROR([1]!fa_apturndays($A94,TEXT($B$1,"yyyy/mm/dd")),"")</f>
        <v>Fetch...</v>
      </c>
      <c r="P94">
        <f>IFERROR([1]!s_fa_invturndays($A94,TEXT($B$1,"yyyy/mm/dd")),"")</f>
        <v>0</v>
      </c>
    </row>
    <row r="95" spans="1:16">
      <c r="A95" t="s">
        <v>108</v>
      </c>
      <c r="B95">
        <f>IFERROR([1]!s_stm07_is($A95,"W70156729",TEXT($B$1,"yyyy/mm/dd"),1),"")</f>
        <v>4805968292.4499998</v>
      </c>
      <c r="C95">
        <f>IFERROR([1]!s_stm07_is($A95,"W75682424",TEXT($B$1,"yyyy/mm/dd"),1),"")</f>
        <v>2872066331.6199999</v>
      </c>
      <c r="D95">
        <f>IFERROR([1]!s_stm07_is($A95,"W76031679",TEXT($B$1,"yyyy/mm/dd"),1),"")</f>
        <v>11793779.890000001</v>
      </c>
      <c r="E95">
        <f>IFERROR([1]!s_stm07_is($A95,"W70752487",TEXT($B$1,"yyyy/mm/dd"),1),"")</f>
        <v>263877301.40000001</v>
      </c>
      <c r="F95">
        <f>IFERROR([1]!s_stm07_is_103($A95,TEXT($B$1,"yyyy/mm/dd"),1),"")</f>
        <v>41564465.560000002</v>
      </c>
      <c r="G95">
        <f>IFERROR([1]!s_stm07_is_104($A95,TEXT($B$1,"yyyy/mm/dd"),1),"")</f>
        <v>160025243.75999999</v>
      </c>
      <c r="H95">
        <f>IFERROR([1]!s_stm07_is_105($A95,TEXT($B$1,"yyyy/mm/dd"),1),"")</f>
        <v>6376135.8300000001</v>
      </c>
      <c r="I95">
        <f>IFERROR([1]!s_stm07_is($A95,"W72946623",TEXT($B$1,"yyyy/mm/dd"),1),"")</f>
        <v>1862508062.29</v>
      </c>
      <c r="J95">
        <f>IFERROR([1]!s_stm07_is($A95,"W30028333",TEXT($B$1,"yyyy/mm/dd"),1),"")</f>
        <v>1076482031.6900001</v>
      </c>
      <c r="K95">
        <f>IFERROR([1]!s_stm07_cs($A95,"W77130581",TEXT($B$1,"yyyy/mm/dd"),1),"")</f>
        <v>1093035836.51</v>
      </c>
      <c r="L95">
        <f>IFERROR([1]!s_stm07_cs($A95,"W77745895",TEXT($B$1,"yyyy/mm/dd"),1),"")</f>
        <v>887633812.58000004</v>
      </c>
      <c r="M95">
        <f>IFERROR([1]!S_FA_EPS_basic2($A95,$B$1,"Cur=CNY"),"")</f>
        <v>0.96719999999999995</v>
      </c>
      <c r="N95">
        <f>IFERROR([1]!s_fa_arturndays($A95,TEXT($B$1,"yyyy/mm/dd")),"")</f>
        <v>3.4860000000000002</v>
      </c>
      <c r="O95" t="str">
        <f>IFERROR([1]!fa_apturndays($A95,TEXT($B$1,"yyyy/mm/dd")),"")</f>
        <v>Fetch...</v>
      </c>
      <c r="P95">
        <f>IFERROR([1]!s_fa_invturndays($A95,TEXT($B$1,"yyyy/mm/dd")),"")</f>
        <v>47.726399999999998</v>
      </c>
    </row>
    <row r="96" spans="1:16">
      <c r="A96" t="s">
        <v>109</v>
      </c>
      <c r="B96">
        <f>IFERROR([1]!s_stm07_is($A96,"W70156729",TEXT($B$1,"yyyy/mm/dd"),1),"")</f>
        <v>8633599405.1299992</v>
      </c>
      <c r="C96">
        <f>IFERROR([1]!s_stm07_is($A96,"W75682424",TEXT($B$1,"yyyy/mm/dd"),1),"")</f>
        <v>7027418856.8000002</v>
      </c>
      <c r="D96">
        <f>IFERROR([1]!s_stm07_is($A96,"W76031679",TEXT($B$1,"yyyy/mm/dd"),1),"")</f>
        <v>8507392.8499999996</v>
      </c>
      <c r="E96">
        <f>IFERROR([1]!s_stm07_is($A96,"W70752487",TEXT($B$1,"yyyy/mm/dd"),1),"")</f>
        <v>238704849.22</v>
      </c>
      <c r="F96">
        <f>IFERROR([1]!s_stm07_is_103($A96,TEXT($B$1,"yyyy/mm/dd"),1),"")</f>
        <v>0</v>
      </c>
      <c r="G96">
        <f>IFERROR([1]!s_stm07_is_104($A96,TEXT($B$1,"yyyy/mm/dd"),1),"")</f>
        <v>137036685.43000001</v>
      </c>
      <c r="H96">
        <f>IFERROR([1]!s_stm07_is_105($A96,TEXT($B$1,"yyyy/mm/dd"),1),"")</f>
        <v>66345210.990000002</v>
      </c>
      <c r="I96">
        <f>IFERROR([1]!s_stm07_is($A96,"W72946623",TEXT($B$1,"yyyy/mm/dd"),1),"")</f>
        <v>1324756177.73</v>
      </c>
      <c r="J96">
        <f>IFERROR([1]!s_stm07_is($A96,"W30028333",TEXT($B$1,"yyyy/mm/dd"),1),"")</f>
        <v>1024495080.91</v>
      </c>
      <c r="K96">
        <f>IFERROR([1]!s_stm07_cs($A96,"W77130581",TEXT($B$1,"yyyy/mm/dd"),1),"")</f>
        <v>1773771574.3900001</v>
      </c>
      <c r="L96">
        <f>IFERROR([1]!s_stm07_cs($A96,"W77745895",TEXT($B$1,"yyyy/mm/dd"),1),"")</f>
        <v>738438909.60000002</v>
      </c>
      <c r="M96">
        <f>IFERROR([1]!S_FA_EPS_basic2($A96,$B$1,"Cur=CNY"),"")</f>
        <v>0.47</v>
      </c>
      <c r="N96">
        <f>IFERROR([1]!s_fa_arturndays($A96,TEXT($B$1,"yyyy/mm/dd")),"")</f>
        <v>38.495699999999999</v>
      </c>
      <c r="O96" t="str">
        <f>IFERROR([1]!fa_apturndays($A96,TEXT($B$1,"yyyy/mm/dd")),"")</f>
        <v>Fetch...</v>
      </c>
      <c r="P96">
        <f>IFERROR([1]!s_fa_invturndays($A96,TEXT($B$1,"yyyy/mm/dd")),"")</f>
        <v>15.9345</v>
      </c>
    </row>
    <row r="97" spans="1:16">
      <c r="A97" t="s">
        <v>110</v>
      </c>
      <c r="B97">
        <f>IFERROR([1]!s_stm07_is($A97,"W70156729",TEXT($B$1,"yyyy/mm/dd"),1),"")</f>
        <v>113527493619.63</v>
      </c>
      <c r="C97">
        <f>IFERROR([1]!s_stm07_is($A97,"W75682424",TEXT($B$1,"yyyy/mm/dd"),1),"")</f>
        <v>108402437210.84</v>
      </c>
      <c r="D97">
        <f>IFERROR([1]!s_stm07_is($A97,"W76031679",TEXT($B$1,"yyyy/mm/dd"),1),"")</f>
        <v>241563121.93000001</v>
      </c>
      <c r="E97">
        <f>IFERROR([1]!s_stm07_is($A97,"W70752487",TEXT($B$1,"yyyy/mm/dd"),1),"")</f>
        <v>1096559555.95</v>
      </c>
      <c r="F97">
        <f>IFERROR([1]!s_stm07_is_103($A97,TEXT($B$1,"yyyy/mm/dd"),1),"")</f>
        <v>817491594.75</v>
      </c>
      <c r="G97">
        <f>IFERROR([1]!s_stm07_is_104($A97,TEXT($B$1,"yyyy/mm/dd"),1),"")</f>
        <v>2335854053.9499998</v>
      </c>
      <c r="H97">
        <f>IFERROR([1]!s_stm07_is_105($A97,TEXT($B$1,"yyyy/mm/dd"),1),"")</f>
        <v>99150581.079999998</v>
      </c>
      <c r="I97">
        <f>IFERROR([1]!s_stm07_is($A97,"W72946623",TEXT($B$1,"yyyy/mm/dd"),1),"")</f>
        <v>451914067.26999998</v>
      </c>
      <c r="J97">
        <f>IFERROR([1]!s_stm07_is($A97,"W30028333",TEXT($B$1,"yyyy/mm/dd"),1),"")</f>
        <v>258331586.27000001</v>
      </c>
      <c r="K97">
        <f>IFERROR([1]!s_stm07_cs($A97,"W77130581",TEXT($B$1,"yyyy/mm/dd"),1),"")</f>
        <v>4625435458.6099997</v>
      </c>
      <c r="L97">
        <f>IFERROR([1]!s_stm07_cs($A97,"W77745895",TEXT($B$1,"yyyy/mm/dd"),1),"")</f>
        <v>5501739902.54</v>
      </c>
      <c r="M97">
        <f>IFERROR([1]!S_FA_EPS_basic2($A97,$B$1,"Cur=CNY"),"")</f>
        <v>0.08</v>
      </c>
      <c r="N97">
        <f>IFERROR([1]!s_fa_arturndays($A97,TEXT($B$1,"yyyy/mm/dd")),"")</f>
        <v>20.462199999999999</v>
      </c>
      <c r="O97" t="str">
        <f>IFERROR([1]!fa_apturndays($A97,TEXT($B$1,"yyyy/mm/dd")),"")</f>
        <v>Fetch...</v>
      </c>
      <c r="P97">
        <f>IFERROR([1]!s_fa_invturndays($A97,TEXT($B$1,"yyyy/mm/dd")),"")</f>
        <v>42.708199999999998</v>
      </c>
    </row>
    <row r="98" spans="1:16">
      <c r="A98" t="s">
        <v>111</v>
      </c>
      <c r="B98">
        <f>IFERROR([1]!s_stm07_is($A98,"W70156729",TEXT($B$1,"yyyy/mm/dd"),1),"")</f>
        <v>107373484700.24001</v>
      </c>
      <c r="C98">
        <f>IFERROR([1]!s_stm07_is($A98,"W75682424",TEXT($B$1,"yyyy/mm/dd"),1),"")</f>
        <v>91336989662.529999</v>
      </c>
      <c r="D98">
        <f>IFERROR([1]!s_stm07_is($A98,"W76031679",TEXT($B$1,"yyyy/mm/dd"),1),"")</f>
        <v>663384552.48000002</v>
      </c>
      <c r="E98">
        <f>IFERROR([1]!s_stm07_is($A98,"W70752487",TEXT($B$1,"yyyy/mm/dd"),1),"")</f>
        <v>2105224407.3599999</v>
      </c>
      <c r="F98">
        <f>IFERROR([1]!s_stm07_is_103($A98,TEXT($B$1,"yyyy/mm/dd"),1),"")</f>
        <v>4402690614.3900003</v>
      </c>
      <c r="G98">
        <f>IFERROR([1]!s_stm07_is_104($A98,TEXT($B$1,"yyyy/mm/dd"),1),"")</f>
        <v>846747728.75</v>
      </c>
      <c r="H98">
        <f>IFERROR([1]!s_stm07_is_105($A98,TEXT($B$1,"yyyy/mm/dd"),1),"")</f>
        <v>149377787.71000001</v>
      </c>
      <c r="I98">
        <f>IFERROR([1]!s_stm07_is($A98,"W72946623",TEXT($B$1,"yyyy/mm/dd"),1),"")</f>
        <v>7189814589.3000002</v>
      </c>
      <c r="J98">
        <f>IFERROR([1]!s_stm07_is($A98,"W30028333",TEXT($B$1,"yyyy/mm/dd"),1),"")</f>
        <v>5928668055.9700003</v>
      </c>
      <c r="K98">
        <f>IFERROR([1]!s_stm07_cs($A98,"W77130581",TEXT($B$1,"yyyy/mm/dd"),1),"")</f>
        <v>14635590727.17</v>
      </c>
      <c r="L98">
        <f>IFERROR([1]!s_stm07_cs($A98,"W77745895",TEXT($B$1,"yyyy/mm/dd"),1),"")</f>
        <v>769985430.86000001</v>
      </c>
      <c r="M98">
        <f>IFERROR([1]!S_FA_EPS_basic2($A98,$B$1,"Cur=CNY"),"")</f>
        <v>1.17</v>
      </c>
      <c r="N98">
        <f>IFERROR([1]!s_fa_arturndays($A98,TEXT($B$1,"yyyy/mm/dd")),"")</f>
        <v>17.824300000000001</v>
      </c>
      <c r="O98" t="str">
        <f>IFERROR([1]!fa_apturndays($A98,TEXT($B$1,"yyyy/mm/dd")),"")</f>
        <v>Fetch...</v>
      </c>
      <c r="P98">
        <f>IFERROR([1]!s_fa_invturndays($A98,TEXT($B$1,"yyyy/mm/dd")),"")</f>
        <v>65.003100000000003</v>
      </c>
    </row>
    <row r="99" spans="1:16">
      <c r="A99" t="s">
        <v>112</v>
      </c>
      <c r="B99">
        <f>IFERROR([1]!s_stm07_is($A99,"W70156729",TEXT($B$1,"yyyy/mm/dd"),1),"")</f>
        <v>118137254632.96001</v>
      </c>
      <c r="C99">
        <f>IFERROR([1]!s_stm07_is($A99,"W75682424",TEXT($B$1,"yyyy/mm/dd"),1),"")</f>
        <v>105550817065.83</v>
      </c>
      <c r="D99">
        <f>IFERROR([1]!s_stm07_is($A99,"W76031679",TEXT($B$1,"yyyy/mm/dd"),1),"")</f>
        <v>120060949.95999999</v>
      </c>
      <c r="E99">
        <f>IFERROR([1]!s_stm07_is($A99,"W70752487",TEXT($B$1,"yyyy/mm/dd"),1),"")</f>
        <v>2960750500.04</v>
      </c>
      <c r="F99">
        <f>IFERROR([1]!s_stm07_is_103($A99,TEXT($B$1,"yyyy/mm/dd"),1),"")</f>
        <v>2696855062.7800002</v>
      </c>
      <c r="G99">
        <f>IFERROR([1]!s_stm07_is_104($A99,TEXT($B$1,"yyyy/mm/dd"),1),"")</f>
        <v>4646885534.2399998</v>
      </c>
      <c r="H99">
        <f>IFERROR([1]!s_stm07_is_105($A99,TEXT($B$1,"yyyy/mm/dd"),1),"")</f>
        <v>478147385.50999999</v>
      </c>
      <c r="I99">
        <f>IFERROR([1]!s_stm07_is($A99,"W72946623",TEXT($B$1,"yyyy/mm/dd"),1),"")</f>
        <v>1427989097.96</v>
      </c>
      <c r="J99">
        <f>IFERROR([1]!s_stm07_is($A99,"W30028333",TEXT($B$1,"yyyy/mm/dd"),1),"")</f>
        <v>1001991587.85</v>
      </c>
      <c r="K99">
        <f>IFERROR([1]!s_stm07_cs($A99,"W77130581",TEXT($B$1,"yyyy/mm/dd"),1),"")</f>
        <v>9901446867.1200008</v>
      </c>
      <c r="L99">
        <f>IFERROR([1]!s_stm07_cs($A99,"W77745895",TEXT($B$1,"yyyy/mm/dd"),1),"")</f>
        <v>16564995106.959999</v>
      </c>
      <c r="M99">
        <f>IFERROR([1]!S_FA_EPS_basic2($A99,$B$1,"Cur=CNY"),"")</f>
        <v>7.7799999999999994E-2</v>
      </c>
      <c r="N99">
        <f>IFERROR([1]!s_fa_arturndays($A99,TEXT($B$1,"yyyy/mm/dd")),"")</f>
        <v>4.1512000000000002</v>
      </c>
      <c r="O99" t="str">
        <f>IFERROR([1]!fa_apturndays($A99,TEXT($B$1,"yyyy/mm/dd")),"")</f>
        <v>Fetch...</v>
      </c>
      <c r="P99">
        <f>IFERROR([1]!s_fa_invturndays($A99,TEXT($B$1,"yyyy/mm/dd")),"")</f>
        <v>77.5428</v>
      </c>
    </row>
    <row r="100" spans="1:16">
      <c r="A100" t="s">
        <v>113</v>
      </c>
      <c r="B100">
        <f>IFERROR([1]!s_stm07_is($A100,"W70156729",TEXT($B$1,"yyyy/mm/dd"),1),"")</f>
        <v>929905644.40999997</v>
      </c>
      <c r="C100">
        <f>IFERROR([1]!s_stm07_is($A100,"W75682424",TEXT($B$1,"yyyy/mm/dd"),1),"")</f>
        <v>0</v>
      </c>
      <c r="D100">
        <f>IFERROR([1]!s_stm07_is($A100,"W76031679",TEXT($B$1,"yyyy/mm/dd"),1),"")</f>
        <v>0</v>
      </c>
      <c r="E100">
        <f>IFERROR([1]!s_stm07_is($A100,"W70752487",TEXT($B$1,"yyyy/mm/dd"),1),"")</f>
        <v>622960936.60000002</v>
      </c>
      <c r="F100">
        <f>IFERROR([1]!s_stm07_is_103($A100,TEXT($B$1,"yyyy/mm/dd"),1),"")</f>
        <v>0</v>
      </c>
      <c r="G100">
        <f>IFERROR([1]!s_stm07_is_104($A100,TEXT($B$1,"yyyy/mm/dd"),1),"")</f>
        <v>0</v>
      </c>
      <c r="H100">
        <f>IFERROR([1]!s_stm07_is_105($A100,TEXT($B$1,"yyyy/mm/dd"),1),"")</f>
        <v>0</v>
      </c>
      <c r="I100">
        <f>IFERROR([1]!s_stm07_is($A100,"W72946623",TEXT($B$1,"yyyy/mm/dd"),1),"")</f>
        <v>278774803.98000002</v>
      </c>
      <c r="J100">
        <f>IFERROR([1]!s_stm07_is($A100,"W30028333",TEXT($B$1,"yyyy/mm/dd"),1),"")</f>
        <v>283488041.37</v>
      </c>
      <c r="K100">
        <f>IFERROR([1]!s_stm07_cs($A100,"W77130581",TEXT($B$1,"yyyy/mm/dd"),1),"")</f>
        <v>1424890573.78</v>
      </c>
      <c r="L100">
        <f>IFERROR([1]!s_stm07_cs($A100,"W77745895",TEXT($B$1,"yyyy/mm/dd"),1),"")</f>
        <v>75329810.939999998</v>
      </c>
      <c r="M100">
        <f>IFERROR([1]!S_FA_EPS_basic2($A100,$B$1,"Cur=CNY"),"")</f>
        <v>0.32</v>
      </c>
      <c r="N100">
        <f>IFERROR([1]!s_fa_arturndays($A100,TEXT($B$1,"yyyy/mm/dd")),"")</f>
        <v>0</v>
      </c>
      <c r="O100" t="str">
        <f>IFERROR([1]!fa_apturndays($A100,TEXT($B$1,"yyyy/mm/dd")),"")</f>
        <v>Fetch...</v>
      </c>
      <c r="P100">
        <f>IFERROR([1]!s_fa_invturndays($A100,TEXT($B$1,"yyyy/mm/dd")),"")</f>
        <v>0</v>
      </c>
    </row>
    <row r="101" spans="1:16">
      <c r="A101" t="s">
        <v>114</v>
      </c>
      <c r="B101">
        <f>IFERROR([1]!s_stm07_is($A101,"W70156729",TEXT($B$1,"yyyy/mm/dd"),1),"")</f>
        <v>9351938909.6200008</v>
      </c>
      <c r="C101">
        <f>IFERROR([1]!s_stm07_is($A101,"W75682424",TEXT($B$1,"yyyy/mm/dd"),1),"")</f>
        <v>5398178027.2600002</v>
      </c>
      <c r="D101">
        <f>IFERROR([1]!s_stm07_is($A101,"W76031679",TEXT($B$1,"yyyy/mm/dd"),1),"")</f>
        <v>1344094477.46</v>
      </c>
      <c r="E101">
        <f>IFERROR([1]!s_stm07_is($A101,"W70752487",TEXT($B$1,"yyyy/mm/dd"),1),"")</f>
        <v>1048509101.08</v>
      </c>
      <c r="F101">
        <f>IFERROR([1]!s_stm07_is_103($A101,TEXT($B$1,"yyyy/mm/dd"),1),"")</f>
        <v>36549428.240000002</v>
      </c>
      <c r="G101">
        <f>IFERROR([1]!s_stm07_is_104($A101,TEXT($B$1,"yyyy/mm/dd"),1),"")</f>
        <v>102540.24</v>
      </c>
      <c r="H101">
        <f>IFERROR([1]!s_stm07_is_105($A101,TEXT($B$1,"yyyy/mm/dd"),1),"")</f>
        <v>163088422.88999999</v>
      </c>
      <c r="I101">
        <f>IFERROR([1]!s_stm07_is($A101,"W72946623",TEXT($B$1,"yyyy/mm/dd"),1),"")</f>
        <v>1424343960.47</v>
      </c>
      <c r="J101">
        <f>IFERROR([1]!s_stm07_is($A101,"W30028333",TEXT($B$1,"yyyy/mm/dd"),1),"")</f>
        <v>1375648060.55</v>
      </c>
      <c r="K101">
        <f>IFERROR([1]!s_stm07_cs($A101,"W77130581",TEXT($B$1,"yyyy/mm/dd"),1),"")</f>
        <v>2085222521.73</v>
      </c>
      <c r="L101">
        <f>IFERROR([1]!s_stm07_cs($A101,"W77745895",TEXT($B$1,"yyyy/mm/dd"),1),"")</f>
        <v>477645954.43000001</v>
      </c>
      <c r="M101">
        <f>IFERROR([1]!S_FA_EPS_basic2($A101,$B$1,"Cur=CNY"),"")</f>
        <v>1.34</v>
      </c>
      <c r="N101">
        <f>IFERROR([1]!s_fa_arturndays($A101,TEXT($B$1,"yyyy/mm/dd")),"")</f>
        <v>47.012700000000002</v>
      </c>
      <c r="O101" t="str">
        <f>IFERROR([1]!fa_apturndays($A101,TEXT($B$1,"yyyy/mm/dd")),"")</f>
        <v>Fetch...</v>
      </c>
      <c r="P101">
        <f>IFERROR([1]!s_fa_invturndays($A101,TEXT($B$1,"yyyy/mm/dd")),"")</f>
        <v>58.513800000000003</v>
      </c>
    </row>
    <row r="102" spans="1:16">
      <c r="A102" t="s">
        <v>115</v>
      </c>
      <c r="B102">
        <f>IFERROR([1]!s_stm07_is($A102,"W70156729",TEXT($B$1,"yyyy/mm/dd"),1),"")</f>
        <v>17969258714.400002</v>
      </c>
      <c r="C102">
        <f>IFERROR([1]!s_stm07_is($A102,"W75682424",TEXT($B$1,"yyyy/mm/dd"),1),"")</f>
        <v>16987670887.389999</v>
      </c>
      <c r="D102">
        <f>IFERROR([1]!s_stm07_is($A102,"W76031679",TEXT($B$1,"yyyy/mm/dd"),1),"")</f>
        <v>193668651.83000001</v>
      </c>
      <c r="E102">
        <f>IFERROR([1]!s_stm07_is($A102,"W70752487",TEXT($B$1,"yyyy/mm/dd"),1),"")</f>
        <v>977214046.47000003</v>
      </c>
      <c r="F102">
        <f>IFERROR([1]!s_stm07_is_103($A102,TEXT($B$1,"yyyy/mm/dd"),1),"")</f>
        <v>59695112.509999998</v>
      </c>
      <c r="G102">
        <f>IFERROR([1]!s_stm07_is_104($A102,TEXT($B$1,"yyyy/mm/dd"),1),"")</f>
        <v>499473006.24000001</v>
      </c>
      <c r="H102">
        <f>IFERROR([1]!s_stm07_is_105($A102,TEXT($B$1,"yyyy/mm/dd"),1),"")</f>
        <v>59646418.359999999</v>
      </c>
      <c r="I102">
        <f>IFERROR([1]!s_stm07_is($A102,"W72946623",TEXT($B$1,"yyyy/mm/dd"),1),"")</f>
        <v>-1409930348.3599999</v>
      </c>
      <c r="J102">
        <f>IFERROR([1]!s_stm07_is($A102,"W30028333",TEXT($B$1,"yyyy/mm/dd"),1),"")</f>
        <v>-1123140143.0999999</v>
      </c>
      <c r="K102">
        <f>IFERROR([1]!s_stm07_cs($A102,"W77130581",TEXT($B$1,"yyyy/mm/dd"),1),"")</f>
        <v>1539500439.29</v>
      </c>
      <c r="L102">
        <f>IFERROR([1]!s_stm07_cs($A102,"W77745895",TEXT($B$1,"yyyy/mm/dd"),1),"")</f>
        <v>2000714955</v>
      </c>
      <c r="M102">
        <f>IFERROR([1]!S_FA_EPS_basic2($A102,$B$1,"Cur=CNY"),"")</f>
        <v>-0.25</v>
      </c>
      <c r="N102">
        <f>IFERROR([1]!s_fa_arturndays($A102,TEXT($B$1,"yyyy/mm/dd")),"")</f>
        <v>24.4116</v>
      </c>
      <c r="O102" t="str">
        <f>IFERROR([1]!fa_apturndays($A102,TEXT($B$1,"yyyy/mm/dd")),"")</f>
        <v>Fetch...</v>
      </c>
      <c r="P102">
        <f>IFERROR([1]!s_fa_invturndays($A102,TEXT($B$1,"yyyy/mm/dd")),"")</f>
        <v>26.871099999999998</v>
      </c>
    </row>
    <row r="103" spans="1:16">
      <c r="A103" t="s">
        <v>116</v>
      </c>
      <c r="B103">
        <f>IFERROR([1]!s_stm07_is($A103,"W70156729",TEXT($B$1,"yyyy/mm/dd"),1),"")</f>
        <v>204590222888</v>
      </c>
      <c r="C103">
        <f>IFERROR([1]!s_stm07_is($A103,"W75682424",TEXT($B$1,"yyyy/mm/dd"),1),"")</f>
        <v>172602044011</v>
      </c>
      <c r="D103">
        <f>IFERROR([1]!s_stm07_is($A103,"W76031679",TEXT($B$1,"yyyy/mm/dd"),1),"")</f>
        <v>2172622919</v>
      </c>
      <c r="E103">
        <f>IFERROR([1]!s_stm07_is($A103,"W70752487",TEXT($B$1,"yyyy/mm/dd"),1),"")</f>
        <v>5896341836</v>
      </c>
      <c r="F103">
        <f>IFERROR([1]!s_stm07_is_103($A103,TEXT($B$1,"yyyy/mm/dd"),1),"")</f>
        <v>13836670878</v>
      </c>
      <c r="G103">
        <f>IFERROR([1]!s_stm07_is_104($A103,TEXT($B$1,"yyyy/mm/dd"),1),"")</f>
        <v>3292142233</v>
      </c>
      <c r="H103">
        <f>IFERROR([1]!s_stm07_is_105($A103,TEXT($B$1,"yyyy/mm/dd"),1),"")</f>
        <v>1828272699</v>
      </c>
      <c r="I103">
        <f>IFERROR([1]!s_stm07_is($A103,"W72946623",TEXT($B$1,"yyyy/mm/dd"),1),"")</f>
        <v>7034201130</v>
      </c>
      <c r="J103">
        <f>IFERROR([1]!s_stm07_is($A103,"W30028333",TEXT($B$1,"yyyy/mm/dd"),1),"")</f>
        <v>5856966754</v>
      </c>
      <c r="K103">
        <f>IFERROR([1]!s_stm07_cs($A103,"W77130581",TEXT($B$1,"yyyy/mm/dd"),1),"")</f>
        <v>48824555674</v>
      </c>
      <c r="L103">
        <f>IFERROR([1]!s_stm07_cs($A103,"W77745895",TEXT($B$1,"yyyy/mm/dd"),1),"")</f>
        <v>40094380995</v>
      </c>
      <c r="M103">
        <f>IFERROR([1]!S_FA_EPS_basic2($A103,$B$1,"Cur=CNY"),"")</f>
        <v>0.16</v>
      </c>
      <c r="N103">
        <f>IFERROR([1]!s_fa_arturndays($A103,TEXT($B$1,"yyyy/mm/dd")),"")</f>
        <v>60.382399999999997</v>
      </c>
      <c r="O103" t="str">
        <f>IFERROR([1]!fa_apturndays($A103,TEXT($B$1,"yyyy/mm/dd")),"")</f>
        <v>Fetch...</v>
      </c>
      <c r="P103">
        <f>IFERROR([1]!s_fa_invturndays($A103,TEXT($B$1,"yyyy/mm/dd")),"")</f>
        <v>53.818100000000001</v>
      </c>
    </row>
    <row r="104" spans="1:16">
      <c r="A104" t="s">
        <v>117</v>
      </c>
      <c r="B104">
        <f>IFERROR([1]!s_stm07_is($A104,"W70156729",TEXT($B$1,"yyyy/mm/dd"),1),"")</f>
        <v>54258947806.610001</v>
      </c>
      <c r="C104">
        <f>IFERROR([1]!s_stm07_is($A104,"W75682424",TEXT($B$1,"yyyy/mm/dd"),1),"")</f>
        <v>48698011930.459999</v>
      </c>
      <c r="D104">
        <f>IFERROR([1]!s_stm07_is($A104,"W76031679",TEXT($B$1,"yyyy/mm/dd"),1),"")</f>
        <v>2937300931.0500002</v>
      </c>
      <c r="E104">
        <f>IFERROR([1]!s_stm07_is($A104,"W70752487",TEXT($B$1,"yyyy/mm/dd"),1),"")</f>
        <v>1293284566.1600001</v>
      </c>
      <c r="F104">
        <f>IFERROR([1]!s_stm07_is_103($A104,TEXT($B$1,"yyyy/mm/dd"),1),"")</f>
        <v>1288497334.6500001</v>
      </c>
      <c r="G104">
        <f>IFERROR([1]!s_stm07_is_104($A104,TEXT($B$1,"yyyy/mm/dd"),1),"")</f>
        <v>472120839.85000002</v>
      </c>
      <c r="H104">
        <f>IFERROR([1]!s_stm07_is_105($A104,TEXT($B$1,"yyyy/mm/dd"),1),"")</f>
        <v>86428463.650000006</v>
      </c>
      <c r="I104">
        <f>IFERROR([1]!s_stm07_is($A104,"W72946623",TEXT($B$1,"yyyy/mm/dd"),1),"")</f>
        <v>-1142190226.9300001</v>
      </c>
      <c r="J104">
        <f>IFERROR([1]!s_stm07_is($A104,"W30028333",TEXT($B$1,"yyyy/mm/dd"),1),"")</f>
        <v>-784400247.84000003</v>
      </c>
      <c r="K104">
        <f>IFERROR([1]!s_stm07_cs($A104,"W77130581",TEXT($B$1,"yyyy/mm/dd"),1),"")</f>
        <v>-1020396026.3099999</v>
      </c>
      <c r="L104">
        <f>IFERROR([1]!s_stm07_cs($A104,"W77745895",TEXT($B$1,"yyyy/mm/dd"),1),"")</f>
        <v>901227201.27999997</v>
      </c>
      <c r="M104">
        <f>IFERROR([1]!S_FA_EPS_basic2($A104,$B$1,"Cur=CNY"),"")</f>
        <v>-0.17319999999999999</v>
      </c>
      <c r="N104">
        <f>IFERROR([1]!s_fa_arturndays($A104,TEXT($B$1,"yyyy/mm/dd")),"")</f>
        <v>60.085099999999997</v>
      </c>
      <c r="O104" t="str">
        <f>IFERROR([1]!fa_apturndays($A104,TEXT($B$1,"yyyy/mm/dd")),"")</f>
        <v>Fetch...</v>
      </c>
      <c r="P104">
        <f>IFERROR([1]!s_fa_invturndays($A104,TEXT($B$1,"yyyy/mm/dd")),"")</f>
        <v>71.271600000000007</v>
      </c>
    </row>
    <row r="105" spans="1:16">
      <c r="A105" t="s">
        <v>118</v>
      </c>
      <c r="B105">
        <f>IFERROR([1]!s_stm07_is($A105,"W70156729",TEXT($B$1,"yyyy/mm/dd"),1),"")</f>
        <v>6248758747.9499998</v>
      </c>
      <c r="C105">
        <f>IFERROR([1]!s_stm07_is($A105,"W75682424",TEXT($B$1,"yyyy/mm/dd"),1),"")</f>
        <v>0</v>
      </c>
      <c r="D105">
        <f>IFERROR([1]!s_stm07_is($A105,"W76031679",TEXT($B$1,"yyyy/mm/dd"),1),"")</f>
        <v>0</v>
      </c>
      <c r="E105">
        <f>IFERROR([1]!s_stm07_is($A105,"W70752487",TEXT($B$1,"yyyy/mm/dd"),1),"")</f>
        <v>2868050554.2399998</v>
      </c>
      <c r="F105">
        <f>IFERROR([1]!s_stm07_is_103($A105,TEXT($B$1,"yyyy/mm/dd"),1),"")</f>
        <v>0</v>
      </c>
      <c r="G105">
        <f>IFERROR([1]!s_stm07_is_104($A105,TEXT($B$1,"yyyy/mm/dd"),1),"")</f>
        <v>0</v>
      </c>
      <c r="H105">
        <f>IFERROR([1]!s_stm07_is_105($A105,TEXT($B$1,"yyyy/mm/dd"),1),"")</f>
        <v>0</v>
      </c>
      <c r="I105">
        <f>IFERROR([1]!s_stm07_is($A105,"W72946623",TEXT($B$1,"yyyy/mm/dd"),1),"")</f>
        <v>3112773594.5500002</v>
      </c>
      <c r="J105">
        <f>IFERROR([1]!s_stm07_is($A105,"W30028333",TEXT($B$1,"yyyy/mm/dd"),1),"")</f>
        <v>2426163582.1700001</v>
      </c>
      <c r="K105">
        <f>IFERROR([1]!s_stm07_cs($A105,"W77130581",TEXT($B$1,"yyyy/mm/dd"),1),"")</f>
        <v>9994595349.4099998</v>
      </c>
      <c r="L105">
        <f>IFERROR([1]!s_stm07_cs($A105,"W77745895",TEXT($B$1,"yyyy/mm/dd"),1),"")</f>
        <v>160534241.69999999</v>
      </c>
      <c r="M105">
        <f>IFERROR([1]!S_FA_EPS_basic2($A105,$B$1,"Cur=CNY"),"")</f>
        <v>0.56000000000000005</v>
      </c>
      <c r="N105">
        <f>IFERROR([1]!s_fa_arturndays($A105,TEXT($B$1,"yyyy/mm/dd")),"")</f>
        <v>0</v>
      </c>
      <c r="O105" t="str">
        <f>IFERROR([1]!fa_apturndays($A105,TEXT($B$1,"yyyy/mm/dd")),"")</f>
        <v>Fetch...</v>
      </c>
      <c r="P105">
        <f>IFERROR([1]!s_fa_invturndays($A105,TEXT($B$1,"yyyy/mm/dd")),"")</f>
        <v>0</v>
      </c>
    </row>
    <row r="106" spans="1:16">
      <c r="A106" t="s">
        <v>119</v>
      </c>
      <c r="B106">
        <f>IFERROR([1]!s_stm07_is($A106,"W70156729",TEXT($B$1,"yyyy/mm/dd"),1),"")</f>
        <v>15332979766.4</v>
      </c>
      <c r="C106">
        <f>IFERROR([1]!s_stm07_is($A106,"W75682424",TEXT($B$1,"yyyy/mm/dd"),1),"")</f>
        <v>8653866068.6499996</v>
      </c>
      <c r="D106">
        <f>IFERROR([1]!s_stm07_is($A106,"W76031679",TEXT($B$1,"yyyy/mm/dd"),1),"")</f>
        <v>1700373366.6500001</v>
      </c>
      <c r="E106">
        <f>IFERROR([1]!s_stm07_is($A106,"W70752487",TEXT($B$1,"yyyy/mm/dd"),1),"")</f>
        <v>1499490735.05</v>
      </c>
      <c r="F106">
        <f>IFERROR([1]!s_stm07_is_103($A106,TEXT($B$1,"yyyy/mm/dd"),1),"")</f>
        <v>245403508.59999999</v>
      </c>
      <c r="G106">
        <f>IFERROR([1]!s_stm07_is_104($A106,TEXT($B$1,"yyyy/mm/dd"),1),"")</f>
        <v>11416892.85</v>
      </c>
      <c r="H106">
        <f>IFERROR([1]!s_stm07_is_105($A106,TEXT($B$1,"yyyy/mm/dd"),1),"")</f>
        <v>212098611.56999999</v>
      </c>
      <c r="I106">
        <f>IFERROR([1]!s_stm07_is($A106,"W72946623",TEXT($B$1,"yyyy/mm/dd"),1),"")</f>
        <v>2369695040.9200001</v>
      </c>
      <c r="J106">
        <f>IFERROR([1]!s_stm07_is($A106,"W30028333",TEXT($B$1,"yyyy/mm/dd"),1),"")</f>
        <v>1679117088.5899999</v>
      </c>
      <c r="K106">
        <f>IFERROR([1]!s_stm07_cs($A106,"W77130581",TEXT($B$1,"yyyy/mm/dd"),1),"")</f>
        <v>2721833054.4400001</v>
      </c>
      <c r="L106">
        <f>IFERROR([1]!s_stm07_cs($A106,"W77745895",TEXT($B$1,"yyyy/mm/dd"),1),"")</f>
        <v>1271821622.8199999</v>
      </c>
      <c r="M106">
        <f>IFERROR([1]!S_FA_EPS_basic2($A106,$B$1,"Cur=CNY"),"")</f>
        <v>0.59599999999999997</v>
      </c>
      <c r="N106">
        <f>IFERROR([1]!s_fa_arturndays($A106,TEXT($B$1,"yyyy/mm/dd")),"")</f>
        <v>4.5201000000000002</v>
      </c>
      <c r="O106" t="str">
        <f>IFERROR([1]!fa_apturndays($A106,TEXT($B$1,"yyyy/mm/dd")),"")</f>
        <v>Fetch...</v>
      </c>
      <c r="P106">
        <f>IFERROR([1]!s_fa_invturndays($A106,TEXT($B$1,"yyyy/mm/dd")),"")</f>
        <v>157.8878</v>
      </c>
    </row>
    <row r="107" spans="1:16">
      <c r="A107" t="s">
        <v>120</v>
      </c>
      <c r="B107">
        <f>IFERROR([1]!s_stm07_is($A107,"W70156729",TEXT($B$1,"yyyy/mm/dd"),1),"")</f>
        <v>5754973967.9799995</v>
      </c>
      <c r="C107">
        <f>IFERROR([1]!s_stm07_is($A107,"W75682424",TEXT($B$1,"yyyy/mm/dd"),1),"")</f>
        <v>3110557156.6100001</v>
      </c>
      <c r="D107">
        <f>IFERROR([1]!s_stm07_is($A107,"W76031679",TEXT($B$1,"yyyy/mm/dd"),1),"")</f>
        <v>273116488.13</v>
      </c>
      <c r="E107">
        <f>IFERROR([1]!s_stm07_is($A107,"W70752487",TEXT($B$1,"yyyy/mm/dd"),1),"")</f>
        <v>699366975.75</v>
      </c>
      <c r="F107">
        <f>IFERROR([1]!s_stm07_is_103($A107,TEXT($B$1,"yyyy/mm/dd"),1),"")</f>
        <v>326638284.11000001</v>
      </c>
      <c r="G107">
        <f>IFERROR([1]!s_stm07_is_104($A107,TEXT($B$1,"yyyy/mm/dd"),1),"")</f>
        <v>24536455.370000001</v>
      </c>
      <c r="H107">
        <f>IFERROR([1]!s_stm07_is_105($A107,TEXT($B$1,"yyyy/mm/dd"),1),"")</f>
        <v>38213674.82</v>
      </c>
      <c r="I107">
        <f>IFERROR([1]!s_stm07_is($A107,"W72946623",TEXT($B$1,"yyyy/mm/dd"),1),"")</f>
        <v>1175794959.3800001</v>
      </c>
      <c r="J107">
        <f>IFERROR([1]!s_stm07_is($A107,"W30028333",TEXT($B$1,"yyyy/mm/dd"),1),"")</f>
        <v>1025416831.83</v>
      </c>
      <c r="K107">
        <f>IFERROR([1]!s_stm07_cs($A107,"W77130581",TEXT($B$1,"yyyy/mm/dd"),1),"")</f>
        <v>1394269765.6800001</v>
      </c>
      <c r="L107">
        <f>IFERROR([1]!s_stm07_cs($A107,"W77745895",TEXT($B$1,"yyyy/mm/dd"),1),"")</f>
        <v>360884715.54000002</v>
      </c>
      <c r="M107">
        <f>IFERROR([1]!S_FA_EPS_basic2($A107,$B$1,"Cur=CNY"),"")</f>
        <v>1.8504</v>
      </c>
      <c r="N107">
        <f>IFERROR([1]!s_fa_arturndays($A107,TEXT($B$1,"yyyy/mm/dd")),"")</f>
        <v>299.07780000000002</v>
      </c>
      <c r="O107" t="str">
        <f>IFERROR([1]!fa_apturndays($A107,TEXT($B$1,"yyyy/mm/dd")),"")</f>
        <v>Fetch...</v>
      </c>
      <c r="P107">
        <f>IFERROR([1]!s_fa_invturndays($A107,TEXT($B$1,"yyyy/mm/dd")),"")</f>
        <v>256.08190000000002</v>
      </c>
    </row>
    <row r="108" spans="1:16">
      <c r="A108" t="s">
        <v>121</v>
      </c>
      <c r="B108">
        <f>IFERROR([1]!s_stm07_is($A108,"W70156729",TEXT($B$1,"yyyy/mm/dd"),1),"")</f>
        <v>27916109130.32</v>
      </c>
      <c r="C108">
        <f>IFERROR([1]!s_stm07_is($A108,"W75682424",TEXT($B$1,"yyyy/mm/dd"),1),"")</f>
        <v>25046423104.720001</v>
      </c>
      <c r="D108">
        <f>IFERROR([1]!s_stm07_is($A108,"W76031679",TEXT($B$1,"yyyy/mm/dd"),1),"")</f>
        <v>70699411.530000001</v>
      </c>
      <c r="E108">
        <f>IFERROR([1]!s_stm07_is($A108,"W70752487",TEXT($B$1,"yyyy/mm/dd"),1),"")</f>
        <v>270408054.99000001</v>
      </c>
      <c r="F108">
        <f>IFERROR([1]!s_stm07_is_103($A108,TEXT($B$1,"yyyy/mm/dd"),1),"")</f>
        <v>52120077.359999999</v>
      </c>
      <c r="G108">
        <f>IFERROR([1]!s_stm07_is_104($A108,TEXT($B$1,"yyyy/mm/dd"),1),"")</f>
        <v>263541180.53999999</v>
      </c>
      <c r="H108">
        <f>IFERROR([1]!s_stm07_is_105($A108,TEXT($B$1,"yyyy/mm/dd"),1),"")</f>
        <v>4557688.28</v>
      </c>
      <c r="I108">
        <f>IFERROR([1]!s_stm07_is($A108,"W72946623",TEXT($B$1,"yyyy/mm/dd"),1),"")</f>
        <v>1025711226.3</v>
      </c>
      <c r="J108">
        <f>IFERROR([1]!s_stm07_is($A108,"W30028333",TEXT($B$1,"yyyy/mm/dd"),1),"")</f>
        <v>790615580.90999997</v>
      </c>
      <c r="K108">
        <f>IFERROR([1]!s_stm07_cs($A108,"W77130581",TEXT($B$1,"yyyy/mm/dd"),1),"")</f>
        <v>1888050453.53</v>
      </c>
      <c r="L108">
        <f>IFERROR([1]!s_stm07_cs($A108,"W77745895",TEXT($B$1,"yyyy/mm/dd"),1),"")</f>
        <v>770249615.95000005</v>
      </c>
      <c r="M108">
        <f>IFERROR([1]!S_FA_EPS_basic2($A108,$B$1,"Cur=CNY"),"")</f>
        <v>0.41499999999999998</v>
      </c>
      <c r="N108">
        <f>IFERROR([1]!s_fa_arturndays($A108,TEXT($B$1,"yyyy/mm/dd")),"")</f>
        <v>0.3891</v>
      </c>
      <c r="O108" t="str">
        <f>IFERROR([1]!fa_apturndays($A108,TEXT($B$1,"yyyy/mm/dd")),"")</f>
        <v>Fetch...</v>
      </c>
      <c r="P108">
        <f>IFERROR([1]!s_fa_invturndays($A108,TEXT($B$1,"yyyy/mm/dd")),"")</f>
        <v>98.787099999999995</v>
      </c>
    </row>
    <row r="109" spans="1:16">
      <c r="A109" t="s">
        <v>122</v>
      </c>
      <c r="B109">
        <f>IFERROR([1]!s_stm07_is($A109,"W70156729",TEXT($B$1,"yyyy/mm/dd"),1),"")</f>
        <v>5171634469.8400002</v>
      </c>
      <c r="C109">
        <f>IFERROR([1]!s_stm07_is($A109,"W75682424",TEXT($B$1,"yyyy/mm/dd"),1),"")</f>
        <v>3975480525.6999998</v>
      </c>
      <c r="D109">
        <f>IFERROR([1]!s_stm07_is($A109,"W76031679",TEXT($B$1,"yyyy/mm/dd"),1),"")</f>
        <v>17992319.16</v>
      </c>
      <c r="E109">
        <f>IFERROR([1]!s_stm07_is($A109,"W70752487",TEXT($B$1,"yyyy/mm/dd"),1),"")</f>
        <v>476871663.19</v>
      </c>
      <c r="F109">
        <f>IFERROR([1]!s_stm07_is_103($A109,TEXT($B$1,"yyyy/mm/dd"),1),"")</f>
        <v>171585260.36000001</v>
      </c>
      <c r="G109">
        <f>IFERROR([1]!s_stm07_is_104($A109,TEXT($B$1,"yyyy/mm/dd"),1),"")</f>
        <v>1608992.69</v>
      </c>
      <c r="H109">
        <f>IFERROR([1]!s_stm07_is_105($A109,TEXT($B$1,"yyyy/mm/dd"),1),"")</f>
        <v>33180870.109999999</v>
      </c>
      <c r="I109">
        <f>IFERROR([1]!s_stm07_is($A109,"W72946623",TEXT($B$1,"yyyy/mm/dd"),1),"")</f>
        <v>386895071.63999999</v>
      </c>
      <c r="J109">
        <f>IFERROR([1]!s_stm07_is($A109,"W30028333",TEXT($B$1,"yyyy/mm/dd"),1),"")</f>
        <v>334424137.19</v>
      </c>
      <c r="K109">
        <f>IFERROR([1]!s_stm07_cs($A109,"W77130581",TEXT($B$1,"yyyy/mm/dd"),1),"")</f>
        <v>944314675.37</v>
      </c>
      <c r="L109">
        <f>IFERROR([1]!s_stm07_cs($A109,"W77745895",TEXT($B$1,"yyyy/mm/dd"),1),"")</f>
        <v>801404262.44000006</v>
      </c>
      <c r="M109">
        <f>IFERROR([1]!S_FA_EPS_basic2($A109,$B$1,"Cur=CNY"),"")</f>
        <v>0.25</v>
      </c>
      <c r="N109">
        <f>IFERROR([1]!s_fa_arturndays($A109,TEXT($B$1,"yyyy/mm/dd")),"")</f>
        <v>209.64359999999999</v>
      </c>
      <c r="O109" t="str">
        <f>IFERROR([1]!fa_apturndays($A109,TEXT($B$1,"yyyy/mm/dd")),"")</f>
        <v>Fetch...</v>
      </c>
      <c r="P109">
        <f>IFERROR([1]!s_fa_invturndays($A109,TEXT($B$1,"yyyy/mm/dd")),"")</f>
        <v>142.4727</v>
      </c>
    </row>
    <row r="110" spans="1:16">
      <c r="A110" t="s">
        <v>123</v>
      </c>
      <c r="B110">
        <f>IFERROR([1]!s_stm07_is($A110,"W70156729",TEXT($B$1,"yyyy/mm/dd"),1),"")</f>
        <v>9783600915.2700005</v>
      </c>
      <c r="C110">
        <f>IFERROR([1]!s_stm07_is($A110,"W75682424",TEXT($B$1,"yyyy/mm/dd"),1),"")</f>
        <v>7204943429.04</v>
      </c>
      <c r="D110">
        <f>IFERROR([1]!s_stm07_is($A110,"W76031679",TEXT($B$1,"yyyy/mm/dd"),1),"")</f>
        <v>548368269.34000003</v>
      </c>
      <c r="E110">
        <f>IFERROR([1]!s_stm07_is($A110,"W70752487",TEXT($B$1,"yyyy/mm/dd"),1),"")</f>
        <v>423047841.13999999</v>
      </c>
      <c r="F110">
        <f>IFERROR([1]!s_stm07_is_103($A110,TEXT($B$1,"yyyy/mm/dd"),1),"")</f>
        <v>611166878.99000001</v>
      </c>
      <c r="G110">
        <f>IFERROR([1]!s_stm07_is_104($A110,TEXT($B$1,"yyyy/mm/dd"),1),"")</f>
        <v>23770956.73</v>
      </c>
      <c r="H110">
        <f>IFERROR([1]!s_stm07_is_105($A110,TEXT($B$1,"yyyy/mm/dd"),1),"")</f>
        <v>111996587.55</v>
      </c>
      <c r="I110">
        <f>IFERROR([1]!s_stm07_is($A110,"W72946623",TEXT($B$1,"yyyy/mm/dd"),1),"")</f>
        <v>1066198868.98</v>
      </c>
      <c r="J110">
        <f>IFERROR([1]!s_stm07_is($A110,"W30028333",TEXT($B$1,"yyyy/mm/dd"),1),"")</f>
        <v>890677997.15999997</v>
      </c>
      <c r="K110">
        <f>IFERROR([1]!s_stm07_cs($A110,"W77130581",TEXT($B$1,"yyyy/mm/dd"),1),"")</f>
        <v>1220201280.75</v>
      </c>
      <c r="L110">
        <f>IFERROR([1]!s_stm07_cs($A110,"W77745895",TEXT($B$1,"yyyy/mm/dd"),1),"")</f>
        <v>386214539.81999999</v>
      </c>
      <c r="M110">
        <f>IFERROR([1]!S_FA_EPS_basic2($A110,$B$1,"Cur=CNY"),"")</f>
        <v>0.77229999999999999</v>
      </c>
      <c r="N110">
        <f>IFERROR([1]!s_fa_arturndays($A110,TEXT($B$1,"yyyy/mm/dd")),"")</f>
        <v>63.985199999999999</v>
      </c>
      <c r="O110" t="str">
        <f>IFERROR([1]!fa_apturndays($A110,TEXT($B$1,"yyyy/mm/dd")),"")</f>
        <v>Fetch...</v>
      </c>
      <c r="P110">
        <f>IFERROR([1]!s_fa_invturndays($A110,TEXT($B$1,"yyyy/mm/dd")),"")</f>
        <v>86.490600000000001</v>
      </c>
    </row>
    <row r="111" spans="1:16">
      <c r="A111" t="s">
        <v>124</v>
      </c>
      <c r="B111">
        <f>IFERROR([1]!s_stm07_is($A111,"W70156729",TEXT($B$1,"yyyy/mm/dd"),1),"")</f>
        <v>3454731967.0999999</v>
      </c>
      <c r="C111">
        <f>IFERROR([1]!s_stm07_is($A111,"W75682424",TEXT($B$1,"yyyy/mm/dd"),1),"")</f>
        <v>0</v>
      </c>
      <c r="D111">
        <f>IFERROR([1]!s_stm07_is($A111,"W76031679",TEXT($B$1,"yyyy/mm/dd"),1),"")</f>
        <v>0</v>
      </c>
      <c r="E111">
        <f>IFERROR([1]!s_stm07_is($A111,"W70752487",TEXT($B$1,"yyyy/mm/dd"),1),"")</f>
        <v>2317847246.6799998</v>
      </c>
      <c r="F111">
        <f>IFERROR([1]!s_stm07_is_103($A111,TEXT($B$1,"yyyy/mm/dd"),1),"")</f>
        <v>0</v>
      </c>
      <c r="G111">
        <f>IFERROR([1]!s_stm07_is_104($A111,TEXT($B$1,"yyyy/mm/dd"),1),"")</f>
        <v>0</v>
      </c>
      <c r="H111">
        <f>IFERROR([1]!s_stm07_is_105($A111,TEXT($B$1,"yyyy/mm/dd"),1),"")</f>
        <v>0</v>
      </c>
      <c r="I111">
        <f>IFERROR([1]!s_stm07_is($A111,"W72946623",TEXT($B$1,"yyyy/mm/dd"),1),"")</f>
        <v>1092634154.8</v>
      </c>
      <c r="J111">
        <f>IFERROR([1]!s_stm07_is($A111,"W30028333",TEXT($B$1,"yyyy/mm/dd"),1),"")</f>
        <v>769223948.64999998</v>
      </c>
      <c r="K111">
        <f>IFERROR([1]!s_stm07_cs($A111,"W77130581",TEXT($B$1,"yyyy/mm/dd"),1),"")</f>
        <v>4267641544.5900002</v>
      </c>
      <c r="L111">
        <f>IFERROR([1]!s_stm07_cs($A111,"W77745895",TEXT($B$1,"yyyy/mm/dd"),1),"")</f>
        <v>92639201.269999996</v>
      </c>
      <c r="M111">
        <f>IFERROR([1]!S_FA_EPS_basic2($A111,$B$1,"Cur=CNY"),"")</f>
        <v>0.12</v>
      </c>
      <c r="N111">
        <f>IFERROR([1]!s_fa_arturndays($A111,TEXT($B$1,"yyyy/mm/dd")),"")</f>
        <v>0</v>
      </c>
      <c r="O111" t="str">
        <f>IFERROR([1]!fa_apturndays($A111,TEXT($B$1,"yyyy/mm/dd")),"")</f>
        <v>Fetch...</v>
      </c>
      <c r="P111">
        <f>IFERROR([1]!s_fa_invturndays($A111,TEXT($B$1,"yyyy/mm/dd")),"")</f>
        <v>0</v>
      </c>
    </row>
    <row r="112" spans="1:16">
      <c r="A112" t="s">
        <v>125</v>
      </c>
      <c r="B112">
        <f>IFERROR([1]!s_stm07_is($A112,"W70156729",TEXT($B$1,"yyyy/mm/dd"),1),"")</f>
        <v>8754721987.7800007</v>
      </c>
      <c r="C112">
        <f>IFERROR([1]!s_stm07_is($A112,"W75682424",TEXT($B$1,"yyyy/mm/dd"),1),"")</f>
        <v>7110179626.7299995</v>
      </c>
      <c r="D112">
        <f>IFERROR([1]!s_stm07_is($A112,"W76031679",TEXT($B$1,"yyyy/mm/dd"),1),"")</f>
        <v>341082001.85000002</v>
      </c>
      <c r="E112">
        <f>IFERROR([1]!s_stm07_is($A112,"W70752487",TEXT($B$1,"yyyy/mm/dd"),1),"")</f>
        <v>457662218.63999999</v>
      </c>
      <c r="F112">
        <f>IFERROR([1]!s_stm07_is_103($A112,TEXT($B$1,"yyyy/mm/dd"),1),"")</f>
        <v>381617425.73000002</v>
      </c>
      <c r="G112">
        <f>IFERROR([1]!s_stm07_is_104($A112,TEXT($B$1,"yyyy/mm/dd"),1),"")</f>
        <v>42431327.390000001</v>
      </c>
      <c r="H112">
        <f>IFERROR([1]!s_stm07_is_105($A112,TEXT($B$1,"yyyy/mm/dd"),1),"")</f>
        <v>7685444.9500000002</v>
      </c>
      <c r="I112">
        <f>IFERROR([1]!s_stm07_is($A112,"W72946623",TEXT($B$1,"yyyy/mm/dd"),1),"")</f>
        <v>358916503.18000001</v>
      </c>
      <c r="J112">
        <f>IFERROR([1]!s_stm07_is($A112,"W30028333",TEXT($B$1,"yyyy/mm/dd"),1),"")</f>
        <v>289888855</v>
      </c>
      <c r="K112">
        <f>IFERROR([1]!s_stm07_cs($A112,"W77130581",TEXT($B$1,"yyyy/mm/dd"),1),"")</f>
        <v>533728707.74000001</v>
      </c>
      <c r="L112">
        <f>IFERROR([1]!s_stm07_cs($A112,"W77745895",TEXT($B$1,"yyyy/mm/dd"),1),"")</f>
        <v>115602127.29000001</v>
      </c>
      <c r="M112">
        <f>IFERROR([1]!S_FA_EPS_basic2($A112,$B$1,"Cur=CNY"),"")</f>
        <v>0.42</v>
      </c>
      <c r="N112">
        <f>IFERROR([1]!s_fa_arturndays($A112,TEXT($B$1,"yyyy/mm/dd")),"")</f>
        <v>35.581600000000002</v>
      </c>
      <c r="O112" t="str">
        <f>IFERROR([1]!fa_apturndays($A112,TEXT($B$1,"yyyy/mm/dd")),"")</f>
        <v>Fetch...</v>
      </c>
      <c r="P112">
        <f>IFERROR([1]!s_fa_invturndays($A112,TEXT($B$1,"yyyy/mm/dd")),"")</f>
        <v>65.614400000000003</v>
      </c>
    </row>
    <row r="113" spans="1:16">
      <c r="A113" t="s">
        <v>126</v>
      </c>
      <c r="B113">
        <f>IFERROR([1]!s_stm07_is($A113,"W70156729",TEXT($B$1,"yyyy/mm/dd"),1),"")</f>
        <v>10120109569.42</v>
      </c>
      <c r="C113">
        <f>IFERROR([1]!s_stm07_is($A113,"W75682424",TEXT($B$1,"yyyy/mm/dd"),1),"")</f>
        <v>8499338581.7700005</v>
      </c>
      <c r="D113">
        <f>IFERROR([1]!s_stm07_is($A113,"W76031679",TEXT($B$1,"yyyy/mm/dd"),1),"")</f>
        <v>37749858.920000002</v>
      </c>
      <c r="E113">
        <f>IFERROR([1]!s_stm07_is($A113,"W70752487",TEXT($B$1,"yyyy/mm/dd"),1),"")</f>
        <v>608301536.30999994</v>
      </c>
      <c r="F113">
        <f>IFERROR([1]!s_stm07_is_103($A113,TEXT($B$1,"yyyy/mm/dd"),1),"")</f>
        <v>63141552.539999999</v>
      </c>
      <c r="G113">
        <f>IFERROR([1]!s_stm07_is_104($A113,TEXT($B$1,"yyyy/mm/dd"),1),"")</f>
        <v>124929913.09</v>
      </c>
      <c r="H113">
        <f>IFERROR([1]!s_stm07_is_105($A113,TEXT($B$1,"yyyy/mm/dd"),1),"")</f>
        <v>123526342.52</v>
      </c>
      <c r="I113">
        <f>IFERROR([1]!s_stm07_is($A113,"W72946623",TEXT($B$1,"yyyy/mm/dd"),1),"")</f>
        <v>720423126.48000002</v>
      </c>
      <c r="J113">
        <f>IFERROR([1]!s_stm07_is($A113,"W30028333",TEXT($B$1,"yyyy/mm/dd"),1),"")</f>
        <v>475537227.19</v>
      </c>
      <c r="K113">
        <f>IFERROR([1]!s_stm07_cs($A113,"W77130581",TEXT($B$1,"yyyy/mm/dd"),1),"")</f>
        <v>471170044.06999999</v>
      </c>
      <c r="L113">
        <f>IFERROR([1]!s_stm07_cs($A113,"W77745895",TEXT($B$1,"yyyy/mm/dd"),1),"")</f>
        <v>344064433.00999999</v>
      </c>
      <c r="M113">
        <f>IFERROR([1]!S_FA_EPS_basic2($A113,$B$1,"Cur=CNY"),"")</f>
        <v>0.23880000000000001</v>
      </c>
      <c r="N113">
        <f>IFERROR([1]!s_fa_arturndays($A113,TEXT($B$1,"yyyy/mm/dd")),"")</f>
        <v>47.448999999999998</v>
      </c>
      <c r="O113" t="str">
        <f>IFERROR([1]!fa_apturndays($A113,TEXT($B$1,"yyyy/mm/dd")),"")</f>
        <v>Fetch...</v>
      </c>
      <c r="P113">
        <f>IFERROR([1]!s_fa_invturndays($A113,TEXT($B$1,"yyyy/mm/dd")),"")</f>
        <v>145.64869999999999</v>
      </c>
    </row>
    <row r="114" spans="1:16">
      <c r="A114" t="s">
        <v>127</v>
      </c>
      <c r="B114">
        <f>IFERROR([1]!s_stm07_is($A114,"W70156729",TEXT($B$1,"yyyy/mm/dd"),1),"")</f>
        <v>46392250494.480003</v>
      </c>
      <c r="C114">
        <f>IFERROR([1]!s_stm07_is($A114,"W75682424",TEXT($B$1,"yyyy/mm/dd"),1),"")</f>
        <v>48441024611.379997</v>
      </c>
      <c r="D114">
        <f>IFERROR([1]!s_stm07_is($A114,"W76031679",TEXT($B$1,"yyyy/mm/dd"),1),"")</f>
        <v>136838793.13999999</v>
      </c>
      <c r="E114">
        <f>IFERROR([1]!s_stm07_is($A114,"W70752487",TEXT($B$1,"yyyy/mm/dd"),1),"")</f>
        <v>672219542.49000001</v>
      </c>
      <c r="F114">
        <f>IFERROR([1]!s_stm07_is_103($A114,TEXT($B$1,"yyyy/mm/dd"),1),"")</f>
        <v>90978954.159999996</v>
      </c>
      <c r="G114">
        <f>IFERROR([1]!s_stm07_is_104($A114,TEXT($B$1,"yyyy/mm/dd"),1),"")</f>
        <v>394193802.89999998</v>
      </c>
      <c r="H114">
        <f>IFERROR([1]!s_stm07_is_105($A114,TEXT($B$1,"yyyy/mm/dd"),1),"")</f>
        <v>32518614.84</v>
      </c>
      <c r="I114">
        <f>IFERROR([1]!s_stm07_is($A114,"W72946623",TEXT($B$1,"yyyy/mm/dd"),1),"")</f>
        <v>-3791909693.52</v>
      </c>
      <c r="J114">
        <f>IFERROR([1]!s_stm07_is($A114,"W30028333",TEXT($B$1,"yyyy/mm/dd"),1),"")</f>
        <v>-3942278349.1199999</v>
      </c>
      <c r="K114">
        <f>IFERROR([1]!s_stm07_cs($A114,"W77130581",TEXT($B$1,"yyyy/mm/dd"),1),"")</f>
        <v>-1788816767.8</v>
      </c>
      <c r="L114">
        <f>IFERROR([1]!s_stm07_cs($A114,"W77745895",TEXT($B$1,"yyyy/mm/dd"),1),"")</f>
        <v>2215737062.0100002</v>
      </c>
      <c r="M114">
        <f>IFERROR([1]!S_FA_EPS_basic2($A114,$B$1,"Cur=CNY"),"")</f>
        <v>-0.96</v>
      </c>
      <c r="N114">
        <f>IFERROR([1]!s_fa_arturndays($A114,TEXT($B$1,"yyyy/mm/dd")),"")</f>
        <v>6.5194000000000001</v>
      </c>
      <c r="O114" t="str">
        <f>IFERROR([1]!fa_apturndays($A114,TEXT($B$1,"yyyy/mm/dd")),"")</f>
        <v>Fetch...</v>
      </c>
      <c r="P114">
        <f>IFERROR([1]!s_fa_invturndays($A114,TEXT($B$1,"yyyy/mm/dd")),"")</f>
        <v>50.915799999999997</v>
      </c>
    </row>
    <row r="115" spans="1:16">
      <c r="A115" t="s">
        <v>128</v>
      </c>
      <c r="B115">
        <f>IFERROR([1]!s_stm07_is($A115,"W70156729",TEXT($B$1,"yyyy/mm/dd"),1),"")</f>
        <v>352005228.11000001</v>
      </c>
      <c r="C115">
        <f>IFERROR([1]!s_stm07_is($A115,"W75682424",TEXT($B$1,"yyyy/mm/dd"),1),"")</f>
        <v>239143262.44</v>
      </c>
      <c r="D115">
        <f>IFERROR([1]!s_stm07_is($A115,"W76031679",TEXT($B$1,"yyyy/mm/dd"),1),"")</f>
        <v>5912919.4900000002</v>
      </c>
      <c r="E115">
        <f>IFERROR([1]!s_stm07_is($A115,"W70752487",TEXT($B$1,"yyyy/mm/dd"),1),"")</f>
        <v>112405068.63</v>
      </c>
      <c r="F115">
        <f>IFERROR([1]!s_stm07_is_103($A115,TEXT($B$1,"yyyy/mm/dd"),1),"")</f>
        <v>961546.94</v>
      </c>
      <c r="G115">
        <f>IFERROR([1]!s_stm07_is_104($A115,TEXT($B$1,"yyyy/mm/dd"),1),"")</f>
        <v>43550285.25</v>
      </c>
      <c r="H115">
        <f>IFERROR([1]!s_stm07_is_105($A115,TEXT($B$1,"yyyy/mm/dd"),1),"")</f>
        <v>13902731.83</v>
      </c>
      <c r="I115">
        <f>IFERROR([1]!s_stm07_is($A115,"W72946623",TEXT($B$1,"yyyy/mm/dd"),1),"")</f>
        <v>-58911486.109999999</v>
      </c>
      <c r="J115">
        <f>IFERROR([1]!s_stm07_is($A115,"W30028333",TEXT($B$1,"yyyy/mm/dd"),1),"")</f>
        <v>-30211138.32</v>
      </c>
      <c r="K115">
        <f>IFERROR([1]!s_stm07_cs($A115,"W77130581",TEXT($B$1,"yyyy/mm/dd"),1),"")</f>
        <v>156689706.41999999</v>
      </c>
      <c r="L115">
        <f>IFERROR([1]!s_stm07_cs($A115,"W77745895",TEXT($B$1,"yyyy/mm/dd"),1),"")</f>
        <v>48478623.979999997</v>
      </c>
      <c r="M115">
        <f>IFERROR([1]!S_FA_EPS_basic2($A115,$B$1,"Cur=CNY"),"")</f>
        <v>-0.06</v>
      </c>
      <c r="N115">
        <f>IFERROR([1]!s_fa_arturndays($A115,TEXT($B$1,"yyyy/mm/dd")),"")</f>
        <v>2.0199999999999999E-2</v>
      </c>
      <c r="O115" t="str">
        <f>IFERROR([1]!fa_apturndays($A115,TEXT($B$1,"yyyy/mm/dd")),"")</f>
        <v>Fetch...</v>
      </c>
      <c r="P115">
        <f>IFERROR([1]!s_fa_invturndays($A115,TEXT($B$1,"yyyy/mm/dd")),"")</f>
        <v>138.44560000000001</v>
      </c>
    </row>
    <row r="116" spans="1:16">
      <c r="A116" t="s">
        <v>129</v>
      </c>
      <c r="B116">
        <f>IFERROR([1]!s_stm07_is($A116,"W70156729",TEXT($B$1,"yyyy/mm/dd"),1),"")</f>
        <v>1169957653.02</v>
      </c>
      <c r="C116">
        <f>IFERROR([1]!s_stm07_is($A116,"W75682424",TEXT($B$1,"yyyy/mm/dd"),1),"")</f>
        <v>326032964.27999997</v>
      </c>
      <c r="D116">
        <f>IFERROR([1]!s_stm07_is($A116,"W76031679",TEXT($B$1,"yyyy/mm/dd"),1),"")</f>
        <v>561935485.91999996</v>
      </c>
      <c r="E116">
        <f>IFERROR([1]!s_stm07_is($A116,"W70752487",TEXT($B$1,"yyyy/mm/dd"),1),"")</f>
        <v>115192601.92</v>
      </c>
      <c r="F116">
        <f>IFERROR([1]!s_stm07_is_103($A116,TEXT($B$1,"yyyy/mm/dd"),1),"")</f>
        <v>39848888.340000004</v>
      </c>
      <c r="G116">
        <f>IFERROR([1]!s_stm07_is_104($A116,TEXT($B$1,"yyyy/mm/dd"),1),"")</f>
        <v>81885465.700000003</v>
      </c>
      <c r="H116">
        <f>IFERROR([1]!s_stm07_is_105($A116,TEXT($B$1,"yyyy/mm/dd"),1),"")</f>
        <v>1648972.79</v>
      </c>
      <c r="I116">
        <f>IFERROR([1]!s_stm07_is($A116,"W72946623",TEXT($B$1,"yyyy/mm/dd"),1),"")</f>
        <v>42713544.780000001</v>
      </c>
      <c r="J116">
        <f>IFERROR([1]!s_stm07_is($A116,"W30028333",TEXT($B$1,"yyyy/mm/dd"),1),"")</f>
        <v>34286477.539999999</v>
      </c>
      <c r="K116">
        <f>IFERROR([1]!s_stm07_cs($A116,"W77130581",TEXT($B$1,"yyyy/mm/dd"),1),"")</f>
        <v>105054454.67</v>
      </c>
      <c r="L116">
        <f>IFERROR([1]!s_stm07_cs($A116,"W77745895",TEXT($B$1,"yyyy/mm/dd"),1),"")</f>
        <v>64066110.810000002</v>
      </c>
      <c r="M116">
        <f>IFERROR([1]!S_FA_EPS_basic2($A116,$B$1,"Cur=CNY"),"")</f>
        <v>0.04</v>
      </c>
      <c r="N116">
        <f>IFERROR([1]!s_fa_arturndays($A116,TEXT($B$1,"yyyy/mm/dd")),"")</f>
        <v>151.09540000000001</v>
      </c>
      <c r="O116" t="str">
        <f>IFERROR([1]!fa_apturndays($A116,TEXT($B$1,"yyyy/mm/dd")),"")</f>
        <v>Fetch...</v>
      </c>
      <c r="P116">
        <f>IFERROR([1]!s_fa_invturndays($A116,TEXT($B$1,"yyyy/mm/dd")),"")</f>
        <v>412.60739999999998</v>
      </c>
    </row>
    <row r="117" spans="1:16">
      <c r="A117" t="s">
        <v>130</v>
      </c>
      <c r="B117">
        <f>IFERROR([1]!s_stm07_is($A117,"W70156729",TEXT($B$1,"yyyy/mm/dd"),1),"")</f>
        <v>15463189784.799999</v>
      </c>
      <c r="C117">
        <f>IFERROR([1]!s_stm07_is($A117,"W75682424",TEXT($B$1,"yyyy/mm/dd"),1),"")</f>
        <v>13544652424.129999</v>
      </c>
      <c r="D117">
        <f>IFERROR([1]!s_stm07_is($A117,"W76031679",TEXT($B$1,"yyyy/mm/dd"),1),"")</f>
        <v>0</v>
      </c>
      <c r="E117">
        <f>IFERROR([1]!s_stm07_is($A117,"W70752487",TEXT($B$1,"yyyy/mm/dd"),1),"")</f>
        <v>173730870.30000001</v>
      </c>
      <c r="F117">
        <f>IFERROR([1]!s_stm07_is_103($A117,TEXT($B$1,"yyyy/mm/dd"),1),"")</f>
        <v>226390508.5</v>
      </c>
      <c r="G117">
        <f>IFERROR([1]!s_stm07_is_104($A117,TEXT($B$1,"yyyy/mm/dd"),1),"")</f>
        <v>1277856258.8699999</v>
      </c>
      <c r="H117">
        <f>IFERROR([1]!s_stm07_is_105($A117,TEXT($B$1,"yyyy/mm/dd"),1),"")</f>
        <v>33319863.920000002</v>
      </c>
      <c r="I117">
        <f>IFERROR([1]!s_stm07_is($A117,"W72946623",TEXT($B$1,"yyyy/mm/dd"),1),"")</f>
        <v>287610419.35000002</v>
      </c>
      <c r="J117">
        <f>IFERROR([1]!s_stm07_is($A117,"W30028333",TEXT($B$1,"yyyy/mm/dd"),1),"")</f>
        <v>196160084.97999999</v>
      </c>
      <c r="K117">
        <f>IFERROR([1]!s_stm07_cs($A117,"W77130581",TEXT($B$1,"yyyy/mm/dd"),1),"")</f>
        <v>2081889395.0999999</v>
      </c>
      <c r="L117">
        <f>IFERROR([1]!s_stm07_cs($A117,"W77745895",TEXT($B$1,"yyyy/mm/dd"),1),"")</f>
        <v>2757177803.5300002</v>
      </c>
      <c r="M117">
        <f>IFERROR([1]!S_FA_EPS_basic2($A117,$B$1,"Cur=CNY"),"")</f>
        <v>-1.2800000000000001E-2</v>
      </c>
      <c r="N117">
        <f>IFERROR([1]!s_fa_arturndays($A117,TEXT($B$1,"yyyy/mm/dd")),"")</f>
        <v>201.59030000000001</v>
      </c>
      <c r="O117" t="str">
        <f>IFERROR([1]!fa_apturndays($A117,TEXT($B$1,"yyyy/mm/dd")),"")</f>
        <v>Fetch...</v>
      </c>
      <c r="P117">
        <f>IFERROR([1]!s_fa_invturndays($A117,TEXT($B$1,"yyyy/mm/dd")),"")</f>
        <v>46.403700000000001</v>
      </c>
    </row>
    <row r="118" spans="1:16">
      <c r="A118" t="s">
        <v>131</v>
      </c>
      <c r="B118">
        <f>IFERROR([1]!s_stm07_is($A118,"W70156729",TEXT($B$1,"yyyy/mm/dd"),1),"")</f>
        <v>41013725506.669998</v>
      </c>
      <c r="C118">
        <f>IFERROR([1]!s_stm07_is($A118,"W75682424",TEXT($B$1,"yyyy/mm/dd"),1),"")</f>
        <v>38234059520.169998</v>
      </c>
      <c r="D118">
        <f>IFERROR([1]!s_stm07_is($A118,"W76031679",TEXT($B$1,"yyyy/mm/dd"),1),"")</f>
        <v>52597821.770000003</v>
      </c>
      <c r="E118">
        <f>IFERROR([1]!s_stm07_is($A118,"W70752487",TEXT($B$1,"yyyy/mm/dd"),1),"")</f>
        <v>1051579870.87</v>
      </c>
      <c r="F118">
        <f>IFERROR([1]!s_stm07_is_103($A118,TEXT($B$1,"yyyy/mm/dd"),1),"")</f>
        <v>274770089.31</v>
      </c>
      <c r="G118">
        <f>IFERROR([1]!s_stm07_is_104($A118,TEXT($B$1,"yyyy/mm/dd"),1),"")</f>
        <v>16308335.02</v>
      </c>
      <c r="H118">
        <f>IFERROR([1]!s_stm07_is_105($A118,TEXT($B$1,"yyyy/mm/dd"),1),"")</f>
        <v>153725127.74000001</v>
      </c>
      <c r="I118">
        <f>IFERROR([1]!s_stm07_is($A118,"W72946623",TEXT($B$1,"yyyy/mm/dd"),1),"")</f>
        <v>1332797154.5699999</v>
      </c>
      <c r="J118">
        <f>IFERROR([1]!s_stm07_is($A118,"W30028333",TEXT($B$1,"yyyy/mm/dd"),1),"")</f>
        <v>1151240411.01</v>
      </c>
      <c r="K118">
        <f>IFERROR([1]!s_stm07_cs($A118,"W77130581",TEXT($B$1,"yyyy/mm/dd"),1),"")</f>
        <v>-8354464877.9700003</v>
      </c>
      <c r="L118">
        <f>IFERROR([1]!s_stm07_cs($A118,"W77745895",TEXT($B$1,"yyyy/mm/dd"),1),"")</f>
        <v>908990982.52999997</v>
      </c>
      <c r="M118">
        <f>IFERROR([1]!S_FA_EPS_basic2($A118,$B$1,"Cur=CNY"),"")</f>
        <v>0.41489999999999999</v>
      </c>
      <c r="N118">
        <f>IFERROR([1]!s_fa_arturndays($A118,TEXT($B$1,"yyyy/mm/dd")),"")</f>
        <v>136.07499999999999</v>
      </c>
      <c r="O118" t="str">
        <f>IFERROR([1]!fa_apturndays($A118,TEXT($B$1,"yyyy/mm/dd")),"")</f>
        <v>Fetch...</v>
      </c>
      <c r="P118">
        <f>IFERROR([1]!s_fa_invturndays($A118,TEXT($B$1,"yyyy/mm/dd")),"")</f>
        <v>245.8681</v>
      </c>
    </row>
    <row r="119" spans="1:16">
      <c r="A119" t="s">
        <v>132</v>
      </c>
      <c r="B119">
        <f>IFERROR([1]!s_stm07_is($A119,"W70156729",TEXT($B$1,"yyyy/mm/dd"),1),"")</f>
        <v>35492783045.199997</v>
      </c>
      <c r="C119">
        <f>IFERROR([1]!s_stm07_is($A119,"W75682424",TEXT($B$1,"yyyy/mm/dd"),1),"")</f>
        <v>0</v>
      </c>
      <c r="D119">
        <f>IFERROR([1]!s_stm07_is($A119,"W76031679",TEXT($B$1,"yyyy/mm/dd"),1),"")</f>
        <v>0</v>
      </c>
      <c r="E119">
        <f>IFERROR([1]!s_stm07_is($A119,"W70752487",TEXT($B$1,"yyyy/mm/dd"),1),"")</f>
        <v>16456282760.26</v>
      </c>
      <c r="F119">
        <f>IFERROR([1]!s_stm07_is_103($A119,TEXT($B$1,"yyyy/mm/dd"),1),"")</f>
        <v>0</v>
      </c>
      <c r="G119">
        <f>IFERROR([1]!s_stm07_is_104($A119,TEXT($B$1,"yyyy/mm/dd"),1),"")</f>
        <v>0</v>
      </c>
      <c r="H119">
        <f>IFERROR([1]!s_stm07_is_105($A119,TEXT($B$1,"yyyy/mm/dd"),1),"")</f>
        <v>0</v>
      </c>
      <c r="I119">
        <f>IFERROR([1]!s_stm07_is($A119,"W72946623",TEXT($B$1,"yyyy/mm/dd"),1),"")</f>
        <v>17972815670.77</v>
      </c>
      <c r="J119">
        <f>IFERROR([1]!s_stm07_is($A119,"W30028333",TEXT($B$1,"yyyy/mm/dd"),1),"")</f>
        <v>13701548267.440001</v>
      </c>
      <c r="K119">
        <f>IFERROR([1]!s_stm07_cs($A119,"W77130581",TEXT($B$1,"yyyy/mm/dd"),1),"")</f>
        <v>-27780960722.970001</v>
      </c>
      <c r="L119">
        <f>IFERROR([1]!s_stm07_cs($A119,"W77745895",TEXT($B$1,"yyyy/mm/dd"),1),"")</f>
        <v>727265815.73000002</v>
      </c>
      <c r="M119">
        <f>IFERROR([1]!S_FA_EPS_basic2($A119,$B$1,"Cur=CNY"),"")</f>
        <v>1.68</v>
      </c>
      <c r="N119">
        <f>IFERROR([1]!s_fa_arturndays($A119,TEXT($B$1,"yyyy/mm/dd")),"")</f>
        <v>0</v>
      </c>
      <c r="O119" t="str">
        <f>IFERROR([1]!fa_apturndays($A119,TEXT($B$1,"yyyy/mm/dd")),"")</f>
        <v>Fetch...</v>
      </c>
      <c r="P119">
        <f>IFERROR([1]!s_fa_invturndays($A119,TEXT($B$1,"yyyy/mm/dd")),"")</f>
        <v>0</v>
      </c>
    </row>
    <row r="120" spans="1:16">
      <c r="A120" t="s">
        <v>133</v>
      </c>
      <c r="B120">
        <f>IFERROR([1]!s_stm07_is($A120,"W70156729",TEXT($B$1,"yyyy/mm/dd"),1),"")</f>
        <v>37022353505.970001</v>
      </c>
      <c r="C120">
        <f>IFERROR([1]!s_stm07_is($A120,"W75682424",TEXT($B$1,"yyyy/mm/dd"),1),"")</f>
        <v>34173554663.540001</v>
      </c>
      <c r="D120">
        <f>IFERROR([1]!s_stm07_is($A120,"W76031679",TEXT($B$1,"yyyy/mm/dd"),1),"")</f>
        <v>352583770.38999999</v>
      </c>
      <c r="E120">
        <f>IFERROR([1]!s_stm07_is($A120,"W70752487",TEXT($B$1,"yyyy/mm/dd"),1),"")</f>
        <v>662278042.90999997</v>
      </c>
      <c r="F120">
        <f>IFERROR([1]!s_stm07_is_103($A120,TEXT($B$1,"yyyy/mm/dd"),1),"")</f>
        <v>360940942.81</v>
      </c>
      <c r="G120">
        <f>IFERROR([1]!s_stm07_is_104($A120,TEXT($B$1,"yyyy/mm/dd"),1),"")</f>
        <v>329207907.76999998</v>
      </c>
      <c r="H120">
        <f>IFERROR([1]!s_stm07_is_105($A120,TEXT($B$1,"yyyy/mm/dd"),1),"")</f>
        <v>106761741.14</v>
      </c>
      <c r="I120">
        <f>IFERROR([1]!s_stm07_is($A120,"W72946623",TEXT($B$1,"yyyy/mm/dd"),1),"")</f>
        <v>1222669709.0599999</v>
      </c>
      <c r="J120">
        <f>IFERROR([1]!s_stm07_is($A120,"W30028333",TEXT($B$1,"yyyy/mm/dd"),1),"")</f>
        <v>947163232.54999995</v>
      </c>
      <c r="K120">
        <f>IFERROR([1]!s_stm07_cs($A120,"W77130581",TEXT($B$1,"yyyy/mm/dd"),1),"")</f>
        <v>3527917147.21</v>
      </c>
      <c r="L120">
        <f>IFERROR([1]!s_stm07_cs($A120,"W77745895",TEXT($B$1,"yyyy/mm/dd"),1),"")</f>
        <v>1103814247.9000001</v>
      </c>
      <c r="M120">
        <f>IFERROR([1]!S_FA_EPS_basic2($A120,$B$1,"Cur=CNY"),"")</f>
        <v>0.2389</v>
      </c>
      <c r="N120">
        <f>IFERROR([1]!s_fa_arturndays($A120,TEXT($B$1,"yyyy/mm/dd")),"")</f>
        <v>33.734699999999997</v>
      </c>
      <c r="O120" t="str">
        <f>IFERROR([1]!fa_apturndays($A120,TEXT($B$1,"yyyy/mm/dd")),"")</f>
        <v>Fetch...</v>
      </c>
      <c r="P120">
        <f>IFERROR([1]!s_fa_invturndays($A120,TEXT($B$1,"yyyy/mm/dd")),"")</f>
        <v>56.207000000000001</v>
      </c>
    </row>
    <row r="121" spans="1:16">
      <c r="A121" t="s">
        <v>134</v>
      </c>
      <c r="B121">
        <f>IFERROR([1]!s_stm07_is($A121,"W70156729",TEXT($B$1,"yyyy/mm/dd"),1),"")</f>
        <v>10547734279.959999</v>
      </c>
      <c r="C121">
        <f>IFERROR([1]!s_stm07_is($A121,"W75682424",TEXT($B$1,"yyyy/mm/dd"),1),"")</f>
        <v>0</v>
      </c>
      <c r="D121">
        <f>IFERROR([1]!s_stm07_is($A121,"W76031679",TEXT($B$1,"yyyy/mm/dd"),1),"")</f>
        <v>0</v>
      </c>
      <c r="E121">
        <f>IFERROR([1]!s_stm07_is($A121,"W70752487",TEXT($B$1,"yyyy/mm/dd"),1),"")</f>
        <v>5675720868.4200001</v>
      </c>
      <c r="F121">
        <f>IFERROR([1]!s_stm07_is_103($A121,TEXT($B$1,"yyyy/mm/dd"),1),"")</f>
        <v>0</v>
      </c>
      <c r="G121">
        <f>IFERROR([1]!s_stm07_is_104($A121,TEXT($B$1,"yyyy/mm/dd"),1),"")</f>
        <v>0</v>
      </c>
      <c r="H121">
        <f>IFERROR([1]!s_stm07_is_105($A121,TEXT($B$1,"yyyy/mm/dd"),1),"")</f>
        <v>0</v>
      </c>
      <c r="I121">
        <f>IFERROR([1]!s_stm07_is($A121,"W72946623",TEXT($B$1,"yyyy/mm/dd"),1),"")</f>
        <v>4612682548.0200005</v>
      </c>
      <c r="J121">
        <f>IFERROR([1]!s_stm07_is($A121,"W30028333",TEXT($B$1,"yyyy/mm/dd"),1),"")</f>
        <v>3696410771.0300002</v>
      </c>
      <c r="K121">
        <f>IFERROR([1]!s_stm07_cs($A121,"W77130581",TEXT($B$1,"yyyy/mm/dd"),1),"")</f>
        <v>1960280276.25</v>
      </c>
      <c r="L121">
        <f>IFERROR([1]!s_stm07_cs($A121,"W77745895",TEXT($B$1,"yyyy/mm/dd"),1),"")</f>
        <v>157514450.13999999</v>
      </c>
      <c r="M121">
        <f>IFERROR([1]!S_FA_EPS_basic2($A121,$B$1,"Cur=CNY"),"")</f>
        <v>0.63</v>
      </c>
      <c r="N121">
        <f>IFERROR([1]!s_fa_arturndays($A121,TEXT($B$1,"yyyy/mm/dd")),"")</f>
        <v>0</v>
      </c>
      <c r="O121" t="str">
        <f>IFERROR([1]!fa_apturndays($A121,TEXT($B$1,"yyyy/mm/dd")),"")</f>
        <v>Fetch...</v>
      </c>
      <c r="P121">
        <f>IFERROR([1]!s_fa_invturndays($A121,TEXT($B$1,"yyyy/mm/dd")),"")</f>
        <v>0</v>
      </c>
    </row>
    <row r="122" spans="1:16">
      <c r="A122" t="s">
        <v>135</v>
      </c>
      <c r="B122">
        <f>IFERROR([1]!s_stm07_is($A122,"W70156729",TEXT($B$1,"yyyy/mm/dd"),1),"")</f>
        <v>11143943364.85</v>
      </c>
      <c r="C122">
        <f>IFERROR([1]!s_stm07_is($A122,"W75682424",TEXT($B$1,"yyyy/mm/dd"),1),"")</f>
        <v>8899026069.6100006</v>
      </c>
      <c r="D122">
        <f>IFERROR([1]!s_stm07_is($A122,"W76031679",TEXT($B$1,"yyyy/mm/dd"),1),"")</f>
        <v>1003205604.3200001</v>
      </c>
      <c r="E122">
        <f>IFERROR([1]!s_stm07_is($A122,"W70752487",TEXT($B$1,"yyyy/mm/dd"),1),"")</f>
        <v>440705209.12</v>
      </c>
      <c r="F122">
        <f>IFERROR([1]!s_stm07_is_103($A122,TEXT($B$1,"yyyy/mm/dd"),1),"")</f>
        <v>28411747.859999999</v>
      </c>
      <c r="G122">
        <f>IFERROR([1]!s_stm07_is_104($A122,TEXT($B$1,"yyyy/mm/dd"),1),"")</f>
        <v>713986310.98000002</v>
      </c>
      <c r="H122">
        <f>IFERROR([1]!s_stm07_is_105($A122,TEXT($B$1,"yyyy/mm/dd"),1),"")</f>
        <v>5186184.05</v>
      </c>
      <c r="I122">
        <f>IFERROR([1]!s_stm07_is($A122,"W72946623",TEXT($B$1,"yyyy/mm/dd"),1),"")</f>
        <v>-1197873075.3399999</v>
      </c>
      <c r="J122">
        <f>IFERROR([1]!s_stm07_is($A122,"W30028333",TEXT($B$1,"yyyy/mm/dd"),1),"")</f>
        <v>-998975336.51999998</v>
      </c>
      <c r="K122">
        <f>IFERROR([1]!s_stm07_cs($A122,"W77130581",TEXT($B$1,"yyyy/mm/dd"),1),"")</f>
        <v>1957818292.1199999</v>
      </c>
      <c r="L122">
        <f>IFERROR([1]!s_stm07_cs($A122,"W77745895",TEXT($B$1,"yyyy/mm/dd"),1),"")</f>
        <v>634125307.79999995</v>
      </c>
      <c r="M122">
        <f>IFERROR([1]!S_FA_EPS_basic2($A122,$B$1,"Cur=CNY"),"")</f>
        <v>-0.17</v>
      </c>
      <c r="N122">
        <f>IFERROR([1]!s_fa_arturndays($A122,TEXT($B$1,"yyyy/mm/dd")),"")</f>
        <v>32.735900000000001</v>
      </c>
      <c r="O122" t="str">
        <f>IFERROR([1]!fa_apturndays($A122,TEXT($B$1,"yyyy/mm/dd")),"")</f>
        <v>Fetch...</v>
      </c>
      <c r="P122">
        <f>IFERROR([1]!s_fa_invturndays($A122,TEXT($B$1,"yyyy/mm/dd")),"")</f>
        <v>26.369800000000001</v>
      </c>
    </row>
    <row r="123" spans="1:16">
      <c r="A123" t="s">
        <v>136</v>
      </c>
      <c r="B123">
        <f>IFERROR([1]!s_stm07_is($A123,"W70156729",TEXT($B$1,"yyyy/mm/dd"),1),"")</f>
        <v>25280261918.220001</v>
      </c>
      <c r="C123">
        <f>IFERROR([1]!s_stm07_is($A123,"W75682424",TEXT($B$1,"yyyy/mm/dd"),1),"")</f>
        <v>17995772075.360001</v>
      </c>
      <c r="D123">
        <f>IFERROR([1]!s_stm07_is($A123,"W76031679",TEXT($B$1,"yyyy/mm/dd"),1),"")</f>
        <v>1586168350.2</v>
      </c>
      <c r="E123">
        <f>IFERROR([1]!s_stm07_is($A123,"W70752487",TEXT($B$1,"yyyy/mm/dd"),1),"")</f>
        <v>1182607772.8599999</v>
      </c>
      <c r="F123">
        <f>IFERROR([1]!s_stm07_is_103($A123,TEXT($B$1,"yyyy/mm/dd"),1),"")</f>
        <v>1040241795.0599999</v>
      </c>
      <c r="G123">
        <f>IFERROR([1]!s_stm07_is_104($A123,TEXT($B$1,"yyyy/mm/dd"),1),"")</f>
        <v>42962305.490000002</v>
      </c>
      <c r="H123">
        <f>IFERROR([1]!s_stm07_is_105($A123,TEXT($B$1,"yyyy/mm/dd"),1),"")</f>
        <v>22999318.280000001</v>
      </c>
      <c r="I123">
        <f>IFERROR([1]!s_stm07_is($A123,"W72946623",TEXT($B$1,"yyyy/mm/dd"),1),"")</f>
        <v>3275756193.8000002</v>
      </c>
      <c r="J123">
        <f>IFERROR([1]!s_stm07_is($A123,"W30028333",TEXT($B$1,"yyyy/mm/dd"),1),"")</f>
        <v>2906380291.6599998</v>
      </c>
      <c r="K123">
        <f>IFERROR([1]!s_stm07_cs($A123,"W77130581",TEXT($B$1,"yyyy/mm/dd"),1),"")</f>
        <v>4203945682.3699999</v>
      </c>
      <c r="L123">
        <f>IFERROR([1]!s_stm07_cs($A123,"W77745895",TEXT($B$1,"yyyy/mm/dd"),1),"")</f>
        <v>1192476186.3199999</v>
      </c>
      <c r="M123">
        <f>IFERROR([1]!S_FA_EPS_basic2($A123,$B$1,"Cur=CNY"),"")</f>
        <v>1.7170000000000001</v>
      </c>
      <c r="N123">
        <f>IFERROR([1]!s_fa_arturndays($A123,TEXT($B$1,"yyyy/mm/dd")),"")</f>
        <v>33.972799999999999</v>
      </c>
      <c r="O123" t="str">
        <f>IFERROR([1]!fa_apturndays($A123,TEXT($B$1,"yyyy/mm/dd")),"")</f>
        <v>Fetch...</v>
      </c>
      <c r="P123">
        <f>IFERROR([1]!s_fa_invturndays($A123,TEXT($B$1,"yyyy/mm/dd")),"")</f>
        <v>54.1997</v>
      </c>
    </row>
    <row r="124" spans="1:16">
      <c r="A124" t="s">
        <v>137</v>
      </c>
      <c r="B124">
        <f>IFERROR([1]!s_stm07_is($A124,"W70156729",TEXT($B$1,"yyyy/mm/dd"),1),"")</f>
        <v>9065395583.7999992</v>
      </c>
      <c r="C124">
        <f>IFERROR([1]!s_stm07_is($A124,"W75682424",TEXT($B$1,"yyyy/mm/dd"),1),"")</f>
        <v>5289425806.4499998</v>
      </c>
      <c r="D124">
        <f>IFERROR([1]!s_stm07_is($A124,"W76031679",TEXT($B$1,"yyyy/mm/dd"),1),"")</f>
        <v>0</v>
      </c>
      <c r="E124">
        <f>IFERROR([1]!s_stm07_is($A124,"W70752487",TEXT($B$1,"yyyy/mm/dd"),1),"")</f>
        <v>45343444.780000001</v>
      </c>
      <c r="F124">
        <f>IFERROR([1]!s_stm07_is_103($A124,TEXT($B$1,"yyyy/mm/dd"),1),"")</f>
        <v>5091883.54</v>
      </c>
      <c r="G124">
        <f>IFERROR([1]!s_stm07_is_104($A124,TEXT($B$1,"yyyy/mm/dd"),1),"")</f>
        <v>457724703.63</v>
      </c>
      <c r="H124">
        <f>IFERROR([1]!s_stm07_is_105($A124,TEXT($B$1,"yyyy/mm/dd"),1),"")</f>
        <v>21930078.460000001</v>
      </c>
      <c r="I124">
        <f>IFERROR([1]!s_stm07_is($A124,"W72946623",TEXT($B$1,"yyyy/mm/dd"),1),"")</f>
        <v>3366098295.6700001</v>
      </c>
      <c r="J124">
        <f>IFERROR([1]!s_stm07_is($A124,"W30028333",TEXT($B$1,"yyyy/mm/dd"),1),"")</f>
        <v>2051455116.1099999</v>
      </c>
      <c r="K124">
        <f>IFERROR([1]!s_stm07_cs($A124,"W77130581",TEXT($B$1,"yyyy/mm/dd"),1),"")</f>
        <v>5151701177.8800001</v>
      </c>
      <c r="L124">
        <f>IFERROR([1]!s_stm07_cs($A124,"W77745895",TEXT($B$1,"yyyy/mm/dd"),1),"")</f>
        <v>3750097949.1599998</v>
      </c>
      <c r="M124">
        <f>IFERROR([1]!S_FA_EPS_basic2($A124,$B$1,"Cur=CNY"),"")</f>
        <v>0.63239999999999996</v>
      </c>
      <c r="N124">
        <f>IFERROR([1]!s_fa_arturndays($A124,TEXT($B$1,"yyyy/mm/dd")),"")</f>
        <v>116.60299999999999</v>
      </c>
      <c r="O124" t="str">
        <f>IFERROR([1]!fa_apturndays($A124,TEXT($B$1,"yyyy/mm/dd")),"")</f>
        <v>Fetch...</v>
      </c>
      <c r="P124">
        <f>IFERROR([1]!s_fa_invturndays($A124,TEXT($B$1,"yyyy/mm/dd")),"")</f>
        <v>16.819400000000002</v>
      </c>
    </row>
    <row r="125" spans="1:16">
      <c r="A125" t="s">
        <v>138</v>
      </c>
      <c r="B125">
        <f>IFERROR([1]!s_stm07_is($A125,"W70156729",TEXT($B$1,"yyyy/mm/dd"),1),"")</f>
        <v>15501243782.059999</v>
      </c>
      <c r="C125">
        <f>IFERROR([1]!s_stm07_is($A125,"W75682424",TEXT($B$1,"yyyy/mm/dd"),1),"")</f>
        <v>6532978193.3599997</v>
      </c>
      <c r="D125">
        <f>IFERROR([1]!s_stm07_is($A125,"W76031679",TEXT($B$1,"yyyy/mm/dd"),1),"")</f>
        <v>142177947.40000001</v>
      </c>
      <c r="E125">
        <f>IFERROR([1]!s_stm07_is($A125,"W70752487",TEXT($B$1,"yyyy/mm/dd"),1),"")</f>
        <v>954822761.05999994</v>
      </c>
      <c r="F125">
        <f>IFERROR([1]!s_stm07_is_103($A125,TEXT($B$1,"yyyy/mm/dd"),1),"")</f>
        <v>87227011.560000002</v>
      </c>
      <c r="G125">
        <f>IFERROR([1]!s_stm07_is_104($A125,TEXT($B$1,"yyyy/mm/dd"),1),"")</f>
        <v>20083429.940000001</v>
      </c>
      <c r="H125">
        <f>IFERROR([1]!s_stm07_is_105($A125,TEXT($B$1,"yyyy/mm/dd"),1),"")</f>
        <v>232137623.34</v>
      </c>
      <c r="I125">
        <f>IFERROR([1]!s_stm07_is($A125,"W72946623",TEXT($B$1,"yyyy/mm/dd"),1),"")</f>
        <v>7192441673.8400002</v>
      </c>
      <c r="J125">
        <f>IFERROR([1]!s_stm07_is($A125,"W30028333",TEXT($B$1,"yyyy/mm/dd"),1),"")</f>
        <v>8475535262.6899996</v>
      </c>
      <c r="K125">
        <f>IFERROR([1]!s_stm07_cs($A125,"W77130581",TEXT($B$1,"yyyy/mm/dd"),1),"")</f>
        <v>10160860737.41</v>
      </c>
      <c r="L125">
        <f>IFERROR([1]!s_stm07_cs($A125,"W77745895",TEXT($B$1,"yyyy/mm/dd"),1),"")</f>
        <v>1641483902.99</v>
      </c>
      <c r="M125">
        <f>IFERROR([1]!S_FA_EPS_basic2($A125,$B$1,"Cur=CNY"),"")</f>
        <v>1.6016999999999999</v>
      </c>
      <c r="N125">
        <f>IFERROR([1]!s_fa_arturndays($A125,TEXT($B$1,"yyyy/mm/dd")),"")</f>
        <v>4.0438999999999998</v>
      </c>
      <c r="O125" t="str">
        <f>IFERROR([1]!fa_apturndays($A125,TEXT($B$1,"yyyy/mm/dd")),"")</f>
        <v>Fetch...</v>
      </c>
      <c r="P125">
        <f>IFERROR([1]!s_fa_invturndays($A125,TEXT($B$1,"yyyy/mm/dd")),"")</f>
        <v>60.394599999999997</v>
      </c>
    </row>
    <row r="126" spans="1:16">
      <c r="A126" t="s">
        <v>139</v>
      </c>
      <c r="B126">
        <f>IFERROR([1]!s_stm07_is($A126,"W70156729",TEXT($B$1,"yyyy/mm/dd"),1),"")</f>
        <v>3884305508.1100001</v>
      </c>
      <c r="C126">
        <f>IFERROR([1]!s_stm07_is($A126,"W75682424",TEXT($B$1,"yyyy/mm/dd"),1),"")</f>
        <v>3102318291.73</v>
      </c>
      <c r="D126">
        <f>IFERROR([1]!s_stm07_is($A126,"W76031679",TEXT($B$1,"yyyy/mm/dd"),1),"")</f>
        <v>89133787.609999999</v>
      </c>
      <c r="E126">
        <f>IFERROR([1]!s_stm07_is($A126,"W70752487",TEXT($B$1,"yyyy/mm/dd"),1),"")</f>
        <v>222601457.53999999</v>
      </c>
      <c r="F126">
        <f>IFERROR([1]!s_stm07_is_103($A126,TEXT($B$1,"yyyy/mm/dd"),1),"")</f>
        <v>170155499.66</v>
      </c>
      <c r="G126">
        <f>IFERROR([1]!s_stm07_is_104($A126,TEXT($B$1,"yyyy/mm/dd"),1),"")</f>
        <v>5160744.55</v>
      </c>
      <c r="H126">
        <f>IFERROR([1]!s_stm07_is_105($A126,TEXT($B$1,"yyyy/mm/dd"),1),"")</f>
        <v>11270352.289999999</v>
      </c>
      <c r="I126">
        <f>IFERROR([1]!s_stm07_is($A126,"W72946623",TEXT($B$1,"yyyy/mm/dd"),1),"")</f>
        <v>282083563.32999998</v>
      </c>
      <c r="J126">
        <f>IFERROR([1]!s_stm07_is($A126,"W30028333",TEXT($B$1,"yyyy/mm/dd"),1),"")</f>
        <v>249961784.72</v>
      </c>
      <c r="K126">
        <f>IFERROR([1]!s_stm07_cs($A126,"W77130581",TEXT($B$1,"yyyy/mm/dd"),1),"")</f>
        <v>342232597.83999997</v>
      </c>
      <c r="L126">
        <f>IFERROR([1]!s_stm07_cs($A126,"W77745895",TEXT($B$1,"yyyy/mm/dd"),1),"")</f>
        <v>215254598.88</v>
      </c>
      <c r="M126">
        <f>IFERROR([1]!S_FA_EPS_basic2($A126,$B$1,"Cur=CNY"),"")</f>
        <v>0.2278</v>
      </c>
      <c r="N126">
        <f>IFERROR([1]!s_fa_arturndays($A126,TEXT($B$1,"yyyy/mm/dd")),"")</f>
        <v>91.614699999999999</v>
      </c>
      <c r="O126" t="str">
        <f>IFERROR([1]!fa_apturndays($A126,TEXT($B$1,"yyyy/mm/dd")),"")</f>
        <v>Fetch...</v>
      </c>
      <c r="P126">
        <f>IFERROR([1]!s_fa_invturndays($A126,TEXT($B$1,"yyyy/mm/dd")),"")</f>
        <v>94.518000000000001</v>
      </c>
    </row>
    <row r="127" spans="1:16">
      <c r="A127" t="s">
        <v>140</v>
      </c>
      <c r="B127">
        <f>IFERROR([1]!s_stm07_is($A127,"W70156729",TEXT($B$1,"yyyy/mm/dd"),1),"")</f>
        <v>4111645493.71</v>
      </c>
      <c r="C127">
        <f>IFERROR([1]!s_stm07_is($A127,"W75682424",TEXT($B$1,"yyyy/mm/dd"),1),"")</f>
        <v>3263471017.8899999</v>
      </c>
      <c r="D127">
        <f>IFERROR([1]!s_stm07_is($A127,"W76031679",TEXT($B$1,"yyyy/mm/dd"),1),"")</f>
        <v>50944247.880000003</v>
      </c>
      <c r="E127">
        <f>IFERROR([1]!s_stm07_is($A127,"W70752487",TEXT($B$1,"yyyy/mm/dd"),1),"")</f>
        <v>262543067</v>
      </c>
      <c r="F127">
        <f>IFERROR([1]!s_stm07_is_103($A127,TEXT($B$1,"yyyy/mm/dd"),1),"")</f>
        <v>364348305.93000001</v>
      </c>
      <c r="G127">
        <f>IFERROR([1]!s_stm07_is_104($A127,TEXT($B$1,"yyyy/mm/dd"),1),"")</f>
        <v>18145776.800000001</v>
      </c>
      <c r="H127">
        <f>IFERROR([1]!s_stm07_is_105($A127,TEXT($B$1,"yyyy/mm/dd"),1),"")</f>
        <v>10011888.140000001</v>
      </c>
      <c r="I127">
        <f>IFERROR([1]!s_stm07_is($A127,"W72946623",TEXT($B$1,"yyyy/mm/dd"),1),"")</f>
        <v>229459269.06</v>
      </c>
      <c r="J127">
        <f>IFERROR([1]!s_stm07_is($A127,"W30028333",TEXT($B$1,"yyyy/mm/dd"),1),"")</f>
        <v>179150887.53999999</v>
      </c>
      <c r="K127">
        <f>IFERROR([1]!s_stm07_cs($A127,"W77130581",TEXT($B$1,"yyyy/mm/dd"),1),"")</f>
        <v>382912224.95999998</v>
      </c>
      <c r="L127">
        <f>IFERROR([1]!s_stm07_cs($A127,"W77745895",TEXT($B$1,"yyyy/mm/dd"),1),"")</f>
        <v>192078014.34</v>
      </c>
      <c r="M127">
        <f>IFERROR([1]!S_FA_EPS_basic2($A127,$B$1,"Cur=CNY"),"")</f>
        <v>0.17549999999999999</v>
      </c>
      <c r="N127">
        <f>IFERROR([1]!s_fa_arturndays($A127,TEXT($B$1,"yyyy/mm/dd")),"")</f>
        <v>256.4468</v>
      </c>
      <c r="O127" t="str">
        <f>IFERROR([1]!fa_apturndays($A127,TEXT($B$1,"yyyy/mm/dd")),"")</f>
        <v>Fetch...</v>
      </c>
      <c r="P127">
        <f>IFERROR([1]!s_fa_invturndays($A127,TEXT($B$1,"yyyy/mm/dd")),"")</f>
        <v>92.050399999999996</v>
      </c>
    </row>
    <row r="128" spans="1:16">
      <c r="A128" t="s">
        <v>141</v>
      </c>
      <c r="B128">
        <f>IFERROR([1]!s_stm07_is($A128,"W70156729",TEXT($B$1,"yyyy/mm/dd"),1),"")</f>
        <v>60042935758.93</v>
      </c>
      <c r="C128">
        <f>IFERROR([1]!s_stm07_is($A128,"W75682424",TEXT($B$1,"yyyy/mm/dd"),1),"")</f>
        <v>49963451578.07</v>
      </c>
      <c r="D128">
        <f>IFERROR([1]!s_stm07_is($A128,"W76031679",TEXT($B$1,"yyyy/mm/dd"),1),"")</f>
        <v>34422487.829999998</v>
      </c>
      <c r="E128">
        <f>IFERROR([1]!s_stm07_is($A128,"W70752487",TEXT($B$1,"yyyy/mm/dd"),1),"")</f>
        <v>814492963.24000001</v>
      </c>
      <c r="F128">
        <f>IFERROR([1]!s_stm07_is_103($A128,TEXT($B$1,"yyyy/mm/dd"),1),"")</f>
        <v>171210512.13999999</v>
      </c>
      <c r="G128">
        <f>IFERROR([1]!s_stm07_is_104($A128,TEXT($B$1,"yyyy/mm/dd"),1),"")</f>
        <v>68297303.700000003</v>
      </c>
      <c r="H128">
        <f>IFERROR([1]!s_stm07_is_105($A128,TEXT($B$1,"yyyy/mm/dd"),1),"")</f>
        <v>100221438.45</v>
      </c>
      <c r="I128">
        <f>IFERROR([1]!s_stm07_is($A128,"W72946623",TEXT($B$1,"yyyy/mm/dd"),1),"")</f>
        <v>8652031647.8899994</v>
      </c>
      <c r="J128">
        <f>IFERROR([1]!s_stm07_is($A128,"W30028333",TEXT($B$1,"yyyy/mm/dd"),1),"")</f>
        <v>6054686552.5900002</v>
      </c>
      <c r="K128">
        <f>IFERROR([1]!s_stm07_cs($A128,"W77130581",TEXT($B$1,"yyyy/mm/dd"),1),"")</f>
        <v>8432323187.1000004</v>
      </c>
      <c r="L128">
        <f>IFERROR([1]!s_stm07_cs($A128,"W77745895",TEXT($B$1,"yyyy/mm/dd"),1),"")</f>
        <v>640504638.25999999</v>
      </c>
      <c r="M128">
        <f>IFERROR([1]!S_FA_EPS_basic2($A128,$B$1,"Cur=CNY"),"")</f>
        <v>1.75</v>
      </c>
      <c r="N128">
        <f>IFERROR([1]!s_fa_arturndays($A128,TEXT($B$1,"yyyy/mm/dd")),"")</f>
        <v>2.0632999999999999</v>
      </c>
      <c r="O128" t="str">
        <f>IFERROR([1]!fa_apturndays($A128,TEXT($B$1,"yyyy/mm/dd")),"")</f>
        <v>Fetch...</v>
      </c>
      <c r="P128">
        <f>IFERROR([1]!s_fa_invturndays($A128,TEXT($B$1,"yyyy/mm/dd")),"")</f>
        <v>36.148899999999998</v>
      </c>
    </row>
    <row r="129" spans="1:16">
      <c r="A129" t="s">
        <v>142</v>
      </c>
      <c r="B129">
        <f>IFERROR([1]!s_stm07_is($A129,"W70156729",TEXT($B$1,"yyyy/mm/dd"),1),"")</f>
        <v>8808870375.9699993</v>
      </c>
      <c r="C129">
        <f>IFERROR([1]!s_stm07_is($A129,"W75682424",TEXT($B$1,"yyyy/mm/dd"),1),"")</f>
        <v>7638152731.9899998</v>
      </c>
      <c r="D129">
        <f>IFERROR([1]!s_stm07_is($A129,"W76031679",TEXT($B$1,"yyyy/mm/dd"),1),"")</f>
        <v>494740604.31999999</v>
      </c>
      <c r="E129">
        <f>IFERROR([1]!s_stm07_is($A129,"W70752487",TEXT($B$1,"yyyy/mm/dd"),1),"")</f>
        <v>199576923.91</v>
      </c>
      <c r="F129">
        <f>IFERROR([1]!s_stm07_is_103($A129,TEXT($B$1,"yyyy/mm/dd"),1),"")</f>
        <v>483036491.64999998</v>
      </c>
      <c r="G129">
        <f>IFERROR([1]!s_stm07_is_104($A129,TEXT($B$1,"yyyy/mm/dd"),1),"")</f>
        <v>29823077.120000001</v>
      </c>
      <c r="H129">
        <f>IFERROR([1]!s_stm07_is_105($A129,TEXT($B$1,"yyyy/mm/dd"),1),"")</f>
        <v>83704823.439999998</v>
      </c>
      <c r="I129">
        <f>IFERROR([1]!s_stm07_is($A129,"W72946623",TEXT($B$1,"yyyy/mm/dd"),1),"")</f>
        <v>168242896.59</v>
      </c>
      <c r="J129">
        <f>IFERROR([1]!s_stm07_is($A129,"W30028333",TEXT($B$1,"yyyy/mm/dd"),1),"")</f>
        <v>179863246.72999999</v>
      </c>
      <c r="K129">
        <f>IFERROR([1]!s_stm07_cs($A129,"W77130581",TEXT($B$1,"yyyy/mm/dd"),1),"")</f>
        <v>-256686049.75999999</v>
      </c>
      <c r="L129">
        <f>IFERROR([1]!s_stm07_cs($A129,"W77745895",TEXT($B$1,"yyyy/mm/dd"),1),"")</f>
        <v>357588813.33999997</v>
      </c>
      <c r="M129">
        <f>IFERROR([1]!S_FA_EPS_basic2($A129,$B$1,"Cur=CNY"),"")</f>
        <v>0.15759999999999999</v>
      </c>
      <c r="N129">
        <f>IFERROR([1]!s_fa_arturndays($A129,TEXT($B$1,"yyyy/mm/dd")),"")</f>
        <v>106.9074</v>
      </c>
      <c r="O129" t="str">
        <f>IFERROR([1]!fa_apturndays($A129,TEXT($B$1,"yyyy/mm/dd")),"")</f>
        <v>Fetch...</v>
      </c>
      <c r="P129">
        <f>IFERROR([1]!s_fa_invturndays($A129,TEXT($B$1,"yyyy/mm/dd")),"")</f>
        <v>98.803399999999996</v>
      </c>
    </row>
    <row r="130" spans="1:16">
      <c r="A130" t="s">
        <v>143</v>
      </c>
      <c r="B130">
        <f>IFERROR([1]!s_stm07_is($A130,"W70156729",TEXT($B$1,"yyyy/mm/dd"),1),"")</f>
        <v>7051834638.3199997</v>
      </c>
      <c r="C130">
        <f>IFERROR([1]!s_stm07_is($A130,"W75682424",TEXT($B$1,"yyyy/mm/dd"),1),"")</f>
        <v>5152713900.3699999</v>
      </c>
      <c r="D130">
        <f>IFERROR([1]!s_stm07_is($A130,"W76031679",TEXT($B$1,"yyyy/mm/dd"),1),"")</f>
        <v>592126802.16999996</v>
      </c>
      <c r="E130">
        <f>IFERROR([1]!s_stm07_is($A130,"W70752487",TEXT($B$1,"yyyy/mm/dd"),1),"")</f>
        <v>362560153.88999999</v>
      </c>
      <c r="F130">
        <f>IFERROR([1]!s_stm07_is_103($A130,TEXT($B$1,"yyyy/mm/dd"),1),"")</f>
        <v>278465292.36000001</v>
      </c>
      <c r="G130">
        <f>IFERROR([1]!s_stm07_is_104($A130,TEXT($B$1,"yyyy/mm/dd"),1),"")</f>
        <v>30570268.920000002</v>
      </c>
      <c r="H130">
        <f>IFERROR([1]!s_stm07_is_105($A130,TEXT($B$1,"yyyy/mm/dd"),1),"")</f>
        <v>85726517.950000003</v>
      </c>
      <c r="I130">
        <f>IFERROR([1]!s_stm07_is($A130,"W72946623",TEXT($B$1,"yyyy/mm/dd"),1),"")</f>
        <v>771502815.60000002</v>
      </c>
      <c r="J130">
        <f>IFERROR([1]!s_stm07_is($A130,"W30028333",TEXT($B$1,"yyyy/mm/dd"),1),"")</f>
        <v>564385034</v>
      </c>
      <c r="K130">
        <f>IFERROR([1]!s_stm07_cs($A130,"W77130581",TEXT($B$1,"yyyy/mm/dd"),1),"")</f>
        <v>820769562.21000004</v>
      </c>
      <c r="L130">
        <f>IFERROR([1]!s_stm07_cs($A130,"W77745895",TEXT($B$1,"yyyy/mm/dd"),1),"")</f>
        <v>131816645.3</v>
      </c>
      <c r="M130">
        <f>IFERROR([1]!S_FA_EPS_basic2($A130,$B$1,"Cur=CNY"),"")</f>
        <v>0.56999999999999995</v>
      </c>
      <c r="N130">
        <f>IFERROR([1]!s_fa_arturndays($A130,TEXT($B$1,"yyyy/mm/dd")),"")</f>
        <v>96.048699999999997</v>
      </c>
      <c r="O130" t="str">
        <f>IFERROR([1]!fa_apturndays($A130,TEXT($B$1,"yyyy/mm/dd")),"")</f>
        <v>Fetch...</v>
      </c>
      <c r="P130">
        <f>IFERROR([1]!s_fa_invturndays($A130,TEXT($B$1,"yyyy/mm/dd")),"")</f>
        <v>135.8081</v>
      </c>
    </row>
    <row r="131" spans="1:16">
      <c r="A131" t="s">
        <v>144</v>
      </c>
      <c r="B131">
        <f>IFERROR([1]!s_stm07_is($A131,"W70156729",TEXT($B$1,"yyyy/mm/dd"),1),"")</f>
        <v>396809685.19</v>
      </c>
      <c r="C131">
        <f>IFERROR([1]!s_stm07_is($A131,"W75682424",TEXT($B$1,"yyyy/mm/dd"),1),"")</f>
        <v>173982629.50999999</v>
      </c>
      <c r="D131">
        <f>IFERROR([1]!s_stm07_is($A131,"W76031679",TEXT($B$1,"yyyy/mm/dd"),1),"")</f>
        <v>82187912.140000001</v>
      </c>
      <c r="E131">
        <f>IFERROR([1]!s_stm07_is($A131,"W70752487",TEXT($B$1,"yyyy/mm/dd"),1),"")</f>
        <v>221958985.91</v>
      </c>
      <c r="F131">
        <f>IFERROR([1]!s_stm07_is_103($A131,TEXT($B$1,"yyyy/mm/dd"),1),"")</f>
        <v>82276358.489999995</v>
      </c>
      <c r="G131">
        <f>IFERROR([1]!s_stm07_is_104($A131,TEXT($B$1,"yyyy/mm/dd"),1),"")</f>
        <v>2311876.42</v>
      </c>
      <c r="H131">
        <f>IFERROR([1]!s_stm07_is_105($A131,TEXT($B$1,"yyyy/mm/dd"),1),"")</f>
        <v>17222412.68</v>
      </c>
      <c r="I131">
        <f>IFERROR([1]!s_stm07_is($A131,"W72946623",TEXT($B$1,"yyyy/mm/dd"),1),"")</f>
        <v>-420422134.55000001</v>
      </c>
      <c r="J131">
        <f>IFERROR([1]!s_stm07_is($A131,"W30028333",TEXT($B$1,"yyyy/mm/dd"),1),"")</f>
        <v>-345420067.58999997</v>
      </c>
      <c r="K131">
        <f>IFERROR([1]!s_stm07_cs($A131,"W77130581",TEXT($B$1,"yyyy/mm/dd"),1),"")</f>
        <v>4722483.12</v>
      </c>
      <c r="L131">
        <f>IFERROR([1]!s_stm07_cs($A131,"W77745895",TEXT($B$1,"yyyy/mm/dd"),1),"")</f>
        <v>235988546.05000001</v>
      </c>
      <c r="M131">
        <f>IFERROR([1]!S_FA_EPS_basic2($A131,$B$1,"Cur=CNY"),"")</f>
        <v>-0.1633</v>
      </c>
      <c r="N131">
        <f>IFERROR([1]!s_fa_arturndays($A131,TEXT($B$1,"yyyy/mm/dd")),"")</f>
        <v>216.1773</v>
      </c>
      <c r="O131" t="str">
        <f>IFERROR([1]!fa_apturndays($A131,TEXT($B$1,"yyyy/mm/dd")),"")</f>
        <v>Fetch...</v>
      </c>
      <c r="P131">
        <f>IFERROR([1]!s_fa_invturndays($A131,TEXT($B$1,"yyyy/mm/dd")),"")</f>
        <v>357.39100000000002</v>
      </c>
    </row>
    <row r="132" spans="1:16">
      <c r="A132" t="s">
        <v>145</v>
      </c>
      <c r="B132">
        <f>IFERROR([1]!s_stm07_is($A132,"W70156729",TEXT($B$1,"yyyy/mm/dd"),1),"")</f>
        <v>90375497603.880005</v>
      </c>
      <c r="C132">
        <f>IFERROR([1]!s_stm07_is($A132,"W75682424",TEXT($B$1,"yyyy/mm/dd"),1),"")</f>
        <v>88661154962.630005</v>
      </c>
      <c r="D132">
        <f>IFERROR([1]!s_stm07_is($A132,"W76031679",TEXT($B$1,"yyyy/mm/dd"),1),"")</f>
        <v>213490581.88</v>
      </c>
      <c r="E132">
        <f>IFERROR([1]!s_stm07_is($A132,"W70752487",TEXT($B$1,"yyyy/mm/dd"),1),"")</f>
        <v>647235616.21000004</v>
      </c>
      <c r="F132">
        <f>IFERROR([1]!s_stm07_is_103($A132,TEXT($B$1,"yyyy/mm/dd"),1),"")</f>
        <v>711528506.29999995</v>
      </c>
      <c r="G132">
        <f>IFERROR([1]!s_stm07_is_104($A132,TEXT($B$1,"yyyy/mm/dd"),1),"")</f>
        <v>191363566.69999999</v>
      </c>
      <c r="H132">
        <f>IFERROR([1]!s_stm07_is_105($A132,TEXT($B$1,"yyyy/mm/dd"),1),"")</f>
        <v>91036646.629999995</v>
      </c>
      <c r="I132">
        <f>IFERROR([1]!s_stm07_is($A132,"W72946623",TEXT($B$1,"yyyy/mm/dd"),1),"")</f>
        <v>114137933.63</v>
      </c>
      <c r="J132">
        <f>IFERROR([1]!s_stm07_is($A132,"W30028333",TEXT($B$1,"yyyy/mm/dd"),1),"")</f>
        <v>51528258.899999999</v>
      </c>
      <c r="K132">
        <f>IFERROR([1]!s_stm07_cs($A132,"W77130581",TEXT($B$1,"yyyy/mm/dd"),1),"")</f>
        <v>3118773232.0100002</v>
      </c>
      <c r="L132">
        <f>IFERROR([1]!s_stm07_cs($A132,"W77745895",TEXT($B$1,"yyyy/mm/dd"),1),"")</f>
        <v>1788580786.71</v>
      </c>
      <c r="M132">
        <f>IFERROR([1]!S_FA_EPS_basic2($A132,$B$1,"Cur=CNY"),"")</f>
        <v>8.9999999999999993E-3</v>
      </c>
      <c r="N132">
        <f>IFERROR([1]!s_fa_arturndays($A132,TEXT($B$1,"yyyy/mm/dd")),"")</f>
        <v>3.7244000000000002</v>
      </c>
      <c r="O132" t="str">
        <f>IFERROR([1]!fa_apturndays($A132,TEXT($B$1,"yyyy/mm/dd")),"")</f>
        <v>Fetch...</v>
      </c>
      <c r="P132">
        <f>IFERROR([1]!s_fa_invturndays($A132,TEXT($B$1,"yyyy/mm/dd")),"")</f>
        <v>36.720500000000001</v>
      </c>
    </row>
    <row r="133" spans="1:16">
      <c r="A133" t="s">
        <v>146</v>
      </c>
      <c r="B133">
        <f>IFERROR([1]!s_stm07_is($A133,"W70156729",TEXT($B$1,"yyyy/mm/dd"),1),"")</f>
        <v>1551933747.48</v>
      </c>
      <c r="C133">
        <f>IFERROR([1]!s_stm07_is($A133,"W75682424",TEXT($B$1,"yyyy/mm/dd"),1),"")</f>
        <v>497281310.30000001</v>
      </c>
      <c r="D133">
        <f>IFERROR([1]!s_stm07_is($A133,"W76031679",TEXT($B$1,"yyyy/mm/dd"),1),"")</f>
        <v>0</v>
      </c>
      <c r="E133">
        <f>IFERROR([1]!s_stm07_is($A133,"W70752487",TEXT($B$1,"yyyy/mm/dd"),1),"")</f>
        <v>106011265.34999999</v>
      </c>
      <c r="F133">
        <f>IFERROR([1]!s_stm07_is_103($A133,TEXT($B$1,"yyyy/mm/dd"),1),"")</f>
        <v>4294348.08</v>
      </c>
      <c r="G133">
        <f>IFERROR([1]!s_stm07_is_104($A133,TEXT($B$1,"yyyy/mm/dd"),1),"")</f>
        <v>63496705.859999999</v>
      </c>
      <c r="H133">
        <f>IFERROR([1]!s_stm07_is_105($A133,TEXT($B$1,"yyyy/mm/dd"),1),"")</f>
        <v>52284718.579999998</v>
      </c>
      <c r="I133">
        <f>IFERROR([1]!s_stm07_is($A133,"W72946623",TEXT($B$1,"yyyy/mm/dd"),1),"")</f>
        <v>984389876.97000003</v>
      </c>
      <c r="J133">
        <f>IFERROR([1]!s_stm07_is($A133,"W30028333",TEXT($B$1,"yyyy/mm/dd"),1),"")</f>
        <v>823505964.25</v>
      </c>
      <c r="K133">
        <f>IFERROR([1]!s_stm07_cs($A133,"W77130581",TEXT($B$1,"yyyy/mm/dd"),1),"")</f>
        <v>2319560003.5799999</v>
      </c>
      <c r="L133">
        <f>IFERROR([1]!s_stm07_cs($A133,"W77745895",TEXT($B$1,"yyyy/mm/dd"),1),"")</f>
        <v>1370946310.9100001</v>
      </c>
      <c r="M133">
        <f>IFERROR([1]!S_FA_EPS_basic2($A133,$B$1,"Cur=CNY"),"")</f>
        <v>0.79220000000000002</v>
      </c>
      <c r="N133">
        <f>IFERROR([1]!s_fa_arturndays($A133,TEXT($B$1,"yyyy/mm/dd")),"")</f>
        <v>10.371</v>
      </c>
      <c r="O133" t="str">
        <f>IFERROR([1]!fa_apturndays($A133,TEXT($B$1,"yyyy/mm/dd")),"")</f>
        <v>Fetch...</v>
      </c>
      <c r="P133">
        <f>IFERROR([1]!s_fa_invturndays($A133,TEXT($B$1,"yyyy/mm/dd")),"")</f>
        <v>0</v>
      </c>
    </row>
    <row r="134" spans="1:16">
      <c r="A134" t="s">
        <v>147</v>
      </c>
      <c r="B134">
        <f>IFERROR([1]!s_stm07_is($A134,"W70156729",TEXT($B$1,"yyyy/mm/dd"),1),"")</f>
        <v>90569996478.410004</v>
      </c>
      <c r="C134">
        <f>IFERROR([1]!s_stm07_is($A134,"W75682424",TEXT($B$1,"yyyy/mm/dd"),1),"")</f>
        <v>87735020991.309998</v>
      </c>
      <c r="D134">
        <f>IFERROR([1]!s_stm07_is($A134,"W76031679",TEXT($B$1,"yyyy/mm/dd"),1),"")</f>
        <v>1792237057.8099999</v>
      </c>
      <c r="E134">
        <f>IFERROR([1]!s_stm07_is($A134,"W70752487",TEXT($B$1,"yyyy/mm/dd"),1),"")</f>
        <v>387429688.51999998</v>
      </c>
      <c r="F134">
        <f>IFERROR([1]!s_stm07_is_103($A134,TEXT($B$1,"yyyy/mm/dd"),1),"")</f>
        <v>72298158.939999998</v>
      </c>
      <c r="G134">
        <f>IFERROR([1]!s_stm07_is_104($A134,TEXT($B$1,"yyyy/mm/dd"),1),"")</f>
        <v>384744195.48000002</v>
      </c>
      <c r="H134">
        <f>IFERROR([1]!s_stm07_is_105($A134,TEXT($B$1,"yyyy/mm/dd"),1),"")</f>
        <v>38857511.280000001</v>
      </c>
      <c r="I134">
        <f>IFERROR([1]!s_stm07_is($A134,"W72946623",TEXT($B$1,"yyyy/mm/dd"),1),"")</f>
        <v>46395687.630000003</v>
      </c>
      <c r="J134">
        <f>IFERROR([1]!s_stm07_is($A134,"W30028333",TEXT($B$1,"yyyy/mm/dd"),1),"")</f>
        <v>-21529960.109999999</v>
      </c>
      <c r="K134">
        <f>IFERROR([1]!s_stm07_cs($A134,"W77130581",TEXT($B$1,"yyyy/mm/dd"),1),"")</f>
        <v>489831898.52999997</v>
      </c>
      <c r="L134">
        <f>IFERROR([1]!s_stm07_cs($A134,"W77745895",TEXT($B$1,"yyyy/mm/dd"),1),"")</f>
        <v>257283541.44999999</v>
      </c>
      <c r="M134">
        <f>IFERROR([1]!S_FA_EPS_basic2($A134,$B$1,"Cur=CNY"),"")</f>
        <v>-2.1000000000000001E-2</v>
      </c>
      <c r="N134">
        <f>IFERROR([1]!s_fa_arturndays($A134,TEXT($B$1,"yyyy/mm/dd")),"")</f>
        <v>12.325699999999999</v>
      </c>
      <c r="O134" t="str">
        <f>IFERROR([1]!fa_apturndays($A134,TEXT($B$1,"yyyy/mm/dd")),"")</f>
        <v>Fetch...</v>
      </c>
      <c r="P134">
        <f>IFERROR([1]!s_fa_invturndays($A134,TEXT($B$1,"yyyy/mm/dd")),"")</f>
        <v>26.1404</v>
      </c>
    </row>
    <row r="135" spans="1:16">
      <c r="A135" t="s">
        <v>148</v>
      </c>
      <c r="B135">
        <f>IFERROR([1]!s_stm07_is($A135,"W70156729",TEXT($B$1,"yyyy/mm/dd"),1),"")</f>
        <v>29143461223.18</v>
      </c>
      <c r="C135">
        <f>IFERROR([1]!s_stm07_is($A135,"W75682424",TEXT($B$1,"yyyy/mm/dd"),1),"")</f>
        <v>25946049592.73</v>
      </c>
      <c r="D135">
        <f>IFERROR([1]!s_stm07_is($A135,"W76031679",TEXT($B$1,"yyyy/mm/dd"),1),"")</f>
        <v>97303312.659999996</v>
      </c>
      <c r="E135">
        <f>IFERROR([1]!s_stm07_is($A135,"W70752487",TEXT($B$1,"yyyy/mm/dd"),1),"")</f>
        <v>570548578.78999996</v>
      </c>
      <c r="F135">
        <f>IFERROR([1]!s_stm07_is_103($A135,TEXT($B$1,"yyyy/mm/dd"),1),"")</f>
        <v>799872715.05999994</v>
      </c>
      <c r="G135">
        <f>IFERROR([1]!s_stm07_is_104($A135,TEXT($B$1,"yyyy/mm/dd"),1),"")</f>
        <v>202644926.56</v>
      </c>
      <c r="H135">
        <f>IFERROR([1]!s_stm07_is_105($A135,TEXT($B$1,"yyyy/mm/dd"),1),"")</f>
        <v>7712309.4800000004</v>
      </c>
      <c r="I135">
        <f>IFERROR([1]!s_stm07_is($A135,"W72946623",TEXT($B$1,"yyyy/mm/dd"),1),"")</f>
        <v>1106527321.3</v>
      </c>
      <c r="J135">
        <f>IFERROR([1]!s_stm07_is($A135,"W30028333",TEXT($B$1,"yyyy/mm/dd"),1),"")</f>
        <v>906707976.78999996</v>
      </c>
      <c r="K135">
        <f>IFERROR([1]!s_stm07_cs($A135,"W77130581",TEXT($B$1,"yyyy/mm/dd"),1),"")</f>
        <v>4261621926.0999999</v>
      </c>
      <c r="L135">
        <f>IFERROR([1]!s_stm07_cs($A135,"W77745895",TEXT($B$1,"yyyy/mm/dd"),1),"")</f>
        <v>2042803773.4400001</v>
      </c>
      <c r="M135">
        <f>IFERROR([1]!S_FA_EPS_basic2($A135,$B$1,"Cur=CNY"),"")</f>
        <v>0.47599999999999998</v>
      </c>
      <c r="N135">
        <f>IFERROR([1]!s_fa_arturndays($A135,TEXT($B$1,"yyyy/mm/dd")),"")</f>
        <v>0.68230000000000002</v>
      </c>
      <c r="O135" t="str">
        <f>IFERROR([1]!fa_apturndays($A135,TEXT($B$1,"yyyy/mm/dd")),"")</f>
        <v>Fetch...</v>
      </c>
      <c r="P135">
        <f>IFERROR([1]!s_fa_invturndays($A135,TEXT($B$1,"yyyy/mm/dd")),"")</f>
        <v>25.403600000000001</v>
      </c>
    </row>
    <row r="136" spans="1:16">
      <c r="A136" t="s">
        <v>149</v>
      </c>
      <c r="B136">
        <f>IFERROR([1]!s_stm07_is($A136,"W70156729",TEXT($B$1,"yyyy/mm/dd"),1),"")</f>
        <v>3182090218.8400002</v>
      </c>
      <c r="C136">
        <f>IFERROR([1]!s_stm07_is($A136,"W75682424",TEXT($B$1,"yyyy/mm/dd"),1),"")</f>
        <v>2652215890.1700001</v>
      </c>
      <c r="D136">
        <f>IFERROR([1]!s_stm07_is($A136,"W76031679",TEXT($B$1,"yyyy/mm/dd"),1),"")</f>
        <v>4324665.13</v>
      </c>
      <c r="E136">
        <f>IFERROR([1]!s_stm07_is($A136,"W70752487",TEXT($B$1,"yyyy/mm/dd"),1),"")</f>
        <v>74781331.120000005</v>
      </c>
      <c r="F136">
        <f>IFERROR([1]!s_stm07_is_103($A136,TEXT($B$1,"yyyy/mm/dd"),1),"")</f>
        <v>63434300.670000002</v>
      </c>
      <c r="G136">
        <f>IFERROR([1]!s_stm07_is_104($A136,TEXT($B$1,"yyyy/mm/dd"),1),"")</f>
        <v>6794346.21</v>
      </c>
      <c r="H136">
        <f>IFERROR([1]!s_stm07_is_105($A136,TEXT($B$1,"yyyy/mm/dd"),1),"")</f>
        <v>2923848.77</v>
      </c>
      <c r="I136">
        <f>IFERROR([1]!s_stm07_is($A136,"W72946623",TEXT($B$1,"yyyy/mm/dd"),1),"")</f>
        <v>241104551.41</v>
      </c>
      <c r="J136">
        <f>IFERROR([1]!s_stm07_is($A136,"W30028333",TEXT($B$1,"yyyy/mm/dd"),1),"")</f>
        <v>172576348.02000001</v>
      </c>
      <c r="K136">
        <f>IFERROR([1]!s_stm07_cs($A136,"W77130581",TEXT($B$1,"yyyy/mm/dd"),1),"")</f>
        <v>465839138.31</v>
      </c>
      <c r="L136">
        <f>IFERROR([1]!s_stm07_cs($A136,"W77745895",TEXT($B$1,"yyyy/mm/dd"),1),"")</f>
        <v>59492897.640000001</v>
      </c>
      <c r="M136">
        <f>IFERROR([1]!S_FA_EPS_basic2($A136,$B$1,"Cur=CNY"),"")</f>
        <v>0.16259999999999999</v>
      </c>
      <c r="N136">
        <f>IFERROR([1]!s_fa_arturndays($A136,TEXT($B$1,"yyyy/mm/dd")),"")</f>
        <v>36.361400000000003</v>
      </c>
      <c r="O136" t="str">
        <f>IFERROR([1]!fa_apturndays($A136,TEXT($B$1,"yyyy/mm/dd")),"")</f>
        <v>Fetch...</v>
      </c>
      <c r="P136">
        <f>IFERROR([1]!s_fa_invturndays($A136,TEXT($B$1,"yyyy/mm/dd")),"")</f>
        <v>261.91340000000002</v>
      </c>
    </row>
    <row r="137" spans="1:16">
      <c r="A137" t="s">
        <v>150</v>
      </c>
      <c r="B137">
        <f>IFERROR([1]!s_stm07_is($A137,"W70156729",TEXT($B$1,"yyyy/mm/dd"),1),"")</f>
        <v>3058503729.0700002</v>
      </c>
      <c r="C137">
        <f>IFERROR([1]!s_stm07_is($A137,"W75682424",TEXT($B$1,"yyyy/mm/dd"),1),"")</f>
        <v>1972888901.28</v>
      </c>
      <c r="D137">
        <f>IFERROR([1]!s_stm07_is($A137,"W76031679",TEXT($B$1,"yyyy/mm/dd"),1),"")</f>
        <v>23459286.949999999</v>
      </c>
      <c r="E137">
        <f>IFERROR([1]!s_stm07_is($A137,"W70752487",TEXT($B$1,"yyyy/mm/dd"),1),"")</f>
        <v>230166785.09999999</v>
      </c>
      <c r="F137">
        <f>IFERROR([1]!s_stm07_is_103($A137,TEXT($B$1,"yyyy/mm/dd"),1),"")</f>
        <v>70924046.060000002</v>
      </c>
      <c r="G137">
        <f>IFERROR([1]!s_stm07_is_104($A137,TEXT($B$1,"yyyy/mm/dd"),1),"")</f>
        <v>35897335.009999998</v>
      </c>
      <c r="H137">
        <f>IFERROR([1]!s_stm07_is_105($A137,TEXT($B$1,"yyyy/mm/dd"),1),"")</f>
        <v>8223050.46</v>
      </c>
      <c r="I137">
        <f>IFERROR([1]!s_stm07_is($A137,"W72946623",TEXT($B$1,"yyyy/mm/dd"),1),"")</f>
        <v>579329655.07000005</v>
      </c>
      <c r="J137">
        <f>IFERROR([1]!s_stm07_is($A137,"W30028333",TEXT($B$1,"yyyy/mm/dd"),1),"")</f>
        <v>479955507.86000001</v>
      </c>
      <c r="K137">
        <f>IFERROR([1]!s_stm07_cs($A137,"W77130581",TEXT($B$1,"yyyy/mm/dd"),1),"")</f>
        <v>573831723.75</v>
      </c>
      <c r="L137">
        <f>IFERROR([1]!s_stm07_cs($A137,"W77745895",TEXT($B$1,"yyyy/mm/dd"),1),"")</f>
        <v>1029732460.8099999</v>
      </c>
      <c r="M137">
        <f>IFERROR([1]!S_FA_EPS_basic2($A137,$B$1,"Cur=CNY"),"")</f>
        <v>0.59840000000000004</v>
      </c>
      <c r="N137">
        <f>IFERROR([1]!s_fa_arturndays($A137,TEXT($B$1,"yyyy/mm/dd")),"")</f>
        <v>3.0539999999999998</v>
      </c>
      <c r="O137" t="str">
        <f>IFERROR([1]!fa_apturndays($A137,TEXT($B$1,"yyyy/mm/dd")),"")</f>
        <v>Fetch...</v>
      </c>
      <c r="P137">
        <f>IFERROR([1]!s_fa_invturndays($A137,TEXT($B$1,"yyyy/mm/dd")),"")</f>
        <v>108.6006</v>
      </c>
    </row>
    <row r="138" spans="1:16">
      <c r="A138" t="s">
        <v>151</v>
      </c>
      <c r="B138">
        <f>IFERROR([1]!s_stm07_is($A138,"W70156729",TEXT($B$1,"yyyy/mm/dd"),1),"")</f>
        <v>4089873044.27</v>
      </c>
      <c r="C138">
        <f>IFERROR([1]!s_stm07_is($A138,"W75682424",TEXT($B$1,"yyyy/mm/dd"),1),"")</f>
        <v>3367875635.6900001</v>
      </c>
      <c r="D138">
        <f>IFERROR([1]!s_stm07_is($A138,"W76031679",TEXT($B$1,"yyyy/mm/dd"),1),"")</f>
        <v>134028738.63</v>
      </c>
      <c r="E138">
        <f>IFERROR([1]!s_stm07_is($A138,"W70752487",TEXT($B$1,"yyyy/mm/dd"),1),"")</f>
        <v>348114314.25</v>
      </c>
      <c r="F138">
        <f>IFERROR([1]!s_stm07_is_103($A138,TEXT($B$1,"yyyy/mm/dd"),1),"")</f>
        <v>239696269.55000001</v>
      </c>
      <c r="G138">
        <f>IFERROR([1]!s_stm07_is_104($A138,TEXT($B$1,"yyyy/mm/dd"),1),"")</f>
        <v>20765207.59</v>
      </c>
      <c r="H138">
        <f>IFERROR([1]!s_stm07_is_105($A138,TEXT($B$1,"yyyy/mm/dd"),1),"")</f>
        <v>15473147.34</v>
      </c>
      <c r="I138">
        <f>IFERROR([1]!s_stm07_is($A138,"W72946623",TEXT($B$1,"yyyy/mm/dd"),1),"")</f>
        <v>69001967.379999995</v>
      </c>
      <c r="J138">
        <f>IFERROR([1]!s_stm07_is($A138,"W30028333",TEXT($B$1,"yyyy/mm/dd"),1),"")</f>
        <v>52893808.390000001</v>
      </c>
      <c r="K138">
        <f>IFERROR([1]!s_stm07_cs($A138,"W77130581",TEXT($B$1,"yyyy/mm/dd"),1),"")</f>
        <v>317357139.69</v>
      </c>
      <c r="L138">
        <f>IFERROR([1]!s_stm07_cs($A138,"W77745895",TEXT($B$1,"yyyy/mm/dd"),1),"")</f>
        <v>227808752.77000001</v>
      </c>
      <c r="M138">
        <f>IFERROR([1]!S_FA_EPS_basic2($A138,$B$1,"Cur=CNY"),"")</f>
        <v>5.1999999999999998E-2</v>
      </c>
      <c r="N138">
        <f>IFERROR([1]!s_fa_arturndays($A138,TEXT($B$1,"yyyy/mm/dd")),"")</f>
        <v>88.8626</v>
      </c>
      <c r="O138" t="str">
        <f>IFERROR([1]!fa_apturndays($A138,TEXT($B$1,"yyyy/mm/dd")),"")</f>
        <v>Fetch...</v>
      </c>
      <c r="P138">
        <f>IFERROR([1]!s_fa_invturndays($A138,TEXT($B$1,"yyyy/mm/dd")),"")</f>
        <v>217.20769999999999</v>
      </c>
    </row>
    <row r="139" spans="1:16">
      <c r="A139" t="s">
        <v>152</v>
      </c>
      <c r="B139">
        <f>IFERROR([1]!s_stm07_is($A139,"W70156729",TEXT($B$1,"yyyy/mm/dd"),1),"")</f>
        <v>3173554539.8299999</v>
      </c>
      <c r="C139">
        <f>IFERROR([1]!s_stm07_is($A139,"W75682424",TEXT($B$1,"yyyy/mm/dd"),1),"")</f>
        <v>1753701457.45</v>
      </c>
      <c r="D139">
        <f>IFERROR([1]!s_stm07_is($A139,"W76031679",TEXT($B$1,"yyyy/mm/dd"),1),"")</f>
        <v>533807702.43000001</v>
      </c>
      <c r="E139">
        <f>IFERROR([1]!s_stm07_is($A139,"W70752487",TEXT($B$1,"yyyy/mm/dd"),1),"")</f>
        <v>43881550.740000002</v>
      </c>
      <c r="F139">
        <f>IFERROR([1]!s_stm07_is_103($A139,TEXT($B$1,"yyyy/mm/dd"),1),"")</f>
        <v>9155934.6799999997</v>
      </c>
      <c r="G139">
        <f>IFERROR([1]!s_stm07_is_104($A139,TEXT($B$1,"yyyy/mm/dd"),1),"")</f>
        <v>9974867.6699999999</v>
      </c>
      <c r="H139">
        <f>IFERROR([1]!s_stm07_is_105($A139,TEXT($B$1,"yyyy/mm/dd"),1),"")</f>
        <v>41712443.759999998</v>
      </c>
      <c r="I139">
        <f>IFERROR([1]!s_stm07_is($A139,"W72946623",TEXT($B$1,"yyyy/mm/dd"),1),"")</f>
        <v>832093599.60000002</v>
      </c>
      <c r="J139">
        <f>IFERROR([1]!s_stm07_is($A139,"W30028333",TEXT($B$1,"yyyy/mm/dd"),1),"")</f>
        <v>627104296.78999996</v>
      </c>
      <c r="K139">
        <f>IFERROR([1]!s_stm07_cs($A139,"W77130581",TEXT($B$1,"yyyy/mm/dd"),1),"")</f>
        <v>1012283571.6</v>
      </c>
      <c r="L139">
        <f>IFERROR([1]!s_stm07_cs($A139,"W77745895",TEXT($B$1,"yyyy/mm/dd"),1),"")</f>
        <v>184906387.78999999</v>
      </c>
      <c r="M139">
        <f>IFERROR([1]!S_FA_EPS_basic2($A139,$B$1,"Cur=CNY"),"")</f>
        <v>0.6</v>
      </c>
      <c r="N139">
        <f>IFERROR([1]!s_fa_arturndays($A139,TEXT($B$1,"yyyy/mm/dd")),"")</f>
        <v>1.8783000000000001</v>
      </c>
      <c r="O139" t="str">
        <f>IFERROR([1]!fa_apturndays($A139,TEXT($B$1,"yyyy/mm/dd")),"")</f>
        <v>Fetch...</v>
      </c>
      <c r="P139">
        <f>IFERROR([1]!s_fa_invturndays($A139,TEXT($B$1,"yyyy/mm/dd")),"")</f>
        <v>37.438800000000001</v>
      </c>
    </row>
    <row r="140" spans="1:16">
      <c r="A140" t="s">
        <v>153</v>
      </c>
      <c r="B140">
        <f>IFERROR([1]!s_stm07_is($A140,"W70156729",TEXT($B$1,"yyyy/mm/dd"),1),"")</f>
        <v>40528509770.230003</v>
      </c>
      <c r="C140">
        <f>IFERROR([1]!s_stm07_is($A140,"W75682424",TEXT($B$1,"yyyy/mm/dd"),1),"")</f>
        <v>9101956953.5900002</v>
      </c>
      <c r="D140">
        <f>IFERROR([1]!s_stm07_is($A140,"W76031679",TEXT($B$1,"yyyy/mm/dd"),1),"")</f>
        <v>7628615140.5100002</v>
      </c>
      <c r="E140">
        <f>IFERROR([1]!s_stm07_is($A140,"W70752487",TEXT($B$1,"yyyy/mm/dd"),1),"")</f>
        <v>3096502911.23</v>
      </c>
      <c r="F140">
        <f>IFERROR([1]!s_stm07_is_103($A140,TEXT($B$1,"yyyy/mm/dd"),1),"")</f>
        <v>449183817.5</v>
      </c>
      <c r="G140">
        <f>IFERROR([1]!s_stm07_is_104($A140,TEXT($B$1,"yyyy/mm/dd"),1),"")</f>
        <v>28573949.370000001</v>
      </c>
      <c r="H140">
        <f>IFERROR([1]!s_stm07_is_105($A140,TEXT($B$1,"yyyy/mm/dd"),1),"")</f>
        <v>2693164763.5799999</v>
      </c>
      <c r="I140">
        <f>IFERROR([1]!s_stm07_is($A140,"W72946623",TEXT($B$1,"yyyy/mm/dd"),1),"")</f>
        <v>12198853038.23</v>
      </c>
      <c r="J140">
        <f>IFERROR([1]!s_stm07_is($A140,"W30028333",TEXT($B$1,"yyyy/mm/dd"),1),"")</f>
        <v>8954257202.5100002</v>
      </c>
      <c r="K140">
        <f>IFERROR([1]!s_stm07_cs($A140,"W77130581",TEXT($B$1,"yyyy/mm/dd"),1),"")</f>
        <v>29706259919.130001</v>
      </c>
      <c r="L140">
        <f>IFERROR([1]!s_stm07_cs($A140,"W77745895",TEXT($B$1,"yyyy/mm/dd"),1),"")</f>
        <v>1967407316.3599999</v>
      </c>
      <c r="M140">
        <f>IFERROR([1]!S_FA_EPS_basic2($A140,$B$1,"Cur=CNY"),"")</f>
        <v>2.3068</v>
      </c>
      <c r="N140">
        <f>IFERROR([1]!s_fa_arturndays($A140,TEXT($B$1,"yyyy/mm/dd")),"")</f>
        <v>0.33350000000000002</v>
      </c>
      <c r="O140" t="str">
        <f>IFERROR([1]!fa_apturndays($A140,TEXT($B$1,"yyyy/mm/dd")),"")</f>
        <v>Fetch...</v>
      </c>
      <c r="P140">
        <f>IFERROR([1]!s_fa_invturndays($A140,TEXT($B$1,"yyyy/mm/dd")),"")</f>
        <v>757.41639999999995</v>
      </c>
    </row>
    <row r="141" spans="1:16">
      <c r="A141" t="s">
        <v>154</v>
      </c>
      <c r="B141">
        <f>IFERROR([1]!s_stm07_is($A141,"W70156729",TEXT($B$1,"yyyy/mm/dd"),1),"")</f>
        <v>7223834604.3400002</v>
      </c>
      <c r="C141">
        <f>IFERROR([1]!s_stm07_is($A141,"W75682424",TEXT($B$1,"yyyy/mm/dd"),1),"")</f>
        <v>4891510720.96</v>
      </c>
      <c r="D141">
        <f>IFERROR([1]!s_stm07_is($A141,"W76031679",TEXT($B$1,"yyyy/mm/dd"),1),"")</f>
        <v>842463978.08000004</v>
      </c>
      <c r="E141">
        <f>IFERROR([1]!s_stm07_is($A141,"W70752487",TEXT($B$1,"yyyy/mm/dd"),1),"")</f>
        <v>686780059.13</v>
      </c>
      <c r="F141">
        <f>IFERROR([1]!s_stm07_is_103($A141,TEXT($B$1,"yyyy/mm/dd"),1),"")</f>
        <v>27698795.670000002</v>
      </c>
      <c r="G141">
        <f>IFERROR([1]!s_stm07_is_104($A141,TEXT($B$1,"yyyy/mm/dd"),1),"")</f>
        <v>104941559.2</v>
      </c>
      <c r="H141">
        <f>IFERROR([1]!s_stm07_is_105($A141,TEXT($B$1,"yyyy/mm/dd"),1),"")</f>
        <v>139225978.38</v>
      </c>
      <c r="I141">
        <f>IFERROR([1]!s_stm07_is($A141,"W72946623",TEXT($B$1,"yyyy/mm/dd"),1),"")</f>
        <v>-21024702.350000001</v>
      </c>
      <c r="J141">
        <f>IFERROR([1]!s_stm07_is($A141,"W30028333",TEXT($B$1,"yyyy/mm/dd"),1),"")</f>
        <v>-152358569.63</v>
      </c>
      <c r="K141">
        <f>IFERROR([1]!s_stm07_cs($A141,"W77130581",TEXT($B$1,"yyyy/mm/dd"),1),"")</f>
        <v>-272576717.13</v>
      </c>
      <c r="L141">
        <f>IFERROR([1]!s_stm07_cs($A141,"W77745895",TEXT($B$1,"yyyy/mm/dd"),1),"")</f>
        <v>83558759.109999999</v>
      </c>
      <c r="M141">
        <f>IFERROR([1]!S_FA_EPS_basic2($A141,$B$1,"Cur=CNY"),"")</f>
        <v>-0.2054</v>
      </c>
      <c r="N141">
        <f>IFERROR([1]!s_fa_arturndays($A141,TEXT($B$1,"yyyy/mm/dd")),"")</f>
        <v>1.7051000000000001</v>
      </c>
      <c r="O141" t="str">
        <f>IFERROR([1]!fa_apturndays($A141,TEXT($B$1,"yyyy/mm/dd")),"")</f>
        <v>Fetch...</v>
      </c>
      <c r="P141">
        <f>IFERROR([1]!s_fa_invturndays($A141,TEXT($B$1,"yyyy/mm/dd")),"")</f>
        <v>146.25229999999999</v>
      </c>
    </row>
    <row r="142" spans="1:16">
      <c r="A142" t="s">
        <v>155</v>
      </c>
      <c r="B142">
        <f>IFERROR([1]!s_stm07_is($A142,"W70156729",TEXT($B$1,"yyyy/mm/dd"),1),"")</f>
        <v>13114822273.209999</v>
      </c>
      <c r="C142">
        <f>IFERROR([1]!s_stm07_is($A142,"W75682424",TEXT($B$1,"yyyy/mm/dd"),1),"")</f>
        <v>10004108778.709999</v>
      </c>
      <c r="D142">
        <f>IFERROR([1]!s_stm07_is($A142,"W76031679",TEXT($B$1,"yyyy/mm/dd"),1),"")</f>
        <v>0</v>
      </c>
      <c r="E142">
        <f>IFERROR([1]!s_stm07_is($A142,"W70752487",TEXT($B$1,"yyyy/mm/dd"),1),"")</f>
        <v>179536901.28999999</v>
      </c>
      <c r="F142">
        <f>IFERROR([1]!s_stm07_is_103($A142,TEXT($B$1,"yyyy/mm/dd"),1),"")</f>
        <v>70708614.25</v>
      </c>
      <c r="G142">
        <f>IFERROR([1]!s_stm07_is_104($A142,TEXT($B$1,"yyyy/mm/dd"),1),"")</f>
        <v>1265834366.45</v>
      </c>
      <c r="H142">
        <f>IFERROR([1]!s_stm07_is_105($A142,TEXT($B$1,"yyyy/mm/dd"),1),"")</f>
        <v>27412614.329999998</v>
      </c>
      <c r="I142">
        <f>IFERROR([1]!s_stm07_is($A142,"W72946623",TEXT($B$1,"yyyy/mm/dd"),1),"")</f>
        <v>1510355554.99</v>
      </c>
      <c r="J142">
        <f>IFERROR([1]!s_stm07_is($A142,"W30028333",TEXT($B$1,"yyyy/mm/dd"),1),"")</f>
        <v>514827086.61000001</v>
      </c>
      <c r="K142">
        <f>IFERROR([1]!s_stm07_cs($A142,"W77130581",TEXT($B$1,"yyyy/mm/dd"),1),"")</f>
        <v>7036015847.6499996</v>
      </c>
      <c r="L142">
        <f>IFERROR([1]!s_stm07_cs($A142,"W77745895",TEXT($B$1,"yyyy/mm/dd"),1),"")</f>
        <v>5787393393.79</v>
      </c>
      <c r="M142">
        <f>IFERROR([1]!S_FA_EPS_basic2($A142,$B$1,"Cur=CNY"),"")</f>
        <v>0.14000000000000001</v>
      </c>
      <c r="N142">
        <f>IFERROR([1]!s_fa_arturndays($A142,TEXT($B$1,"yyyy/mm/dd")),"")</f>
        <v>282.4194</v>
      </c>
      <c r="O142" t="str">
        <f>IFERROR([1]!fa_apturndays($A142,TEXT($B$1,"yyyy/mm/dd")),"")</f>
        <v>Fetch...</v>
      </c>
      <c r="P142">
        <f>IFERROR([1]!s_fa_invturndays($A142,TEXT($B$1,"yyyy/mm/dd")),"")</f>
        <v>10.7439</v>
      </c>
    </row>
    <row r="143" spans="1:16">
      <c r="A143" t="s">
        <v>156</v>
      </c>
      <c r="B143">
        <f>IFERROR([1]!s_stm07_is($A143,"W70156729",TEXT($B$1,"yyyy/mm/dd"),1),"")</f>
        <v>106856298720.47</v>
      </c>
      <c r="C143">
        <f>IFERROR([1]!s_stm07_is($A143,"W75682424",TEXT($B$1,"yyyy/mm/dd"),1),"")</f>
        <v>100143028471.42999</v>
      </c>
      <c r="D143">
        <f>IFERROR([1]!s_stm07_is($A143,"W76031679",TEXT($B$1,"yyyy/mm/dd"),1),"")</f>
        <v>1287958392.02</v>
      </c>
      <c r="E143">
        <f>IFERROR([1]!s_stm07_is($A143,"W70752487",TEXT($B$1,"yyyy/mm/dd"),1),"")</f>
        <v>3762292288.6700001</v>
      </c>
      <c r="F143">
        <f>IFERROR([1]!s_stm07_is_103($A143,TEXT($B$1,"yyyy/mm/dd"),1),"")</f>
        <v>191347185.05000001</v>
      </c>
      <c r="G143">
        <f>IFERROR([1]!s_stm07_is_104($A143,TEXT($B$1,"yyyy/mm/dd"),1),"")</f>
        <v>2051072120.51</v>
      </c>
      <c r="H143">
        <f>IFERROR([1]!s_stm07_is_105($A143,TEXT($B$1,"yyyy/mm/dd"),1),"")</f>
        <v>121628586.15000001</v>
      </c>
      <c r="I143">
        <f>IFERROR([1]!s_stm07_is($A143,"W72946623",TEXT($B$1,"yyyy/mm/dd"),1),"")</f>
        <v>-1155728780.1600001</v>
      </c>
      <c r="J143">
        <f>IFERROR([1]!s_stm07_is($A143,"W30028333",TEXT($B$1,"yyyy/mm/dd"),1),"")</f>
        <v>-1784352202.1800001</v>
      </c>
      <c r="K143">
        <f>IFERROR([1]!s_stm07_cs($A143,"W77130581",TEXT($B$1,"yyyy/mm/dd"),1),"")</f>
        <v>9377940842.2199993</v>
      </c>
      <c r="L143">
        <f>IFERROR([1]!s_stm07_cs($A143,"W77745895",TEXT($B$1,"yyyy/mm/dd"),1),"")</f>
        <v>2131718034.4300001</v>
      </c>
      <c r="M143">
        <f>IFERROR([1]!S_FA_EPS_basic2($A143,$B$1,"Cur=CNY"),"")</f>
        <v>-0.41</v>
      </c>
      <c r="N143">
        <f>IFERROR([1]!s_fa_arturndays($A143,TEXT($B$1,"yyyy/mm/dd")),"")</f>
        <v>3.3993000000000002</v>
      </c>
      <c r="O143" t="str">
        <f>IFERROR([1]!fa_apturndays($A143,TEXT($B$1,"yyyy/mm/dd")),"")</f>
        <v>Fetch...</v>
      </c>
      <c r="P143">
        <f>IFERROR([1]!s_fa_invturndays($A143,TEXT($B$1,"yyyy/mm/dd")),"")</f>
        <v>37.431399999999996</v>
      </c>
    </row>
    <row r="144" spans="1:16">
      <c r="A144" t="s">
        <v>157</v>
      </c>
      <c r="B144">
        <f>IFERROR([1]!s_stm07_is($A144,"W70156729",TEXT($B$1,"yyyy/mm/dd"),1),"")</f>
        <v>179542025925.73001</v>
      </c>
      <c r="C144">
        <f>IFERROR([1]!s_stm07_is($A144,"W75682424",TEXT($B$1,"yyyy/mm/dd"),1),"")</f>
        <v>173862703025.23999</v>
      </c>
      <c r="D144">
        <f>IFERROR([1]!s_stm07_is($A144,"W76031679",TEXT($B$1,"yyyy/mm/dd"),1),"")</f>
        <v>338235101.44999999</v>
      </c>
      <c r="E144">
        <f>IFERROR([1]!s_stm07_is($A144,"W70752487",TEXT($B$1,"yyyy/mm/dd"),1),"")</f>
        <v>1528661722.52</v>
      </c>
      <c r="F144">
        <f>IFERROR([1]!s_stm07_is_103($A144,TEXT($B$1,"yyyy/mm/dd"),1),"")</f>
        <v>459920194.49000001</v>
      </c>
      <c r="G144">
        <f>IFERROR([1]!s_stm07_is_104($A144,TEXT($B$1,"yyyy/mm/dd"),1),"")</f>
        <v>650615553.70000005</v>
      </c>
      <c r="H144">
        <f>IFERROR([1]!s_stm07_is_105($A144,TEXT($B$1,"yyyy/mm/dd"),1),"")</f>
        <v>57669700.899999999</v>
      </c>
      <c r="I144">
        <f>IFERROR([1]!s_stm07_is($A144,"W72946623",TEXT($B$1,"yyyy/mm/dd"),1),"")</f>
        <v>2180122403.9699998</v>
      </c>
      <c r="J144">
        <f>IFERROR([1]!s_stm07_is($A144,"W30028333",TEXT($B$1,"yyyy/mm/dd"),1),"")</f>
        <v>1301457814.51</v>
      </c>
      <c r="K144">
        <f>IFERROR([1]!s_stm07_cs($A144,"W77130581",TEXT($B$1,"yyyy/mm/dd"),1),"")</f>
        <v>-3766163441.8099999</v>
      </c>
      <c r="L144">
        <f>IFERROR([1]!s_stm07_cs($A144,"W77745895",TEXT($B$1,"yyyy/mm/dd"),1),"")</f>
        <v>2029288900.4200001</v>
      </c>
      <c r="M144">
        <f>IFERROR([1]!S_FA_EPS_basic2($A144,$B$1,"Cur=CNY"),"")</f>
        <v>0.57589999999999997</v>
      </c>
      <c r="N144">
        <f>IFERROR([1]!s_fa_arturndays($A144,TEXT($B$1,"yyyy/mm/dd")),"")</f>
        <v>0.41449999999999998</v>
      </c>
      <c r="O144" t="str">
        <f>IFERROR([1]!fa_apturndays($A144,TEXT($B$1,"yyyy/mm/dd")),"")</f>
        <v>Fetch...</v>
      </c>
      <c r="P144">
        <f>IFERROR([1]!s_fa_invturndays($A144,TEXT($B$1,"yyyy/mm/dd")),"")</f>
        <v>38.740900000000003</v>
      </c>
    </row>
    <row r="145" spans="1:16">
      <c r="A145" t="s">
        <v>158</v>
      </c>
      <c r="B145">
        <f>IFERROR([1]!s_stm07_is($A145,"W70156729",TEXT($B$1,"yyyy/mm/dd"),1),"")</f>
        <v>6118217290.21</v>
      </c>
      <c r="C145">
        <f>IFERROR([1]!s_stm07_is($A145,"W75682424",TEXT($B$1,"yyyy/mm/dd"),1),"")</f>
        <v>5497822631.8199997</v>
      </c>
      <c r="D145">
        <f>IFERROR([1]!s_stm07_is($A145,"W76031679",TEXT($B$1,"yyyy/mm/dd"),1),"")</f>
        <v>87262155.480000004</v>
      </c>
      <c r="E145">
        <f>IFERROR([1]!s_stm07_is($A145,"W70752487",TEXT($B$1,"yyyy/mm/dd"),1),"")</f>
        <v>126927352.33</v>
      </c>
      <c r="F145">
        <f>IFERROR([1]!s_stm07_is_103($A145,TEXT($B$1,"yyyy/mm/dd"),1),"")</f>
        <v>257007683.19</v>
      </c>
      <c r="G145">
        <f>IFERROR([1]!s_stm07_is_104($A145,TEXT($B$1,"yyyy/mm/dd"),1),"")</f>
        <v>5055696.97</v>
      </c>
      <c r="H145">
        <f>IFERROR([1]!s_stm07_is_105($A145,TEXT($B$1,"yyyy/mm/dd"),1),"")</f>
        <v>29771939.550000001</v>
      </c>
      <c r="I145">
        <f>IFERROR([1]!s_stm07_is($A145,"W72946623",TEXT($B$1,"yyyy/mm/dd"),1),"")</f>
        <v>246378037.80000001</v>
      </c>
      <c r="J145">
        <f>IFERROR([1]!s_stm07_is($A145,"W30028333",TEXT($B$1,"yyyy/mm/dd"),1),"")</f>
        <v>240050540.37</v>
      </c>
      <c r="K145">
        <f>IFERROR([1]!s_stm07_cs($A145,"W77130581",TEXT($B$1,"yyyy/mm/dd"),1),"")</f>
        <v>709320927.36000001</v>
      </c>
      <c r="L145">
        <f>IFERROR([1]!s_stm07_cs($A145,"W77745895",TEXT($B$1,"yyyy/mm/dd"),1),"")</f>
        <v>16593367.01</v>
      </c>
      <c r="M145">
        <f>IFERROR([1]!S_FA_EPS_basic2($A145,$B$1,"Cur=CNY"),"")</f>
        <v>0.52</v>
      </c>
      <c r="N145">
        <f>IFERROR([1]!s_fa_arturndays($A145,TEXT($B$1,"yyyy/mm/dd")),"")</f>
        <v>26.347799999999999</v>
      </c>
      <c r="O145" t="str">
        <f>IFERROR([1]!fa_apturndays($A145,TEXT($B$1,"yyyy/mm/dd")),"")</f>
        <v>Fetch...</v>
      </c>
      <c r="P145">
        <f>IFERROR([1]!s_fa_invturndays($A145,TEXT($B$1,"yyyy/mm/dd")),"")</f>
        <v>90.241399999999999</v>
      </c>
    </row>
    <row r="146" spans="1:16">
      <c r="A146" t="s">
        <v>159</v>
      </c>
      <c r="B146">
        <f>IFERROR([1]!s_stm07_is($A146,"W70156729",TEXT($B$1,"yyyy/mm/dd"),1),"")</f>
        <v>17466946716.57</v>
      </c>
      <c r="C146">
        <f>IFERROR([1]!s_stm07_is($A146,"W75682424",TEXT($B$1,"yyyy/mm/dd"),1),"")</f>
        <v>13630598226.98</v>
      </c>
      <c r="D146">
        <f>IFERROR([1]!s_stm07_is($A146,"W76031679",TEXT($B$1,"yyyy/mm/dd"),1),"")</f>
        <v>20892741.539999999</v>
      </c>
      <c r="E146">
        <f>IFERROR([1]!s_stm07_is($A146,"W70752487",TEXT($B$1,"yyyy/mm/dd"),1),"")</f>
        <v>744885512.52999997</v>
      </c>
      <c r="F146">
        <f>IFERROR([1]!s_stm07_is_103($A146,TEXT($B$1,"yyyy/mm/dd"),1),"")</f>
        <v>22841097.719999999</v>
      </c>
      <c r="G146">
        <f>IFERROR([1]!s_stm07_is_104($A146,TEXT($B$1,"yyyy/mm/dd"),1),"")</f>
        <v>1074216108.4100001</v>
      </c>
      <c r="H146">
        <f>IFERROR([1]!s_stm07_is_105($A146,TEXT($B$1,"yyyy/mm/dd"),1),"")</f>
        <v>19713166.420000002</v>
      </c>
      <c r="I146">
        <f>IFERROR([1]!s_stm07_is($A146,"W72946623",TEXT($B$1,"yyyy/mm/dd"),1),"")</f>
        <v>3528675488.3800001</v>
      </c>
      <c r="J146">
        <f>IFERROR([1]!s_stm07_is($A146,"W30028333",TEXT($B$1,"yyyy/mm/dd"),1),"")</f>
        <v>1909481299.6600001</v>
      </c>
      <c r="K146">
        <f>IFERROR([1]!s_stm07_cs($A146,"W77130581",TEXT($B$1,"yyyy/mm/dd"),1),"")</f>
        <v>6313385868.5299997</v>
      </c>
      <c r="L146">
        <f>IFERROR([1]!s_stm07_cs($A146,"W77745895",TEXT($B$1,"yyyy/mm/dd"),1),"")</f>
        <v>7428301498.5799999</v>
      </c>
      <c r="M146">
        <f>IFERROR([1]!S_FA_EPS_basic2($A146,$B$1,"Cur=CNY"),"")</f>
        <v>0.28799999999999998</v>
      </c>
      <c r="N146">
        <f>IFERROR([1]!s_fa_arturndays($A146,TEXT($B$1,"yyyy/mm/dd")),"")</f>
        <v>95.556600000000003</v>
      </c>
      <c r="O146" t="str">
        <f>IFERROR([1]!fa_apturndays($A146,TEXT($B$1,"yyyy/mm/dd")),"")</f>
        <v>Fetch...</v>
      </c>
      <c r="P146">
        <f>IFERROR([1]!s_fa_invturndays($A146,TEXT($B$1,"yyyy/mm/dd")),"")</f>
        <v>23.9802</v>
      </c>
    </row>
    <row r="147" spans="1:16">
      <c r="A147" t="s">
        <v>160</v>
      </c>
      <c r="B147">
        <f>IFERROR([1]!s_stm07_is($A147,"W70156729",TEXT($B$1,"yyyy/mm/dd"),1),"")</f>
        <v>6563347987.5600004</v>
      </c>
      <c r="C147">
        <f>IFERROR([1]!s_stm07_is($A147,"W75682424",TEXT($B$1,"yyyy/mm/dd"),1),"")</f>
        <v>3969481216.4299998</v>
      </c>
      <c r="D147">
        <f>IFERROR([1]!s_stm07_is($A147,"W76031679",TEXT($B$1,"yyyy/mm/dd"),1),"")</f>
        <v>43683920.890000001</v>
      </c>
      <c r="E147">
        <f>IFERROR([1]!s_stm07_is($A147,"W70752487",TEXT($B$1,"yyyy/mm/dd"),1),"")</f>
        <v>464771144.22000003</v>
      </c>
      <c r="F147">
        <f>IFERROR([1]!s_stm07_is_103($A147,TEXT($B$1,"yyyy/mm/dd"),1),"")</f>
        <v>22280232.420000002</v>
      </c>
      <c r="G147">
        <f>IFERROR([1]!s_stm07_is_104($A147,TEXT($B$1,"yyyy/mm/dd"),1),"")</f>
        <v>517348151.16000003</v>
      </c>
      <c r="H147">
        <f>IFERROR([1]!s_stm07_is_105($A147,TEXT($B$1,"yyyy/mm/dd"),1),"")</f>
        <v>8671649</v>
      </c>
      <c r="I147">
        <f>IFERROR([1]!s_stm07_is($A147,"W72946623",TEXT($B$1,"yyyy/mm/dd"),1),"")</f>
        <v>1721555333.21</v>
      </c>
      <c r="J147">
        <f>IFERROR([1]!s_stm07_is($A147,"W30028333",TEXT($B$1,"yyyy/mm/dd"),1),"")</f>
        <v>1236126318.73</v>
      </c>
      <c r="K147">
        <f>IFERROR([1]!s_stm07_cs($A147,"W77130581",TEXT($B$1,"yyyy/mm/dd"),1),"")</f>
        <v>2081555217.79</v>
      </c>
      <c r="L147">
        <f>IFERROR([1]!s_stm07_cs($A147,"W77745895",TEXT($B$1,"yyyy/mm/dd"),1),"")</f>
        <v>1142546643.8499999</v>
      </c>
      <c r="M147">
        <f>IFERROR([1]!S_FA_EPS_basic2($A147,$B$1,"Cur=CNY"),"")</f>
        <v>1.9252</v>
      </c>
      <c r="N147">
        <f>IFERROR([1]!s_fa_arturndays($A147,TEXT($B$1,"yyyy/mm/dd")),"")</f>
        <v>246.44030000000001</v>
      </c>
      <c r="O147" t="str">
        <f>IFERROR([1]!fa_apturndays($A147,TEXT($B$1,"yyyy/mm/dd")),"")</f>
        <v>Fetch...</v>
      </c>
      <c r="P147">
        <f>IFERROR([1]!s_fa_invturndays($A147,TEXT($B$1,"yyyy/mm/dd")),"")</f>
        <v>58.3431</v>
      </c>
    </row>
    <row r="148" spans="1:16">
      <c r="A148" t="s">
        <v>161</v>
      </c>
      <c r="B148">
        <f>IFERROR([1]!s_stm07_is($A148,"W70156729",TEXT($B$1,"yyyy/mm/dd"),1),"")</f>
        <v>19799830128.490002</v>
      </c>
      <c r="C148">
        <f>IFERROR([1]!s_stm07_is($A148,"W75682424",TEXT($B$1,"yyyy/mm/dd"),1),"")</f>
        <v>15197805567.719999</v>
      </c>
      <c r="D148">
        <f>IFERROR([1]!s_stm07_is($A148,"W76031679",TEXT($B$1,"yyyy/mm/dd"),1),"")</f>
        <v>455749558.06</v>
      </c>
      <c r="E148">
        <f>IFERROR([1]!s_stm07_is($A148,"W70752487",TEXT($B$1,"yyyy/mm/dd"),1),"")</f>
        <v>1113388751.49</v>
      </c>
      <c r="F148">
        <f>IFERROR([1]!s_stm07_is_103($A148,TEXT($B$1,"yyyy/mm/dd"),1),"")</f>
        <v>934636580.71000004</v>
      </c>
      <c r="G148">
        <f>IFERROR([1]!s_stm07_is_104($A148,TEXT($B$1,"yyyy/mm/dd"),1),"")</f>
        <v>214593903.31</v>
      </c>
      <c r="H148">
        <f>IFERROR([1]!s_stm07_is_105($A148,TEXT($B$1,"yyyy/mm/dd"),1),"")</f>
        <v>44726303.549999997</v>
      </c>
      <c r="I148">
        <f>IFERROR([1]!s_stm07_is($A148,"W72946623",TEXT($B$1,"yyyy/mm/dd"),1),"")</f>
        <v>2030885352.4100001</v>
      </c>
      <c r="J148">
        <f>IFERROR([1]!s_stm07_is($A148,"W30028333",TEXT($B$1,"yyyy/mm/dd"),1),"")</f>
        <v>1589396047.1199999</v>
      </c>
      <c r="K148">
        <f>IFERROR([1]!s_stm07_cs($A148,"W77130581",TEXT($B$1,"yyyy/mm/dd"),1),"")</f>
        <v>2161916202.0799999</v>
      </c>
      <c r="L148">
        <f>IFERROR([1]!s_stm07_cs($A148,"W77745895",TEXT($B$1,"yyyy/mm/dd"),1),"")</f>
        <v>981253889.74000001</v>
      </c>
      <c r="M148">
        <f>IFERROR([1]!S_FA_EPS_basic2($A148,$B$1,"Cur=CNY"),"")</f>
        <v>1.21</v>
      </c>
      <c r="N148">
        <f>IFERROR([1]!s_fa_arturndays($A148,TEXT($B$1,"yyyy/mm/dd")),"")</f>
        <v>78.2303</v>
      </c>
      <c r="O148" t="str">
        <f>IFERROR([1]!fa_apturndays($A148,TEXT($B$1,"yyyy/mm/dd")),"")</f>
        <v>Fetch...</v>
      </c>
      <c r="P148">
        <f>IFERROR([1]!s_fa_invturndays($A148,TEXT($B$1,"yyyy/mm/dd")),"")</f>
        <v>100.5615</v>
      </c>
    </row>
    <row r="149" spans="1:16">
      <c r="A149" t="s">
        <v>162</v>
      </c>
      <c r="B149">
        <f>IFERROR([1]!s_stm07_is($A149,"W70156729",TEXT($B$1,"yyyy/mm/dd"),1),"")</f>
        <v>5325028086.2700005</v>
      </c>
      <c r="C149">
        <f>IFERROR([1]!s_stm07_is($A149,"W75682424",TEXT($B$1,"yyyy/mm/dd"),1),"")</f>
        <v>2206235114.3499999</v>
      </c>
      <c r="D149">
        <f>IFERROR([1]!s_stm07_is($A149,"W76031679",TEXT($B$1,"yyyy/mm/dd"),1),"")</f>
        <v>33539375.780000001</v>
      </c>
      <c r="E149">
        <f>IFERROR([1]!s_stm07_is($A149,"W70752487",TEXT($B$1,"yyyy/mm/dd"),1),"")</f>
        <v>550706371.33000004</v>
      </c>
      <c r="F149">
        <f>IFERROR([1]!s_stm07_is_103($A149,TEXT($B$1,"yyyy/mm/dd"),1),"")</f>
        <v>20346241.600000001</v>
      </c>
      <c r="G149">
        <f>IFERROR([1]!s_stm07_is_104($A149,TEXT($B$1,"yyyy/mm/dd"),1),"")</f>
        <v>80268613.549999997</v>
      </c>
      <c r="H149">
        <f>IFERROR([1]!s_stm07_is_105($A149,TEXT($B$1,"yyyy/mm/dd"),1),"")</f>
        <v>992917.11</v>
      </c>
      <c r="I149">
        <f>IFERROR([1]!s_stm07_is($A149,"W72946623",TEXT($B$1,"yyyy/mm/dd"),1),"")</f>
        <v>1950864723.8199999</v>
      </c>
      <c r="J149">
        <f>IFERROR([1]!s_stm07_is($A149,"W30028333",TEXT($B$1,"yyyy/mm/dd"),1),"")</f>
        <v>1672578453.76</v>
      </c>
      <c r="K149">
        <f>IFERROR([1]!s_stm07_cs($A149,"W77130581",TEXT($B$1,"yyyy/mm/dd"),1),"")</f>
        <v>2282120279.75</v>
      </c>
      <c r="L149">
        <f>IFERROR([1]!s_stm07_cs($A149,"W77745895",TEXT($B$1,"yyyy/mm/dd"),1),"")</f>
        <v>1885373745.4000001</v>
      </c>
      <c r="M149">
        <f>IFERROR([1]!S_FA_EPS_basic2($A149,$B$1,"Cur=CNY"),"")</f>
        <v>1.8309</v>
      </c>
      <c r="N149">
        <f>IFERROR([1]!s_fa_arturndays($A149,TEXT($B$1,"yyyy/mm/dd")),"")</f>
        <v>4.6757999999999997</v>
      </c>
      <c r="O149" t="str">
        <f>IFERROR([1]!fa_apturndays($A149,TEXT($B$1,"yyyy/mm/dd")),"")</f>
        <v>Fetch...</v>
      </c>
      <c r="P149">
        <f>IFERROR([1]!s_fa_invturndays($A149,TEXT($B$1,"yyyy/mm/dd")),"")</f>
        <v>74.940700000000007</v>
      </c>
    </row>
    <row r="150" spans="1:16">
      <c r="A150" t="s">
        <v>163</v>
      </c>
      <c r="B150">
        <f>IFERROR([1]!s_stm07_is($A150,"W70156729",TEXT($B$1,"yyyy/mm/dd"),1),"")</f>
        <v>59459718486.959999</v>
      </c>
      <c r="C150">
        <f>IFERROR([1]!s_stm07_is($A150,"W75682424",TEXT($B$1,"yyyy/mm/dd"),1),"")</f>
        <v>48574081515.830002</v>
      </c>
      <c r="D150">
        <f>IFERROR([1]!s_stm07_is($A150,"W76031679",TEXT($B$1,"yyyy/mm/dd"),1),"")</f>
        <v>2138836903.3900001</v>
      </c>
      <c r="E150">
        <f>IFERROR([1]!s_stm07_is($A150,"W70752487",TEXT($B$1,"yyyy/mm/dd"),1),"")</f>
        <v>1272715398.1900001</v>
      </c>
      <c r="F150">
        <f>IFERROR([1]!s_stm07_is_103($A150,TEXT($B$1,"yyyy/mm/dd"),1),"")</f>
        <v>169019945.27000001</v>
      </c>
      <c r="G150">
        <f>IFERROR([1]!s_stm07_is_104($A150,TEXT($B$1,"yyyy/mm/dd"),1),"")</f>
        <v>149496882.25999999</v>
      </c>
      <c r="H150">
        <f>IFERROR([1]!s_stm07_is_105($A150,TEXT($B$1,"yyyy/mm/dd"),1),"")</f>
        <v>72004600.129999995</v>
      </c>
      <c r="I150">
        <f>IFERROR([1]!s_stm07_is($A150,"W72946623",TEXT($B$1,"yyyy/mm/dd"),1),"")</f>
        <v>6672606513.9799995</v>
      </c>
      <c r="J150">
        <f>IFERROR([1]!s_stm07_is($A150,"W30028333",TEXT($B$1,"yyyy/mm/dd"),1),"")</f>
        <v>5104609986.0200005</v>
      </c>
      <c r="K150">
        <f>IFERROR([1]!s_stm07_cs($A150,"W77130581",TEXT($B$1,"yyyy/mm/dd"),1),"")</f>
        <v>7352441262.3800001</v>
      </c>
      <c r="L150">
        <f>IFERROR([1]!s_stm07_cs($A150,"W77745895",TEXT($B$1,"yyyy/mm/dd"),1),"")</f>
        <v>900176633.65999997</v>
      </c>
      <c r="M150">
        <f>IFERROR([1]!S_FA_EPS_basic2($A150,$B$1,"Cur=CNY"),"")</f>
        <v>1.4733000000000001</v>
      </c>
      <c r="N150">
        <f>IFERROR([1]!s_fa_arturndays($A150,TEXT($B$1,"yyyy/mm/dd")),"")</f>
        <v>2.2084999999999999</v>
      </c>
      <c r="O150" t="str">
        <f>IFERROR([1]!fa_apturndays($A150,TEXT($B$1,"yyyy/mm/dd")),"")</f>
        <v>Fetch...</v>
      </c>
      <c r="P150">
        <f>IFERROR([1]!s_fa_invturndays($A150,TEXT($B$1,"yyyy/mm/dd")),"")</f>
        <v>46.746000000000002</v>
      </c>
    </row>
    <row r="151" spans="1:16">
      <c r="A151" t="s">
        <v>164</v>
      </c>
      <c r="B151">
        <f>IFERROR([1]!s_stm07_is($A151,"W70156729",TEXT($B$1,"yyyy/mm/dd"),1),"")</f>
        <v>96052000000</v>
      </c>
      <c r="C151">
        <f>IFERROR([1]!s_stm07_is($A151,"W75682424",TEXT($B$1,"yyyy/mm/dd"),1),"")</f>
        <v>97255000000</v>
      </c>
      <c r="D151">
        <f>IFERROR([1]!s_stm07_is($A151,"W76031679",TEXT($B$1,"yyyy/mm/dd"),1),"")</f>
        <v>534000000</v>
      </c>
      <c r="E151">
        <f>IFERROR([1]!s_stm07_is($A151,"W70752487",TEXT($B$1,"yyyy/mm/dd"),1),"")</f>
        <v>1096000000</v>
      </c>
      <c r="F151">
        <f>IFERROR([1]!s_stm07_is_103($A151,TEXT($B$1,"yyyy/mm/dd"),1),"")</f>
        <v>478000000</v>
      </c>
      <c r="G151">
        <f>IFERROR([1]!s_stm07_is_104($A151,TEXT($B$1,"yyyy/mm/dd"),1),"")</f>
        <v>332000000</v>
      </c>
      <c r="H151">
        <f>IFERROR([1]!s_stm07_is_105($A151,TEXT($B$1,"yyyy/mm/dd"),1),"")</f>
        <v>46000000</v>
      </c>
      <c r="I151">
        <f>IFERROR([1]!s_stm07_is($A151,"W72946623",TEXT($B$1,"yyyy/mm/dd"),1),"")</f>
        <v>-3894000000</v>
      </c>
      <c r="J151">
        <f>IFERROR([1]!s_stm07_is($A151,"W30028333",TEXT($B$1,"yyyy/mm/dd"),1),"")</f>
        <v>-4068000000</v>
      </c>
      <c r="K151">
        <f>IFERROR([1]!s_stm07_cs($A151,"W77130581",TEXT($B$1,"yyyy/mm/dd"),1),"")</f>
        <v>1788000000</v>
      </c>
      <c r="L151">
        <f>IFERROR([1]!s_stm07_cs($A151,"W77745895",TEXT($B$1,"yyyy/mm/dd"),1),"")</f>
        <v>4634000000</v>
      </c>
      <c r="M151">
        <f>IFERROR([1]!S_FA_EPS_basic2($A151,$B$1,"Cur=CNY"),"")</f>
        <v>-0.434</v>
      </c>
      <c r="N151">
        <f>IFERROR([1]!s_fa_arturndays($A151,TEXT($B$1,"yyyy/mm/dd")),"")</f>
        <v>11.3095</v>
      </c>
      <c r="O151" t="str">
        <f>IFERROR([1]!fa_apturndays($A151,TEXT($B$1,"yyyy/mm/dd")),"")</f>
        <v>Fetch...</v>
      </c>
      <c r="P151">
        <f>IFERROR([1]!s_fa_invturndays($A151,TEXT($B$1,"yyyy/mm/dd")),"")</f>
        <v>49.531500000000001</v>
      </c>
    </row>
    <row r="152" spans="1:16">
      <c r="A152" t="s">
        <v>165</v>
      </c>
      <c r="B152">
        <f>IFERROR([1]!s_stm07_is($A152,"W70156729",TEXT($B$1,"yyyy/mm/dd"),1),"")</f>
        <v>7398196551.9499998</v>
      </c>
      <c r="C152">
        <f>IFERROR([1]!s_stm07_is($A152,"W75682424",TEXT($B$1,"yyyy/mm/dd"),1),"")</f>
        <v>5801911730.1300001</v>
      </c>
      <c r="D152">
        <f>IFERROR([1]!s_stm07_is($A152,"W76031679",TEXT($B$1,"yyyy/mm/dd"),1),"")</f>
        <v>286432.33</v>
      </c>
      <c r="E152">
        <f>IFERROR([1]!s_stm07_is($A152,"W70752487",TEXT($B$1,"yyyy/mm/dd"),1),"")</f>
        <v>126717899.69</v>
      </c>
      <c r="F152">
        <f>IFERROR([1]!s_stm07_is_103($A152,TEXT($B$1,"yyyy/mm/dd"),1),"")</f>
        <v>121053653.05</v>
      </c>
      <c r="G152">
        <f>IFERROR([1]!s_stm07_is_104($A152,TEXT($B$1,"yyyy/mm/dd"),1),"")</f>
        <v>200697206.81</v>
      </c>
      <c r="H152">
        <f>IFERROR([1]!s_stm07_is_105($A152,TEXT($B$1,"yyyy/mm/dd"),1),"")</f>
        <v>3518352.82</v>
      </c>
      <c r="I152">
        <f>IFERROR([1]!s_stm07_is($A152,"W72946623",TEXT($B$1,"yyyy/mm/dd"),1),"")</f>
        <v>1143838399.74</v>
      </c>
      <c r="J152">
        <f>IFERROR([1]!s_stm07_is($A152,"W30028333",TEXT($B$1,"yyyy/mm/dd"),1),"")</f>
        <v>1006611278.98</v>
      </c>
      <c r="K152">
        <f>IFERROR([1]!s_stm07_cs($A152,"W77130581",TEXT($B$1,"yyyy/mm/dd"),1),"")</f>
        <v>2181535233.6100001</v>
      </c>
      <c r="L152">
        <f>IFERROR([1]!s_stm07_cs($A152,"W77745895",TEXT($B$1,"yyyy/mm/dd"),1),"")</f>
        <v>3966262115.3000002</v>
      </c>
      <c r="M152">
        <f>IFERROR([1]!S_FA_EPS_basic2($A152,$B$1,"Cur=CNY"),"")</f>
        <v>1.03</v>
      </c>
      <c r="N152">
        <f>IFERROR([1]!s_fa_arturndays($A152,TEXT($B$1,"yyyy/mm/dd")),"")</f>
        <v>42.700600000000001</v>
      </c>
      <c r="O152" t="str">
        <f>IFERROR([1]!fa_apturndays($A152,TEXT($B$1,"yyyy/mm/dd")),"")</f>
        <v>Fetch...</v>
      </c>
      <c r="P152">
        <f>IFERROR([1]!s_fa_invturndays($A152,TEXT($B$1,"yyyy/mm/dd")),"")</f>
        <v>28.1708</v>
      </c>
    </row>
    <row r="153" spans="1:16">
      <c r="A153" t="s">
        <v>166</v>
      </c>
      <c r="B153">
        <f>IFERROR([1]!s_stm07_is($A153,"W70156729",TEXT($B$1,"yyyy/mm/dd"),1),"")</f>
        <v>5493995917.96</v>
      </c>
      <c r="C153">
        <f>IFERROR([1]!s_stm07_is($A153,"W75682424",TEXT($B$1,"yyyy/mm/dd"),1),"")</f>
        <v>4375728657.2399998</v>
      </c>
      <c r="D153">
        <f>IFERROR([1]!s_stm07_is($A153,"W76031679",TEXT($B$1,"yyyy/mm/dd"),1),"")</f>
        <v>157888407.83000001</v>
      </c>
      <c r="E153">
        <f>IFERROR([1]!s_stm07_is($A153,"W70752487",TEXT($B$1,"yyyy/mm/dd"),1),"")</f>
        <v>536847272.44</v>
      </c>
      <c r="F153">
        <f>IFERROR([1]!s_stm07_is_103($A153,TEXT($B$1,"yyyy/mm/dd"),1),"")</f>
        <v>334998976.80000001</v>
      </c>
      <c r="G153">
        <f>IFERROR([1]!s_stm07_is_104($A153,TEXT($B$1,"yyyy/mm/dd"),1),"")</f>
        <v>40456304.890000001</v>
      </c>
      <c r="H153">
        <f>IFERROR([1]!s_stm07_is_105($A153,TEXT($B$1,"yyyy/mm/dd"),1),"")</f>
        <v>20465582.989999998</v>
      </c>
      <c r="I153">
        <f>IFERROR([1]!s_stm07_is($A153,"W72946623",TEXT($B$1,"yyyy/mm/dd"),1),"")</f>
        <v>104160901.37</v>
      </c>
      <c r="J153">
        <f>IFERROR([1]!s_stm07_is($A153,"W30028333",TEXT($B$1,"yyyy/mm/dd"),1),"")</f>
        <v>70248477.829999998</v>
      </c>
      <c r="K153">
        <f>IFERROR([1]!s_stm07_cs($A153,"W77130581",TEXT($B$1,"yyyy/mm/dd"),1),"")</f>
        <v>228749628.25</v>
      </c>
      <c r="L153">
        <f>IFERROR([1]!s_stm07_cs($A153,"W77745895",TEXT($B$1,"yyyy/mm/dd"),1),"")</f>
        <v>83288294.989999995</v>
      </c>
      <c r="M153">
        <f>IFERROR([1]!S_FA_EPS_basic2($A153,$B$1,"Cur=CNY"),"")</f>
        <v>8.7999999999999995E-2</v>
      </c>
      <c r="N153">
        <f>IFERROR([1]!s_fa_arturndays($A153,TEXT($B$1,"yyyy/mm/dd")),"")</f>
        <v>91.626400000000004</v>
      </c>
      <c r="O153" t="str">
        <f>IFERROR([1]!fa_apturndays($A153,TEXT($B$1,"yyyy/mm/dd")),"")</f>
        <v>Fetch...</v>
      </c>
      <c r="P153">
        <f>IFERROR([1]!s_fa_invturndays($A153,TEXT($B$1,"yyyy/mm/dd")),"")</f>
        <v>145.7313</v>
      </c>
    </row>
    <row r="154" spans="1:16">
      <c r="A154" t="s">
        <v>167</v>
      </c>
      <c r="B154">
        <f>IFERROR([1]!s_stm07_is($A154,"W70156729",TEXT($B$1,"yyyy/mm/dd"),1),"")</f>
        <v>18048342324.919998</v>
      </c>
      <c r="C154">
        <f>IFERROR([1]!s_stm07_is($A154,"W75682424",TEXT($B$1,"yyyy/mm/dd"),1),"")</f>
        <v>14905350076.700001</v>
      </c>
      <c r="D154">
        <f>IFERROR([1]!s_stm07_is($A154,"W76031679",TEXT($B$1,"yyyy/mm/dd"),1),"")</f>
        <v>388507132.23000002</v>
      </c>
      <c r="E154">
        <f>IFERROR([1]!s_stm07_is($A154,"W70752487",TEXT($B$1,"yyyy/mm/dd"),1),"")</f>
        <v>278866234.33999997</v>
      </c>
      <c r="F154">
        <f>IFERROR([1]!s_stm07_is_103($A154,TEXT($B$1,"yyyy/mm/dd"),1),"")</f>
        <v>371620034.79000002</v>
      </c>
      <c r="G154">
        <f>IFERROR([1]!s_stm07_is_104($A154,TEXT($B$1,"yyyy/mm/dd"),1),"")</f>
        <v>61128783.450000003</v>
      </c>
      <c r="H154">
        <f>IFERROR([1]!s_stm07_is_105($A154,TEXT($B$1,"yyyy/mm/dd"),1),"")</f>
        <v>10504337.48</v>
      </c>
      <c r="I154">
        <f>IFERROR([1]!s_stm07_is($A154,"W72946623",TEXT($B$1,"yyyy/mm/dd"),1),"")</f>
        <v>2017709399.71</v>
      </c>
      <c r="J154">
        <f>IFERROR([1]!s_stm07_is($A154,"W30028333",TEXT($B$1,"yyyy/mm/dd"),1),"")</f>
        <v>1612303568.99</v>
      </c>
      <c r="K154">
        <f>IFERROR([1]!s_stm07_cs($A154,"W77130581",TEXT($B$1,"yyyy/mm/dd"),1),"")</f>
        <v>2116699556.05</v>
      </c>
      <c r="L154">
        <f>IFERROR([1]!s_stm07_cs($A154,"W77745895",TEXT($B$1,"yyyy/mm/dd"),1),"")</f>
        <v>1358289547.6199999</v>
      </c>
      <c r="M154">
        <f>IFERROR([1]!S_FA_EPS_basic2($A154,$B$1,"Cur=CNY"),"")</f>
        <v>1.28</v>
      </c>
      <c r="N154">
        <f>IFERROR([1]!s_fa_arturndays($A154,TEXT($B$1,"yyyy/mm/dd")),"")</f>
        <v>6.8518999999999997</v>
      </c>
      <c r="O154" t="str">
        <f>IFERROR([1]!fa_apturndays($A154,TEXT($B$1,"yyyy/mm/dd")),"")</f>
        <v>Fetch...</v>
      </c>
      <c r="P154">
        <f>IFERROR([1]!s_fa_invturndays($A154,TEXT($B$1,"yyyy/mm/dd")),"")</f>
        <v>98.328400000000002</v>
      </c>
    </row>
    <row r="155" spans="1:16">
      <c r="A155" t="s">
        <v>168</v>
      </c>
      <c r="B155">
        <f>IFERROR([1]!s_stm07_is($A155,"W70156729",TEXT($B$1,"yyyy/mm/dd"),1),"")</f>
        <v>5414360993.1400003</v>
      </c>
      <c r="C155">
        <f>IFERROR([1]!s_stm07_is($A155,"W75682424",TEXT($B$1,"yyyy/mm/dd"),1),"")</f>
        <v>4052283593.6300001</v>
      </c>
      <c r="D155">
        <f>IFERROR([1]!s_stm07_is($A155,"W76031679",TEXT($B$1,"yyyy/mm/dd"),1),"")</f>
        <v>223393126.36000001</v>
      </c>
      <c r="E155">
        <f>IFERROR([1]!s_stm07_is($A155,"W70752487",TEXT($B$1,"yyyy/mm/dd"),1),"")</f>
        <v>244256066.66</v>
      </c>
      <c r="F155">
        <f>IFERROR([1]!s_stm07_is_103($A155,TEXT($B$1,"yyyy/mm/dd"),1),"")</f>
        <v>382004457.93000001</v>
      </c>
      <c r="G155">
        <f>IFERROR([1]!s_stm07_is_104($A155,TEXT($B$1,"yyyy/mm/dd"),1),"")</f>
        <v>19545398.190000001</v>
      </c>
      <c r="H155">
        <f>IFERROR([1]!s_stm07_is_105($A155,TEXT($B$1,"yyyy/mm/dd"),1),"")</f>
        <v>159352082.50999999</v>
      </c>
      <c r="I155">
        <f>IFERROR([1]!s_stm07_is($A155,"W72946623",TEXT($B$1,"yyyy/mm/dd"),1),"")</f>
        <v>1210565169.4100001</v>
      </c>
      <c r="J155">
        <f>IFERROR([1]!s_stm07_is($A155,"W30028333",TEXT($B$1,"yyyy/mm/dd"),1),"")</f>
        <v>977139657.80999994</v>
      </c>
      <c r="K155">
        <f>IFERROR([1]!s_stm07_cs($A155,"W77130581",TEXT($B$1,"yyyy/mm/dd"),1),"")</f>
        <v>-403081377.91000003</v>
      </c>
      <c r="L155">
        <f>IFERROR([1]!s_stm07_cs($A155,"W77745895",TEXT($B$1,"yyyy/mm/dd"),1),"")</f>
        <v>549503701.11000001</v>
      </c>
      <c r="M155">
        <f>IFERROR([1]!S_FA_EPS_basic2($A155,$B$1,"Cur=CNY"),"")</f>
        <v>1.8673999999999999</v>
      </c>
      <c r="N155">
        <f>IFERROR([1]!s_fa_arturndays($A155,TEXT($B$1,"yyyy/mm/dd")),"")</f>
        <v>34.0426</v>
      </c>
      <c r="O155" t="str">
        <f>IFERROR([1]!fa_apturndays($A155,TEXT($B$1,"yyyy/mm/dd")),"")</f>
        <v>Fetch...</v>
      </c>
      <c r="P155">
        <f>IFERROR([1]!s_fa_invturndays($A155,TEXT($B$1,"yyyy/mm/dd")),"")</f>
        <v>124.1936</v>
      </c>
    </row>
    <row r="156" spans="1:16">
      <c r="A156" t="s">
        <v>169</v>
      </c>
      <c r="B156">
        <f>IFERROR([1]!s_stm07_is($A156,"W70156729",TEXT($B$1,"yyyy/mm/dd"),1),"")</f>
        <v>4336540119.3000002</v>
      </c>
      <c r="C156">
        <f>IFERROR([1]!s_stm07_is($A156,"W75682424",TEXT($B$1,"yyyy/mm/dd"),1),"")</f>
        <v>3133150821.4899998</v>
      </c>
      <c r="D156">
        <f>IFERROR([1]!s_stm07_is($A156,"W76031679",TEXT($B$1,"yyyy/mm/dd"),1),"")</f>
        <v>284296154.5</v>
      </c>
      <c r="E156">
        <f>IFERROR([1]!s_stm07_is($A156,"W70752487",TEXT($B$1,"yyyy/mm/dd"),1),"")</f>
        <v>587461022.15999997</v>
      </c>
      <c r="F156">
        <f>IFERROR([1]!s_stm07_is_103($A156,TEXT($B$1,"yyyy/mm/dd"),1),"")</f>
        <v>111229670.17</v>
      </c>
      <c r="G156">
        <f>IFERROR([1]!s_stm07_is_104($A156,TEXT($B$1,"yyyy/mm/dd"),1),"")</f>
        <v>84763878.920000002</v>
      </c>
      <c r="H156">
        <f>IFERROR([1]!s_stm07_is_105($A156,TEXT($B$1,"yyyy/mm/dd"),1),"")</f>
        <v>17529967.75</v>
      </c>
      <c r="I156">
        <f>IFERROR([1]!s_stm07_is($A156,"W72946623",TEXT($B$1,"yyyy/mm/dd"),1),"")</f>
        <v>486482765.91000003</v>
      </c>
      <c r="J156">
        <f>IFERROR([1]!s_stm07_is($A156,"W30028333",TEXT($B$1,"yyyy/mm/dd"),1),"")</f>
        <v>137679868.63</v>
      </c>
      <c r="K156">
        <f>IFERROR([1]!s_stm07_cs($A156,"W77130581",TEXT($B$1,"yyyy/mm/dd"),1),"")</f>
        <v>209596450.05000001</v>
      </c>
      <c r="L156">
        <f>IFERROR([1]!s_stm07_cs($A156,"W77745895",TEXT($B$1,"yyyy/mm/dd"),1),"")</f>
        <v>70727396.959999993</v>
      </c>
      <c r="M156">
        <f>IFERROR([1]!S_FA_EPS_basic2($A156,$B$1,"Cur=CNY"),"")</f>
        <v>9.7000000000000003E-2</v>
      </c>
      <c r="N156">
        <f>IFERROR([1]!s_fa_arturndays($A156,TEXT($B$1,"yyyy/mm/dd")),"")</f>
        <v>55.540100000000002</v>
      </c>
      <c r="O156" t="str">
        <f>IFERROR([1]!fa_apturndays($A156,TEXT($B$1,"yyyy/mm/dd")),"")</f>
        <v>Fetch...</v>
      </c>
      <c r="P156">
        <f>IFERROR([1]!s_fa_invturndays($A156,TEXT($B$1,"yyyy/mm/dd")),"")</f>
        <v>127.8091</v>
      </c>
    </row>
    <row r="157" spans="1:16">
      <c r="A157" t="s">
        <v>170</v>
      </c>
      <c r="B157">
        <f>IFERROR([1]!s_stm07_is($A157,"W70156729",TEXT($B$1,"yyyy/mm/dd"),1),"")</f>
        <v>87928485899.720001</v>
      </c>
      <c r="C157">
        <f>IFERROR([1]!s_stm07_is($A157,"W75682424",TEXT($B$1,"yyyy/mm/dd"),1),"")</f>
        <v>69190771760.279999</v>
      </c>
      <c r="D157">
        <f>IFERROR([1]!s_stm07_is($A157,"W76031679",TEXT($B$1,"yyyy/mm/dd"),1),"")</f>
        <v>8662021521.2700005</v>
      </c>
      <c r="E157">
        <f>IFERROR([1]!s_stm07_is($A157,"W70752487",TEXT($B$1,"yyyy/mm/dd"),1),"")</f>
        <v>2403555384.2800002</v>
      </c>
      <c r="F157">
        <f>IFERROR([1]!s_stm07_is_103($A157,TEXT($B$1,"yyyy/mm/dd"),1),"")</f>
        <v>3440773728.9099998</v>
      </c>
      <c r="G157">
        <f>IFERROR([1]!s_stm07_is_104($A157,TEXT($B$1,"yyyy/mm/dd"),1),"")</f>
        <v>193086522.61000001</v>
      </c>
      <c r="H157">
        <f>IFERROR([1]!s_stm07_is_105($A157,TEXT($B$1,"yyyy/mm/dd"),1),"")</f>
        <v>43195213.329999998</v>
      </c>
      <c r="I157">
        <f>IFERROR([1]!s_stm07_is($A157,"W72946623",TEXT($B$1,"yyyy/mm/dd"),1),"")</f>
        <v>5448639135.4700003</v>
      </c>
      <c r="J157">
        <f>IFERROR([1]!s_stm07_is($A157,"W30028333",TEXT($B$1,"yyyy/mm/dd"),1),"")</f>
        <v>3186573917.8800001</v>
      </c>
      <c r="K157">
        <f>IFERROR([1]!s_stm07_cs($A157,"W77130581",TEXT($B$1,"yyyy/mm/dd"),1),"")</f>
        <v>5796029180.5100002</v>
      </c>
      <c r="L157">
        <f>IFERROR([1]!s_stm07_cs($A157,"W77745895",TEXT($B$1,"yyyy/mm/dd"),1),"")</f>
        <v>2114104984.9200001</v>
      </c>
      <c r="M157">
        <f>IFERROR([1]!S_FA_EPS_basic2($A157,$B$1,"Cur=CNY"),"")</f>
        <v>2.33</v>
      </c>
      <c r="N157">
        <f>IFERROR([1]!s_fa_arturndays($A157,TEXT($B$1,"yyyy/mm/dd")),"")</f>
        <v>40.675699999999999</v>
      </c>
      <c r="O157" t="str">
        <f>IFERROR([1]!fa_apturndays($A157,TEXT($B$1,"yyyy/mm/dd")),"")</f>
        <v>Fetch...</v>
      </c>
      <c r="P157">
        <f>IFERROR([1]!s_fa_invturndays($A157,TEXT($B$1,"yyyy/mm/dd")),"")</f>
        <v>37.860100000000003</v>
      </c>
    </row>
    <row r="158" spans="1:16">
      <c r="A158" t="s">
        <v>171</v>
      </c>
      <c r="B158">
        <f>IFERROR([1]!s_stm07_is($A158,"W70156729",TEXT($B$1,"yyyy/mm/dd"),1),"")</f>
        <v>5839080912.4200001</v>
      </c>
      <c r="C158">
        <f>IFERROR([1]!s_stm07_is($A158,"W75682424",TEXT($B$1,"yyyy/mm/dd"),1),"")</f>
        <v>2322265638.1700001</v>
      </c>
      <c r="D158">
        <f>IFERROR([1]!s_stm07_is($A158,"W76031679",TEXT($B$1,"yyyy/mm/dd"),1),"")</f>
        <v>1974441930.8900001</v>
      </c>
      <c r="E158">
        <f>IFERROR([1]!s_stm07_is($A158,"W70752487",TEXT($B$1,"yyyy/mm/dd"),1),"")</f>
        <v>824200128.13</v>
      </c>
      <c r="F158">
        <f>IFERROR([1]!s_stm07_is_103($A158,TEXT($B$1,"yyyy/mm/dd"),1),"")</f>
        <v>0</v>
      </c>
      <c r="G158">
        <f>IFERROR([1]!s_stm07_is_104($A158,TEXT($B$1,"yyyy/mm/dd"),1),"")</f>
        <v>106200.17</v>
      </c>
      <c r="H158">
        <f>IFERROR([1]!s_stm07_is_105($A158,TEXT($B$1,"yyyy/mm/dd"),1),"")</f>
        <v>245585499.18000001</v>
      </c>
      <c r="I158">
        <f>IFERROR([1]!s_stm07_is($A158,"W72946623",TEXT($B$1,"yyyy/mm/dd"),1),"")</f>
        <v>1103279173.76</v>
      </c>
      <c r="J158">
        <f>IFERROR([1]!s_stm07_is($A158,"W30028333",TEXT($B$1,"yyyy/mm/dd"),1),"")</f>
        <v>567220443.36000001</v>
      </c>
      <c r="K158">
        <f>IFERROR([1]!s_stm07_cs($A158,"W77130581",TEXT($B$1,"yyyy/mm/dd"),1),"")</f>
        <v>1075093041.3699999</v>
      </c>
      <c r="L158">
        <f>IFERROR([1]!s_stm07_cs($A158,"W77745895",TEXT($B$1,"yyyy/mm/dd"),1),"")</f>
        <v>1213954956.72</v>
      </c>
      <c r="M158">
        <f>IFERROR([1]!S_FA_EPS_basic2($A158,$B$1,"Cur=CNY"),"")</f>
        <v>0.86899999999999999</v>
      </c>
      <c r="N158">
        <f>IFERROR([1]!s_fa_arturndays($A158,TEXT($B$1,"yyyy/mm/dd")),"")</f>
        <v>61.223399999999998</v>
      </c>
      <c r="O158" t="str">
        <f>IFERROR([1]!fa_apturndays($A158,TEXT($B$1,"yyyy/mm/dd")),"")</f>
        <v>Fetch...</v>
      </c>
      <c r="P158">
        <f>IFERROR([1]!s_fa_invturndays($A158,TEXT($B$1,"yyyy/mm/dd")),"")</f>
        <v>116.9173</v>
      </c>
    </row>
    <row r="159" spans="1:16">
      <c r="A159" t="s">
        <v>172</v>
      </c>
      <c r="B159">
        <f>IFERROR([1]!s_stm07_is($A159,"W70156729",TEXT($B$1,"yyyy/mm/dd"),1),"")</f>
        <v>34318122968.150002</v>
      </c>
      <c r="C159">
        <f>IFERROR([1]!s_stm07_is($A159,"W75682424",TEXT($B$1,"yyyy/mm/dd"),1),"")</f>
        <v>32250814030.639999</v>
      </c>
      <c r="D159">
        <f>IFERROR([1]!s_stm07_is($A159,"W76031679",TEXT($B$1,"yyyy/mm/dd"),1),"")</f>
        <v>577028085.99000001</v>
      </c>
      <c r="E159">
        <f>IFERROR([1]!s_stm07_is($A159,"W70752487",TEXT($B$1,"yyyy/mm/dd"),1),"")</f>
        <v>645712005.65999997</v>
      </c>
      <c r="F159">
        <f>IFERROR([1]!s_stm07_is_103($A159,TEXT($B$1,"yyyy/mm/dd"),1),"")</f>
        <v>37773905.039999999</v>
      </c>
      <c r="G159">
        <f>IFERROR([1]!s_stm07_is_104($A159,TEXT($B$1,"yyyy/mm/dd"),1),"")</f>
        <v>34672924.280000001</v>
      </c>
      <c r="H159">
        <f>IFERROR([1]!s_stm07_is_105($A159,TEXT($B$1,"yyyy/mm/dd"),1),"")</f>
        <v>35959935.829999998</v>
      </c>
      <c r="I159">
        <f>IFERROR([1]!s_stm07_is($A159,"W72946623",TEXT($B$1,"yyyy/mm/dd"),1),"")</f>
        <v>741316299.47000003</v>
      </c>
      <c r="J159">
        <f>IFERROR([1]!s_stm07_is($A159,"W30028333",TEXT($B$1,"yyyy/mm/dd"),1),"")</f>
        <v>575923650.48000002</v>
      </c>
      <c r="K159">
        <f>IFERROR([1]!s_stm07_cs($A159,"W77130581",TEXT($B$1,"yyyy/mm/dd"),1),"")</f>
        <v>355786825.05000001</v>
      </c>
      <c r="L159">
        <f>IFERROR([1]!s_stm07_cs($A159,"W77745895",TEXT($B$1,"yyyy/mm/dd"),1),"")</f>
        <v>137731132.13999999</v>
      </c>
      <c r="M159">
        <f>IFERROR([1]!S_FA_EPS_basic2($A159,$B$1,"Cur=CNY"),"")</f>
        <v>9.5200000000000007E-2</v>
      </c>
      <c r="N159">
        <f>IFERROR([1]!s_fa_arturndays($A159,TEXT($B$1,"yyyy/mm/dd")),"")</f>
        <v>67.435900000000004</v>
      </c>
      <c r="O159" t="str">
        <f>IFERROR([1]!fa_apturndays($A159,TEXT($B$1,"yyyy/mm/dd")),"")</f>
        <v>Fetch...</v>
      </c>
      <c r="P159">
        <f>IFERROR([1]!s_fa_invturndays($A159,TEXT($B$1,"yyyy/mm/dd")),"")</f>
        <v>23.080500000000001</v>
      </c>
    </row>
    <row r="160" spans="1:16">
      <c r="A160" t="s">
        <v>173</v>
      </c>
      <c r="B160">
        <f>IFERROR([1]!s_stm07_is($A160,"W70156729",TEXT($B$1,"yyyy/mm/dd"),1),"")</f>
        <v>13914317218.6</v>
      </c>
      <c r="C160">
        <f>IFERROR([1]!s_stm07_is($A160,"W75682424",TEXT($B$1,"yyyy/mm/dd"),1),"")</f>
        <v>12014602818.82</v>
      </c>
      <c r="D160">
        <f>IFERROR([1]!s_stm07_is($A160,"W76031679",TEXT($B$1,"yyyy/mm/dd"),1),"")</f>
        <v>62834695.399999999</v>
      </c>
      <c r="E160">
        <f>IFERROR([1]!s_stm07_is($A160,"W70752487",TEXT($B$1,"yyyy/mm/dd"),1),"")</f>
        <v>616846871.83000004</v>
      </c>
      <c r="F160">
        <f>IFERROR([1]!s_stm07_is_103($A160,TEXT($B$1,"yyyy/mm/dd"),1),"")</f>
        <v>337542838.11000001</v>
      </c>
      <c r="G160">
        <f>IFERROR([1]!s_stm07_is_104($A160,TEXT($B$1,"yyyy/mm/dd"),1),"")</f>
        <v>40669270.969999999</v>
      </c>
      <c r="H160">
        <f>IFERROR([1]!s_stm07_is_105($A160,TEXT($B$1,"yyyy/mm/dd"),1),"")</f>
        <v>169709624.27000001</v>
      </c>
      <c r="I160">
        <f>IFERROR([1]!s_stm07_is($A160,"W72946623",TEXT($B$1,"yyyy/mm/dd"),1),"")</f>
        <v>685600043.10000002</v>
      </c>
      <c r="J160">
        <f>IFERROR([1]!s_stm07_is($A160,"W30028333",TEXT($B$1,"yyyy/mm/dd"),1),"")</f>
        <v>485243169.11000001</v>
      </c>
      <c r="K160">
        <f>IFERROR([1]!s_stm07_cs($A160,"W77130581",TEXT($B$1,"yyyy/mm/dd"),1),"")</f>
        <v>1292432734</v>
      </c>
      <c r="L160">
        <f>IFERROR([1]!s_stm07_cs($A160,"W77745895",TEXT($B$1,"yyyy/mm/dd"),1),"")</f>
        <v>29262923.57</v>
      </c>
      <c r="M160">
        <f>IFERROR([1]!S_FA_EPS_basic2($A160,$B$1,"Cur=CNY"),"")</f>
        <v>0.3382</v>
      </c>
      <c r="N160">
        <f>IFERROR([1]!s_fa_arturndays($A160,TEXT($B$1,"yyyy/mm/dd")),"")</f>
        <v>90.945800000000006</v>
      </c>
      <c r="O160" t="str">
        <f>IFERROR([1]!fa_apturndays($A160,TEXT($B$1,"yyyy/mm/dd")),"")</f>
        <v>Fetch...</v>
      </c>
      <c r="P160">
        <f>IFERROR([1]!s_fa_invturndays($A160,TEXT($B$1,"yyyy/mm/dd")),"")</f>
        <v>64.109399999999994</v>
      </c>
    </row>
    <row r="161" spans="1:16">
      <c r="A161" t="s">
        <v>174</v>
      </c>
      <c r="B161">
        <f>IFERROR([1]!s_stm07_is($A161,"W70156729",TEXT($B$1,"yyyy/mm/dd"),1),"")</f>
        <v>17511642307.540001</v>
      </c>
      <c r="C161">
        <f>IFERROR([1]!s_stm07_is($A161,"W75682424",TEXT($B$1,"yyyy/mm/dd"),1),"")</f>
        <v>16048250100.57</v>
      </c>
      <c r="D161">
        <f>IFERROR([1]!s_stm07_is($A161,"W76031679",TEXT($B$1,"yyyy/mm/dd"),1),"")</f>
        <v>185268019.46000001</v>
      </c>
      <c r="E161">
        <f>IFERROR([1]!s_stm07_is($A161,"W70752487",TEXT($B$1,"yyyy/mm/dd"),1),"")</f>
        <v>562419827.22000003</v>
      </c>
      <c r="F161">
        <f>IFERROR([1]!s_stm07_is_103($A161,TEXT($B$1,"yyyy/mm/dd"),1),"")</f>
        <v>159956741.18000001</v>
      </c>
      <c r="G161">
        <f>IFERROR([1]!s_stm07_is_104($A161,TEXT($B$1,"yyyy/mm/dd"),1),"")</f>
        <v>85739291.019999996</v>
      </c>
      <c r="H161">
        <f>IFERROR([1]!s_stm07_is_105($A161,TEXT($B$1,"yyyy/mm/dd"),1),"")</f>
        <v>29480840.989999998</v>
      </c>
      <c r="I161">
        <f>IFERROR([1]!s_stm07_is($A161,"W72946623",TEXT($B$1,"yyyy/mm/dd"),1),"")</f>
        <v>82560581.219999999</v>
      </c>
      <c r="J161">
        <f>IFERROR([1]!s_stm07_is($A161,"W30028333",TEXT($B$1,"yyyy/mm/dd"),1),"")</f>
        <v>38367593.57</v>
      </c>
      <c r="K161">
        <f>IFERROR([1]!s_stm07_cs($A161,"W77130581",TEXT($B$1,"yyyy/mm/dd"),1),"")</f>
        <v>1847459563.54</v>
      </c>
      <c r="L161">
        <f>IFERROR([1]!s_stm07_cs($A161,"W77745895",TEXT($B$1,"yyyy/mm/dd"),1),"")</f>
        <v>673928531.23000002</v>
      </c>
      <c r="M161">
        <f>IFERROR([1]!S_FA_EPS_basic2($A161,$B$1,"Cur=CNY"),"")</f>
        <v>2.07E-2</v>
      </c>
      <c r="N161">
        <f>IFERROR([1]!s_fa_arturndays($A161,TEXT($B$1,"yyyy/mm/dd")),"")</f>
        <v>18.468800000000002</v>
      </c>
      <c r="O161" t="str">
        <f>IFERROR([1]!fa_apturndays($A161,TEXT($B$1,"yyyy/mm/dd")),"")</f>
        <v>Fetch...</v>
      </c>
      <c r="P161">
        <f>IFERROR([1]!s_fa_invturndays($A161,TEXT($B$1,"yyyy/mm/dd")),"")</f>
        <v>52.217799999999997</v>
      </c>
    </row>
    <row r="162" spans="1:16">
      <c r="A162" t="s">
        <v>175</v>
      </c>
      <c r="B162">
        <f>IFERROR([1]!s_stm07_is($A162,"W70156729",TEXT($B$1,"yyyy/mm/dd"),1),"")</f>
        <v>121740718036.91</v>
      </c>
      <c r="C162">
        <f>IFERROR([1]!s_stm07_is($A162,"W75682424",TEXT($B$1,"yyyy/mm/dd"),1),"")</f>
        <v>109370276385.35001</v>
      </c>
      <c r="D162">
        <f>IFERROR([1]!s_stm07_is($A162,"W76031679",TEXT($B$1,"yyyy/mm/dd"),1),"")</f>
        <v>503434607.24000001</v>
      </c>
      <c r="E162">
        <f>IFERROR([1]!s_stm07_is($A162,"W70752487",TEXT($B$1,"yyyy/mm/dd"),1),"")</f>
        <v>1696713824.9000001</v>
      </c>
      <c r="F162">
        <f>IFERROR([1]!s_stm07_is_103($A162,TEXT($B$1,"yyyy/mm/dd"),1),"")</f>
        <v>5377978574.8000002</v>
      </c>
      <c r="G162">
        <f>IFERROR([1]!s_stm07_is_104($A162,TEXT($B$1,"yyyy/mm/dd"),1),"")</f>
        <v>233763290.56</v>
      </c>
      <c r="H162">
        <f>IFERROR([1]!s_stm07_is_105($A162,TEXT($B$1,"yyyy/mm/dd"),1),"")</f>
        <v>166082733.66</v>
      </c>
      <c r="I162">
        <f>IFERROR([1]!s_stm07_is($A162,"W72946623",TEXT($B$1,"yyyy/mm/dd"),1),"")</f>
        <v>4819522663.9200001</v>
      </c>
      <c r="J162">
        <f>IFERROR([1]!s_stm07_is($A162,"W30028333",TEXT($B$1,"yyyy/mm/dd"),1),"")</f>
        <v>2610615029.9200001</v>
      </c>
      <c r="K162">
        <f>IFERROR([1]!s_stm07_cs($A162,"W77130581",TEXT($B$1,"yyyy/mm/dd"),1),"")</f>
        <v>6573964816.4399996</v>
      </c>
      <c r="L162">
        <f>IFERROR([1]!s_stm07_cs($A162,"W77745895",TEXT($B$1,"yyyy/mm/dd"),1),"")</f>
        <v>6136250193.5699997</v>
      </c>
      <c r="M162">
        <f>IFERROR([1]!S_FA_EPS_basic2($A162,$B$1,"Cur=CNY"),"")</f>
        <v>0.37930000000000003</v>
      </c>
      <c r="N162">
        <f>IFERROR([1]!s_fa_arturndays($A162,TEXT($B$1,"yyyy/mm/dd")),"")</f>
        <v>11.4236</v>
      </c>
      <c r="O162" t="str">
        <f>IFERROR([1]!fa_apturndays($A162,TEXT($B$1,"yyyy/mm/dd")),"")</f>
        <v>Fetch...</v>
      </c>
      <c r="P162">
        <f>IFERROR([1]!s_fa_invturndays($A162,TEXT($B$1,"yyyy/mm/dd")),"")</f>
        <v>39.299599999999998</v>
      </c>
    </row>
    <row r="163" spans="1:16">
      <c r="A163" t="s">
        <v>176</v>
      </c>
      <c r="B163">
        <f>IFERROR([1]!s_stm07_is($A163,"W70156729",TEXT($B$1,"yyyy/mm/dd"),1),"")</f>
        <v>41240761541.379997</v>
      </c>
      <c r="C163">
        <f>IFERROR([1]!s_stm07_is($A163,"W75682424",TEXT($B$1,"yyyy/mm/dd"),1),"")</f>
        <v>31607516376.509998</v>
      </c>
      <c r="D163">
        <f>IFERROR([1]!s_stm07_is($A163,"W76031679",TEXT($B$1,"yyyy/mm/dd"),1),"")</f>
        <v>166633095.97999999</v>
      </c>
      <c r="E163">
        <f>IFERROR([1]!s_stm07_is($A163,"W70752487",TEXT($B$1,"yyyy/mm/dd"),1),"")</f>
        <v>914806461.26999998</v>
      </c>
      <c r="F163">
        <f>IFERROR([1]!s_stm07_is_103($A163,TEXT($B$1,"yyyy/mm/dd"),1),"")</f>
        <v>323234832.93000001</v>
      </c>
      <c r="G163">
        <f>IFERROR([1]!s_stm07_is_104($A163,TEXT($B$1,"yyyy/mm/dd"),1),"")</f>
        <v>317278573.57999998</v>
      </c>
      <c r="H163">
        <f>IFERROR([1]!s_stm07_is_105($A163,TEXT($B$1,"yyyy/mm/dd"),1),"")</f>
        <v>236330345.28</v>
      </c>
      <c r="I163">
        <f>IFERROR([1]!s_stm07_is($A163,"W72946623",TEXT($B$1,"yyyy/mm/dd"),1),"")</f>
        <v>6548809676.1000004</v>
      </c>
      <c r="J163">
        <f>IFERROR([1]!s_stm07_is($A163,"W30028333",TEXT($B$1,"yyyy/mm/dd"),1),"")</f>
        <v>4005359185.0500002</v>
      </c>
      <c r="K163">
        <f>IFERROR([1]!s_stm07_cs($A163,"W77130581",TEXT($B$1,"yyyy/mm/dd"),1),"")</f>
        <v>8743217687.8299999</v>
      </c>
      <c r="L163">
        <f>IFERROR([1]!s_stm07_cs($A163,"W77745895",TEXT($B$1,"yyyy/mm/dd"),1),"")</f>
        <v>861031236.94000006</v>
      </c>
      <c r="M163">
        <f>IFERROR([1]!S_FA_EPS_basic2($A163,$B$1,"Cur=CNY"),"")</f>
        <v>1.81</v>
      </c>
      <c r="N163">
        <f>IFERROR([1]!s_fa_arturndays($A163,TEXT($B$1,"yyyy/mm/dd")),"")</f>
        <v>8.3420000000000005</v>
      </c>
      <c r="O163" t="str">
        <f>IFERROR([1]!fa_apturndays($A163,TEXT($B$1,"yyyy/mm/dd")),"")</f>
        <v>Fetch...</v>
      </c>
      <c r="P163">
        <f>IFERROR([1]!s_fa_invturndays($A163,TEXT($B$1,"yyyy/mm/dd")),"")</f>
        <v>42.704599999999999</v>
      </c>
    </row>
    <row r="164" spans="1:16">
      <c r="A164" t="s">
        <v>177</v>
      </c>
      <c r="B164">
        <f>IFERROR([1]!s_stm07_is($A164,"W70156729",TEXT($B$1,"yyyy/mm/dd"),1),"")</f>
        <v>1205510116.01</v>
      </c>
      <c r="C164">
        <f>IFERROR([1]!s_stm07_is($A164,"W75682424",TEXT($B$1,"yyyy/mm/dd"),1),"")</f>
        <v>744736254.25999999</v>
      </c>
      <c r="D164">
        <f>IFERROR([1]!s_stm07_is($A164,"W76031679",TEXT($B$1,"yyyy/mm/dd"),1),"")</f>
        <v>29048683.190000001</v>
      </c>
      <c r="E164">
        <f>IFERROR([1]!s_stm07_is($A164,"W70752487",TEXT($B$1,"yyyy/mm/dd"),1),"")</f>
        <v>152030740.53</v>
      </c>
      <c r="F164">
        <f>IFERROR([1]!s_stm07_is_103($A164,TEXT($B$1,"yyyy/mm/dd"),1),"")</f>
        <v>65114616.030000001</v>
      </c>
      <c r="G164">
        <f>IFERROR([1]!s_stm07_is_104($A164,TEXT($B$1,"yyyy/mm/dd"),1),"")</f>
        <v>23479100.140000001</v>
      </c>
      <c r="H164">
        <f>IFERROR([1]!s_stm07_is_105($A164,TEXT($B$1,"yyyy/mm/dd"),1),"")</f>
        <v>3498292.21</v>
      </c>
      <c r="I164">
        <f>IFERROR([1]!s_stm07_is($A164,"W72946623",TEXT($B$1,"yyyy/mm/dd"),1),"")</f>
        <v>350845025.62</v>
      </c>
      <c r="J164">
        <f>IFERROR([1]!s_stm07_is($A164,"W30028333",TEXT($B$1,"yyyy/mm/dd"),1),"")</f>
        <v>298276450.60000002</v>
      </c>
      <c r="K164">
        <f>IFERROR([1]!s_stm07_cs($A164,"W77130581",TEXT($B$1,"yyyy/mm/dd"),1),"")</f>
        <v>321501858.69999999</v>
      </c>
      <c r="L164">
        <f>IFERROR([1]!s_stm07_cs($A164,"W77745895",TEXT($B$1,"yyyy/mm/dd"),1),"")</f>
        <v>65305655.280000001</v>
      </c>
      <c r="M164">
        <f>IFERROR([1]!S_FA_EPS_basic2($A164,$B$1,"Cur=CNY"),"")</f>
        <v>0.39</v>
      </c>
      <c r="N164">
        <f>IFERROR([1]!s_fa_arturndays($A164,TEXT($B$1,"yyyy/mm/dd")),"")</f>
        <v>26.044499999999999</v>
      </c>
      <c r="O164" t="str">
        <f>IFERROR([1]!fa_apturndays($A164,TEXT($B$1,"yyyy/mm/dd")),"")</f>
        <v>Fetch...</v>
      </c>
      <c r="P164">
        <f>IFERROR([1]!s_fa_invturndays($A164,TEXT($B$1,"yyyy/mm/dd")),"")</f>
        <v>162.19139999999999</v>
      </c>
    </row>
    <row r="165" spans="1:16">
      <c r="A165" t="s">
        <v>178</v>
      </c>
      <c r="B165">
        <f>IFERROR([1]!s_stm07_is($A165,"W70156729",TEXT($B$1,"yyyy/mm/dd"),1),"")</f>
        <v>15140173815.27</v>
      </c>
      <c r="C165">
        <f>IFERROR([1]!s_stm07_is($A165,"W75682424",TEXT($B$1,"yyyy/mm/dd"),1),"")</f>
        <v>11041081135.799999</v>
      </c>
      <c r="D165">
        <f>IFERROR([1]!s_stm07_is($A165,"W76031679",TEXT($B$1,"yyyy/mm/dd"),1),"")</f>
        <v>142857344.34999999</v>
      </c>
      <c r="E165">
        <f>IFERROR([1]!s_stm07_is($A165,"W70752487",TEXT($B$1,"yyyy/mm/dd"),1),"")</f>
        <v>1377455131.9300001</v>
      </c>
      <c r="F165">
        <f>IFERROR([1]!s_stm07_is_103($A165,TEXT($B$1,"yyyy/mm/dd"),1),"")</f>
        <v>495970337.88999999</v>
      </c>
      <c r="G165">
        <f>IFERROR([1]!s_stm07_is_104($A165,TEXT($B$1,"yyyy/mm/dd"),1),"")</f>
        <v>593667243.88999999</v>
      </c>
      <c r="H165">
        <f>IFERROR([1]!s_stm07_is_105($A165,TEXT($B$1,"yyyy/mm/dd"),1),"")</f>
        <v>130720738.45999999</v>
      </c>
      <c r="I165">
        <f>IFERROR([1]!s_stm07_is($A165,"W72946623",TEXT($B$1,"yyyy/mm/dd"),1),"")</f>
        <v>1107570354.5799999</v>
      </c>
      <c r="J165">
        <f>IFERROR([1]!s_stm07_is($A165,"W30028333",TEXT($B$1,"yyyy/mm/dd"),1),"")</f>
        <v>612646513.46000004</v>
      </c>
      <c r="K165">
        <f>IFERROR([1]!s_stm07_cs($A165,"W77130581",TEXT($B$1,"yyyy/mm/dd"),1),"")</f>
        <v>1959828743.1900001</v>
      </c>
      <c r="L165">
        <f>IFERROR([1]!s_stm07_cs($A165,"W77745895",TEXT($B$1,"yyyy/mm/dd"),1),"")</f>
        <v>2276587803.0799999</v>
      </c>
      <c r="M165">
        <f>IFERROR([1]!S_FA_EPS_basic2($A165,$B$1,"Cur=CNY"),"")</f>
        <v>0.1734</v>
      </c>
      <c r="N165">
        <f>IFERROR([1]!s_fa_arturndays($A165,TEXT($B$1,"yyyy/mm/dd")),"")</f>
        <v>85.142600000000002</v>
      </c>
      <c r="O165" t="str">
        <f>IFERROR([1]!fa_apturndays($A165,TEXT($B$1,"yyyy/mm/dd")),"")</f>
        <v>Fetch...</v>
      </c>
      <c r="P165">
        <f>IFERROR([1]!s_fa_invturndays($A165,TEXT($B$1,"yyyy/mm/dd")),"")</f>
        <v>47.958399999999997</v>
      </c>
    </row>
    <row r="166" spans="1:16">
      <c r="A166" t="s">
        <v>179</v>
      </c>
      <c r="B166">
        <f>IFERROR([1]!s_stm07_is($A166,"W70156729",TEXT($B$1,"yyyy/mm/dd"),1),"")</f>
        <v>96748339344.029999</v>
      </c>
      <c r="C166">
        <f>IFERROR([1]!s_stm07_is($A166,"W75682424",TEXT($B$1,"yyyy/mm/dd"),1),"")</f>
        <v>82631846618.389999</v>
      </c>
      <c r="D166">
        <f>IFERROR([1]!s_stm07_is($A166,"W76031679",TEXT($B$1,"yyyy/mm/dd"),1),"")</f>
        <v>4052321421.6599998</v>
      </c>
      <c r="E166">
        <f>IFERROR([1]!s_stm07_is($A166,"W70752487",TEXT($B$1,"yyyy/mm/dd"),1),"")</f>
        <v>1165580958.3</v>
      </c>
      <c r="F166">
        <f>IFERROR([1]!s_stm07_is_103($A166,TEXT($B$1,"yyyy/mm/dd"),1),"")</f>
        <v>4952674806.3599997</v>
      </c>
      <c r="G166">
        <f>IFERROR([1]!s_stm07_is_104($A166,TEXT($B$1,"yyyy/mm/dd"),1),"")</f>
        <v>1262037245.3599999</v>
      </c>
      <c r="H166">
        <f>IFERROR([1]!s_stm07_is_105($A166,TEXT($B$1,"yyyy/mm/dd"),1),"")</f>
        <v>153621648.66999999</v>
      </c>
      <c r="I166">
        <f>IFERROR([1]!s_stm07_is($A166,"W72946623",TEXT($B$1,"yyyy/mm/dd"),1),"")</f>
        <v>2374546953.5900002</v>
      </c>
      <c r="J166">
        <f>IFERROR([1]!s_stm07_is($A166,"W30028333",TEXT($B$1,"yyyy/mm/dd"),1),"")</f>
        <v>1685521754.8199999</v>
      </c>
      <c r="K166">
        <f>IFERROR([1]!s_stm07_cs($A166,"W77130581",TEXT($B$1,"yyyy/mm/dd"),1),"")</f>
        <v>3486751492.8400002</v>
      </c>
      <c r="L166">
        <f>IFERROR([1]!s_stm07_cs($A166,"W77745895",TEXT($B$1,"yyyy/mm/dd"),1),"")</f>
        <v>613134434.67999995</v>
      </c>
      <c r="M166">
        <f>IFERROR([1]!S_FA_EPS_basic2($A166,$B$1,"Cur=CNY"),"")</f>
        <v>0.58930000000000005</v>
      </c>
      <c r="N166">
        <f>IFERROR([1]!s_fa_arturndays($A166,TEXT($B$1,"yyyy/mm/dd")),"")</f>
        <v>49.2928</v>
      </c>
      <c r="O166" t="str">
        <f>IFERROR([1]!fa_apturndays($A166,TEXT($B$1,"yyyy/mm/dd")),"")</f>
        <v>Fetch...</v>
      </c>
      <c r="P166">
        <f>IFERROR([1]!s_fa_invturndays($A166,TEXT($B$1,"yyyy/mm/dd")),"")</f>
        <v>179.3186</v>
      </c>
    </row>
    <row r="167" spans="1:16">
      <c r="A167" t="s">
        <v>180</v>
      </c>
      <c r="B167">
        <f>IFERROR([1]!s_stm07_is($A167,"W70156729",TEXT($B$1,"yyyy/mm/dd"),1),"")</f>
        <v>82447409172.779999</v>
      </c>
      <c r="C167">
        <f>IFERROR([1]!s_stm07_is($A167,"W75682424",TEXT($B$1,"yyyy/mm/dd"),1),"")</f>
        <v>76507072951.449997</v>
      </c>
      <c r="D167">
        <f>IFERROR([1]!s_stm07_is($A167,"W76031679",TEXT($B$1,"yyyy/mm/dd"),1),"")</f>
        <v>2109720907.1500001</v>
      </c>
      <c r="E167">
        <f>IFERROR([1]!s_stm07_is($A167,"W70752487",TEXT($B$1,"yyyy/mm/dd"),1),"")</f>
        <v>1748854423.1900001</v>
      </c>
      <c r="F167">
        <f>IFERROR([1]!s_stm07_is_103($A167,TEXT($B$1,"yyyy/mm/dd"),1),"")</f>
        <v>469747.64</v>
      </c>
      <c r="G167">
        <f>IFERROR([1]!s_stm07_is_104($A167,TEXT($B$1,"yyyy/mm/dd"),1),"")</f>
        <v>758261522.73000002</v>
      </c>
      <c r="H167">
        <f>IFERROR([1]!s_stm07_is_105($A167,TEXT($B$1,"yyyy/mm/dd"),1),"")</f>
        <v>60990139.310000002</v>
      </c>
      <c r="I167">
        <f>IFERROR([1]!s_stm07_is($A167,"W72946623",TEXT($B$1,"yyyy/mm/dd"),1),"")</f>
        <v>671859537.70000005</v>
      </c>
      <c r="J167">
        <f>IFERROR([1]!s_stm07_is($A167,"W30028333",TEXT($B$1,"yyyy/mm/dd"),1),"")</f>
        <v>386715159.31</v>
      </c>
      <c r="K167">
        <f>IFERROR([1]!s_stm07_cs($A167,"W77130581",TEXT($B$1,"yyyy/mm/dd"),1),"")</f>
        <v>754670089.38</v>
      </c>
      <c r="L167">
        <f>IFERROR([1]!s_stm07_cs($A167,"W77745895",TEXT($B$1,"yyyy/mm/dd"),1),"")</f>
        <v>299539838.25</v>
      </c>
      <c r="M167">
        <f>IFERROR([1]!S_FA_EPS_basic2($A167,$B$1,"Cur=CNY"),"")</f>
        <v>0.22</v>
      </c>
      <c r="N167">
        <f>IFERROR([1]!s_fa_arturndays($A167,TEXT($B$1,"yyyy/mm/dd")),"")</f>
        <v>150.6465</v>
      </c>
      <c r="O167" t="str">
        <f>IFERROR([1]!fa_apturndays($A167,TEXT($B$1,"yyyy/mm/dd")),"")</f>
        <v>Fetch...</v>
      </c>
      <c r="P167">
        <f>IFERROR([1]!s_fa_invturndays($A167,TEXT($B$1,"yyyy/mm/dd")),"")</f>
        <v>47.0976</v>
      </c>
    </row>
    <row r="168" spans="1:16">
      <c r="A168" t="s">
        <v>181</v>
      </c>
      <c r="B168">
        <f>IFERROR([1]!s_stm07_is($A168,"W70156729",TEXT($B$1,"yyyy/mm/dd"),1),"")</f>
        <v>57737202180.970001</v>
      </c>
      <c r="C168">
        <f>IFERROR([1]!s_stm07_is($A168,"W75682424",TEXT($B$1,"yyyy/mm/dd"),1),"")</f>
        <v>53235598166.800003</v>
      </c>
      <c r="D168">
        <f>IFERROR([1]!s_stm07_is($A168,"W76031679",TEXT($B$1,"yyyy/mm/dd"),1),"")</f>
        <v>421781043.39999998</v>
      </c>
      <c r="E168">
        <f>IFERROR([1]!s_stm07_is($A168,"W70752487",TEXT($B$1,"yyyy/mm/dd"),1),"")</f>
        <v>328506101.18000001</v>
      </c>
      <c r="F168">
        <f>IFERROR([1]!s_stm07_is_103($A168,TEXT($B$1,"yyyy/mm/dd"),1),"")</f>
        <v>900135955.13</v>
      </c>
      <c r="G168">
        <f>IFERROR([1]!s_stm07_is_104($A168,TEXT($B$1,"yyyy/mm/dd"),1),"")</f>
        <v>5335425.97</v>
      </c>
      <c r="H168">
        <f>IFERROR([1]!s_stm07_is_105($A168,TEXT($B$1,"yyyy/mm/dd"),1),"")</f>
        <v>279906920.74000001</v>
      </c>
      <c r="I168">
        <f>IFERROR([1]!s_stm07_is($A168,"W72946623",TEXT($B$1,"yyyy/mm/dd"),1),"")</f>
        <v>2784474866.96</v>
      </c>
      <c r="J168">
        <f>IFERROR([1]!s_stm07_is($A168,"W30028333",TEXT($B$1,"yyyy/mm/dd"),1),"")</f>
        <v>1665800234.1300001</v>
      </c>
      <c r="K168">
        <f>IFERROR([1]!s_stm07_cs($A168,"W77130581",TEXT($B$1,"yyyy/mm/dd"),1),"")</f>
        <v>562605368.16999996</v>
      </c>
      <c r="L168">
        <f>IFERROR([1]!s_stm07_cs($A168,"W77745895",TEXT($B$1,"yyyy/mm/dd"),1),"")</f>
        <v>264656934.47</v>
      </c>
      <c r="M168">
        <f>IFERROR([1]!S_FA_EPS_basic2($A168,$B$1,"Cur=CNY"),"")</f>
        <v>1.42</v>
      </c>
      <c r="N168">
        <f>IFERROR([1]!s_fa_arturndays($A168,TEXT($B$1,"yyyy/mm/dd")),"")</f>
        <v>73.069699999999997</v>
      </c>
      <c r="O168" t="str">
        <f>IFERROR([1]!fa_apturndays($A168,TEXT($B$1,"yyyy/mm/dd")),"")</f>
        <v>Fetch...</v>
      </c>
      <c r="P168">
        <f>IFERROR([1]!s_fa_invturndays($A168,TEXT($B$1,"yyyy/mm/dd")),"")</f>
        <v>32.652799999999999</v>
      </c>
    </row>
    <row r="169" spans="1:16">
      <c r="A169" t="s">
        <v>182</v>
      </c>
      <c r="B169">
        <f>IFERROR([1]!s_stm07_is($A169,"W70156729",TEXT($B$1,"yyyy/mm/dd"),1),"")</f>
        <v>12466257345.59</v>
      </c>
      <c r="C169">
        <f>IFERROR([1]!s_stm07_is($A169,"W75682424",TEXT($B$1,"yyyy/mm/dd"),1),"")</f>
        <v>7862885309.4399996</v>
      </c>
      <c r="D169">
        <f>IFERROR([1]!s_stm07_is($A169,"W76031679",TEXT($B$1,"yyyy/mm/dd"),1),"")</f>
        <v>95262456.060000002</v>
      </c>
      <c r="E169">
        <f>IFERROR([1]!s_stm07_is($A169,"W70752487",TEXT($B$1,"yyyy/mm/dd"),1),"")</f>
        <v>869917749.47000003</v>
      </c>
      <c r="F169">
        <f>IFERROR([1]!s_stm07_is_103($A169,TEXT($B$1,"yyyy/mm/dd"),1),"")</f>
        <v>262776792.50999999</v>
      </c>
      <c r="G169">
        <f>IFERROR([1]!s_stm07_is_104($A169,TEXT($B$1,"yyyy/mm/dd"),1),"")</f>
        <v>1126177622.75</v>
      </c>
      <c r="H169">
        <f>IFERROR([1]!s_stm07_is_105($A169,TEXT($B$1,"yyyy/mm/dd"),1),"")</f>
        <v>43518790.399999999</v>
      </c>
      <c r="I169">
        <f>IFERROR([1]!s_stm07_is($A169,"W72946623",TEXT($B$1,"yyyy/mm/dd"),1),"")</f>
        <v>5148739659.6199999</v>
      </c>
      <c r="J169">
        <f>IFERROR([1]!s_stm07_is($A169,"W30028333",TEXT($B$1,"yyyy/mm/dd"),1),"")</f>
        <v>3293158248.3000002</v>
      </c>
      <c r="K169">
        <f>IFERROR([1]!s_stm07_cs($A169,"W77130581",TEXT($B$1,"yyyy/mm/dd"),1),"")</f>
        <v>3535781831.5</v>
      </c>
      <c r="L169">
        <f>IFERROR([1]!s_stm07_cs($A169,"W77745895",TEXT($B$1,"yyyy/mm/dd"),1),"")</f>
        <v>12595473157.110001</v>
      </c>
      <c r="M169">
        <f>IFERROR([1]!S_FA_EPS_basic2($A169,$B$1,"Cur=CNY"),"")</f>
        <v>0.25409999999999999</v>
      </c>
      <c r="N169">
        <f>IFERROR([1]!s_fa_arturndays($A169,TEXT($B$1,"yyyy/mm/dd")),"")</f>
        <v>146.95079999999999</v>
      </c>
      <c r="O169" t="str">
        <f>IFERROR([1]!fa_apturndays($A169,TEXT($B$1,"yyyy/mm/dd")),"")</f>
        <v>Fetch...</v>
      </c>
      <c r="P169">
        <f>IFERROR([1]!s_fa_invturndays($A169,TEXT($B$1,"yyyy/mm/dd")),"")</f>
        <v>66.837500000000006</v>
      </c>
    </row>
    <row r="170" spans="1:16">
      <c r="A170" t="s">
        <v>183</v>
      </c>
      <c r="B170">
        <f>IFERROR([1]!s_stm07_is($A170,"W70156729",TEXT($B$1,"yyyy/mm/dd"),1),"")</f>
        <v>102918417572.91</v>
      </c>
      <c r="C170">
        <f>IFERROR([1]!s_stm07_is($A170,"W75682424",TEXT($B$1,"yyyy/mm/dd"),1),"")</f>
        <v>97753107217.369995</v>
      </c>
      <c r="D170">
        <f>IFERROR([1]!s_stm07_is($A170,"W76031679",TEXT($B$1,"yyyy/mm/dd"),1),"")</f>
        <v>245806944.27000001</v>
      </c>
      <c r="E170">
        <f>IFERROR([1]!s_stm07_is($A170,"W70752487",TEXT($B$1,"yyyy/mm/dd"),1),"")</f>
        <v>1320732685.7</v>
      </c>
      <c r="F170">
        <f>IFERROR([1]!s_stm07_is_103($A170,TEXT($B$1,"yyyy/mm/dd"),1),"")</f>
        <v>556830229.54999995</v>
      </c>
      <c r="G170">
        <f>IFERROR([1]!s_stm07_is_104($A170,TEXT($B$1,"yyyy/mm/dd"),1),"")</f>
        <v>811686090.51999998</v>
      </c>
      <c r="H170">
        <f>IFERROR([1]!s_stm07_is_105($A170,TEXT($B$1,"yyyy/mm/dd"),1),"")</f>
        <v>109174846.62</v>
      </c>
      <c r="I170">
        <f>IFERROR([1]!s_stm07_is($A170,"W72946623",TEXT($B$1,"yyyy/mm/dd"),1),"")</f>
        <v>1290204582.8099999</v>
      </c>
      <c r="J170">
        <f>IFERROR([1]!s_stm07_is($A170,"W30028333",TEXT($B$1,"yyyy/mm/dd"),1),"")</f>
        <v>995635969.34000003</v>
      </c>
      <c r="K170">
        <f>IFERROR([1]!s_stm07_cs($A170,"W77130581",TEXT($B$1,"yyyy/mm/dd"),1),"")</f>
        <v>8136677049.7299995</v>
      </c>
      <c r="L170">
        <f>IFERROR([1]!s_stm07_cs($A170,"W77745895",TEXT($B$1,"yyyy/mm/dd"),1),"")</f>
        <v>357050854.36000001</v>
      </c>
      <c r="M170">
        <f>IFERROR([1]!S_FA_EPS_basic2($A170,$B$1,"Cur=CNY"),"")</f>
        <v>0.12839999999999999</v>
      </c>
      <c r="N170">
        <f>IFERROR([1]!s_fa_arturndays($A170,TEXT($B$1,"yyyy/mm/dd")),"")</f>
        <v>5.7667999999999999</v>
      </c>
      <c r="O170" t="str">
        <f>IFERROR([1]!fa_apturndays($A170,TEXT($B$1,"yyyy/mm/dd")),"")</f>
        <v>Fetch...</v>
      </c>
      <c r="P170">
        <f>IFERROR([1]!s_fa_invturndays($A170,TEXT($B$1,"yyyy/mm/dd")),"")</f>
        <v>39.9587</v>
      </c>
    </row>
    <row r="171" spans="1:16">
      <c r="A171" t="s">
        <v>184</v>
      </c>
      <c r="B171">
        <f>IFERROR([1]!s_stm07_is($A171,"W70156729",TEXT($B$1,"yyyy/mm/dd"),1),"")</f>
        <v>43534580906.650002</v>
      </c>
      <c r="C171">
        <f>IFERROR([1]!s_stm07_is($A171,"W75682424",TEXT($B$1,"yyyy/mm/dd"),1),"")</f>
        <v>38582628315.790001</v>
      </c>
      <c r="D171">
        <f>IFERROR([1]!s_stm07_is($A171,"W76031679",TEXT($B$1,"yyyy/mm/dd"),1),"")</f>
        <v>64472602.390000001</v>
      </c>
      <c r="E171">
        <f>IFERROR([1]!s_stm07_is($A171,"W70752487",TEXT($B$1,"yyyy/mm/dd"),1),"")</f>
        <v>795455837.02999997</v>
      </c>
      <c r="F171">
        <f>IFERROR([1]!s_stm07_is_103($A171,TEXT($B$1,"yyyy/mm/dd"),1),"")</f>
        <v>440522499.07999998</v>
      </c>
      <c r="G171">
        <f>IFERROR([1]!s_stm07_is_104($A171,TEXT($B$1,"yyyy/mm/dd"),1),"")</f>
        <v>215219392.94</v>
      </c>
      <c r="H171">
        <f>IFERROR([1]!s_stm07_is_105($A171,TEXT($B$1,"yyyy/mm/dd"),1),"")</f>
        <v>34281941.259999998</v>
      </c>
      <c r="I171">
        <f>IFERROR([1]!s_stm07_is($A171,"W72946623",TEXT($B$1,"yyyy/mm/dd"),1),"")</f>
        <v>2528204946.9099998</v>
      </c>
      <c r="J171">
        <f>IFERROR([1]!s_stm07_is($A171,"W30028333",TEXT($B$1,"yyyy/mm/dd"),1),"")</f>
        <v>1966179528.75</v>
      </c>
      <c r="K171">
        <f>IFERROR([1]!s_stm07_cs($A171,"W77130581",TEXT($B$1,"yyyy/mm/dd"),1),"")</f>
        <v>1295469193.1500001</v>
      </c>
      <c r="L171">
        <f>IFERROR([1]!s_stm07_cs($A171,"W77745895",TEXT($B$1,"yyyy/mm/dd"),1),"")</f>
        <v>630299929.29999995</v>
      </c>
      <c r="M171">
        <f>IFERROR([1]!S_FA_EPS_basic2($A171,$B$1,"Cur=CNY"),"")</f>
        <v>1.1560999999999999</v>
      </c>
      <c r="N171">
        <f>IFERROR([1]!s_fa_arturndays($A171,TEXT($B$1,"yyyy/mm/dd")),"")</f>
        <v>4.3727999999999998</v>
      </c>
      <c r="O171" t="str">
        <f>IFERROR([1]!fa_apturndays($A171,TEXT($B$1,"yyyy/mm/dd")),"")</f>
        <v>Fetch...</v>
      </c>
      <c r="P171">
        <f>IFERROR([1]!s_fa_invturndays($A171,TEXT($B$1,"yyyy/mm/dd")),"")</f>
        <v>85.714299999999994</v>
      </c>
    </row>
    <row r="172" spans="1:16">
      <c r="A172" t="s">
        <v>185</v>
      </c>
      <c r="B172">
        <f>IFERROR([1]!s_stm07_is($A172,"W70156729",TEXT($B$1,"yyyy/mm/dd"),1),"")</f>
        <v>43612009891.019997</v>
      </c>
      <c r="C172">
        <f>IFERROR([1]!s_stm07_is($A172,"W75682424",TEXT($B$1,"yyyy/mm/dd"),1),"")</f>
        <v>29499479451.02</v>
      </c>
      <c r="D172">
        <f>IFERROR([1]!s_stm07_is($A172,"W76031679",TEXT($B$1,"yyyy/mm/dd"),1),"")</f>
        <v>6526826370.6400003</v>
      </c>
      <c r="E172">
        <f>IFERROR([1]!s_stm07_is($A172,"W70752487",TEXT($B$1,"yyyy/mm/dd"),1),"")</f>
        <v>1344109556.03</v>
      </c>
      <c r="F172">
        <f>IFERROR([1]!s_stm07_is_103($A172,TEXT($B$1,"yyyy/mm/dd"),1),"")</f>
        <v>1753147744.4300001</v>
      </c>
      <c r="G172">
        <f>IFERROR([1]!s_stm07_is_104($A172,TEXT($B$1,"yyyy/mm/dd"),1),"")</f>
        <v>94734093.599999994</v>
      </c>
      <c r="H172">
        <f>IFERROR([1]!s_stm07_is_105($A172,TEXT($B$1,"yyyy/mm/dd"),1),"")</f>
        <v>82517322.890000001</v>
      </c>
      <c r="I172">
        <f>IFERROR([1]!s_stm07_is($A172,"W72946623",TEXT($B$1,"yyyy/mm/dd"),1),"")</f>
        <v>4016462310.2399998</v>
      </c>
      <c r="J172">
        <f>IFERROR([1]!s_stm07_is($A172,"W30028333",TEXT($B$1,"yyyy/mm/dd"),1),"")</f>
        <v>3414335326.4099998</v>
      </c>
      <c r="K172">
        <f>IFERROR([1]!s_stm07_cs($A172,"W77130581",TEXT($B$1,"yyyy/mm/dd"),1),"")</f>
        <v>4245604371.1700001</v>
      </c>
      <c r="L172">
        <f>IFERROR([1]!s_stm07_cs($A172,"W77745895",TEXT($B$1,"yyyy/mm/dd"),1),"")</f>
        <v>1574454008.4100001</v>
      </c>
      <c r="M172">
        <f>IFERROR([1]!S_FA_EPS_basic2($A172,$B$1,"Cur=CNY"),"")</f>
        <v>1.9483999999999999</v>
      </c>
      <c r="N172">
        <f>IFERROR([1]!s_fa_arturndays($A172,TEXT($B$1,"yyyy/mm/dd")),"")</f>
        <v>71.860600000000005</v>
      </c>
      <c r="O172" t="str">
        <f>IFERROR([1]!fa_apturndays($A172,TEXT($B$1,"yyyy/mm/dd")),"")</f>
        <v>Fetch...</v>
      </c>
      <c r="P172">
        <f>IFERROR([1]!s_fa_invturndays($A172,TEXT($B$1,"yyyy/mm/dd")),"")</f>
        <v>62.922800000000002</v>
      </c>
    </row>
    <row r="173" spans="1:16">
      <c r="A173" t="s">
        <v>186</v>
      </c>
      <c r="B173">
        <f>IFERROR([1]!s_stm07_is($A173,"W70156729",TEXT($B$1,"yyyy/mm/dd"),1),"")</f>
        <v>13527749416.42</v>
      </c>
      <c r="C173">
        <f>IFERROR([1]!s_stm07_is($A173,"W75682424",TEXT($B$1,"yyyy/mm/dd"),1),"")</f>
        <v>12799567110.52</v>
      </c>
      <c r="D173">
        <f>IFERROR([1]!s_stm07_is($A173,"W76031679",TEXT($B$1,"yyyy/mm/dd"),1),"")</f>
        <v>0</v>
      </c>
      <c r="E173">
        <f>IFERROR([1]!s_stm07_is($A173,"W70752487",TEXT($B$1,"yyyy/mm/dd"),1),"")</f>
        <v>120941553.7</v>
      </c>
      <c r="F173">
        <f>IFERROR([1]!s_stm07_is_103($A173,TEXT($B$1,"yyyy/mm/dd"),1),"")</f>
        <v>20099752.199999999</v>
      </c>
      <c r="G173">
        <f>IFERROR([1]!s_stm07_is_104($A173,TEXT($B$1,"yyyy/mm/dd"),1),"")</f>
        <v>433439035.49000001</v>
      </c>
      <c r="H173">
        <f>IFERROR([1]!s_stm07_is_105($A173,TEXT($B$1,"yyyy/mm/dd"),1),"")</f>
        <v>1502844.99</v>
      </c>
      <c r="I173">
        <f>IFERROR([1]!s_stm07_is($A173,"W72946623",TEXT($B$1,"yyyy/mm/dd"),1),"")</f>
        <v>-26508050.350000001</v>
      </c>
      <c r="J173">
        <f>IFERROR([1]!s_stm07_is($A173,"W30028333",TEXT($B$1,"yyyy/mm/dd"),1),"")</f>
        <v>-66166081.960000001</v>
      </c>
      <c r="K173">
        <f>IFERROR([1]!s_stm07_cs($A173,"W77130581",TEXT($B$1,"yyyy/mm/dd"),1),"")</f>
        <v>3011605573.9099998</v>
      </c>
      <c r="L173">
        <f>IFERROR([1]!s_stm07_cs($A173,"W77745895",TEXT($B$1,"yyyy/mm/dd"),1),"")</f>
        <v>3525806027.5700002</v>
      </c>
      <c r="M173">
        <f>IFERROR([1]!S_FA_EPS_basic2($A173,$B$1,"Cur=CNY"),"")</f>
        <v>-1.9E-2</v>
      </c>
      <c r="N173">
        <f>IFERROR([1]!s_fa_arturndays($A173,TEXT($B$1,"yyyy/mm/dd")),"")</f>
        <v>50.059800000000003</v>
      </c>
      <c r="O173" t="str">
        <f>IFERROR([1]!fa_apturndays($A173,TEXT($B$1,"yyyy/mm/dd")),"")</f>
        <v>Fetch...</v>
      </c>
      <c r="P173">
        <f>IFERROR([1]!s_fa_invturndays($A173,TEXT($B$1,"yyyy/mm/dd")),"")</f>
        <v>28.754200000000001</v>
      </c>
    </row>
    <row r="174" spans="1:16">
      <c r="A174" t="s">
        <v>187</v>
      </c>
      <c r="B174">
        <f>IFERROR([1]!s_stm07_is($A174,"W70156729",TEXT($B$1,"yyyy/mm/dd"),1),"")</f>
        <v>13843807632.450001</v>
      </c>
      <c r="C174">
        <f>IFERROR([1]!s_stm07_is($A174,"W75682424",TEXT($B$1,"yyyy/mm/dd"),1),"")</f>
        <v>10815131518.5</v>
      </c>
      <c r="D174">
        <f>IFERROR([1]!s_stm07_is($A174,"W76031679",TEXT($B$1,"yyyy/mm/dd"),1),"")</f>
        <v>716524496.10000002</v>
      </c>
      <c r="E174">
        <f>IFERROR([1]!s_stm07_is($A174,"W70752487",TEXT($B$1,"yyyy/mm/dd"),1),"")</f>
        <v>803880040.20000005</v>
      </c>
      <c r="F174">
        <f>IFERROR([1]!s_stm07_is_103($A174,TEXT($B$1,"yyyy/mm/dd"),1),"")</f>
        <v>294498707.16000003</v>
      </c>
      <c r="G174">
        <f>IFERROR([1]!s_stm07_is_104($A174,TEXT($B$1,"yyyy/mm/dd"),1),"")</f>
        <v>209723030.86000001</v>
      </c>
      <c r="H174">
        <f>IFERROR([1]!s_stm07_is_105($A174,TEXT($B$1,"yyyy/mm/dd"),1),"")</f>
        <v>49570028.640000001</v>
      </c>
      <c r="I174">
        <f>IFERROR([1]!s_stm07_is($A174,"W72946623",TEXT($B$1,"yyyy/mm/dd"),1),"")</f>
        <v>734221325.77999997</v>
      </c>
      <c r="J174">
        <f>IFERROR([1]!s_stm07_is($A174,"W30028333",TEXT($B$1,"yyyy/mm/dd"),1),"")</f>
        <v>549799271.94000006</v>
      </c>
      <c r="K174">
        <f>IFERROR([1]!s_stm07_cs($A174,"W77130581",TEXT($B$1,"yyyy/mm/dd"),1),"")</f>
        <v>962875753.97000003</v>
      </c>
      <c r="L174">
        <f>IFERROR([1]!s_stm07_cs($A174,"W77745895",TEXT($B$1,"yyyy/mm/dd"),1),"")</f>
        <v>996553827.63</v>
      </c>
      <c r="M174">
        <f>IFERROR([1]!S_FA_EPS_basic2($A174,$B$1,"Cur=CNY"),"")</f>
        <v>0.17</v>
      </c>
      <c r="N174">
        <f>IFERROR([1]!s_fa_arturndays($A174,TEXT($B$1,"yyyy/mm/dd")),"")</f>
        <v>159.2638</v>
      </c>
      <c r="O174" t="str">
        <f>IFERROR([1]!fa_apturndays($A174,TEXT($B$1,"yyyy/mm/dd")),"")</f>
        <v>Fetch...</v>
      </c>
      <c r="P174">
        <f>IFERROR([1]!s_fa_invturndays($A174,TEXT($B$1,"yyyy/mm/dd")),"")</f>
        <v>38.036499999999997</v>
      </c>
    </row>
    <row r="175" spans="1:16">
      <c r="A175" t="s">
        <v>188</v>
      </c>
      <c r="B175">
        <f>IFERROR([1]!s_stm07_is($A175,"W70156729",TEXT($B$1,"yyyy/mm/dd"),1),"")</f>
        <v>7931530159.3500004</v>
      </c>
      <c r="C175">
        <f>IFERROR([1]!s_stm07_is($A175,"W75682424",TEXT($B$1,"yyyy/mm/dd"),1),"")</f>
        <v>6568069542.1400003</v>
      </c>
      <c r="D175">
        <f>IFERROR([1]!s_stm07_is($A175,"W76031679",TEXT($B$1,"yyyy/mm/dd"),1),"")</f>
        <v>116138888.06</v>
      </c>
      <c r="E175">
        <f>IFERROR([1]!s_stm07_is($A175,"W70752487",TEXT($B$1,"yyyy/mm/dd"),1),"")</f>
        <v>334308412.26999998</v>
      </c>
      <c r="F175">
        <f>IFERROR([1]!s_stm07_is_103($A175,TEXT($B$1,"yyyy/mm/dd"),1),"")</f>
        <v>518902299.02999997</v>
      </c>
      <c r="G175">
        <f>IFERROR([1]!s_stm07_is_104($A175,TEXT($B$1,"yyyy/mm/dd"),1),"")</f>
        <v>13678106.43</v>
      </c>
      <c r="H175">
        <f>IFERROR([1]!s_stm07_is_105($A175,TEXT($B$1,"yyyy/mm/dd"),1),"")</f>
        <v>24343223.32</v>
      </c>
      <c r="I175">
        <f>IFERROR([1]!s_stm07_is($A175,"W72946623",TEXT($B$1,"yyyy/mm/dd"),1),"")</f>
        <v>436211944.97000003</v>
      </c>
      <c r="J175">
        <f>IFERROR([1]!s_stm07_is($A175,"W30028333",TEXT($B$1,"yyyy/mm/dd"),1),"")</f>
        <v>364875766.95999998</v>
      </c>
      <c r="K175">
        <f>IFERROR([1]!s_stm07_cs($A175,"W77130581",TEXT($B$1,"yyyy/mm/dd"),1),"")</f>
        <v>797626087.05999994</v>
      </c>
      <c r="L175">
        <f>IFERROR([1]!s_stm07_cs($A175,"W77745895",TEXT($B$1,"yyyy/mm/dd"),1),"")</f>
        <v>370937042.74000001</v>
      </c>
      <c r="M175">
        <f>IFERROR([1]!S_FA_EPS_basic2($A175,$B$1,"Cur=CNY"),"")</f>
        <v>0.35089999999999999</v>
      </c>
      <c r="N175">
        <f>IFERROR([1]!s_fa_arturndays($A175,TEXT($B$1,"yyyy/mm/dd")),"")</f>
        <v>51.619599999999998</v>
      </c>
      <c r="O175" t="str">
        <f>IFERROR([1]!fa_apturndays($A175,TEXT($B$1,"yyyy/mm/dd")),"")</f>
        <v>Fetch...</v>
      </c>
      <c r="P175">
        <f>IFERROR([1]!s_fa_invturndays($A175,TEXT($B$1,"yyyy/mm/dd")),"")</f>
        <v>121.4534</v>
      </c>
    </row>
    <row r="176" spans="1:16">
      <c r="A176" t="s">
        <v>189</v>
      </c>
      <c r="B176">
        <f>IFERROR([1]!s_stm07_is($A176,"W70156729",TEXT($B$1,"yyyy/mm/dd"),1),"")</f>
        <v>6640657157.9399996</v>
      </c>
      <c r="C176">
        <f>IFERROR([1]!s_stm07_is($A176,"W75682424",TEXT($B$1,"yyyy/mm/dd"),1),"")</f>
        <v>5924663511.8299999</v>
      </c>
      <c r="D176">
        <f>IFERROR([1]!s_stm07_is($A176,"W76031679",TEXT($B$1,"yyyy/mm/dd"),1),"")</f>
        <v>120788135.19</v>
      </c>
      <c r="E176">
        <f>IFERROR([1]!s_stm07_is($A176,"W70752487",TEXT($B$1,"yyyy/mm/dd"),1),"")</f>
        <v>281852262.26999998</v>
      </c>
      <c r="F176">
        <f>IFERROR([1]!s_stm07_is_103($A176,TEXT($B$1,"yyyy/mm/dd"),1),"")</f>
        <v>145065237.37</v>
      </c>
      <c r="G176">
        <f>IFERROR([1]!s_stm07_is_104($A176,TEXT($B$1,"yyyy/mm/dd"),1),"")</f>
        <v>26482529.300000001</v>
      </c>
      <c r="H176">
        <f>IFERROR([1]!s_stm07_is_105($A176,TEXT($B$1,"yyyy/mm/dd"),1),"")</f>
        <v>19560363.149999999</v>
      </c>
      <c r="I176">
        <f>IFERROR([1]!s_stm07_is($A176,"W72946623",TEXT($B$1,"yyyy/mm/dd"),1),"")</f>
        <v>179886304.63999999</v>
      </c>
      <c r="J176">
        <f>IFERROR([1]!s_stm07_is($A176,"W30028333",TEXT($B$1,"yyyy/mm/dd"),1),"")</f>
        <v>91318606.810000002</v>
      </c>
      <c r="K176">
        <f>IFERROR([1]!s_stm07_cs($A176,"W77130581",TEXT($B$1,"yyyy/mm/dd"),1),"")</f>
        <v>-78356576.590000004</v>
      </c>
      <c r="L176">
        <f>IFERROR([1]!s_stm07_cs($A176,"W77745895",TEXT($B$1,"yyyy/mm/dd"),1),"")</f>
        <v>156169999.11000001</v>
      </c>
      <c r="M176">
        <f>IFERROR([1]!S_FA_EPS_basic2($A176,$B$1,"Cur=CNY"),"")</f>
        <v>7.5899999999999995E-2</v>
      </c>
      <c r="N176">
        <f>IFERROR([1]!s_fa_arturndays($A176,TEXT($B$1,"yyyy/mm/dd")),"")</f>
        <v>110.0581</v>
      </c>
      <c r="O176" t="str">
        <f>IFERROR([1]!fa_apturndays($A176,TEXT($B$1,"yyyy/mm/dd")),"")</f>
        <v>Fetch...</v>
      </c>
      <c r="P176">
        <f>IFERROR([1]!s_fa_invturndays($A176,TEXT($B$1,"yyyy/mm/dd")),"")</f>
        <v>176.46190000000001</v>
      </c>
    </row>
    <row r="177" spans="1:16">
      <c r="A177" t="s">
        <v>190</v>
      </c>
      <c r="B177">
        <f>IFERROR([1]!s_stm07_is($A177,"W70156729",TEXT($B$1,"yyyy/mm/dd"),1),"")</f>
        <v>17098604999.309999</v>
      </c>
      <c r="C177">
        <f>IFERROR([1]!s_stm07_is($A177,"W75682424",TEXT($B$1,"yyyy/mm/dd"),1),"")</f>
        <v>11657498206.52</v>
      </c>
      <c r="D177">
        <f>IFERROR([1]!s_stm07_is($A177,"W76031679",TEXT($B$1,"yyyy/mm/dd"),1),"")</f>
        <v>4314428.71</v>
      </c>
      <c r="E177">
        <f>IFERROR([1]!s_stm07_is($A177,"W70752487",TEXT($B$1,"yyyy/mm/dd"),1),"")</f>
        <v>499447908.04000002</v>
      </c>
      <c r="F177">
        <f>IFERROR([1]!s_stm07_is_103($A177,TEXT($B$1,"yyyy/mm/dd"),1),"")</f>
        <v>177868553.36000001</v>
      </c>
      <c r="G177">
        <f>IFERROR([1]!s_stm07_is_104($A177,TEXT($B$1,"yyyy/mm/dd"),1),"")</f>
        <v>57075477.590000004</v>
      </c>
      <c r="H177">
        <f>IFERROR([1]!s_stm07_is_105($A177,TEXT($B$1,"yyyy/mm/dd"),1),"")</f>
        <v>30837944.559999999</v>
      </c>
      <c r="I177">
        <f>IFERROR([1]!s_stm07_is($A177,"W72946623",TEXT($B$1,"yyyy/mm/dd"),1),"")</f>
        <v>4271784889.9400001</v>
      </c>
      <c r="J177">
        <f>IFERROR([1]!s_stm07_is($A177,"W30028333",TEXT($B$1,"yyyy/mm/dd"),1),"")</f>
        <v>2971658678.29</v>
      </c>
      <c r="K177">
        <f>IFERROR([1]!s_stm07_cs($A177,"W77130581",TEXT($B$1,"yyyy/mm/dd"),1),"")</f>
        <v>4680085595.1199999</v>
      </c>
      <c r="L177">
        <f>IFERROR([1]!s_stm07_cs($A177,"W77745895",TEXT($B$1,"yyyy/mm/dd"),1),"")</f>
        <v>1292993007.8</v>
      </c>
      <c r="M177">
        <f>IFERROR([1]!S_FA_EPS_basic2($A177,$B$1,"Cur=CNY"),"")</f>
        <v>1.0705</v>
      </c>
      <c r="N177">
        <f>IFERROR([1]!s_fa_arturndays($A177,TEXT($B$1,"yyyy/mm/dd")),"")</f>
        <v>0.28089999999999998</v>
      </c>
      <c r="O177" t="str">
        <f>IFERROR([1]!fa_apturndays($A177,TEXT($B$1,"yyyy/mm/dd")),"")</f>
        <v>Fetch...</v>
      </c>
      <c r="P177">
        <f>IFERROR([1]!s_fa_invturndays($A177,TEXT($B$1,"yyyy/mm/dd")),"")</f>
        <v>37.052300000000002</v>
      </c>
    </row>
    <row r="178" spans="1:16">
      <c r="A178" t="s">
        <v>191</v>
      </c>
      <c r="B178">
        <f>IFERROR([1]!s_stm07_is($A178,"W70156729",TEXT($B$1,"yyyy/mm/dd"),1),"")</f>
        <v>164781997658.23001</v>
      </c>
      <c r="C178">
        <f>IFERROR([1]!s_stm07_is($A178,"W75682424",TEXT($B$1,"yyyy/mm/dd"),1),"")</f>
        <v>156735004235.26999</v>
      </c>
      <c r="D178">
        <f>IFERROR([1]!s_stm07_is($A178,"W76031679",TEXT($B$1,"yyyy/mm/dd"),1),"")</f>
        <v>1272051663.4400001</v>
      </c>
      <c r="E178">
        <f>IFERROR([1]!s_stm07_is($A178,"W70752487",TEXT($B$1,"yyyy/mm/dd"),1),"")</f>
        <v>916632278.37</v>
      </c>
      <c r="F178">
        <f>IFERROR([1]!s_stm07_is_103($A178,TEXT($B$1,"yyyy/mm/dd"),1),"")</f>
        <v>3811985985.1599998</v>
      </c>
      <c r="G178">
        <f>IFERROR([1]!s_stm07_is_104($A178,TEXT($B$1,"yyyy/mm/dd"),1),"")</f>
        <v>605389303.41999996</v>
      </c>
      <c r="H178">
        <f>IFERROR([1]!s_stm07_is_105($A178,TEXT($B$1,"yyyy/mm/dd"),1),"")</f>
        <v>284653321.25999999</v>
      </c>
      <c r="I178">
        <f>IFERROR([1]!s_stm07_is($A178,"W72946623",TEXT($B$1,"yyyy/mm/dd"),1),"")</f>
        <v>2468469715.3000002</v>
      </c>
      <c r="J178">
        <f>IFERROR([1]!s_stm07_is($A178,"W30028333",TEXT($B$1,"yyyy/mm/dd"),1),"")</f>
        <v>2412866308.7600002</v>
      </c>
      <c r="K178">
        <f>IFERROR([1]!s_stm07_cs($A178,"W77130581",TEXT($B$1,"yyyy/mm/dd"),1),"")</f>
        <v>5453052054.2200003</v>
      </c>
      <c r="L178">
        <f>IFERROR([1]!s_stm07_cs($A178,"W77745895",TEXT($B$1,"yyyy/mm/dd"),1),"")</f>
        <v>225095466.43000001</v>
      </c>
      <c r="M178">
        <f>IFERROR([1]!S_FA_EPS_basic2($A178,$B$1,"Cur=CNY"),"")</f>
        <v>1.639</v>
      </c>
      <c r="N178">
        <f>IFERROR([1]!s_fa_arturndays($A178,TEXT($B$1,"yyyy/mm/dd")),"")</f>
        <v>26.9526</v>
      </c>
      <c r="O178" t="str">
        <f>IFERROR([1]!fa_apturndays($A178,TEXT($B$1,"yyyy/mm/dd")),"")</f>
        <v>Fetch...</v>
      </c>
      <c r="P178">
        <f>IFERROR([1]!s_fa_invturndays($A178,TEXT($B$1,"yyyy/mm/dd")),"")</f>
        <v>100.07510000000001</v>
      </c>
    </row>
    <row r="179" spans="1:16">
      <c r="A179" t="s">
        <v>192</v>
      </c>
      <c r="B179">
        <f>IFERROR([1]!s_stm07_is($A179,"W70156729",TEXT($B$1,"yyyy/mm/dd"),1),"")</f>
        <v>37154856324.57</v>
      </c>
      <c r="C179">
        <f>IFERROR([1]!s_stm07_is($A179,"W75682424",TEXT($B$1,"yyyy/mm/dd"),1),"")</f>
        <v>25814052476.919998</v>
      </c>
      <c r="D179">
        <f>IFERROR([1]!s_stm07_is($A179,"W76031679",TEXT($B$1,"yyyy/mm/dd"),1),"")</f>
        <v>420632080.13</v>
      </c>
      <c r="E179">
        <f>IFERROR([1]!s_stm07_is($A179,"W70752487",TEXT($B$1,"yyyy/mm/dd"),1),"")</f>
        <v>3619317443.6100001</v>
      </c>
      <c r="F179">
        <f>IFERROR([1]!s_stm07_is_103($A179,TEXT($B$1,"yyyy/mm/dd"),1),"")</f>
        <v>1033096360.14</v>
      </c>
      <c r="G179">
        <f>IFERROR([1]!s_stm07_is_104($A179,TEXT($B$1,"yyyy/mm/dd"),1),"")</f>
        <v>899797717.36000001</v>
      </c>
      <c r="H179">
        <f>IFERROR([1]!s_stm07_is_105($A179,TEXT($B$1,"yyyy/mm/dd"),1),"")</f>
        <v>64687161.740000002</v>
      </c>
      <c r="I179">
        <f>IFERROR([1]!s_stm07_is($A179,"W72946623",TEXT($B$1,"yyyy/mm/dd"),1),"")</f>
        <v>3211851953.1999998</v>
      </c>
      <c r="J179">
        <f>IFERROR([1]!s_stm07_is($A179,"W30028333",TEXT($B$1,"yyyy/mm/dd"),1),"")</f>
        <v>1200774988.79</v>
      </c>
      <c r="K179">
        <f>IFERROR([1]!s_stm07_cs($A179,"W77130581",TEXT($B$1,"yyyy/mm/dd"),1),"")</f>
        <v>5896883637.2299995</v>
      </c>
      <c r="L179">
        <f>IFERROR([1]!s_stm07_cs($A179,"W77745895",TEXT($B$1,"yyyy/mm/dd"),1),"")</f>
        <v>2553974359.8499999</v>
      </c>
      <c r="M179">
        <f>IFERROR([1]!S_FA_EPS_basic2($A179,$B$1,"Cur=CNY"),"")</f>
        <v>0.21149999999999999</v>
      </c>
      <c r="N179">
        <f>IFERROR([1]!s_fa_arturndays($A179,TEXT($B$1,"yyyy/mm/dd")),"")</f>
        <v>21.874099999999999</v>
      </c>
      <c r="O179" t="str">
        <f>IFERROR([1]!fa_apturndays($A179,TEXT($B$1,"yyyy/mm/dd")),"")</f>
        <v>Fetch...</v>
      </c>
      <c r="P179">
        <f>IFERROR([1]!s_fa_invturndays($A179,TEXT($B$1,"yyyy/mm/dd")),"")</f>
        <v>27.572500000000002</v>
      </c>
    </row>
    <row r="180" spans="1:16">
      <c r="A180" t="s">
        <v>193</v>
      </c>
      <c r="B180">
        <f>IFERROR([1]!s_stm07_is($A180,"W70156729",TEXT($B$1,"yyyy/mm/dd"),1),"")</f>
        <v>7842657333.4300003</v>
      </c>
      <c r="C180">
        <f>IFERROR([1]!s_stm07_is($A180,"W75682424",TEXT($B$1,"yyyy/mm/dd"),1),"")</f>
        <v>2282831324.5300002</v>
      </c>
      <c r="D180">
        <f>IFERROR([1]!s_stm07_is($A180,"W76031679",TEXT($B$1,"yyyy/mm/dd"),1),"")</f>
        <v>14191050.189999999</v>
      </c>
      <c r="E180">
        <f>IFERROR([1]!s_stm07_is($A180,"W70752487",TEXT($B$1,"yyyy/mm/dd"),1),"")</f>
        <v>1271758999.53</v>
      </c>
      <c r="F180">
        <f>IFERROR([1]!s_stm07_is_103($A180,TEXT($B$1,"yyyy/mm/dd"),1),"")</f>
        <v>4606405.29</v>
      </c>
      <c r="G180">
        <f>IFERROR([1]!s_stm07_is_104($A180,TEXT($B$1,"yyyy/mm/dd"),1),"")</f>
        <v>491267685.37</v>
      </c>
      <c r="H180">
        <f>IFERROR([1]!s_stm07_is_105($A180,TEXT($B$1,"yyyy/mm/dd"),1),"")</f>
        <v>259639690.81999999</v>
      </c>
      <c r="I180">
        <f>IFERROR([1]!s_stm07_is($A180,"W72946623",TEXT($B$1,"yyyy/mm/dd"),1),"")</f>
        <v>5329160097.7700005</v>
      </c>
      <c r="J180">
        <f>IFERROR([1]!s_stm07_is($A180,"W30028333",TEXT($B$1,"yyyy/mm/dd"),1),"")</f>
        <v>3519372047.1300001</v>
      </c>
      <c r="K180">
        <f>IFERROR([1]!s_stm07_cs($A180,"W77130581",TEXT($B$1,"yyyy/mm/dd"),1),"")</f>
        <v>6135563684.8500004</v>
      </c>
      <c r="L180">
        <f>IFERROR([1]!s_stm07_cs($A180,"W77745895",TEXT($B$1,"yyyy/mm/dd"),1),"")</f>
        <v>4854061628.3199997</v>
      </c>
      <c r="M180">
        <f>IFERROR([1]!S_FA_EPS_basic2($A180,$B$1,"Cur=CNY"),"")</f>
        <v>0.69899999999999995</v>
      </c>
      <c r="N180">
        <f>IFERROR([1]!s_fa_arturndays($A180,TEXT($B$1,"yyyy/mm/dd")),"")</f>
        <v>53.875300000000003</v>
      </c>
      <c r="O180" t="str">
        <f>IFERROR([1]!fa_apturndays($A180,TEXT($B$1,"yyyy/mm/dd")),"")</f>
        <v>Fetch...</v>
      </c>
      <c r="P180">
        <f>IFERROR([1]!s_fa_invturndays($A180,TEXT($B$1,"yyyy/mm/dd")),"")</f>
        <v>132.46979999999999</v>
      </c>
    </row>
    <row r="181" spans="1:16">
      <c r="A181" t="s">
        <v>194</v>
      </c>
      <c r="B181">
        <f>IFERROR([1]!s_stm07_is($A181,"W70156729",TEXT($B$1,"yyyy/mm/dd"),1),"")</f>
        <v>11027708635.52</v>
      </c>
      <c r="C181">
        <f>IFERROR([1]!s_stm07_is($A181,"W75682424",TEXT($B$1,"yyyy/mm/dd"),1),"")</f>
        <v>9418449660.6100006</v>
      </c>
      <c r="D181">
        <f>IFERROR([1]!s_stm07_is($A181,"W76031679",TEXT($B$1,"yyyy/mm/dd"),1),"")</f>
        <v>136761165.86000001</v>
      </c>
      <c r="E181">
        <f>IFERROR([1]!s_stm07_is($A181,"W70752487",TEXT($B$1,"yyyy/mm/dd"),1),"")</f>
        <v>504233884.14999998</v>
      </c>
      <c r="F181">
        <f>IFERROR([1]!s_stm07_is_103($A181,TEXT($B$1,"yyyy/mm/dd"),1),"")</f>
        <v>304859508.82999998</v>
      </c>
      <c r="G181">
        <f>IFERROR([1]!s_stm07_is_104($A181,TEXT($B$1,"yyyy/mm/dd"),1),"")</f>
        <v>157187593.49000001</v>
      </c>
      <c r="H181">
        <f>IFERROR([1]!s_stm07_is_105($A181,TEXT($B$1,"yyyy/mm/dd"),1),"")</f>
        <v>42358724.590000004</v>
      </c>
      <c r="I181">
        <f>IFERROR([1]!s_stm07_is($A181,"W72946623",TEXT($B$1,"yyyy/mm/dd"),1),"")</f>
        <v>89411794.079999998</v>
      </c>
      <c r="J181">
        <f>IFERROR([1]!s_stm07_is($A181,"W30028333",TEXT($B$1,"yyyy/mm/dd"),1),"")</f>
        <v>-78142676.409999996</v>
      </c>
      <c r="K181">
        <f>IFERROR([1]!s_stm07_cs($A181,"W77130581",TEXT($B$1,"yyyy/mm/dd"),1),"")</f>
        <v>1078186583.53</v>
      </c>
      <c r="L181">
        <f>IFERROR([1]!s_stm07_cs($A181,"W77745895",TEXT($B$1,"yyyy/mm/dd"),1),"")</f>
        <v>827484028.34000003</v>
      </c>
      <c r="M181">
        <f>IFERROR([1]!S_FA_EPS_basic2($A181,$B$1,"Cur=CNY"),"")</f>
        <v>-6.4299999999999996E-2</v>
      </c>
      <c r="N181">
        <f>IFERROR([1]!s_fa_arturndays($A181,TEXT($B$1,"yyyy/mm/dd")),"")</f>
        <v>33.056899999999999</v>
      </c>
      <c r="O181" t="str">
        <f>IFERROR([1]!fa_apturndays($A181,TEXT($B$1,"yyyy/mm/dd")),"")</f>
        <v>Fetch...</v>
      </c>
      <c r="P181">
        <f>IFERROR([1]!s_fa_invturndays($A181,TEXT($B$1,"yyyy/mm/dd")),"")</f>
        <v>37.031700000000001</v>
      </c>
    </row>
    <row r="182" spans="1:16">
      <c r="A182" t="s">
        <v>195</v>
      </c>
      <c r="B182">
        <f>IFERROR([1]!s_stm07_is($A182,"W70156729",TEXT($B$1,"yyyy/mm/dd"),1),"")</f>
        <v>8758100375.4599991</v>
      </c>
      <c r="C182">
        <f>IFERROR([1]!s_stm07_is($A182,"W75682424",TEXT($B$1,"yyyy/mm/dd"),1),"")</f>
        <v>5580736165.1599998</v>
      </c>
      <c r="D182">
        <f>IFERROR([1]!s_stm07_is($A182,"W76031679",TEXT($B$1,"yyyy/mm/dd"),1),"")</f>
        <v>501650859.76999998</v>
      </c>
      <c r="E182">
        <f>IFERROR([1]!s_stm07_is($A182,"W70752487",TEXT($B$1,"yyyy/mm/dd"),1),"")</f>
        <v>521521925.91000003</v>
      </c>
      <c r="F182">
        <f>IFERROR([1]!s_stm07_is_103($A182,TEXT($B$1,"yyyy/mm/dd"),1),"")</f>
        <v>651025799.23000002</v>
      </c>
      <c r="G182">
        <f>IFERROR([1]!s_stm07_is_104($A182,TEXT($B$1,"yyyy/mm/dd"),1),"")</f>
        <v>14320718.550000001</v>
      </c>
      <c r="H182">
        <f>IFERROR([1]!s_stm07_is_105($A182,TEXT($B$1,"yyyy/mm/dd"),1),"")</f>
        <v>104979215.51000001</v>
      </c>
      <c r="I182">
        <f>IFERROR([1]!s_stm07_is($A182,"W72946623",TEXT($B$1,"yyyy/mm/dd"),1),"")</f>
        <v>1283202807.8800001</v>
      </c>
      <c r="J182">
        <f>IFERROR([1]!s_stm07_is($A182,"W30028333",TEXT($B$1,"yyyy/mm/dd"),1),"")</f>
        <v>1010931189.38</v>
      </c>
      <c r="K182">
        <f>IFERROR([1]!s_stm07_cs($A182,"W77130581",TEXT($B$1,"yyyy/mm/dd"),1),"")</f>
        <v>493436104.41000003</v>
      </c>
      <c r="L182">
        <f>IFERROR([1]!s_stm07_cs($A182,"W77745895",TEXT($B$1,"yyyy/mm/dd"),1),"")</f>
        <v>81223111.439999998</v>
      </c>
      <c r="M182">
        <f>IFERROR([1]!S_FA_EPS_basic2($A182,$B$1,"Cur=CNY"),"")</f>
        <v>1.0054000000000001</v>
      </c>
      <c r="N182">
        <f>IFERROR([1]!s_fa_arturndays($A182,TEXT($B$1,"yyyy/mm/dd")),"")</f>
        <v>73.197500000000005</v>
      </c>
      <c r="O182" t="str">
        <f>IFERROR([1]!fa_apturndays($A182,TEXT($B$1,"yyyy/mm/dd")),"")</f>
        <v>Fetch...</v>
      </c>
      <c r="P182">
        <f>IFERROR([1]!s_fa_invturndays($A182,TEXT($B$1,"yyyy/mm/dd")),"")</f>
        <v>71.827600000000004</v>
      </c>
    </row>
    <row r="183" spans="1:16">
      <c r="A183" t="s">
        <v>196</v>
      </c>
      <c r="B183">
        <f>IFERROR([1]!s_stm07_is($A183,"W70156729",TEXT($B$1,"yyyy/mm/dd"),1),"")</f>
        <v>31602577614.080002</v>
      </c>
      <c r="C183">
        <f>IFERROR([1]!s_stm07_is($A183,"W75682424",TEXT($B$1,"yyyy/mm/dd"),1),"")</f>
        <v>14527707359.35</v>
      </c>
      <c r="D183">
        <f>IFERROR([1]!s_stm07_is($A183,"W76031679",TEXT($B$1,"yyyy/mm/dd"),1),"")</f>
        <v>9088584315.7700005</v>
      </c>
      <c r="E183">
        <f>IFERROR([1]!s_stm07_is($A183,"W70752487",TEXT($B$1,"yyyy/mm/dd"),1),"")</f>
        <v>1897854255.1099999</v>
      </c>
      <c r="F183">
        <f>IFERROR([1]!s_stm07_is_103($A183,TEXT($B$1,"yyyy/mm/dd"),1),"")</f>
        <v>1268067415.51</v>
      </c>
      <c r="G183">
        <f>IFERROR([1]!s_stm07_is_104($A183,TEXT($B$1,"yyyy/mm/dd"),1),"")</f>
        <v>117624513.45</v>
      </c>
      <c r="H183">
        <f>IFERROR([1]!s_stm07_is_105($A183,TEXT($B$1,"yyyy/mm/dd"),1),"")</f>
        <v>90317271.170000002</v>
      </c>
      <c r="I183">
        <f>IFERROR([1]!s_stm07_is($A183,"W72946623",TEXT($B$1,"yyyy/mm/dd"),1),"")</f>
        <v>4864079235.6899996</v>
      </c>
      <c r="J183">
        <f>IFERROR([1]!s_stm07_is($A183,"W30028333",TEXT($B$1,"yyyy/mm/dd"),1),"")</f>
        <v>3421001213.8200002</v>
      </c>
      <c r="K183">
        <f>IFERROR([1]!s_stm07_cs($A183,"W77130581",TEXT($B$1,"yyyy/mm/dd"),1),"")</f>
        <v>5513082840.1800003</v>
      </c>
      <c r="L183">
        <f>IFERROR([1]!s_stm07_cs($A183,"W77745895",TEXT($B$1,"yyyy/mm/dd"),1),"")</f>
        <v>1271449730.5799999</v>
      </c>
      <c r="M183">
        <f>IFERROR([1]!S_FA_EPS_basic2($A183,$B$1,"Cur=CNY"),"")</f>
        <v>2.06</v>
      </c>
      <c r="N183">
        <f>IFERROR([1]!s_fa_arturndays($A183,TEXT($B$1,"yyyy/mm/dd")),"")</f>
        <v>84.147499999999994</v>
      </c>
      <c r="O183" t="str">
        <f>IFERROR([1]!fa_apturndays($A183,TEXT($B$1,"yyyy/mm/dd")),"")</f>
        <v>Fetch...</v>
      </c>
      <c r="P183">
        <f>IFERROR([1]!s_fa_invturndays($A183,TEXT($B$1,"yyyy/mm/dd")),"")</f>
        <v>138.49879999999999</v>
      </c>
    </row>
    <row r="184" spans="1:16">
      <c r="A184" t="s">
        <v>197</v>
      </c>
      <c r="B184">
        <f>IFERROR([1]!s_stm07_is($A184,"W70156729",TEXT($B$1,"yyyy/mm/dd"),1),"")</f>
        <v>4089732209.3299999</v>
      </c>
      <c r="C184">
        <f>IFERROR([1]!s_stm07_is($A184,"W75682424",TEXT($B$1,"yyyy/mm/dd"),1),"")</f>
        <v>2190579649.6399999</v>
      </c>
      <c r="D184">
        <f>IFERROR([1]!s_stm07_is($A184,"W76031679",TEXT($B$1,"yyyy/mm/dd"),1),"")</f>
        <v>3846702.67</v>
      </c>
      <c r="E184">
        <f>IFERROR([1]!s_stm07_is($A184,"W70752487",TEXT($B$1,"yyyy/mm/dd"),1),"")</f>
        <v>421233966.07999998</v>
      </c>
      <c r="F184">
        <f>IFERROR([1]!s_stm07_is_103($A184,TEXT($B$1,"yyyy/mm/dd"),1),"")</f>
        <v>152864767.65000001</v>
      </c>
      <c r="G184">
        <f>IFERROR([1]!s_stm07_is_104($A184,TEXT($B$1,"yyyy/mm/dd"),1),"")</f>
        <v>234405999.36000001</v>
      </c>
      <c r="H184">
        <f>IFERROR([1]!s_stm07_is_105($A184,TEXT($B$1,"yyyy/mm/dd"),1),"")</f>
        <v>6656548.0599999996</v>
      </c>
      <c r="I184">
        <f>IFERROR([1]!s_stm07_is($A184,"W72946623",TEXT($B$1,"yyyy/mm/dd"),1),"")</f>
        <v>871778724.94000006</v>
      </c>
      <c r="J184">
        <f>IFERROR([1]!s_stm07_is($A184,"W30028333",TEXT($B$1,"yyyy/mm/dd"),1),"")</f>
        <v>736034797.73000002</v>
      </c>
      <c r="K184">
        <f>IFERROR([1]!s_stm07_cs($A184,"W77130581",TEXT($B$1,"yyyy/mm/dd"),1),"")</f>
        <v>1157697214.3299999</v>
      </c>
      <c r="L184">
        <f>IFERROR([1]!s_stm07_cs($A184,"W77745895",TEXT($B$1,"yyyy/mm/dd"),1),"")</f>
        <v>1943365291.6099999</v>
      </c>
      <c r="M184">
        <f>IFERROR([1]!S_FA_EPS_basic2($A184,$B$1,"Cur=CNY"),"")</f>
        <v>0.5</v>
      </c>
      <c r="N184">
        <f>IFERROR([1]!s_fa_arturndays($A184,TEXT($B$1,"yyyy/mm/dd")),"")</f>
        <v>7.4657</v>
      </c>
      <c r="O184" t="str">
        <f>IFERROR([1]!fa_apturndays($A184,TEXT($B$1,"yyyy/mm/dd")),"")</f>
        <v>Fetch...</v>
      </c>
      <c r="P184">
        <f>IFERROR([1]!s_fa_invturndays($A184,TEXT($B$1,"yyyy/mm/dd")),"")</f>
        <v>114.3002</v>
      </c>
    </row>
    <row r="185" spans="1:16">
      <c r="A185" t="s">
        <v>198</v>
      </c>
      <c r="B185">
        <f>IFERROR([1]!s_stm07_is($A185,"W70156729",TEXT($B$1,"yyyy/mm/dd"),1),"")</f>
        <v>11963812291.559999</v>
      </c>
      <c r="C185">
        <f>IFERROR([1]!s_stm07_is($A185,"W75682424",TEXT($B$1,"yyyy/mm/dd"),1),"")</f>
        <v>11177944322.76</v>
      </c>
      <c r="D185">
        <f>IFERROR([1]!s_stm07_is($A185,"W76031679",TEXT($B$1,"yyyy/mm/dd"),1),"")</f>
        <v>2564422.02</v>
      </c>
      <c r="E185">
        <f>IFERROR([1]!s_stm07_is($A185,"W70752487",TEXT($B$1,"yyyy/mm/dd"),1),"")</f>
        <v>244688446.28</v>
      </c>
      <c r="F185">
        <f>IFERROR([1]!s_stm07_is_103($A185,TEXT($B$1,"yyyy/mm/dd"),1),"")</f>
        <v>3319926.64</v>
      </c>
      <c r="G185">
        <f>IFERROR([1]!s_stm07_is_104($A185,TEXT($B$1,"yyyy/mm/dd"),1),"")</f>
        <v>6058278.1100000003</v>
      </c>
      <c r="H185">
        <f>IFERROR([1]!s_stm07_is_105($A185,TEXT($B$1,"yyyy/mm/dd"),1),"")</f>
        <v>56693973.149999999</v>
      </c>
      <c r="I185">
        <f>IFERROR([1]!s_stm07_is($A185,"W72946623",TEXT($B$1,"yyyy/mm/dd"),1),"")</f>
        <v>613383131.91999996</v>
      </c>
      <c r="J185">
        <f>IFERROR([1]!s_stm07_is($A185,"W30028333",TEXT($B$1,"yyyy/mm/dd"),1),"")</f>
        <v>424422917.30000001</v>
      </c>
      <c r="K185">
        <f>IFERROR([1]!s_stm07_cs($A185,"W77130581",TEXT($B$1,"yyyy/mm/dd"),1),"")</f>
        <v>705684698.91999996</v>
      </c>
      <c r="L185">
        <f>IFERROR([1]!s_stm07_cs($A185,"W77745895",TEXT($B$1,"yyyy/mm/dd"),1),"")</f>
        <v>2560512899.0500002</v>
      </c>
      <c r="M185">
        <f>IFERROR([1]!S_FA_EPS_basic2($A185,$B$1,"Cur=CNY"),"")</f>
        <v>0.1</v>
      </c>
      <c r="N185">
        <f>IFERROR([1]!s_fa_arturndays($A185,TEXT($B$1,"yyyy/mm/dd")),"")</f>
        <v>98.036500000000004</v>
      </c>
      <c r="O185" t="str">
        <f>IFERROR([1]!fa_apturndays($A185,TEXT($B$1,"yyyy/mm/dd")),"")</f>
        <v>Fetch...</v>
      </c>
      <c r="P185">
        <f>IFERROR([1]!s_fa_invturndays($A185,TEXT($B$1,"yyyy/mm/dd")),"")</f>
        <v>1.6162000000000001</v>
      </c>
    </row>
    <row r="186" spans="1:16">
      <c r="A186" t="s">
        <v>199</v>
      </c>
      <c r="B186">
        <f>IFERROR([1]!s_stm07_is($A186,"W70156729",TEXT($B$1,"yyyy/mm/dd"),1),"")</f>
        <v>3594649511.23</v>
      </c>
      <c r="C186">
        <f>IFERROR([1]!s_stm07_is($A186,"W75682424",TEXT($B$1,"yyyy/mm/dd"),1),"")</f>
        <v>2257327310.4699998</v>
      </c>
      <c r="D186">
        <f>IFERROR([1]!s_stm07_is($A186,"W76031679",TEXT($B$1,"yyyy/mm/dd"),1),"")</f>
        <v>260591111.96000001</v>
      </c>
      <c r="E186">
        <f>IFERROR([1]!s_stm07_is($A186,"W70752487",TEXT($B$1,"yyyy/mm/dd"),1),"")</f>
        <v>134822634.30000001</v>
      </c>
      <c r="F186">
        <f>IFERROR([1]!s_stm07_is_103($A186,TEXT($B$1,"yyyy/mm/dd"),1),"")</f>
        <v>121823215.38</v>
      </c>
      <c r="G186">
        <f>IFERROR([1]!s_stm07_is_104($A186,TEXT($B$1,"yyyy/mm/dd"),1),"")</f>
        <v>5860542.8899999997</v>
      </c>
      <c r="H186">
        <f>IFERROR([1]!s_stm07_is_105($A186,TEXT($B$1,"yyyy/mm/dd"),1),"")</f>
        <v>14762981.34</v>
      </c>
      <c r="I186">
        <f>IFERROR([1]!s_stm07_is($A186,"W72946623",TEXT($B$1,"yyyy/mm/dd"),1),"")</f>
        <v>816480879.70000005</v>
      </c>
      <c r="J186">
        <f>IFERROR([1]!s_stm07_is($A186,"W30028333",TEXT($B$1,"yyyy/mm/dd"),1),"")</f>
        <v>703507797.20000005</v>
      </c>
      <c r="K186">
        <f>IFERROR([1]!s_stm07_cs($A186,"W77130581",TEXT($B$1,"yyyy/mm/dd"),1),"")</f>
        <v>1039838003.65</v>
      </c>
      <c r="L186">
        <f>IFERROR([1]!s_stm07_cs($A186,"W77745895",TEXT($B$1,"yyyy/mm/dd"),1),"")</f>
        <v>223917872.66</v>
      </c>
      <c r="M186">
        <f>IFERROR([1]!S_FA_EPS_basic2($A186,$B$1,"Cur=CNY"),"")</f>
        <v>1.87</v>
      </c>
      <c r="N186">
        <f>IFERROR([1]!s_fa_arturndays($A186,TEXT($B$1,"yyyy/mm/dd")),"")</f>
        <v>15.855700000000001</v>
      </c>
      <c r="O186" t="str">
        <f>IFERROR([1]!fa_apturndays($A186,TEXT($B$1,"yyyy/mm/dd")),"")</f>
        <v>Fetch...</v>
      </c>
      <c r="P186">
        <f>IFERROR([1]!s_fa_invturndays($A186,TEXT($B$1,"yyyy/mm/dd")),"")</f>
        <v>23.961200000000002</v>
      </c>
    </row>
    <row r="187" spans="1:16">
      <c r="A187" t="s">
        <v>200</v>
      </c>
      <c r="B187">
        <f>IFERROR([1]!s_stm07_is($A187,"W70156729",TEXT($B$1,"yyyy/mm/dd"),1),"")</f>
        <v>7794939162.3699999</v>
      </c>
      <c r="C187">
        <f>IFERROR([1]!s_stm07_is($A187,"W75682424",TEXT($B$1,"yyyy/mm/dd"),1),"")</f>
        <v>0</v>
      </c>
      <c r="D187">
        <f>IFERROR([1]!s_stm07_is($A187,"W76031679",TEXT($B$1,"yyyy/mm/dd"),1),"")</f>
        <v>0</v>
      </c>
      <c r="E187">
        <f>IFERROR([1]!s_stm07_is($A187,"W70752487",TEXT($B$1,"yyyy/mm/dd"),1),"")</f>
        <v>2482149994.0999999</v>
      </c>
      <c r="F187">
        <f>IFERROR([1]!s_stm07_is_103($A187,TEXT($B$1,"yyyy/mm/dd"),1),"")</f>
        <v>0</v>
      </c>
      <c r="G187">
        <f>IFERROR([1]!s_stm07_is_104($A187,TEXT($B$1,"yyyy/mm/dd"),1),"")</f>
        <v>0</v>
      </c>
      <c r="H187">
        <f>IFERROR([1]!s_stm07_is_105($A187,TEXT($B$1,"yyyy/mm/dd"),1),"")</f>
        <v>0</v>
      </c>
      <c r="I187">
        <f>IFERROR([1]!s_stm07_is($A187,"W72946623",TEXT($B$1,"yyyy/mm/dd"),1),"")</f>
        <v>1756185490.75</v>
      </c>
      <c r="J187">
        <f>IFERROR([1]!s_stm07_is($A187,"W30028333",TEXT($B$1,"yyyy/mm/dd"),1),"")</f>
        <v>1864821887.79</v>
      </c>
      <c r="K187">
        <f>IFERROR([1]!s_stm07_cs($A187,"W77130581",TEXT($B$1,"yyyy/mm/dd"),1),"")</f>
        <v>26791390760.599998</v>
      </c>
      <c r="L187">
        <f>IFERROR([1]!s_stm07_cs($A187,"W77745895",TEXT($B$1,"yyyy/mm/dd"),1),"")</f>
        <v>166170010.5</v>
      </c>
      <c r="M187">
        <f>IFERROR([1]!S_FA_EPS_basic2($A187,$B$1,"Cur=CNY"),"")</f>
        <v>0.2853</v>
      </c>
      <c r="N187">
        <f>IFERROR([1]!s_fa_arturndays($A187,TEXT($B$1,"yyyy/mm/dd")),"")</f>
        <v>0</v>
      </c>
      <c r="O187" t="str">
        <f>IFERROR([1]!fa_apturndays($A187,TEXT($B$1,"yyyy/mm/dd")),"")</f>
        <v>Fetch...</v>
      </c>
      <c r="P187">
        <f>IFERROR([1]!s_fa_invturndays($A187,TEXT($B$1,"yyyy/mm/dd")),"")</f>
        <v>0</v>
      </c>
    </row>
    <row r="188" spans="1:16">
      <c r="A188" t="s">
        <v>201</v>
      </c>
      <c r="B188">
        <f>IFERROR([1]!s_stm07_is($A188,"W70156729",TEXT($B$1,"yyyy/mm/dd"),1),"")</f>
        <v>287551546.57999998</v>
      </c>
      <c r="C188">
        <f>IFERROR([1]!s_stm07_is($A188,"W75682424",TEXT($B$1,"yyyy/mm/dd"),1),"")</f>
        <v>0</v>
      </c>
      <c r="D188">
        <f>IFERROR([1]!s_stm07_is($A188,"W76031679",TEXT($B$1,"yyyy/mm/dd"),1),"")</f>
        <v>0</v>
      </c>
      <c r="E188">
        <f>IFERROR([1]!s_stm07_is($A188,"W70752487",TEXT($B$1,"yyyy/mm/dd"),1),"")</f>
        <v>269212441.89999998</v>
      </c>
      <c r="F188">
        <f>IFERROR([1]!s_stm07_is_103($A188,TEXT($B$1,"yyyy/mm/dd"),1),"")</f>
        <v>0</v>
      </c>
      <c r="G188">
        <f>IFERROR([1]!s_stm07_is_104($A188,TEXT($B$1,"yyyy/mm/dd"),1),"")</f>
        <v>0</v>
      </c>
      <c r="H188">
        <f>IFERROR([1]!s_stm07_is_105($A188,TEXT($B$1,"yyyy/mm/dd"),1),"")</f>
        <v>0</v>
      </c>
      <c r="I188">
        <f>IFERROR([1]!s_stm07_is($A188,"W72946623",TEXT($B$1,"yyyy/mm/dd"),1),"")</f>
        <v>4342342.3099999996</v>
      </c>
      <c r="J188">
        <f>IFERROR([1]!s_stm07_is($A188,"W30028333",TEXT($B$1,"yyyy/mm/dd"),1),"")</f>
        <v>3992694.29</v>
      </c>
      <c r="K188">
        <f>IFERROR([1]!s_stm07_cs($A188,"W77130581",TEXT($B$1,"yyyy/mm/dd"),1),"")</f>
        <v>772310559.60000002</v>
      </c>
      <c r="L188">
        <f>IFERROR([1]!s_stm07_cs($A188,"W77745895",TEXT($B$1,"yyyy/mm/dd"),1),"")</f>
        <v>7933137.1500000004</v>
      </c>
      <c r="M188">
        <f>IFERROR([1]!S_FA_EPS_basic2($A188,$B$1,"Cur=CNY"),"")</f>
        <v>4.0000000000000001E-3</v>
      </c>
      <c r="N188">
        <f>IFERROR([1]!s_fa_arturndays($A188,TEXT($B$1,"yyyy/mm/dd")),"")</f>
        <v>0</v>
      </c>
      <c r="O188" t="str">
        <f>IFERROR([1]!fa_apturndays($A188,TEXT($B$1,"yyyy/mm/dd")),"")</f>
        <v>Fetch...</v>
      </c>
      <c r="P188">
        <f>IFERROR([1]!s_fa_invturndays($A188,TEXT($B$1,"yyyy/mm/dd")),"")</f>
        <v>0</v>
      </c>
    </row>
    <row r="189" spans="1:16">
      <c r="A189" t="s">
        <v>202</v>
      </c>
      <c r="B189">
        <f>IFERROR([1]!s_stm07_is($A189,"W70156729",TEXT($B$1,"yyyy/mm/dd"),1),"")</f>
        <v>22958005692.810001</v>
      </c>
      <c r="C189">
        <f>IFERROR([1]!s_stm07_is($A189,"W75682424",TEXT($B$1,"yyyy/mm/dd"),1),"")</f>
        <v>14515142922.559999</v>
      </c>
      <c r="D189">
        <f>IFERROR([1]!s_stm07_is($A189,"W76031679",TEXT($B$1,"yyyy/mm/dd"),1),"")</f>
        <v>92765014.909999996</v>
      </c>
      <c r="E189">
        <f>IFERROR([1]!s_stm07_is($A189,"W70752487",TEXT($B$1,"yyyy/mm/dd"),1),"")</f>
        <v>1174552458.1700001</v>
      </c>
      <c r="F189">
        <f>IFERROR([1]!s_stm07_is_103($A189,TEXT($B$1,"yyyy/mm/dd"),1),"")</f>
        <v>27466539.739999998</v>
      </c>
      <c r="G189">
        <f>IFERROR([1]!s_stm07_is_104($A189,TEXT($B$1,"yyyy/mm/dd"),1),"")</f>
        <v>602464020.27999997</v>
      </c>
      <c r="H189">
        <f>IFERROR([1]!s_stm07_is_105($A189,TEXT($B$1,"yyyy/mm/dd"),1),"")</f>
        <v>42323074.850000001</v>
      </c>
      <c r="I189">
        <f>IFERROR([1]!s_stm07_is($A189,"W72946623",TEXT($B$1,"yyyy/mm/dd"),1),"")</f>
        <v>5731116835.3800001</v>
      </c>
      <c r="J189">
        <f>IFERROR([1]!s_stm07_is($A189,"W30028333",TEXT($B$1,"yyyy/mm/dd"),1),"")</f>
        <v>3009498812.04</v>
      </c>
      <c r="K189">
        <f>IFERROR([1]!s_stm07_cs($A189,"W77130581",TEXT($B$1,"yyyy/mm/dd"),1),"")</f>
        <v>8990821077.0499992</v>
      </c>
      <c r="L189">
        <f>IFERROR([1]!s_stm07_cs($A189,"W77745895",TEXT($B$1,"yyyy/mm/dd"),1),"")</f>
        <v>6720798669.1999998</v>
      </c>
      <c r="M189">
        <f>IFERROR([1]!S_FA_EPS_basic2($A189,$B$1,"Cur=CNY"),"")</f>
        <v>0.8</v>
      </c>
      <c r="N189">
        <f>IFERROR([1]!s_fa_arturndays($A189,TEXT($B$1,"yyyy/mm/dd")),"")</f>
        <v>38.090400000000002</v>
      </c>
      <c r="O189" t="str">
        <f>IFERROR([1]!fa_apturndays($A189,TEXT($B$1,"yyyy/mm/dd")),"")</f>
        <v>Fetch...</v>
      </c>
      <c r="P189">
        <f>IFERROR([1]!s_fa_invturndays($A189,TEXT($B$1,"yyyy/mm/dd")),"")</f>
        <v>11.940899999999999</v>
      </c>
    </row>
    <row r="190" spans="1:16">
      <c r="A190" t="s">
        <v>203</v>
      </c>
      <c r="B190">
        <f>IFERROR([1]!s_stm07_is($A190,"W70156729",TEXT($B$1,"yyyy/mm/dd"),1),"")</f>
        <v>65524757553.800003</v>
      </c>
      <c r="C190">
        <f>IFERROR([1]!s_stm07_is($A190,"W75682424",TEXT($B$1,"yyyy/mm/dd"),1),"")</f>
        <v>63401358460.900002</v>
      </c>
      <c r="D190">
        <f>IFERROR([1]!s_stm07_is($A190,"W76031679",TEXT($B$1,"yyyy/mm/dd"),1),"")</f>
        <v>279419725.06</v>
      </c>
      <c r="E190">
        <f>IFERROR([1]!s_stm07_is($A190,"W70752487",TEXT($B$1,"yyyy/mm/dd"),1),"")</f>
        <v>174674172.09</v>
      </c>
      <c r="F190">
        <f>IFERROR([1]!s_stm07_is_103($A190,TEXT($B$1,"yyyy/mm/dd"),1),"")</f>
        <v>92295041.060000002</v>
      </c>
      <c r="G190">
        <f>IFERROR([1]!s_stm07_is_104($A190,TEXT($B$1,"yyyy/mm/dd"),1),"")</f>
        <v>550295969.00999999</v>
      </c>
      <c r="H190">
        <f>IFERROR([1]!s_stm07_is_105($A190,TEXT($B$1,"yyyy/mm/dd"),1),"")</f>
        <v>42000884.549999997</v>
      </c>
      <c r="I190">
        <f>IFERROR([1]!s_stm07_is($A190,"W72946623",TEXT($B$1,"yyyy/mm/dd"),1),"")</f>
        <v>398628485.14999998</v>
      </c>
      <c r="J190">
        <f>IFERROR([1]!s_stm07_is($A190,"W30028333",TEXT($B$1,"yyyy/mm/dd"),1),"")</f>
        <v>284206886.10000002</v>
      </c>
      <c r="K190">
        <f>IFERROR([1]!s_stm07_cs($A190,"W77130581",TEXT($B$1,"yyyy/mm/dd"),1),"")</f>
        <v>-1184404197.97</v>
      </c>
      <c r="L190">
        <f>IFERROR([1]!s_stm07_cs($A190,"W77745895",TEXT($B$1,"yyyy/mm/dd"),1),"")</f>
        <v>73074995.219999999</v>
      </c>
      <c r="M190">
        <f>IFERROR([1]!S_FA_EPS_basic2($A190,$B$1,"Cur=CNY"),"")</f>
        <v>0.374</v>
      </c>
      <c r="N190">
        <f>IFERROR([1]!s_fa_arturndays($A190,TEXT($B$1,"yyyy/mm/dd")),"")</f>
        <v>56.912500000000001</v>
      </c>
      <c r="O190" t="str">
        <f>IFERROR([1]!fa_apturndays($A190,TEXT($B$1,"yyyy/mm/dd")),"")</f>
        <v>Fetch...</v>
      </c>
      <c r="P190">
        <f>IFERROR([1]!s_fa_invturndays($A190,TEXT($B$1,"yyyy/mm/dd")),"")</f>
        <v>65.153700000000001</v>
      </c>
    </row>
    <row r="191" spans="1:16">
      <c r="A191" t="s">
        <v>204</v>
      </c>
      <c r="B191">
        <f>IFERROR([1]!s_stm07_is($A191,"W70156729",TEXT($B$1,"yyyy/mm/dd"),1),"")</f>
        <v>7943039962.4099998</v>
      </c>
      <c r="C191">
        <f>IFERROR([1]!s_stm07_is($A191,"W75682424",TEXT($B$1,"yyyy/mm/dd"),1),"")</f>
        <v>6258479218.6999998</v>
      </c>
      <c r="D191">
        <f>IFERROR([1]!s_stm07_is($A191,"W76031679",TEXT($B$1,"yyyy/mm/dd"),1),"")</f>
        <v>9685457.7300000004</v>
      </c>
      <c r="E191">
        <f>IFERROR([1]!s_stm07_is($A191,"W70752487",TEXT($B$1,"yyyy/mm/dd"),1),"")</f>
        <v>98178312.280000001</v>
      </c>
      <c r="F191">
        <f>IFERROR([1]!s_stm07_is_103($A191,TEXT($B$1,"yyyy/mm/dd"),1),"")</f>
        <v>251009800.72999999</v>
      </c>
      <c r="G191">
        <f>IFERROR([1]!s_stm07_is_104($A191,TEXT($B$1,"yyyy/mm/dd"),1),"")</f>
        <v>90484178.060000002</v>
      </c>
      <c r="H191">
        <f>IFERROR([1]!s_stm07_is_105($A191,TEXT($B$1,"yyyy/mm/dd"),1),"")</f>
        <v>2600250.5299999998</v>
      </c>
      <c r="I191">
        <f>IFERROR([1]!s_stm07_is($A191,"W72946623",TEXT($B$1,"yyyy/mm/dd"),1),"")</f>
        <v>1126359682.48</v>
      </c>
      <c r="J191">
        <f>IFERROR([1]!s_stm07_is($A191,"W30028333",TEXT($B$1,"yyyy/mm/dd"),1),"")</f>
        <v>945821307.79999995</v>
      </c>
      <c r="K191">
        <f>IFERROR([1]!s_stm07_cs($A191,"W77130581",TEXT($B$1,"yyyy/mm/dd"),1),"")</f>
        <v>955677366.21000004</v>
      </c>
      <c r="L191">
        <f>IFERROR([1]!s_stm07_cs($A191,"W77745895",TEXT($B$1,"yyyy/mm/dd"),1),"")</f>
        <v>1034679585.75</v>
      </c>
      <c r="M191">
        <f>IFERROR([1]!S_FA_EPS_basic2($A191,$B$1,"Cur=CNY"),"")</f>
        <v>3.6294</v>
      </c>
      <c r="N191">
        <f>IFERROR([1]!s_fa_arturndays($A191,TEXT($B$1,"yyyy/mm/dd")),"")</f>
        <v>106.15089999999999</v>
      </c>
      <c r="O191" t="str">
        <f>IFERROR([1]!fa_apturndays($A191,TEXT($B$1,"yyyy/mm/dd")),"")</f>
        <v>Fetch...</v>
      </c>
      <c r="P191">
        <f>IFERROR([1]!s_fa_invturndays($A191,TEXT($B$1,"yyyy/mm/dd")),"")</f>
        <v>95.665800000000004</v>
      </c>
    </row>
    <row r="192" spans="1:16">
      <c r="A192" t="s">
        <v>205</v>
      </c>
      <c r="B192">
        <f>IFERROR([1]!s_stm07_is($A192,"W70156729",TEXT($B$1,"yyyy/mm/dd"),1),"")</f>
        <v>14472967943.059999</v>
      </c>
      <c r="C192">
        <f>IFERROR([1]!s_stm07_is($A192,"W75682424",TEXT($B$1,"yyyy/mm/dd"),1),"")</f>
        <v>12456136392.9</v>
      </c>
      <c r="D192">
        <f>IFERROR([1]!s_stm07_is($A192,"W76031679",TEXT($B$1,"yyyy/mm/dd"),1),"")</f>
        <v>463453480.67000002</v>
      </c>
      <c r="E192">
        <f>IFERROR([1]!s_stm07_is($A192,"W70752487",TEXT($B$1,"yyyy/mm/dd"),1),"")</f>
        <v>291266743.97000003</v>
      </c>
      <c r="F192">
        <f>IFERROR([1]!s_stm07_is_103($A192,TEXT($B$1,"yyyy/mm/dd"),1),"")</f>
        <v>604974324.25999999</v>
      </c>
      <c r="G192">
        <f>IFERROR([1]!s_stm07_is_104($A192,TEXT($B$1,"yyyy/mm/dd"),1),"")</f>
        <v>9484813.4900000002</v>
      </c>
      <c r="H192">
        <f>IFERROR([1]!s_stm07_is_105($A192,TEXT($B$1,"yyyy/mm/dd"),1),"")</f>
        <v>168085841.30000001</v>
      </c>
      <c r="I192">
        <f>IFERROR([1]!s_stm07_is($A192,"W72946623",TEXT($B$1,"yyyy/mm/dd"),1),"")</f>
        <v>442095134.30000001</v>
      </c>
      <c r="J192">
        <f>IFERROR([1]!s_stm07_is($A192,"W30028333",TEXT($B$1,"yyyy/mm/dd"),1),"")</f>
        <v>505461190.54000002</v>
      </c>
      <c r="K192">
        <f>IFERROR([1]!s_stm07_cs($A192,"W77130581",TEXT($B$1,"yyyy/mm/dd"),1),"")</f>
        <v>89384912.549999997</v>
      </c>
      <c r="L192">
        <f>IFERROR([1]!s_stm07_cs($A192,"W77745895",TEXT($B$1,"yyyy/mm/dd"),1),"")</f>
        <v>203695169.88</v>
      </c>
      <c r="M192">
        <f>IFERROR([1]!S_FA_EPS_basic2($A192,$B$1,"Cur=CNY"),"")</f>
        <v>0.72</v>
      </c>
      <c r="N192">
        <f>IFERROR([1]!s_fa_arturndays($A192,TEXT($B$1,"yyyy/mm/dd")),"")</f>
        <v>73.260099999999994</v>
      </c>
      <c r="O192" t="str">
        <f>IFERROR([1]!fa_apturndays($A192,TEXT($B$1,"yyyy/mm/dd")),"")</f>
        <v>Fetch...</v>
      </c>
      <c r="P192">
        <f>IFERROR([1]!s_fa_invturndays($A192,TEXT($B$1,"yyyy/mm/dd")),"")</f>
        <v>106.9837</v>
      </c>
    </row>
    <row r="193" spans="1:16">
      <c r="A193" t="s">
        <v>206</v>
      </c>
      <c r="B193">
        <f>IFERROR([1]!s_stm07_is($A193,"W70156729",TEXT($B$1,"yyyy/mm/dd"),1),"")</f>
        <v>10789100246.68</v>
      </c>
      <c r="C193">
        <f>IFERROR([1]!s_stm07_is($A193,"W75682424",TEXT($B$1,"yyyy/mm/dd"),1),"")</f>
        <v>9191419966.8299999</v>
      </c>
      <c r="D193">
        <f>IFERROR([1]!s_stm07_is($A193,"W76031679",TEXT($B$1,"yyyy/mm/dd"),1),"")</f>
        <v>93409077.290000007</v>
      </c>
      <c r="E193">
        <f>IFERROR([1]!s_stm07_is($A193,"W70752487",TEXT($B$1,"yyyy/mm/dd"),1),"")</f>
        <v>206526647.37</v>
      </c>
      <c r="F193">
        <f>IFERROR([1]!s_stm07_is_103($A193,TEXT($B$1,"yyyy/mm/dd"),1),"")</f>
        <v>291693469.45999998</v>
      </c>
      <c r="G193">
        <f>IFERROR([1]!s_stm07_is_104($A193,TEXT($B$1,"yyyy/mm/dd"),1),"")</f>
        <v>144181058.77000001</v>
      </c>
      <c r="H193">
        <f>IFERROR([1]!s_stm07_is_105($A193,TEXT($B$1,"yyyy/mm/dd"),1),"")</f>
        <v>4116794.54</v>
      </c>
      <c r="I193">
        <f>IFERROR([1]!s_stm07_is($A193,"W72946623",TEXT($B$1,"yyyy/mm/dd"),1),"")</f>
        <v>715445769.90999997</v>
      </c>
      <c r="J193">
        <f>IFERROR([1]!s_stm07_is($A193,"W30028333",TEXT($B$1,"yyyy/mm/dd"),1),"")</f>
        <v>688329031.23000002</v>
      </c>
      <c r="K193">
        <f>IFERROR([1]!s_stm07_cs($A193,"W77130581",TEXT($B$1,"yyyy/mm/dd"),1),"")</f>
        <v>-2240893168.1100001</v>
      </c>
      <c r="L193">
        <f>IFERROR([1]!s_stm07_cs($A193,"W77745895",TEXT($B$1,"yyyy/mm/dd"),1),"")</f>
        <v>493681576.63999999</v>
      </c>
      <c r="M193">
        <f>IFERROR([1]!S_FA_EPS_basic2($A193,$B$1,"Cur=CNY"),"")</f>
        <v>3.08</v>
      </c>
      <c r="N193">
        <f>IFERROR([1]!s_fa_arturndays($A193,TEXT($B$1,"yyyy/mm/dd")),"")</f>
        <v>18.6797</v>
      </c>
      <c r="O193" t="str">
        <f>IFERROR([1]!fa_apturndays($A193,TEXT($B$1,"yyyy/mm/dd")),"")</f>
        <v>Fetch...</v>
      </c>
      <c r="P193">
        <f>IFERROR([1]!s_fa_invturndays($A193,TEXT($B$1,"yyyy/mm/dd")),"")</f>
        <v>225.11259999999999</v>
      </c>
    </row>
    <row r="194" spans="1:16">
      <c r="A194" t="s">
        <v>207</v>
      </c>
      <c r="B194">
        <f>IFERROR([1]!s_stm07_is($A194,"W70156729",TEXT($B$1,"yyyy/mm/dd"),1),"")</f>
        <v>1026149563.13</v>
      </c>
      <c r="C194">
        <f>IFERROR([1]!s_stm07_is($A194,"W75682424",TEXT($B$1,"yyyy/mm/dd"),1),"")</f>
        <v>381590236.45999998</v>
      </c>
      <c r="D194">
        <f>IFERROR([1]!s_stm07_is($A194,"W76031679",TEXT($B$1,"yyyy/mm/dd"),1),"")</f>
        <v>3831407.76</v>
      </c>
      <c r="E194">
        <f>IFERROR([1]!s_stm07_is($A194,"W70752487",TEXT($B$1,"yyyy/mm/dd"),1),"")</f>
        <v>76066802.569999993</v>
      </c>
      <c r="F194">
        <f>IFERROR([1]!s_stm07_is_103($A194,TEXT($B$1,"yyyy/mm/dd"),1),"")</f>
        <v>0</v>
      </c>
      <c r="G194">
        <f>IFERROR([1]!s_stm07_is_104($A194,TEXT($B$1,"yyyy/mm/dd"),1),"")</f>
        <v>12606041.220000001</v>
      </c>
      <c r="H194">
        <f>IFERROR([1]!s_stm07_is_105($A194,TEXT($B$1,"yyyy/mm/dd"),1),"")</f>
        <v>2506893.9900000002</v>
      </c>
      <c r="I194">
        <f>IFERROR([1]!s_stm07_is($A194,"W72946623",TEXT($B$1,"yyyy/mm/dd"),1),"")</f>
        <v>533494228.86000001</v>
      </c>
      <c r="J194">
        <f>IFERROR([1]!s_stm07_is($A194,"W30028333",TEXT($B$1,"yyyy/mm/dd"),1),"")</f>
        <v>465823988.02999997</v>
      </c>
      <c r="K194">
        <f>IFERROR([1]!s_stm07_cs($A194,"W77130581",TEXT($B$1,"yyyy/mm/dd"),1),"")</f>
        <v>645149841.08000004</v>
      </c>
      <c r="L194">
        <f>IFERROR([1]!s_stm07_cs($A194,"W77745895",TEXT($B$1,"yyyy/mm/dd"),1),"")</f>
        <v>752255851.22000003</v>
      </c>
      <c r="M194">
        <f>IFERROR([1]!S_FA_EPS_basic2($A194,$B$1,"Cur=CNY"),"")</f>
        <v>1.1100000000000001</v>
      </c>
      <c r="N194">
        <f>IFERROR([1]!s_fa_arturndays($A194,TEXT($B$1,"yyyy/mm/dd")),"")</f>
        <v>0.43940000000000001</v>
      </c>
      <c r="O194" t="str">
        <f>IFERROR([1]!fa_apturndays($A194,TEXT($B$1,"yyyy/mm/dd")),"")</f>
        <v>Fetch...</v>
      </c>
      <c r="P194">
        <f>IFERROR([1]!s_fa_invturndays($A194,TEXT($B$1,"yyyy/mm/dd")),"")</f>
        <v>141.17089999999999</v>
      </c>
    </row>
    <row r="195" spans="1:16">
      <c r="A195" t="s">
        <v>208</v>
      </c>
      <c r="B195">
        <f>IFERROR([1]!s_stm07_is($A195,"W70156729",TEXT($B$1,"yyyy/mm/dd"),1),"")</f>
        <v>4086757920.4299998</v>
      </c>
      <c r="C195">
        <f>IFERROR([1]!s_stm07_is($A195,"W75682424",TEXT($B$1,"yyyy/mm/dd"),1),"")</f>
        <v>3263573261.23</v>
      </c>
      <c r="D195">
        <f>IFERROR([1]!s_stm07_is($A195,"W76031679",TEXT($B$1,"yyyy/mm/dd"),1),"")</f>
        <v>74163299.519999996</v>
      </c>
      <c r="E195">
        <f>IFERROR([1]!s_stm07_is($A195,"W70752487",TEXT($B$1,"yyyy/mm/dd"),1),"")</f>
        <v>124209728.20999999</v>
      </c>
      <c r="F195">
        <f>IFERROR([1]!s_stm07_is_103($A195,TEXT($B$1,"yyyy/mm/dd"),1),"")</f>
        <v>171235557.08000001</v>
      </c>
      <c r="G195">
        <f>IFERROR([1]!s_stm07_is_104($A195,TEXT($B$1,"yyyy/mm/dd"),1),"")</f>
        <v>25296221.809999999</v>
      </c>
      <c r="H195">
        <f>IFERROR([1]!s_stm07_is_105($A195,TEXT($B$1,"yyyy/mm/dd"),1),"")</f>
        <v>20339022.789999999</v>
      </c>
      <c r="I195">
        <f>IFERROR([1]!s_stm07_is($A195,"W72946623",TEXT($B$1,"yyyy/mm/dd"),1),"")</f>
        <v>330738136.35000002</v>
      </c>
      <c r="J195">
        <f>IFERROR([1]!s_stm07_is($A195,"W30028333",TEXT($B$1,"yyyy/mm/dd"),1),"")</f>
        <v>170944823.09999999</v>
      </c>
      <c r="K195">
        <f>IFERROR([1]!s_stm07_cs($A195,"W77130581",TEXT($B$1,"yyyy/mm/dd"),1),"")</f>
        <v>-675611330.92999995</v>
      </c>
      <c r="L195">
        <f>IFERROR([1]!s_stm07_cs($A195,"W77745895",TEXT($B$1,"yyyy/mm/dd"),1),"")</f>
        <v>81733217.939999998</v>
      </c>
      <c r="M195">
        <f>IFERROR([1]!S_FA_EPS_basic2($A195,$B$1,"Cur=CNY"),"")</f>
        <v>0.68</v>
      </c>
      <c r="N195">
        <f>IFERROR([1]!s_fa_arturndays($A195,TEXT($B$1,"yyyy/mm/dd")),"")</f>
        <v>78.415999999999997</v>
      </c>
      <c r="O195" t="str">
        <f>IFERROR([1]!fa_apturndays($A195,TEXT($B$1,"yyyy/mm/dd")),"")</f>
        <v>Fetch...</v>
      </c>
      <c r="P195">
        <f>IFERROR([1]!s_fa_invturndays($A195,TEXT($B$1,"yyyy/mm/dd")),"")</f>
        <v>145.30779999999999</v>
      </c>
    </row>
    <row r="196" spans="1:16">
      <c r="A196" t="s">
        <v>209</v>
      </c>
      <c r="B196">
        <f>IFERROR([1]!s_stm07_is($A196,"W70156729",TEXT($B$1,"yyyy/mm/dd"),1),"")</f>
        <v>2046121117.76</v>
      </c>
      <c r="C196">
        <f>IFERROR([1]!s_stm07_is($A196,"W75682424",TEXT($B$1,"yyyy/mm/dd"),1),"")</f>
        <v>1679576374.51</v>
      </c>
      <c r="D196">
        <f>IFERROR([1]!s_stm07_is($A196,"W76031679",TEXT($B$1,"yyyy/mm/dd"),1),"")</f>
        <v>92969237.719999999</v>
      </c>
      <c r="E196">
        <f>IFERROR([1]!s_stm07_is($A196,"W70752487",TEXT($B$1,"yyyy/mm/dd"),1),"")</f>
        <v>104692274.04000001</v>
      </c>
      <c r="F196">
        <f>IFERROR([1]!s_stm07_is_103($A196,TEXT($B$1,"yyyy/mm/dd"),1),"")</f>
        <v>51774310.899999999</v>
      </c>
      <c r="G196">
        <f>IFERROR([1]!s_stm07_is_104($A196,TEXT($B$1,"yyyy/mm/dd"),1),"")</f>
        <v>2705678.35</v>
      </c>
      <c r="H196">
        <f>IFERROR([1]!s_stm07_is_105($A196,TEXT($B$1,"yyyy/mm/dd"),1),"")</f>
        <v>5794776.5700000003</v>
      </c>
      <c r="I196">
        <f>IFERROR([1]!s_stm07_is($A196,"W72946623",TEXT($B$1,"yyyy/mm/dd"),1),"")</f>
        <v>109385837.09</v>
      </c>
      <c r="J196">
        <f>IFERROR([1]!s_stm07_is($A196,"W30028333",TEXT($B$1,"yyyy/mm/dd"),1),"")</f>
        <v>91522581.069999993</v>
      </c>
      <c r="K196">
        <f>IFERROR([1]!s_stm07_cs($A196,"W77130581",TEXT($B$1,"yyyy/mm/dd"),1),"")</f>
        <v>20183650.129999999</v>
      </c>
      <c r="L196">
        <f>IFERROR([1]!s_stm07_cs($A196,"W77745895",TEXT($B$1,"yyyy/mm/dd"),1),"")</f>
        <v>583039642.37</v>
      </c>
      <c r="M196">
        <f>IFERROR([1]!S_FA_EPS_basic2($A196,$B$1,"Cur=CNY"),"")</f>
        <v>0.16</v>
      </c>
      <c r="N196">
        <f>IFERROR([1]!s_fa_arturndays($A196,TEXT($B$1,"yyyy/mm/dd")),"")</f>
        <v>51.807499999999997</v>
      </c>
      <c r="O196" t="str">
        <f>IFERROR([1]!fa_apturndays($A196,TEXT($B$1,"yyyy/mm/dd")),"")</f>
        <v>Fetch...</v>
      </c>
      <c r="P196">
        <f>IFERROR([1]!s_fa_invturndays($A196,TEXT($B$1,"yyyy/mm/dd")),"")</f>
        <v>106.06019999999999</v>
      </c>
    </row>
    <row r="197" spans="1:16">
      <c r="A197" t="s">
        <v>210</v>
      </c>
      <c r="B197">
        <f>IFERROR([1]!s_stm07_is($A197,"W70156729",TEXT($B$1,"yyyy/mm/dd"),1),"")</f>
        <v>2947169553.3200002</v>
      </c>
      <c r="C197">
        <f>IFERROR([1]!s_stm07_is($A197,"W75682424",TEXT($B$1,"yyyy/mm/dd"),1),"")</f>
        <v>2667505037.1799998</v>
      </c>
      <c r="D197">
        <f>IFERROR([1]!s_stm07_is($A197,"W76031679",TEXT($B$1,"yyyy/mm/dd"),1),"")</f>
        <v>73307652.079999998</v>
      </c>
      <c r="E197">
        <f>IFERROR([1]!s_stm07_is($A197,"W70752487",TEXT($B$1,"yyyy/mm/dd"),1),"")</f>
        <v>35913635.350000001</v>
      </c>
      <c r="F197">
        <f>IFERROR([1]!s_stm07_is_103($A197,TEXT($B$1,"yyyy/mm/dd"),1),"")</f>
        <v>11871285.41</v>
      </c>
      <c r="G197">
        <f>IFERROR([1]!s_stm07_is_104($A197,TEXT($B$1,"yyyy/mm/dd"),1),"")</f>
        <v>2980577.76</v>
      </c>
      <c r="H197">
        <f>IFERROR([1]!s_stm07_is_105($A197,TEXT($B$1,"yyyy/mm/dd"),1),"")</f>
        <v>1045224.45</v>
      </c>
      <c r="I197">
        <f>IFERROR([1]!s_stm07_is($A197,"W72946623",TEXT($B$1,"yyyy/mm/dd"),1),"")</f>
        <v>136638210.63</v>
      </c>
      <c r="J197">
        <f>IFERROR([1]!s_stm07_is($A197,"W30028333",TEXT($B$1,"yyyy/mm/dd"),1),"")</f>
        <v>100387849.37</v>
      </c>
      <c r="K197">
        <f>IFERROR([1]!s_stm07_cs($A197,"W77130581",TEXT($B$1,"yyyy/mm/dd"),1),"")</f>
        <v>-242509080.91999999</v>
      </c>
      <c r="L197">
        <f>IFERROR([1]!s_stm07_cs($A197,"W77745895",TEXT($B$1,"yyyy/mm/dd"),1),"")</f>
        <v>44615611.530000001</v>
      </c>
      <c r="M197">
        <f>IFERROR([1]!S_FA_EPS_basic2($A197,$B$1,"Cur=CNY"),"")</f>
        <v>0.26</v>
      </c>
      <c r="N197">
        <f>IFERROR([1]!s_fa_arturndays($A197,TEXT($B$1,"yyyy/mm/dd")),"")</f>
        <v>86.910300000000007</v>
      </c>
      <c r="O197" t="str">
        <f>IFERROR([1]!fa_apturndays($A197,TEXT($B$1,"yyyy/mm/dd")),"")</f>
        <v>Fetch...</v>
      </c>
      <c r="P197">
        <f>IFERROR([1]!s_fa_invturndays($A197,TEXT($B$1,"yyyy/mm/dd")),"")</f>
        <v>55.680999999999997</v>
      </c>
    </row>
    <row r="198" spans="1:16">
      <c r="A198" t="s">
        <v>211</v>
      </c>
      <c r="B198">
        <f>IFERROR([1]!s_stm07_is($A198,"W70156729",TEXT($B$1,"yyyy/mm/dd"),1),"")</f>
        <v>5485371371.0500002</v>
      </c>
      <c r="C198">
        <f>IFERROR([1]!s_stm07_is($A198,"W75682424",TEXT($B$1,"yyyy/mm/dd"),1),"")</f>
        <v>3596675278.54</v>
      </c>
      <c r="D198">
        <f>IFERROR([1]!s_stm07_is($A198,"W76031679",TEXT($B$1,"yyyy/mm/dd"),1),"")</f>
        <v>128742770.17</v>
      </c>
      <c r="E198">
        <f>IFERROR([1]!s_stm07_is($A198,"W70752487",TEXT($B$1,"yyyy/mm/dd"),1),"")</f>
        <v>211560917.93000001</v>
      </c>
      <c r="F198">
        <f>IFERROR([1]!s_stm07_is_103($A198,TEXT($B$1,"yyyy/mm/dd"),1),"")</f>
        <v>279792960.97000003</v>
      </c>
      <c r="G198">
        <f>IFERROR([1]!s_stm07_is_104($A198,TEXT($B$1,"yyyy/mm/dd"),1),"")</f>
        <v>16570863.48</v>
      </c>
      <c r="H198">
        <f>IFERROR([1]!s_stm07_is_105($A198,TEXT($B$1,"yyyy/mm/dd"),1),"")</f>
        <v>20319273.73</v>
      </c>
      <c r="I198">
        <f>IFERROR([1]!s_stm07_is($A198,"W72946623",TEXT($B$1,"yyyy/mm/dd"),1),"")</f>
        <v>1136899167.9100001</v>
      </c>
      <c r="J198">
        <f>IFERROR([1]!s_stm07_is($A198,"W30028333",TEXT($B$1,"yyyy/mm/dd"),1),"")</f>
        <v>1015789038.65</v>
      </c>
      <c r="K198">
        <f>IFERROR([1]!s_stm07_cs($A198,"W77130581",TEXT($B$1,"yyyy/mm/dd"),1),"")</f>
        <v>1031570638.39</v>
      </c>
      <c r="L198">
        <f>IFERROR([1]!s_stm07_cs($A198,"W77745895",TEXT($B$1,"yyyy/mm/dd"),1),"")</f>
        <v>1309431284.49</v>
      </c>
      <c r="M198">
        <f>IFERROR([1]!S_FA_EPS_basic2($A198,$B$1,"Cur=CNY"),"")</f>
        <v>2.4</v>
      </c>
      <c r="N198">
        <f>IFERROR([1]!s_fa_arturndays($A198,TEXT($B$1,"yyyy/mm/dd")),"")</f>
        <v>101.7668</v>
      </c>
      <c r="O198" t="str">
        <f>IFERROR([1]!fa_apturndays($A198,TEXT($B$1,"yyyy/mm/dd")),"")</f>
        <v>Fetch...</v>
      </c>
      <c r="P198">
        <f>IFERROR([1]!s_fa_invturndays($A198,TEXT($B$1,"yyyy/mm/dd")),"")</f>
        <v>61.206800000000001</v>
      </c>
    </row>
    <row r="199" spans="1:16">
      <c r="A199" t="s">
        <v>212</v>
      </c>
      <c r="B199">
        <f>IFERROR([1]!s_stm07_is($A199,"W70156729",TEXT($B$1,"yyyy/mm/dd"),1),"")</f>
        <v>22878076481</v>
      </c>
      <c r="C199">
        <f>IFERROR([1]!s_stm07_is($A199,"W75682424",TEXT($B$1,"yyyy/mm/dd"),1),"")</f>
        <v>18977153012</v>
      </c>
      <c r="D199">
        <f>IFERROR([1]!s_stm07_is($A199,"W76031679",TEXT($B$1,"yyyy/mm/dd"),1),"")</f>
        <v>410089115</v>
      </c>
      <c r="E199">
        <f>IFERROR([1]!s_stm07_is($A199,"W70752487",TEXT($B$1,"yyyy/mm/dd"),1),"")</f>
        <v>441414793</v>
      </c>
      <c r="F199">
        <f>IFERROR([1]!s_stm07_is_103($A199,TEXT($B$1,"yyyy/mm/dd"),1),"")</f>
        <v>12175510</v>
      </c>
      <c r="G199">
        <f>IFERROR([1]!s_stm07_is_104($A199,TEXT($B$1,"yyyy/mm/dd"),1),"")</f>
        <v>9107114</v>
      </c>
      <c r="H199">
        <f>IFERROR([1]!s_stm07_is_105($A199,TEXT($B$1,"yyyy/mm/dd"),1),"")</f>
        <v>69340470</v>
      </c>
      <c r="I199">
        <f>IFERROR([1]!s_stm07_is($A199,"W72946623",TEXT($B$1,"yyyy/mm/dd"),1),"")</f>
        <v>3443060597</v>
      </c>
      <c r="J199">
        <f>IFERROR([1]!s_stm07_is($A199,"W30028333",TEXT($B$1,"yyyy/mm/dd"),1),"")</f>
        <v>2584694178</v>
      </c>
      <c r="K199">
        <f>IFERROR([1]!s_stm07_cs($A199,"W77130581",TEXT($B$1,"yyyy/mm/dd"),1),"")</f>
        <v>4256594843</v>
      </c>
      <c r="L199">
        <f>IFERROR([1]!s_stm07_cs($A199,"W77745895",TEXT($B$1,"yyyy/mm/dd"),1),"")</f>
        <v>4525745818</v>
      </c>
      <c r="M199">
        <f>IFERROR([1]!S_FA_EPS_basic2($A199,$B$1,"Cur=CNY"),"")</f>
        <v>0.21</v>
      </c>
      <c r="N199">
        <f>IFERROR([1]!s_fa_arturndays($A199,TEXT($B$1,"yyyy/mm/dd")),"")</f>
        <v>46.279000000000003</v>
      </c>
      <c r="O199" t="str">
        <f>IFERROR([1]!fa_apturndays($A199,TEXT($B$1,"yyyy/mm/dd")),"")</f>
        <v>Fetch...</v>
      </c>
      <c r="P199">
        <f>IFERROR([1]!s_fa_invturndays($A199,TEXT($B$1,"yyyy/mm/dd")),"")</f>
        <v>8.8099999999999998E-2</v>
      </c>
    </row>
    <row r="200" spans="1:16">
      <c r="A200" t="s">
        <v>213</v>
      </c>
      <c r="B200">
        <f>IFERROR([1]!s_stm07_is($A200,"W70156729",TEXT($B$1,"yyyy/mm/dd"),1),"")</f>
        <v>12395575413.66</v>
      </c>
      <c r="C200">
        <f>IFERROR([1]!s_stm07_is($A200,"W75682424",TEXT($B$1,"yyyy/mm/dd"),1),"")</f>
        <v>10636707479.639999</v>
      </c>
      <c r="D200">
        <f>IFERROR([1]!s_stm07_is($A200,"W76031679",TEXT($B$1,"yyyy/mm/dd"),1),"")</f>
        <v>292478734.36000001</v>
      </c>
      <c r="E200">
        <f>IFERROR([1]!s_stm07_is($A200,"W70752487",TEXT($B$1,"yyyy/mm/dd"),1),"")</f>
        <v>295869336.41000003</v>
      </c>
      <c r="F200">
        <f>IFERROR([1]!s_stm07_is_103($A200,TEXT($B$1,"yyyy/mm/dd"),1),"")</f>
        <v>339427670.80000001</v>
      </c>
      <c r="G200">
        <f>IFERROR([1]!s_stm07_is_104($A200,TEXT($B$1,"yyyy/mm/dd"),1),"")</f>
        <v>90589863.040000007</v>
      </c>
      <c r="H200">
        <f>IFERROR([1]!s_stm07_is_105($A200,TEXT($B$1,"yyyy/mm/dd"),1),"")</f>
        <v>15038322.1</v>
      </c>
      <c r="I200">
        <f>IFERROR([1]!s_stm07_is($A200,"W72946623",TEXT($B$1,"yyyy/mm/dd"),1),"")</f>
        <v>796532537.38999999</v>
      </c>
      <c r="J200">
        <f>IFERROR([1]!s_stm07_is($A200,"W30028333",TEXT($B$1,"yyyy/mm/dd"),1),"")</f>
        <v>665514760.17999995</v>
      </c>
      <c r="K200">
        <f>IFERROR([1]!s_stm07_cs($A200,"W77130581",TEXT($B$1,"yyyy/mm/dd"),1),"")</f>
        <v>1215185066.0999999</v>
      </c>
      <c r="L200">
        <f>IFERROR([1]!s_stm07_cs($A200,"W77745895",TEXT($B$1,"yyyy/mm/dd"),1),"")</f>
        <v>329920059.30000001</v>
      </c>
      <c r="M200">
        <f>IFERROR([1]!S_FA_EPS_basic2($A200,$B$1,"Cur=CNY"),"")</f>
        <v>0.58120000000000005</v>
      </c>
      <c r="N200">
        <f>IFERROR([1]!s_fa_arturndays($A200,TEXT($B$1,"yyyy/mm/dd")),"")</f>
        <v>61.722000000000001</v>
      </c>
      <c r="O200" t="str">
        <f>IFERROR([1]!fa_apturndays($A200,TEXT($B$1,"yyyy/mm/dd")),"")</f>
        <v>Fetch...</v>
      </c>
      <c r="P200">
        <f>IFERROR([1]!s_fa_invturndays($A200,TEXT($B$1,"yyyy/mm/dd")),"")</f>
        <v>38.159399999999998</v>
      </c>
    </row>
    <row r="201" spans="1:16">
      <c r="A201" t="s">
        <v>214</v>
      </c>
      <c r="B201">
        <f>IFERROR([1]!s_stm07_is($A201,"W70156729",TEXT($B$1,"yyyy/mm/dd"),1),"")</f>
        <v>19273211990.16</v>
      </c>
      <c r="C201">
        <f>IFERROR([1]!s_stm07_is($A201,"W75682424",TEXT($B$1,"yyyy/mm/dd"),1),"")</f>
        <v>17135887410.26</v>
      </c>
      <c r="D201">
        <f>IFERROR([1]!s_stm07_is($A201,"W76031679",TEXT($B$1,"yyyy/mm/dd"),1),"")</f>
        <v>109701505.08</v>
      </c>
      <c r="E201">
        <f>IFERROR([1]!s_stm07_is($A201,"W70752487",TEXT($B$1,"yyyy/mm/dd"),1),"")</f>
        <v>580226199.67999995</v>
      </c>
      <c r="F201">
        <f>IFERROR([1]!s_stm07_is_103($A201,TEXT($B$1,"yyyy/mm/dd"),1),"")</f>
        <v>76106188.609999999</v>
      </c>
      <c r="G201">
        <f>IFERROR([1]!s_stm07_is_104($A201,TEXT($B$1,"yyyy/mm/dd"),1),"")</f>
        <v>25030098.93</v>
      </c>
      <c r="H201">
        <f>IFERROR([1]!s_stm07_is_105($A201,TEXT($B$1,"yyyy/mm/dd"),1),"")</f>
        <v>33991841.369999997</v>
      </c>
      <c r="I201">
        <f>IFERROR([1]!s_stm07_is($A201,"W72946623",TEXT($B$1,"yyyy/mm/dd"),1),"")</f>
        <v>950224203.33000004</v>
      </c>
      <c r="J201">
        <f>IFERROR([1]!s_stm07_is($A201,"W30028333",TEXT($B$1,"yyyy/mm/dd"),1),"")</f>
        <v>654579171.42999995</v>
      </c>
      <c r="K201">
        <f>IFERROR([1]!s_stm07_cs($A201,"W77130581",TEXT($B$1,"yyyy/mm/dd"),1),"")</f>
        <v>1640954562.03</v>
      </c>
      <c r="L201">
        <f>IFERROR([1]!s_stm07_cs($A201,"W77745895",TEXT($B$1,"yyyy/mm/dd"),1),"")</f>
        <v>19121563.609999999</v>
      </c>
      <c r="M201">
        <f>IFERROR([1]!S_FA_EPS_basic2($A201,$B$1,"Cur=CNY"),"")</f>
        <v>0.61850000000000005</v>
      </c>
      <c r="N201">
        <f>IFERROR([1]!s_fa_arturndays($A201,TEXT($B$1,"yyyy/mm/dd")),"")</f>
        <v>43.273400000000002</v>
      </c>
      <c r="O201" t="str">
        <f>IFERROR([1]!fa_apturndays($A201,TEXT($B$1,"yyyy/mm/dd")),"")</f>
        <v>Fetch...</v>
      </c>
      <c r="P201">
        <f>IFERROR([1]!s_fa_invturndays($A201,TEXT($B$1,"yyyy/mm/dd")),"")</f>
        <v>25.0761</v>
      </c>
    </row>
    <row r="202" spans="1:16">
      <c r="A202" t="s">
        <v>215</v>
      </c>
      <c r="B202">
        <f>IFERROR([1]!s_stm07_is($A202,"W70156729",TEXT($B$1,"yyyy/mm/dd"),1),"")</f>
        <v>13360481923.549999</v>
      </c>
      <c r="C202">
        <f>IFERROR([1]!s_stm07_is($A202,"W75682424",TEXT($B$1,"yyyy/mm/dd"),1),"")</f>
        <v>9375361473.6700001</v>
      </c>
      <c r="D202">
        <f>IFERROR([1]!s_stm07_is($A202,"W76031679",TEXT($B$1,"yyyy/mm/dd"),1),"")</f>
        <v>90025099.5</v>
      </c>
      <c r="E202">
        <f>IFERROR([1]!s_stm07_is($A202,"W70752487",TEXT($B$1,"yyyy/mm/dd"),1),"")</f>
        <v>740369693.01999998</v>
      </c>
      <c r="F202">
        <f>IFERROR([1]!s_stm07_is_103($A202,TEXT($B$1,"yyyy/mm/dd"),1),"")</f>
        <v>174944548.78</v>
      </c>
      <c r="G202">
        <f>IFERROR([1]!s_stm07_is_104($A202,TEXT($B$1,"yyyy/mm/dd"),1),"")</f>
        <v>1546063269.8199999</v>
      </c>
      <c r="H202">
        <f>IFERROR([1]!s_stm07_is_105($A202,TEXT($B$1,"yyyy/mm/dd"),1),"")</f>
        <v>108493432.67</v>
      </c>
      <c r="I202">
        <f>IFERROR([1]!s_stm07_is($A202,"W72946623",TEXT($B$1,"yyyy/mm/dd"),1),"")</f>
        <v>5640193566.6700001</v>
      </c>
      <c r="J202">
        <f>IFERROR([1]!s_stm07_is($A202,"W30028333",TEXT($B$1,"yyyy/mm/dd"),1),"")</f>
        <v>4610171908.5600004</v>
      </c>
      <c r="K202">
        <f>IFERROR([1]!s_stm07_cs($A202,"W77130581",TEXT($B$1,"yyyy/mm/dd"),1),"")</f>
        <v>6511290313.3100004</v>
      </c>
      <c r="L202">
        <f>IFERROR([1]!s_stm07_cs($A202,"W77745895",TEXT($B$1,"yyyy/mm/dd"),1),"")</f>
        <v>1163767197.1300001</v>
      </c>
      <c r="M202">
        <f>IFERROR([1]!S_FA_EPS_basic2($A202,$B$1,"Cur=CNY"),"")</f>
        <v>0.65569999999999995</v>
      </c>
      <c r="N202">
        <f>IFERROR([1]!s_fa_arturndays($A202,TEXT($B$1,"yyyy/mm/dd")),"")</f>
        <v>43.104999999999997</v>
      </c>
      <c r="O202" t="str">
        <f>IFERROR([1]!fa_apturndays($A202,TEXT($B$1,"yyyy/mm/dd")),"")</f>
        <v>Fetch...</v>
      </c>
      <c r="P202">
        <f>IFERROR([1]!s_fa_invturndays($A202,TEXT($B$1,"yyyy/mm/dd")),"")</f>
        <v>106.7236</v>
      </c>
    </row>
    <row r="203" spans="1:16">
      <c r="A203" t="s">
        <v>216</v>
      </c>
      <c r="B203">
        <f>IFERROR([1]!s_stm07_is($A203,"W70156729",TEXT($B$1,"yyyy/mm/dd"),1),"")</f>
        <v>154727977005.92001</v>
      </c>
      <c r="C203">
        <f>IFERROR([1]!s_stm07_is($A203,"W75682424",TEXT($B$1,"yyyy/mm/dd"),1),"")</f>
        <v>133440837561.89999</v>
      </c>
      <c r="D203">
        <f>IFERROR([1]!s_stm07_is($A203,"W76031679",TEXT($B$1,"yyyy/mm/dd"),1),"")</f>
        <v>4001664007.1399999</v>
      </c>
      <c r="E203">
        <f>IFERROR([1]!s_stm07_is($A203,"W70752487",TEXT($B$1,"yyyy/mm/dd"),1),"")</f>
        <v>2037287644.01</v>
      </c>
      <c r="F203">
        <f>IFERROR([1]!s_stm07_is_103($A203,TEXT($B$1,"yyyy/mm/dd"),1),"")</f>
        <v>113992482.42</v>
      </c>
      <c r="G203">
        <f>IFERROR([1]!s_stm07_is_104($A203,TEXT($B$1,"yyyy/mm/dd"),1),"")</f>
        <v>3646667330.9000001</v>
      </c>
      <c r="H203">
        <f>IFERROR([1]!s_stm07_is_105($A203,TEXT($B$1,"yyyy/mm/dd"),1),"")</f>
        <v>1299898135.5899999</v>
      </c>
      <c r="I203">
        <f>IFERROR([1]!s_stm07_is($A203,"W72946623",TEXT($B$1,"yyyy/mm/dd"),1),"")</f>
        <v>5180858433.1300001</v>
      </c>
      <c r="J203">
        <f>IFERROR([1]!s_stm07_is($A203,"W30028333",TEXT($B$1,"yyyy/mm/dd"),1),"")</f>
        <v>1023784320.62</v>
      </c>
      <c r="K203">
        <f>IFERROR([1]!s_stm07_cs($A203,"W77130581",TEXT($B$1,"yyyy/mm/dd"),1),"")</f>
        <v>9693099444.3400002</v>
      </c>
      <c r="L203">
        <f>IFERROR([1]!s_stm07_cs($A203,"W77745895",TEXT($B$1,"yyyy/mm/dd"),1),"")</f>
        <v>3482510667.46</v>
      </c>
      <c r="M203">
        <f>IFERROR([1]!S_FA_EPS_basic2($A203,$B$1,"Cur=CNY"),"")</f>
        <v>0.08</v>
      </c>
      <c r="N203">
        <f>IFERROR([1]!s_fa_arturndays($A203,TEXT($B$1,"yyyy/mm/dd")),"")</f>
        <v>8.1204999999999998</v>
      </c>
      <c r="O203" t="str">
        <f>IFERROR([1]!fa_apturndays($A203,TEXT($B$1,"yyyy/mm/dd")),"")</f>
        <v>Fetch...</v>
      </c>
      <c r="P203">
        <f>IFERROR([1]!s_fa_invturndays($A203,TEXT($B$1,"yyyy/mm/dd")),"")</f>
        <v>987.11270000000002</v>
      </c>
    </row>
    <row r="204" spans="1:16">
      <c r="A204" t="s">
        <v>217</v>
      </c>
      <c r="B204">
        <f>IFERROR([1]!s_stm07_is($A204,"W70156729",TEXT($B$1,"yyyy/mm/dd"),1),"")</f>
        <v>22251361880.580002</v>
      </c>
      <c r="C204">
        <f>IFERROR([1]!s_stm07_is($A204,"W75682424",TEXT($B$1,"yyyy/mm/dd"),1),"")</f>
        <v>12310807989.889999</v>
      </c>
      <c r="D204">
        <f>IFERROR([1]!s_stm07_is($A204,"W76031679",TEXT($B$1,"yyyy/mm/dd"),1),"")</f>
        <v>186625106.77000001</v>
      </c>
      <c r="E204">
        <f>IFERROR([1]!s_stm07_is($A204,"W70752487",TEXT($B$1,"yyyy/mm/dd"),1),"")</f>
        <v>656845768.83000004</v>
      </c>
      <c r="F204">
        <f>IFERROR([1]!s_stm07_is_103($A204,TEXT($B$1,"yyyy/mm/dd"),1),"")</f>
        <v>1099437900.4000001</v>
      </c>
      <c r="G204">
        <f>IFERROR([1]!s_stm07_is_104($A204,TEXT($B$1,"yyyy/mm/dd"),1),"")</f>
        <v>223176363.34</v>
      </c>
      <c r="H204">
        <f>IFERROR([1]!s_stm07_is_105($A204,TEXT($B$1,"yyyy/mm/dd"),1),"")</f>
        <v>78265146.310000002</v>
      </c>
      <c r="I204">
        <f>IFERROR([1]!s_stm07_is($A204,"W72946623",TEXT($B$1,"yyyy/mm/dd"),1),"")</f>
        <v>7849517417.9200001</v>
      </c>
      <c r="J204">
        <f>IFERROR([1]!s_stm07_is($A204,"W30028333",TEXT($B$1,"yyyy/mm/dd"),1),"")</f>
        <v>6764199225.29</v>
      </c>
      <c r="K204">
        <f>IFERROR([1]!s_stm07_cs($A204,"W77130581",TEXT($B$1,"yyyy/mm/dd"),1),"")</f>
        <v>8797431340.9200001</v>
      </c>
      <c r="L204">
        <f>IFERROR([1]!s_stm07_cs($A204,"W77745895",TEXT($B$1,"yyyy/mm/dd"),1),"")</f>
        <v>1900353477.8699999</v>
      </c>
      <c r="M204">
        <f>IFERROR([1]!S_FA_EPS_basic2($A204,$B$1,"Cur=CNY"),"")</f>
        <v>2.21</v>
      </c>
      <c r="N204">
        <f>IFERROR([1]!s_fa_arturndays($A204,TEXT($B$1,"yyyy/mm/dd")),"")</f>
        <v>56.505200000000002</v>
      </c>
      <c r="O204" t="str">
        <f>IFERROR([1]!fa_apturndays($A204,TEXT($B$1,"yyyy/mm/dd")),"")</f>
        <v>Fetch...</v>
      </c>
      <c r="P204">
        <f>IFERROR([1]!s_fa_invturndays($A204,TEXT($B$1,"yyyy/mm/dd")),"")</f>
        <v>127.7728</v>
      </c>
    </row>
    <row r="205" spans="1:16">
      <c r="A205" t="s">
        <v>218</v>
      </c>
      <c r="B205">
        <f>IFERROR([1]!s_stm07_is($A205,"W70156729",TEXT($B$1,"yyyy/mm/dd"),1),"")</f>
        <v>4800314902.1300001</v>
      </c>
      <c r="C205">
        <f>IFERROR([1]!s_stm07_is($A205,"W75682424",TEXT($B$1,"yyyy/mm/dd"),1),"")</f>
        <v>2782528503.5</v>
      </c>
      <c r="D205">
        <f>IFERROR([1]!s_stm07_is($A205,"W76031679",TEXT($B$1,"yyyy/mm/dd"),1),"")</f>
        <v>438415217.5</v>
      </c>
      <c r="E205">
        <f>IFERROR([1]!s_stm07_is($A205,"W70752487",TEXT($B$1,"yyyy/mm/dd"),1),"")</f>
        <v>556072514.13999999</v>
      </c>
      <c r="F205">
        <f>IFERROR([1]!s_stm07_is_103($A205,TEXT($B$1,"yyyy/mm/dd"),1),"")</f>
        <v>176597481.96000001</v>
      </c>
      <c r="G205">
        <f>IFERROR([1]!s_stm07_is_104($A205,TEXT($B$1,"yyyy/mm/dd"),1),"")</f>
        <v>30510446.91</v>
      </c>
      <c r="H205">
        <f>IFERROR([1]!s_stm07_is_105($A205,TEXT($B$1,"yyyy/mm/dd"),1),"")</f>
        <v>10435820.16</v>
      </c>
      <c r="I205">
        <f>IFERROR([1]!s_stm07_is($A205,"W72946623",TEXT($B$1,"yyyy/mm/dd"),1),"")</f>
        <v>780057464.35000002</v>
      </c>
      <c r="J205">
        <f>IFERROR([1]!s_stm07_is($A205,"W30028333",TEXT($B$1,"yyyy/mm/dd"),1),"")</f>
        <v>644598106.66999996</v>
      </c>
      <c r="K205">
        <f>IFERROR([1]!s_stm07_cs($A205,"W77130581",TEXT($B$1,"yyyy/mm/dd"),1),"")</f>
        <v>1134512903.6900001</v>
      </c>
      <c r="L205">
        <f>IFERROR([1]!s_stm07_cs($A205,"W77745895",TEXT($B$1,"yyyy/mm/dd"),1),"")</f>
        <v>871313695.13</v>
      </c>
      <c r="M205">
        <f>IFERROR([1]!S_FA_EPS_basic2($A205,$B$1,"Cur=CNY"),"")</f>
        <v>0.55000000000000004</v>
      </c>
      <c r="N205">
        <f>IFERROR([1]!s_fa_arturndays($A205,TEXT($B$1,"yyyy/mm/dd")),"")</f>
        <v>40.070300000000003</v>
      </c>
      <c r="O205" t="str">
        <f>IFERROR([1]!fa_apturndays($A205,TEXT($B$1,"yyyy/mm/dd")),"")</f>
        <v>Fetch...</v>
      </c>
      <c r="P205">
        <f>IFERROR([1]!s_fa_invturndays($A205,TEXT($B$1,"yyyy/mm/dd")),"")</f>
        <v>92.635499999999993</v>
      </c>
    </row>
    <row r="206" spans="1:16">
      <c r="A206" t="s">
        <v>219</v>
      </c>
      <c r="B206">
        <f>IFERROR([1]!s_stm07_is($A206,"W70156729",TEXT($B$1,"yyyy/mm/dd"),1),"")</f>
        <v>11512347207.84</v>
      </c>
      <c r="C206">
        <f>IFERROR([1]!s_stm07_is($A206,"W75682424",TEXT($B$1,"yyyy/mm/dd"),1),"")</f>
        <v>7261558826.3500004</v>
      </c>
      <c r="D206">
        <f>IFERROR([1]!s_stm07_is($A206,"W76031679",TEXT($B$1,"yyyy/mm/dd"),1),"")</f>
        <v>1127296200.71</v>
      </c>
      <c r="E206">
        <f>IFERROR([1]!s_stm07_is($A206,"W70752487",TEXT($B$1,"yyyy/mm/dd"),1),"")</f>
        <v>1217066722.98</v>
      </c>
      <c r="F206">
        <f>IFERROR([1]!s_stm07_is_103($A206,TEXT($B$1,"yyyy/mm/dd"),1),"")</f>
        <v>341616761.85000002</v>
      </c>
      <c r="G206">
        <f>IFERROR([1]!s_stm07_is_104($A206,TEXT($B$1,"yyyy/mm/dd"),1),"")</f>
        <v>309322672.06999999</v>
      </c>
      <c r="H206">
        <f>IFERROR([1]!s_stm07_is_105($A206,TEXT($B$1,"yyyy/mm/dd"),1),"")</f>
        <v>50368091.140000001</v>
      </c>
      <c r="I206">
        <f>IFERROR([1]!s_stm07_is($A206,"W72946623",TEXT($B$1,"yyyy/mm/dd"),1),"")</f>
        <v>1057869033.6799999</v>
      </c>
      <c r="J206">
        <f>IFERROR([1]!s_stm07_is($A206,"W30028333",TEXT($B$1,"yyyy/mm/dd"),1),"")</f>
        <v>713188344.47000003</v>
      </c>
      <c r="K206">
        <f>IFERROR([1]!s_stm07_cs($A206,"W77130581",TEXT($B$1,"yyyy/mm/dd"),1),"")</f>
        <v>2096047419.1099999</v>
      </c>
      <c r="L206">
        <f>IFERROR([1]!s_stm07_cs($A206,"W77745895",TEXT($B$1,"yyyy/mm/dd"),1),"")</f>
        <v>638280063.78999996</v>
      </c>
      <c r="M206">
        <f>IFERROR([1]!S_FA_EPS_basic2($A206,$B$1,"Cur=CNY"),"")</f>
        <v>0.36149999999999999</v>
      </c>
      <c r="N206">
        <f>IFERROR([1]!s_fa_arturndays($A206,TEXT($B$1,"yyyy/mm/dd")),"")</f>
        <v>67.136600000000001</v>
      </c>
      <c r="O206" t="str">
        <f>IFERROR([1]!fa_apturndays($A206,TEXT($B$1,"yyyy/mm/dd")),"")</f>
        <v>Fetch...</v>
      </c>
      <c r="P206">
        <f>IFERROR([1]!s_fa_invturndays($A206,TEXT($B$1,"yyyy/mm/dd")),"")</f>
        <v>106.3861</v>
      </c>
    </row>
    <row r="207" spans="1:16">
      <c r="A207" t="s">
        <v>220</v>
      </c>
      <c r="B207">
        <f>IFERROR([1]!s_stm07_is($A207,"W70156729",TEXT($B$1,"yyyy/mm/dd"),1),"")</f>
        <v>1692963662.8399999</v>
      </c>
      <c r="C207">
        <f>IFERROR([1]!s_stm07_is($A207,"W75682424",TEXT($B$1,"yyyy/mm/dd"),1),"")</f>
        <v>1141264118.75</v>
      </c>
      <c r="D207">
        <f>IFERROR([1]!s_stm07_is($A207,"W76031679",TEXT($B$1,"yyyy/mm/dd"),1),"")</f>
        <v>50821361.649999999</v>
      </c>
      <c r="E207">
        <f>IFERROR([1]!s_stm07_is($A207,"W70752487",TEXT($B$1,"yyyy/mm/dd"),1),"")</f>
        <v>166084597.11000001</v>
      </c>
      <c r="F207">
        <f>IFERROR([1]!s_stm07_is_103($A207,TEXT($B$1,"yyyy/mm/dd"),1),"")</f>
        <v>132601049.29000001</v>
      </c>
      <c r="G207">
        <f>IFERROR([1]!s_stm07_is_104($A207,TEXT($B$1,"yyyy/mm/dd"),1),"")</f>
        <v>13740050.99</v>
      </c>
      <c r="H207">
        <f>IFERROR([1]!s_stm07_is_105($A207,TEXT($B$1,"yyyy/mm/dd"),1),"")</f>
        <v>10427754.15</v>
      </c>
      <c r="I207">
        <f>IFERROR([1]!s_stm07_is($A207,"W72946623",TEXT($B$1,"yyyy/mm/dd"),1),"")</f>
        <v>216381662.52000001</v>
      </c>
      <c r="J207">
        <f>IFERROR([1]!s_stm07_is($A207,"W30028333",TEXT($B$1,"yyyy/mm/dd"),1),"")</f>
        <v>185500338.19999999</v>
      </c>
      <c r="K207">
        <f>IFERROR([1]!s_stm07_cs($A207,"W77130581",TEXT($B$1,"yyyy/mm/dd"),1),"")</f>
        <v>139974236.74000001</v>
      </c>
      <c r="L207">
        <f>IFERROR([1]!s_stm07_cs($A207,"W77745895",TEXT($B$1,"yyyy/mm/dd"),1),"")</f>
        <v>414469437.13</v>
      </c>
      <c r="M207">
        <f>IFERROR([1]!S_FA_EPS_basic2($A207,$B$1,"Cur=CNY"),"")</f>
        <v>0.36209999999999998</v>
      </c>
      <c r="N207">
        <f>IFERROR([1]!s_fa_arturndays($A207,TEXT($B$1,"yyyy/mm/dd")),"")</f>
        <v>199.5787</v>
      </c>
      <c r="O207" t="str">
        <f>IFERROR([1]!fa_apturndays($A207,TEXT($B$1,"yyyy/mm/dd")),"")</f>
        <v>Fetch...</v>
      </c>
      <c r="P207">
        <f>IFERROR([1]!s_fa_invturndays($A207,TEXT($B$1,"yyyy/mm/dd")),"")</f>
        <v>172.31479999999999</v>
      </c>
    </row>
    <row r="208" spans="1:16">
      <c r="A208" t="s">
        <v>221</v>
      </c>
      <c r="B208">
        <f>IFERROR([1]!s_stm07_is($A208,"W70156729",TEXT($B$1,"yyyy/mm/dd"),1),"")</f>
        <v>4595017702.0100002</v>
      </c>
      <c r="C208">
        <f>IFERROR([1]!s_stm07_is($A208,"W75682424",TEXT($B$1,"yyyy/mm/dd"),1),"")</f>
        <v>1951537637.5899999</v>
      </c>
      <c r="D208">
        <f>IFERROR([1]!s_stm07_is($A208,"W76031679",TEXT($B$1,"yyyy/mm/dd"),1),"")</f>
        <v>818067517.04999995</v>
      </c>
      <c r="E208">
        <f>IFERROR([1]!s_stm07_is($A208,"W70752487",TEXT($B$1,"yyyy/mm/dd"),1),"")</f>
        <v>224672887.88</v>
      </c>
      <c r="F208">
        <f>IFERROR([1]!s_stm07_is_103($A208,TEXT($B$1,"yyyy/mm/dd"),1),"")</f>
        <v>337463026.20999998</v>
      </c>
      <c r="G208">
        <f>IFERROR([1]!s_stm07_is_104($A208,TEXT($B$1,"yyyy/mm/dd"),1),"")</f>
        <v>10242183.52</v>
      </c>
      <c r="H208">
        <f>IFERROR([1]!s_stm07_is_105($A208,TEXT($B$1,"yyyy/mm/dd"),1),"")</f>
        <v>10091199.6</v>
      </c>
      <c r="I208">
        <f>IFERROR([1]!s_stm07_is($A208,"W72946623",TEXT($B$1,"yyyy/mm/dd"),1),"")</f>
        <v>1173348364.3099999</v>
      </c>
      <c r="J208">
        <f>IFERROR([1]!s_stm07_is($A208,"W30028333",TEXT($B$1,"yyyy/mm/dd"),1),"")</f>
        <v>940400665.87</v>
      </c>
      <c r="K208">
        <f>IFERROR([1]!s_stm07_cs($A208,"W77130581",TEXT($B$1,"yyyy/mm/dd"),1),"")</f>
        <v>877956500.25</v>
      </c>
      <c r="L208">
        <f>IFERROR([1]!s_stm07_cs($A208,"W77745895",TEXT($B$1,"yyyy/mm/dd"),1),"")</f>
        <v>197305265.37</v>
      </c>
      <c r="M208">
        <f>IFERROR([1]!S_FA_EPS_basic2($A208,$B$1,"Cur=CNY"),"")</f>
        <v>0.5151</v>
      </c>
      <c r="N208">
        <f>IFERROR([1]!s_fa_arturndays($A208,TEXT($B$1,"yyyy/mm/dd")),"")</f>
        <v>140.92779999999999</v>
      </c>
      <c r="O208" t="str">
        <f>IFERROR([1]!fa_apturndays($A208,TEXT($B$1,"yyyy/mm/dd")),"")</f>
        <v>Fetch...</v>
      </c>
      <c r="P208">
        <f>IFERROR([1]!s_fa_invturndays($A208,TEXT($B$1,"yyyy/mm/dd")),"")</f>
        <v>398.18599999999998</v>
      </c>
    </row>
    <row r="209" spans="1:16">
      <c r="A209" t="s">
        <v>222</v>
      </c>
      <c r="B209">
        <f>IFERROR([1]!s_stm07_is($A209,"W70156729",TEXT($B$1,"yyyy/mm/dd"),1),"")</f>
        <v>18758866083.939999</v>
      </c>
      <c r="C209">
        <f>IFERROR([1]!s_stm07_is($A209,"W75682424",TEXT($B$1,"yyyy/mm/dd"),1),"")</f>
        <v>12515886359.27</v>
      </c>
      <c r="D209">
        <f>IFERROR([1]!s_stm07_is($A209,"W76031679",TEXT($B$1,"yyyy/mm/dd"),1),"")</f>
        <v>1469817304.8599999</v>
      </c>
      <c r="E209">
        <f>IFERROR([1]!s_stm07_is($A209,"W70752487",TEXT($B$1,"yyyy/mm/dd"),1),"")</f>
        <v>1333365446.05</v>
      </c>
      <c r="F209">
        <f>IFERROR([1]!s_stm07_is_103($A209,TEXT($B$1,"yyyy/mm/dd"),1),"")</f>
        <v>2064836847.4200001</v>
      </c>
      <c r="G209">
        <f>IFERROR([1]!s_stm07_is_104($A209,TEXT($B$1,"yyyy/mm/dd"),1),"")</f>
        <v>134575426.81999999</v>
      </c>
      <c r="H209">
        <f>IFERROR([1]!s_stm07_is_105($A209,TEXT($B$1,"yyyy/mm/dd"),1),"")</f>
        <v>245036243.75</v>
      </c>
      <c r="I209">
        <f>IFERROR([1]!s_stm07_is($A209,"W72946623",TEXT($B$1,"yyyy/mm/dd"),1),"")</f>
        <v>1553328600.21</v>
      </c>
      <c r="J209">
        <f>IFERROR([1]!s_stm07_is($A209,"W30028333",TEXT($B$1,"yyyy/mm/dd"),1),"")</f>
        <v>1189684341.25</v>
      </c>
      <c r="K209">
        <f>IFERROR([1]!s_stm07_cs($A209,"W77130581",TEXT($B$1,"yyyy/mm/dd"),1),"")</f>
        <v>1469219991.6500001</v>
      </c>
      <c r="L209">
        <f>IFERROR([1]!s_stm07_cs($A209,"W77745895",TEXT($B$1,"yyyy/mm/dd"),1),"")</f>
        <v>639479988.78999996</v>
      </c>
      <c r="M209">
        <f>IFERROR([1]!S_FA_EPS_basic2($A209,$B$1,"Cur=CNY"),"")</f>
        <v>1.1499999999999999</v>
      </c>
      <c r="N209">
        <f>IFERROR([1]!s_fa_arturndays($A209,TEXT($B$1,"yyyy/mm/dd")),"")</f>
        <v>161.3192</v>
      </c>
      <c r="O209" t="str">
        <f>IFERROR([1]!fa_apturndays($A209,TEXT($B$1,"yyyy/mm/dd")),"")</f>
        <v>Fetch...</v>
      </c>
      <c r="P209">
        <f>IFERROR([1]!s_fa_invturndays($A209,TEXT($B$1,"yyyy/mm/dd")),"")</f>
        <v>145.48390000000001</v>
      </c>
    </row>
    <row r="210" spans="1:16">
      <c r="A210" t="s">
        <v>223</v>
      </c>
      <c r="B210">
        <f>IFERROR([1]!s_stm07_is($A210,"W70156729",TEXT($B$1,"yyyy/mm/dd"),1),"")</f>
        <v>25096601763.66</v>
      </c>
      <c r="C210">
        <f>IFERROR([1]!s_stm07_is($A210,"W75682424",TEXT($B$1,"yyyy/mm/dd"),1),"")</f>
        <v>21321969074.18</v>
      </c>
      <c r="D210">
        <f>IFERROR([1]!s_stm07_is($A210,"W76031679",TEXT($B$1,"yyyy/mm/dd"),1),"")</f>
        <v>792302139.61000001</v>
      </c>
      <c r="E210">
        <f>IFERROR([1]!s_stm07_is($A210,"W70752487",TEXT($B$1,"yyyy/mm/dd"),1),"")</f>
        <v>929136494.37</v>
      </c>
      <c r="F210">
        <f>IFERROR([1]!s_stm07_is_103($A210,TEXT($B$1,"yyyy/mm/dd"),1),"")</f>
        <v>454850695.99000001</v>
      </c>
      <c r="G210">
        <f>IFERROR([1]!s_stm07_is_104($A210,TEXT($B$1,"yyyy/mm/dd"),1),"")</f>
        <v>421141263.94</v>
      </c>
      <c r="H210">
        <f>IFERROR([1]!s_stm07_is_105($A210,TEXT($B$1,"yyyy/mm/dd"),1),"")</f>
        <v>53912955.670000002</v>
      </c>
      <c r="I210">
        <f>IFERROR([1]!s_stm07_is($A210,"W72946623",TEXT($B$1,"yyyy/mm/dd"),1),"")</f>
        <v>924440854.63</v>
      </c>
      <c r="J210">
        <f>IFERROR([1]!s_stm07_is($A210,"W30028333",TEXT($B$1,"yyyy/mm/dd"),1),"")</f>
        <v>589653737.38999999</v>
      </c>
      <c r="K210">
        <f>IFERROR([1]!s_stm07_cs($A210,"W77130581",TEXT($B$1,"yyyy/mm/dd"),1),"")</f>
        <v>1389437879.0599999</v>
      </c>
      <c r="L210">
        <f>IFERROR([1]!s_stm07_cs($A210,"W77745895",TEXT($B$1,"yyyy/mm/dd"),1),"")</f>
        <v>906332651.25</v>
      </c>
      <c r="M210">
        <f>IFERROR([1]!S_FA_EPS_basic2($A210,$B$1,"Cur=CNY"),"")</f>
        <v>0.21329999999999999</v>
      </c>
      <c r="N210">
        <f>IFERROR([1]!s_fa_arturndays($A210,TEXT($B$1,"yyyy/mm/dd")),"")</f>
        <v>23.5337</v>
      </c>
      <c r="O210" t="str">
        <f>IFERROR([1]!fa_apturndays($A210,TEXT($B$1,"yyyy/mm/dd")),"")</f>
        <v>Fetch...</v>
      </c>
      <c r="P210">
        <f>IFERROR([1]!s_fa_invturndays($A210,TEXT($B$1,"yyyy/mm/dd")),"")</f>
        <v>26.363199999999999</v>
      </c>
    </row>
    <row r="211" spans="1:16">
      <c r="A211" t="s">
        <v>224</v>
      </c>
      <c r="B211">
        <f>IFERROR([1]!s_stm07_is($A211,"W70156729",TEXT($B$1,"yyyy/mm/dd"),1),"")</f>
        <v>13034507556.9</v>
      </c>
      <c r="C211">
        <f>IFERROR([1]!s_stm07_is($A211,"W75682424",TEXT($B$1,"yyyy/mm/dd"),1),"")</f>
        <v>10625869986.58</v>
      </c>
      <c r="D211">
        <f>IFERROR([1]!s_stm07_is($A211,"W76031679",TEXT($B$1,"yyyy/mm/dd"),1),"")</f>
        <v>342187598.73000002</v>
      </c>
      <c r="E211">
        <f>IFERROR([1]!s_stm07_is($A211,"W70752487",TEXT($B$1,"yyyy/mm/dd"),1),"")</f>
        <v>366701774.44</v>
      </c>
      <c r="F211">
        <f>IFERROR([1]!s_stm07_is_103($A211,TEXT($B$1,"yyyy/mm/dd"),1),"")</f>
        <v>534875461.82999998</v>
      </c>
      <c r="G211">
        <f>IFERROR([1]!s_stm07_is_104($A211,TEXT($B$1,"yyyy/mm/dd"),1),"")</f>
        <v>33170415.280000001</v>
      </c>
      <c r="H211">
        <f>IFERROR([1]!s_stm07_is_105($A211,TEXT($B$1,"yyyy/mm/dd"),1),"")</f>
        <v>37591714.969999999</v>
      </c>
      <c r="I211">
        <f>IFERROR([1]!s_stm07_is($A211,"W72946623",TEXT($B$1,"yyyy/mm/dd"),1),"")</f>
        <v>1214869311.54</v>
      </c>
      <c r="J211">
        <f>IFERROR([1]!s_stm07_is($A211,"W30028333",TEXT($B$1,"yyyy/mm/dd"),1),"")</f>
        <v>1077929787.04</v>
      </c>
      <c r="K211">
        <f>IFERROR([1]!s_stm07_cs($A211,"W77130581",TEXT($B$1,"yyyy/mm/dd"),1),"")</f>
        <v>1440192530.27</v>
      </c>
      <c r="L211">
        <f>IFERROR([1]!s_stm07_cs($A211,"W77745895",TEXT($B$1,"yyyy/mm/dd"),1),"")</f>
        <v>369342854.43000001</v>
      </c>
      <c r="M211">
        <f>IFERROR([1]!S_FA_EPS_basic2($A211,$B$1,"Cur=CNY"),"")</f>
        <v>1.02</v>
      </c>
      <c r="N211">
        <f>IFERROR([1]!s_fa_arturndays($A211,TEXT($B$1,"yyyy/mm/dd")),"")</f>
        <v>65.689800000000005</v>
      </c>
      <c r="O211" t="str">
        <f>IFERROR([1]!fa_apturndays($A211,TEXT($B$1,"yyyy/mm/dd")),"")</f>
        <v>Fetch...</v>
      </c>
      <c r="P211">
        <f>IFERROR([1]!s_fa_invturndays($A211,TEXT($B$1,"yyyy/mm/dd")),"")</f>
        <v>61.362200000000001</v>
      </c>
    </row>
    <row r="212" spans="1:16">
      <c r="A212" t="s">
        <v>225</v>
      </c>
      <c r="B212">
        <f>IFERROR([1]!s_stm07_is($A212,"W70156729",TEXT($B$1,"yyyy/mm/dd"),1),"")</f>
        <v>10325548111.799999</v>
      </c>
      <c r="C212">
        <f>IFERROR([1]!s_stm07_is($A212,"W75682424",TEXT($B$1,"yyyy/mm/dd"),1),"")</f>
        <v>7393540682.8100004</v>
      </c>
      <c r="D212">
        <f>IFERROR([1]!s_stm07_is($A212,"W76031679",TEXT($B$1,"yyyy/mm/dd"),1),"")</f>
        <v>92669217.230000004</v>
      </c>
      <c r="E212">
        <f>IFERROR([1]!s_stm07_is($A212,"W70752487",TEXT($B$1,"yyyy/mm/dd"),1),"")</f>
        <v>864467645.53999996</v>
      </c>
      <c r="F212">
        <f>IFERROR([1]!s_stm07_is_103($A212,TEXT($B$1,"yyyy/mm/dd"),1),"")</f>
        <v>18324630.59</v>
      </c>
      <c r="G212">
        <f>IFERROR([1]!s_stm07_is_104($A212,TEXT($B$1,"yyyy/mm/dd"),1),"")</f>
        <v>728815742.64999998</v>
      </c>
      <c r="H212">
        <f>IFERROR([1]!s_stm07_is_105($A212,TEXT($B$1,"yyyy/mm/dd"),1),"")</f>
        <v>24138243.370000001</v>
      </c>
      <c r="I212">
        <f>IFERROR([1]!s_stm07_is($A212,"W72946623",TEXT($B$1,"yyyy/mm/dd"),1),"")</f>
        <v>1084879412.75</v>
      </c>
      <c r="J212">
        <f>IFERROR([1]!s_stm07_is($A212,"W30028333",TEXT($B$1,"yyyy/mm/dd"),1),"")</f>
        <v>404184698.37</v>
      </c>
      <c r="K212">
        <f>IFERROR([1]!s_stm07_cs($A212,"W77130581",TEXT($B$1,"yyyy/mm/dd"),1),"")</f>
        <v>3166813141.0900002</v>
      </c>
      <c r="L212">
        <f>IFERROR([1]!s_stm07_cs($A212,"W77745895",TEXT($B$1,"yyyy/mm/dd"),1),"")</f>
        <v>3258639940.5900002</v>
      </c>
      <c r="M212">
        <f>IFERROR([1]!S_FA_EPS_basic2($A212,$B$1,"Cur=CNY"),"")</f>
        <v>0.25559999999999999</v>
      </c>
      <c r="N212">
        <f>IFERROR([1]!s_fa_arturndays($A212,TEXT($B$1,"yyyy/mm/dd")),"")</f>
        <v>157.74940000000001</v>
      </c>
      <c r="O212" t="str">
        <f>IFERROR([1]!fa_apturndays($A212,TEXT($B$1,"yyyy/mm/dd")),"")</f>
        <v>Fetch...</v>
      </c>
      <c r="P212">
        <f>IFERROR([1]!s_fa_invturndays($A212,TEXT($B$1,"yyyy/mm/dd")),"")</f>
        <v>25.287099999999999</v>
      </c>
    </row>
    <row r="213" spans="1:16">
      <c r="A213" t="s">
        <v>226</v>
      </c>
      <c r="B213">
        <f>IFERROR([1]!s_stm07_is($A213,"W70156729",TEXT($B$1,"yyyy/mm/dd"),1),"")</f>
        <v>1319435631.72</v>
      </c>
      <c r="C213">
        <f>IFERROR([1]!s_stm07_is($A213,"W75682424",TEXT($B$1,"yyyy/mm/dd"),1),"")</f>
        <v>895355537.38999999</v>
      </c>
      <c r="D213">
        <f>IFERROR([1]!s_stm07_is($A213,"W76031679",TEXT($B$1,"yyyy/mm/dd"),1),"")</f>
        <v>76771822.859999999</v>
      </c>
      <c r="E213">
        <f>IFERROR([1]!s_stm07_is($A213,"W70752487",TEXT($B$1,"yyyy/mm/dd"),1),"")</f>
        <v>57467357.490000002</v>
      </c>
      <c r="F213">
        <f>IFERROR([1]!s_stm07_is_103($A213,TEXT($B$1,"yyyy/mm/dd"),1),"")</f>
        <v>145116525.38999999</v>
      </c>
      <c r="G213">
        <f>IFERROR([1]!s_stm07_is_104($A213,TEXT($B$1,"yyyy/mm/dd"),1),"")</f>
        <v>207111.47</v>
      </c>
      <c r="H213">
        <f>IFERROR([1]!s_stm07_is_105($A213,TEXT($B$1,"yyyy/mm/dd"),1),"")</f>
        <v>36667922.049999997</v>
      </c>
      <c r="I213">
        <f>IFERROR([1]!s_stm07_is($A213,"W72946623",TEXT($B$1,"yyyy/mm/dd"),1),"")</f>
        <v>178350463.09</v>
      </c>
      <c r="J213">
        <f>IFERROR([1]!s_stm07_is($A213,"W30028333",TEXT($B$1,"yyyy/mm/dd"),1),"")</f>
        <v>163135670.81999999</v>
      </c>
      <c r="K213">
        <f>IFERROR([1]!s_stm07_cs($A213,"W77130581",TEXT($B$1,"yyyy/mm/dd"),1),"")</f>
        <v>235477307.36000001</v>
      </c>
      <c r="L213">
        <f>IFERROR([1]!s_stm07_cs($A213,"W77745895",TEXT($B$1,"yyyy/mm/dd"),1),"")</f>
        <v>25011991.98</v>
      </c>
      <c r="M213">
        <f>IFERROR([1]!S_FA_EPS_basic2($A213,$B$1,"Cur=CNY"),"")</f>
        <v>0.28110000000000002</v>
      </c>
      <c r="N213">
        <f>IFERROR([1]!s_fa_arturndays($A213,TEXT($B$1,"yyyy/mm/dd")),"")</f>
        <v>32.796999999999997</v>
      </c>
      <c r="O213" t="str">
        <f>IFERROR([1]!fa_apturndays($A213,TEXT($B$1,"yyyy/mm/dd")),"")</f>
        <v>Fetch...</v>
      </c>
      <c r="P213">
        <f>IFERROR([1]!s_fa_invturndays($A213,TEXT($B$1,"yyyy/mm/dd")),"")</f>
        <v>227.86250000000001</v>
      </c>
    </row>
    <row r="214" spans="1:16">
      <c r="A214" t="s">
        <v>227</v>
      </c>
      <c r="B214">
        <f>IFERROR([1]!s_stm07_is($A214,"W70156729",TEXT($B$1,"yyyy/mm/dd"),1),"")</f>
        <v>5132949329.5299997</v>
      </c>
      <c r="C214">
        <f>IFERROR([1]!s_stm07_is($A214,"W75682424",TEXT($B$1,"yyyy/mm/dd"),1),"")</f>
        <v>2726658411.6300001</v>
      </c>
      <c r="D214">
        <f>IFERROR([1]!s_stm07_is($A214,"W76031679",TEXT($B$1,"yyyy/mm/dd"),1),"")</f>
        <v>1158279825.8699999</v>
      </c>
      <c r="E214">
        <f>IFERROR([1]!s_stm07_is($A214,"W70752487",TEXT($B$1,"yyyy/mm/dd"),1),"")</f>
        <v>418038567.63</v>
      </c>
      <c r="F214">
        <f>IFERROR([1]!s_stm07_is_103($A214,TEXT($B$1,"yyyy/mm/dd"),1),"")</f>
        <v>291374013.55000001</v>
      </c>
      <c r="G214">
        <f>IFERROR([1]!s_stm07_is_104($A214,TEXT($B$1,"yyyy/mm/dd"),1),"")</f>
        <v>53039094.909999996</v>
      </c>
      <c r="H214">
        <f>IFERROR([1]!s_stm07_is_105($A214,TEXT($B$1,"yyyy/mm/dd"),1),"")</f>
        <v>12063797.58</v>
      </c>
      <c r="I214">
        <f>IFERROR([1]!s_stm07_is($A214,"W72946623",TEXT($B$1,"yyyy/mm/dd"),1),"")</f>
        <v>423704237.45999998</v>
      </c>
      <c r="J214">
        <f>IFERROR([1]!s_stm07_is($A214,"W30028333",TEXT($B$1,"yyyy/mm/dd"),1),"")</f>
        <v>402021183.61000001</v>
      </c>
      <c r="K214">
        <f>IFERROR([1]!s_stm07_cs($A214,"W77130581",TEXT($B$1,"yyyy/mm/dd"),1),"")</f>
        <v>458366284.82999998</v>
      </c>
      <c r="L214">
        <f>IFERROR([1]!s_stm07_cs($A214,"W77745895",TEXT($B$1,"yyyy/mm/dd"),1),"")</f>
        <v>559232140.20000005</v>
      </c>
      <c r="M214">
        <f>IFERROR([1]!S_FA_EPS_basic2($A214,$B$1,"Cur=CNY"),"")</f>
        <v>0.33</v>
      </c>
      <c r="N214">
        <f>IFERROR([1]!s_fa_arturndays($A214,TEXT($B$1,"yyyy/mm/dd")),"")</f>
        <v>96.847099999999998</v>
      </c>
      <c r="O214" t="str">
        <f>IFERROR([1]!fa_apturndays($A214,TEXT($B$1,"yyyy/mm/dd")),"")</f>
        <v>Fetch...</v>
      </c>
      <c r="P214">
        <f>IFERROR([1]!s_fa_invturndays($A214,TEXT($B$1,"yyyy/mm/dd")),"")</f>
        <v>152.73650000000001</v>
      </c>
    </row>
    <row r="215" spans="1:16">
      <c r="A215" t="s">
        <v>228</v>
      </c>
      <c r="B215">
        <f>IFERROR([1]!s_stm07_is($A215,"W70156729",TEXT($B$1,"yyyy/mm/dd"),1),"")</f>
        <v>4069361419.5799999</v>
      </c>
      <c r="C215">
        <f>IFERROR([1]!s_stm07_is($A215,"W75682424",TEXT($B$1,"yyyy/mm/dd"),1),"")</f>
        <v>2028631031.74</v>
      </c>
      <c r="D215">
        <f>IFERROR([1]!s_stm07_is($A215,"W76031679",TEXT($B$1,"yyyy/mm/dd"),1),"")</f>
        <v>600791998.76999998</v>
      </c>
      <c r="E215">
        <f>IFERROR([1]!s_stm07_is($A215,"W70752487",TEXT($B$1,"yyyy/mm/dd"),1),"")</f>
        <v>224361559.31999999</v>
      </c>
      <c r="F215">
        <f>IFERROR([1]!s_stm07_is_103($A215,TEXT($B$1,"yyyy/mm/dd"),1),"")</f>
        <v>367985203.81999999</v>
      </c>
      <c r="G215">
        <f>IFERROR([1]!s_stm07_is_104($A215,TEXT($B$1,"yyyy/mm/dd"),1),"")</f>
        <v>3955681.57</v>
      </c>
      <c r="H215">
        <f>IFERROR([1]!s_stm07_is_105($A215,TEXT($B$1,"yyyy/mm/dd"),1),"")</f>
        <v>61470628.729999997</v>
      </c>
      <c r="I215">
        <f>IFERROR([1]!s_stm07_is($A215,"W72946623",TEXT($B$1,"yyyy/mm/dd"),1),"")</f>
        <v>864325602.04999995</v>
      </c>
      <c r="J215">
        <f>IFERROR([1]!s_stm07_is($A215,"W30028333",TEXT($B$1,"yyyy/mm/dd"),1),"")</f>
        <v>757979439.23000002</v>
      </c>
      <c r="K215">
        <f>IFERROR([1]!s_stm07_cs($A215,"W77130581",TEXT($B$1,"yyyy/mm/dd"),1),"")</f>
        <v>781347072.84000003</v>
      </c>
      <c r="L215">
        <f>IFERROR([1]!s_stm07_cs($A215,"W77745895",TEXT($B$1,"yyyy/mm/dd"),1),"")</f>
        <v>202850821.93000001</v>
      </c>
      <c r="M215">
        <f>IFERROR([1]!S_FA_EPS_basic2($A215,$B$1,"Cur=CNY"),"")</f>
        <v>0.92</v>
      </c>
      <c r="N215">
        <f>IFERROR([1]!s_fa_arturndays($A215,TEXT($B$1,"yyyy/mm/dd")),"")</f>
        <v>67.810699999999997</v>
      </c>
      <c r="O215" t="str">
        <f>IFERROR([1]!fa_apturndays($A215,TEXT($B$1,"yyyy/mm/dd")),"")</f>
        <v>Fetch...</v>
      </c>
      <c r="P215">
        <f>IFERROR([1]!s_fa_invturndays($A215,TEXT($B$1,"yyyy/mm/dd")),"")</f>
        <v>138.31790000000001</v>
      </c>
    </row>
    <row r="216" spans="1:16">
      <c r="A216" t="s">
        <v>229</v>
      </c>
      <c r="B216">
        <f>IFERROR([1]!s_stm07_is($A216,"W70156729",TEXT($B$1,"yyyy/mm/dd"),1),"")</f>
        <v>1558646469.6800001</v>
      </c>
      <c r="C216">
        <f>IFERROR([1]!s_stm07_is($A216,"W75682424",TEXT($B$1,"yyyy/mm/dd"),1),"")</f>
        <v>1066250984.75</v>
      </c>
      <c r="D216">
        <f>IFERROR([1]!s_stm07_is($A216,"W76031679",TEXT($B$1,"yyyy/mm/dd"),1),"")</f>
        <v>36736529.399999999</v>
      </c>
      <c r="E216">
        <f>IFERROR([1]!s_stm07_is($A216,"W70752487",TEXT($B$1,"yyyy/mm/dd"),1),"")</f>
        <v>203018280.84</v>
      </c>
      <c r="F216">
        <f>IFERROR([1]!s_stm07_is_103($A216,TEXT($B$1,"yyyy/mm/dd"),1),"")</f>
        <v>49103026.219999999</v>
      </c>
      <c r="G216">
        <f>IFERROR([1]!s_stm07_is_104($A216,TEXT($B$1,"yyyy/mm/dd"),1),"")</f>
        <v>58516908.939999998</v>
      </c>
      <c r="H216">
        <f>IFERROR([1]!s_stm07_is_105($A216,TEXT($B$1,"yyyy/mm/dd"),1),"")</f>
        <v>9910185.8399999999</v>
      </c>
      <c r="I216">
        <f>IFERROR([1]!s_stm07_is($A216,"W72946623",TEXT($B$1,"yyyy/mm/dd"),1),"")</f>
        <v>-482588126.26999998</v>
      </c>
      <c r="J216">
        <f>IFERROR([1]!s_stm07_is($A216,"W30028333",TEXT($B$1,"yyyy/mm/dd"),1),"")</f>
        <v>-534510065.97000003</v>
      </c>
      <c r="K216">
        <f>IFERROR([1]!s_stm07_cs($A216,"W77130581",TEXT($B$1,"yyyy/mm/dd"),1),"")</f>
        <v>584374498.75999999</v>
      </c>
      <c r="L216">
        <f>IFERROR([1]!s_stm07_cs($A216,"W77745895",TEXT($B$1,"yyyy/mm/dd"),1),"")</f>
        <v>126759370.89</v>
      </c>
      <c r="M216">
        <f>IFERROR([1]!S_FA_EPS_basic2($A216,$B$1,"Cur=CNY"),"")</f>
        <v>-0.72230000000000005</v>
      </c>
      <c r="N216">
        <f>IFERROR([1]!s_fa_arturndays($A216,TEXT($B$1,"yyyy/mm/dd")),"")</f>
        <v>149.3776</v>
      </c>
      <c r="O216" t="str">
        <f>IFERROR([1]!fa_apturndays($A216,TEXT($B$1,"yyyy/mm/dd")),"")</f>
        <v>Fetch...</v>
      </c>
      <c r="P216">
        <f>IFERROR([1]!s_fa_invturndays($A216,TEXT($B$1,"yyyy/mm/dd")),"")</f>
        <v>173.54419999999999</v>
      </c>
    </row>
    <row r="217" spans="1:16">
      <c r="A217" t="s">
        <v>230</v>
      </c>
      <c r="B217">
        <f>IFERROR([1]!s_stm07_is($A217,"W70156729",TEXT($B$1,"yyyy/mm/dd"),1),"")</f>
        <v>5819834373.25</v>
      </c>
      <c r="C217">
        <f>IFERROR([1]!s_stm07_is($A217,"W75682424",TEXT($B$1,"yyyy/mm/dd"),1),"")</f>
        <v>4039106713.9400001</v>
      </c>
      <c r="D217">
        <f>IFERROR([1]!s_stm07_is($A217,"W76031679",TEXT($B$1,"yyyy/mm/dd"),1),"")</f>
        <v>148028129.55000001</v>
      </c>
      <c r="E217">
        <f>IFERROR([1]!s_stm07_is($A217,"W70752487",TEXT($B$1,"yyyy/mm/dd"),1),"")</f>
        <v>598099613.75999999</v>
      </c>
      <c r="F217">
        <f>IFERROR([1]!s_stm07_is_103($A217,TEXT($B$1,"yyyy/mm/dd"),1),"")</f>
        <v>738075428.84000003</v>
      </c>
      <c r="G217">
        <f>IFERROR([1]!s_stm07_is_104($A217,TEXT($B$1,"yyyy/mm/dd"),1),"")</f>
        <v>21151501.510000002</v>
      </c>
      <c r="H217">
        <f>IFERROR([1]!s_stm07_is_105($A217,TEXT($B$1,"yyyy/mm/dd"),1),"")</f>
        <v>28119938.109999999</v>
      </c>
      <c r="I217">
        <f>IFERROR([1]!s_stm07_is($A217,"W72946623",TEXT($B$1,"yyyy/mm/dd"),1),"")</f>
        <v>225917216.36000001</v>
      </c>
      <c r="J217">
        <f>IFERROR([1]!s_stm07_is($A217,"W30028333",TEXT($B$1,"yyyy/mm/dd"),1),"")</f>
        <v>182846795.18000001</v>
      </c>
      <c r="K217">
        <f>IFERROR([1]!s_stm07_cs($A217,"W77130581",TEXT($B$1,"yyyy/mm/dd"),1),"")</f>
        <v>-613727411.11000001</v>
      </c>
      <c r="L217">
        <f>IFERROR([1]!s_stm07_cs($A217,"W77745895",TEXT($B$1,"yyyy/mm/dd"),1),"")</f>
        <v>369333565.79000002</v>
      </c>
      <c r="M217">
        <f>IFERROR([1]!S_FA_EPS_basic2($A217,$B$1,"Cur=CNY"),"")</f>
        <v>0.4</v>
      </c>
      <c r="N217">
        <f>IFERROR([1]!s_fa_arturndays($A217,TEXT($B$1,"yyyy/mm/dd")),"")</f>
        <v>218.95150000000001</v>
      </c>
      <c r="O217" t="str">
        <f>IFERROR([1]!fa_apturndays($A217,TEXT($B$1,"yyyy/mm/dd")),"")</f>
        <v>Fetch...</v>
      </c>
      <c r="P217">
        <f>IFERROR([1]!s_fa_invturndays($A217,TEXT($B$1,"yyyy/mm/dd")),"")</f>
        <v>194.01779999999999</v>
      </c>
    </row>
    <row r="218" spans="1:16">
      <c r="A218" t="s">
        <v>231</v>
      </c>
      <c r="B218">
        <f>IFERROR([1]!s_stm07_is($A218,"W70156729",TEXT($B$1,"yyyy/mm/dd"),1),"")</f>
        <v>12758696542.16</v>
      </c>
      <c r="C218">
        <f>IFERROR([1]!s_stm07_is($A218,"W75682424",TEXT($B$1,"yyyy/mm/dd"),1),"")</f>
        <v>3765853344.1700001</v>
      </c>
      <c r="D218">
        <f>IFERROR([1]!s_stm07_is($A218,"W76031679",TEXT($B$1,"yyyy/mm/dd"),1),"")</f>
        <v>2423506017.2399998</v>
      </c>
      <c r="E218">
        <f>IFERROR([1]!s_stm07_is($A218,"W70752487",TEXT($B$1,"yyyy/mm/dd"),1),"")</f>
        <v>554288552.49000001</v>
      </c>
      <c r="F218">
        <f>IFERROR([1]!s_stm07_is_103($A218,TEXT($B$1,"yyyy/mm/dd"),1),"")</f>
        <v>53143884.479999997</v>
      </c>
      <c r="G218">
        <f>IFERROR([1]!s_stm07_is_104($A218,TEXT($B$1,"yyyy/mm/dd"),1),"")</f>
        <v>110278608.26000001</v>
      </c>
      <c r="H218">
        <f>IFERROR([1]!s_stm07_is_105($A218,TEXT($B$1,"yyyy/mm/dd"),1),"")</f>
        <v>116877907.31999999</v>
      </c>
      <c r="I218">
        <f>IFERROR([1]!s_stm07_is($A218,"W72946623",TEXT($B$1,"yyyy/mm/dd"),1),"")</f>
        <v>3889732760.3099999</v>
      </c>
      <c r="J218">
        <f>IFERROR([1]!s_stm07_is($A218,"W30028333",TEXT($B$1,"yyyy/mm/dd"),1),"")</f>
        <v>2946332500.8800001</v>
      </c>
      <c r="K218">
        <f>IFERROR([1]!s_stm07_cs($A218,"W77130581",TEXT($B$1,"yyyy/mm/dd"),1),"")</f>
        <v>7208813429.8100004</v>
      </c>
      <c r="L218">
        <f>IFERROR([1]!s_stm07_cs($A218,"W77745895",TEXT($B$1,"yyyy/mm/dd"),1),"")</f>
        <v>157001279.43000001</v>
      </c>
      <c r="M218">
        <f>IFERROR([1]!S_FA_EPS_basic2($A218,$B$1,"Cur=CNY"),"")</f>
        <v>0.20399999999999999</v>
      </c>
      <c r="N218">
        <f>IFERROR([1]!s_fa_arturndays($A218,TEXT($B$1,"yyyy/mm/dd")),"")</f>
        <v>83.300600000000003</v>
      </c>
      <c r="O218" t="str">
        <f>IFERROR([1]!fa_apturndays($A218,TEXT($B$1,"yyyy/mm/dd")),"")</f>
        <v>Fetch...</v>
      </c>
      <c r="P218">
        <f>IFERROR([1]!s_fa_invturndays($A218,TEXT($B$1,"yyyy/mm/dd")),"")</f>
        <v>7.1567999999999996</v>
      </c>
    </row>
    <row r="219" spans="1:16">
      <c r="A219" t="s">
        <v>232</v>
      </c>
      <c r="B219">
        <f>IFERROR([1]!s_stm07_is($A219,"W70156729",TEXT($B$1,"yyyy/mm/dd"),1),"")</f>
        <v>21539031405.330002</v>
      </c>
      <c r="C219">
        <f>IFERROR([1]!s_stm07_is($A219,"W75682424",TEXT($B$1,"yyyy/mm/dd"),1),"")</f>
        <v>14910437575.959999</v>
      </c>
      <c r="D219">
        <f>IFERROR([1]!s_stm07_is($A219,"W76031679",TEXT($B$1,"yyyy/mm/dd"),1),"")</f>
        <v>1027725880.42</v>
      </c>
      <c r="E219">
        <f>IFERROR([1]!s_stm07_is($A219,"W70752487",TEXT($B$1,"yyyy/mm/dd"),1),"")</f>
        <v>580552594.65999997</v>
      </c>
      <c r="F219">
        <f>IFERROR([1]!s_stm07_is_103($A219,TEXT($B$1,"yyyy/mm/dd"),1),"")</f>
        <v>1300401224.78</v>
      </c>
      <c r="G219">
        <f>IFERROR([1]!s_stm07_is_104($A219,TEXT($B$1,"yyyy/mm/dd"),1),"")</f>
        <v>11104526.73</v>
      </c>
      <c r="H219">
        <f>IFERROR([1]!s_stm07_is_105($A219,TEXT($B$1,"yyyy/mm/dd"),1),"")</f>
        <v>56771985.670000002</v>
      </c>
      <c r="I219">
        <f>IFERROR([1]!s_stm07_is($A219,"W72946623",TEXT($B$1,"yyyy/mm/dd"),1),"")</f>
        <v>3718979123.96</v>
      </c>
      <c r="J219">
        <f>IFERROR([1]!s_stm07_is($A219,"W30028333",TEXT($B$1,"yyyy/mm/dd"),1),"")</f>
        <v>3150142665.04</v>
      </c>
      <c r="K219">
        <f>IFERROR([1]!s_stm07_cs($A219,"W77130581",TEXT($B$1,"yyyy/mm/dd"),1),"")</f>
        <v>2234278513.2399998</v>
      </c>
      <c r="L219">
        <f>IFERROR([1]!s_stm07_cs($A219,"W77745895",TEXT($B$1,"yyyy/mm/dd"),1),"")</f>
        <v>820543022.20000005</v>
      </c>
      <c r="M219">
        <f>IFERROR([1]!S_FA_EPS_basic2($A219,$B$1,"Cur=CNY"),"")</f>
        <v>4.04</v>
      </c>
      <c r="N219">
        <f>IFERROR([1]!s_fa_arturndays($A219,TEXT($B$1,"yyyy/mm/dd")),"")</f>
        <v>116.5086</v>
      </c>
      <c r="O219" t="str">
        <f>IFERROR([1]!fa_apturndays($A219,TEXT($B$1,"yyyy/mm/dd")),"")</f>
        <v>Fetch...</v>
      </c>
      <c r="P219">
        <f>IFERROR([1]!s_fa_invturndays($A219,TEXT($B$1,"yyyy/mm/dd")),"")</f>
        <v>122.6242</v>
      </c>
    </row>
    <row r="220" spans="1:16">
      <c r="A220" t="s">
        <v>233</v>
      </c>
      <c r="B220">
        <f>IFERROR([1]!s_stm07_is($A220,"W70156729",TEXT($B$1,"yyyy/mm/dd"),1),"")</f>
        <v>22771753460.040001</v>
      </c>
      <c r="C220">
        <f>IFERROR([1]!s_stm07_is($A220,"W75682424",TEXT($B$1,"yyyy/mm/dd"),1),"")</f>
        <v>17109148068.459999</v>
      </c>
      <c r="D220">
        <f>IFERROR([1]!s_stm07_is($A220,"W76031679",TEXT($B$1,"yyyy/mm/dd"),1),"")</f>
        <v>2409003037.5999999</v>
      </c>
      <c r="E220">
        <f>IFERROR([1]!s_stm07_is($A220,"W70752487",TEXT($B$1,"yyyy/mm/dd"),1),"")</f>
        <v>399940362.79000002</v>
      </c>
      <c r="F220">
        <f>IFERROR([1]!s_stm07_is_103($A220,TEXT($B$1,"yyyy/mm/dd"),1),"")</f>
        <v>475923455.10000002</v>
      </c>
      <c r="G220">
        <f>IFERROR([1]!s_stm07_is_104($A220,TEXT($B$1,"yyyy/mm/dd"),1),"")</f>
        <v>13737741.35</v>
      </c>
      <c r="H220">
        <f>IFERROR([1]!s_stm07_is_105($A220,TEXT($B$1,"yyyy/mm/dd"),1),"")</f>
        <v>29799881.710000001</v>
      </c>
      <c r="I220">
        <f>IFERROR([1]!s_stm07_is($A220,"W72946623",TEXT($B$1,"yyyy/mm/dd"),1),"")</f>
        <v>2587527158.1399999</v>
      </c>
      <c r="J220">
        <f>IFERROR([1]!s_stm07_is($A220,"W30028333",TEXT($B$1,"yyyy/mm/dd"),1),"")</f>
        <v>2096720231.52</v>
      </c>
      <c r="K220">
        <f>IFERROR([1]!s_stm07_cs($A220,"W77130581",TEXT($B$1,"yyyy/mm/dd"),1),"")</f>
        <v>2645781309.6799998</v>
      </c>
      <c r="L220">
        <f>IFERROR([1]!s_stm07_cs($A220,"W77745895",TEXT($B$1,"yyyy/mm/dd"),1),"")</f>
        <v>200572338</v>
      </c>
      <c r="M220">
        <f>IFERROR([1]!S_FA_EPS_basic2($A220,$B$1,"Cur=CNY"),"")</f>
        <v>2.6339999999999999</v>
      </c>
      <c r="N220">
        <f>IFERROR([1]!s_fa_arturndays($A220,TEXT($B$1,"yyyy/mm/dd")),"")</f>
        <v>43.075600000000001</v>
      </c>
      <c r="O220" t="str">
        <f>IFERROR([1]!fa_apturndays($A220,TEXT($B$1,"yyyy/mm/dd")),"")</f>
        <v>Fetch...</v>
      </c>
      <c r="P220">
        <f>IFERROR([1]!s_fa_invturndays($A220,TEXT($B$1,"yyyy/mm/dd")),"")</f>
        <v>52.3309</v>
      </c>
    </row>
    <row r="221" spans="1:16">
      <c r="A221" t="s">
        <v>234</v>
      </c>
      <c r="B221">
        <f>IFERROR([1]!s_stm07_is($A221,"W70156729",TEXT($B$1,"yyyy/mm/dd"),1),"")</f>
        <v>8258836448.1300001</v>
      </c>
      <c r="C221">
        <f>IFERROR([1]!s_stm07_is($A221,"W75682424",TEXT($B$1,"yyyy/mm/dd"),1),"")</f>
        <v>7372795858.6899996</v>
      </c>
      <c r="D221">
        <f>IFERROR([1]!s_stm07_is($A221,"W76031679",TEXT($B$1,"yyyy/mm/dd"),1),"")</f>
        <v>46971274.350000001</v>
      </c>
      <c r="E221">
        <f>IFERROR([1]!s_stm07_is($A221,"W70752487",TEXT($B$1,"yyyy/mm/dd"),1),"")</f>
        <v>547565990.23000002</v>
      </c>
      <c r="F221">
        <f>IFERROR([1]!s_stm07_is_103($A221,TEXT($B$1,"yyyy/mm/dd"),1),"")</f>
        <v>515447075.25999999</v>
      </c>
      <c r="G221">
        <f>IFERROR([1]!s_stm07_is_104($A221,TEXT($B$1,"yyyy/mm/dd"),1),"")</f>
        <v>346582043.83999997</v>
      </c>
      <c r="H221">
        <f>IFERROR([1]!s_stm07_is_105($A221,TEXT($B$1,"yyyy/mm/dd"),1),"")</f>
        <v>22554343.690000001</v>
      </c>
      <c r="I221">
        <f>IFERROR([1]!s_stm07_is($A221,"W72946623",TEXT($B$1,"yyyy/mm/dd"),1),"")</f>
        <v>-1118510051.51</v>
      </c>
      <c r="J221">
        <f>IFERROR([1]!s_stm07_is($A221,"W30028333",TEXT($B$1,"yyyy/mm/dd"),1),"")</f>
        <v>-1011339141.79</v>
      </c>
      <c r="K221">
        <f>IFERROR([1]!s_stm07_cs($A221,"W77130581",TEXT($B$1,"yyyy/mm/dd"),1),"")</f>
        <v>349635620.87</v>
      </c>
      <c r="L221">
        <f>IFERROR([1]!s_stm07_cs($A221,"W77745895",TEXT($B$1,"yyyy/mm/dd"),1),"")</f>
        <v>983523755.34000003</v>
      </c>
      <c r="M221">
        <f>IFERROR([1]!S_FA_EPS_basic2($A221,$B$1,"Cur=CNY"),"")</f>
        <v>-0.96</v>
      </c>
      <c r="N221">
        <f>IFERROR([1]!s_fa_arturndays($A221,TEXT($B$1,"yyyy/mm/dd")),"")</f>
        <v>108.7646</v>
      </c>
      <c r="O221" t="str">
        <f>IFERROR([1]!fa_apturndays($A221,TEXT($B$1,"yyyy/mm/dd")),"")</f>
        <v>Fetch...</v>
      </c>
      <c r="P221">
        <f>IFERROR([1]!s_fa_invturndays($A221,TEXT($B$1,"yyyy/mm/dd")),"")</f>
        <v>111.34480000000001</v>
      </c>
    </row>
    <row r="222" spans="1:16">
      <c r="A222" t="s">
        <v>235</v>
      </c>
      <c r="B222">
        <f>IFERROR([1]!s_stm07_is($A222,"W70156729",TEXT($B$1,"yyyy/mm/dd"),1),"")</f>
        <v>623643928.89999998</v>
      </c>
      <c r="C222">
        <f>IFERROR([1]!s_stm07_is($A222,"W75682424",TEXT($B$1,"yyyy/mm/dd"),1),"")</f>
        <v>236087807.40000001</v>
      </c>
      <c r="D222">
        <f>IFERROR([1]!s_stm07_is($A222,"W76031679",TEXT($B$1,"yyyy/mm/dd"),1),"")</f>
        <v>111336582.83</v>
      </c>
      <c r="E222">
        <f>IFERROR([1]!s_stm07_is($A222,"W70752487",TEXT($B$1,"yyyy/mm/dd"),1),"")</f>
        <v>163360080.83000001</v>
      </c>
      <c r="F222">
        <f>IFERROR([1]!s_stm07_is_103($A222,TEXT($B$1,"yyyy/mm/dd"),1),"")</f>
        <v>115397117.62</v>
      </c>
      <c r="G222">
        <f>IFERROR([1]!s_stm07_is_104($A222,TEXT($B$1,"yyyy/mm/dd"),1),"")</f>
        <v>0</v>
      </c>
      <c r="H222">
        <f>IFERROR([1]!s_stm07_is_105($A222,TEXT($B$1,"yyyy/mm/dd"),1),"")</f>
        <v>4709187.17</v>
      </c>
      <c r="I222">
        <f>IFERROR([1]!s_stm07_is($A222,"W72946623",TEXT($B$1,"yyyy/mm/dd"),1),"")</f>
        <v>-278144237.44999999</v>
      </c>
      <c r="J222">
        <f>IFERROR([1]!s_stm07_is($A222,"W30028333",TEXT($B$1,"yyyy/mm/dd"),1),"")</f>
        <v>-347197803</v>
      </c>
      <c r="K222">
        <f>IFERROR([1]!s_stm07_cs($A222,"W77130581",TEXT($B$1,"yyyy/mm/dd"),1),"")</f>
        <v>257663269.13</v>
      </c>
      <c r="L222">
        <f>IFERROR([1]!s_stm07_cs($A222,"W77745895",TEXT($B$1,"yyyy/mm/dd"),1),"")</f>
        <v>192971730.61000001</v>
      </c>
      <c r="M222">
        <f>IFERROR([1]!S_FA_EPS_basic2($A222,$B$1,"Cur=CNY"),"")</f>
        <v>-0.34</v>
      </c>
      <c r="N222">
        <f>IFERROR([1]!s_fa_arturndays($A222,TEXT($B$1,"yyyy/mm/dd")),"")</f>
        <v>52.966900000000003</v>
      </c>
      <c r="O222" t="str">
        <f>IFERROR([1]!fa_apturndays($A222,TEXT($B$1,"yyyy/mm/dd")),"")</f>
        <v>Fetch...</v>
      </c>
      <c r="P222">
        <f>IFERROR([1]!s_fa_invturndays($A222,TEXT($B$1,"yyyy/mm/dd")),"")</f>
        <v>707.68629999999996</v>
      </c>
    </row>
    <row r="223" spans="1:16">
      <c r="A223" t="s">
        <v>236</v>
      </c>
      <c r="B223">
        <f>IFERROR([1]!s_stm07_is($A223,"W70156729",TEXT($B$1,"yyyy/mm/dd"),1),"")</f>
        <v>1101810172.3699999</v>
      </c>
      <c r="C223">
        <f>IFERROR([1]!s_stm07_is($A223,"W75682424",TEXT($B$1,"yyyy/mm/dd"),1),"")</f>
        <v>776172178.45000005</v>
      </c>
      <c r="D223">
        <f>IFERROR([1]!s_stm07_is($A223,"W76031679",TEXT($B$1,"yyyy/mm/dd"),1),"")</f>
        <v>69822246.180000007</v>
      </c>
      <c r="E223">
        <f>IFERROR([1]!s_stm07_is($A223,"W70752487",TEXT($B$1,"yyyy/mm/dd"),1),"")</f>
        <v>110156452.64</v>
      </c>
      <c r="F223">
        <f>IFERROR([1]!s_stm07_is_103($A223,TEXT($B$1,"yyyy/mm/dd"),1),"")</f>
        <v>82815383.109999999</v>
      </c>
      <c r="G223">
        <f>IFERROR([1]!s_stm07_is_104($A223,TEXT($B$1,"yyyy/mm/dd"),1),"")</f>
        <v>1226184.32</v>
      </c>
      <c r="H223">
        <f>IFERROR([1]!s_stm07_is_105($A223,TEXT($B$1,"yyyy/mm/dd"),1),"")</f>
        <v>37609418.039999999</v>
      </c>
      <c r="I223">
        <f>IFERROR([1]!s_stm07_is($A223,"W72946623",TEXT($B$1,"yyyy/mm/dd"),1),"")</f>
        <v>137574377.06</v>
      </c>
      <c r="J223">
        <f>IFERROR([1]!s_stm07_is($A223,"W30028333",TEXT($B$1,"yyyy/mm/dd"),1),"")</f>
        <v>91653351.829999998</v>
      </c>
      <c r="K223">
        <f>IFERROR([1]!s_stm07_cs($A223,"W77130581",TEXT($B$1,"yyyy/mm/dd"),1),"")</f>
        <v>246485019.53999999</v>
      </c>
      <c r="L223">
        <f>IFERROR([1]!s_stm07_cs($A223,"W77745895",TEXT($B$1,"yyyy/mm/dd"),1),"")</f>
        <v>145501892.18000001</v>
      </c>
      <c r="M223">
        <f>IFERROR([1]!S_FA_EPS_basic2($A223,$B$1,"Cur=CNY"),"")</f>
        <v>0.1042</v>
      </c>
      <c r="N223">
        <f>IFERROR([1]!s_fa_arturndays($A223,TEXT($B$1,"yyyy/mm/dd")),"")</f>
        <v>14.2822</v>
      </c>
      <c r="O223" t="str">
        <f>IFERROR([1]!fa_apturndays($A223,TEXT($B$1,"yyyy/mm/dd")),"")</f>
        <v>Fetch...</v>
      </c>
      <c r="P223">
        <f>IFERROR([1]!s_fa_invturndays($A223,TEXT($B$1,"yyyy/mm/dd")),"")</f>
        <v>354.57499999999999</v>
      </c>
    </row>
    <row r="224" spans="1:16">
      <c r="A224" t="s">
        <v>237</v>
      </c>
      <c r="B224">
        <f>IFERROR([1]!s_stm07_is($A224,"W70156729",TEXT($B$1,"yyyy/mm/dd"),1),"")</f>
        <v>8882522904.7399998</v>
      </c>
      <c r="C224">
        <f>IFERROR([1]!s_stm07_is($A224,"W75682424",TEXT($B$1,"yyyy/mm/dd"),1),"")</f>
        <v>7324724565.5200005</v>
      </c>
      <c r="D224">
        <f>IFERROR([1]!s_stm07_is($A224,"W76031679",TEXT($B$1,"yyyy/mm/dd"),1),"")</f>
        <v>329789613.33999997</v>
      </c>
      <c r="E224">
        <f>IFERROR([1]!s_stm07_is($A224,"W70752487",TEXT($B$1,"yyyy/mm/dd"),1),"")</f>
        <v>218858550.38</v>
      </c>
      <c r="F224">
        <f>IFERROR([1]!s_stm07_is_103($A224,TEXT($B$1,"yyyy/mm/dd"),1),"")</f>
        <v>58241639.509999998</v>
      </c>
      <c r="G224">
        <f>IFERROR([1]!s_stm07_is_104($A224,TEXT($B$1,"yyyy/mm/dd"),1),"")</f>
        <v>3554942.35</v>
      </c>
      <c r="H224">
        <f>IFERROR([1]!s_stm07_is_105($A224,TEXT($B$1,"yyyy/mm/dd"),1),"")</f>
        <v>32431522.52</v>
      </c>
      <c r="I224">
        <f>IFERROR([1]!s_stm07_is($A224,"W72946623",TEXT($B$1,"yyyy/mm/dd"),1),"")</f>
        <v>990538688.04999995</v>
      </c>
      <c r="J224">
        <f>IFERROR([1]!s_stm07_is($A224,"W30028333",TEXT($B$1,"yyyy/mm/dd"),1),"")</f>
        <v>702285350.49000001</v>
      </c>
      <c r="K224">
        <f>IFERROR([1]!s_stm07_cs($A224,"W77130581",TEXT($B$1,"yyyy/mm/dd"),1),"")</f>
        <v>863322973.84000003</v>
      </c>
      <c r="L224">
        <f>IFERROR([1]!s_stm07_cs($A224,"W77745895",TEXT($B$1,"yyyy/mm/dd"),1),"")</f>
        <v>102997001.18000001</v>
      </c>
      <c r="M224">
        <f>IFERROR([1]!S_FA_EPS_basic2($A224,$B$1,"Cur=CNY"),"")</f>
        <v>0.86</v>
      </c>
      <c r="N224">
        <f>IFERROR([1]!s_fa_arturndays($A224,TEXT($B$1,"yyyy/mm/dd")),"")</f>
        <v>22.506599999999999</v>
      </c>
      <c r="O224" t="str">
        <f>IFERROR([1]!fa_apturndays($A224,TEXT($B$1,"yyyy/mm/dd")),"")</f>
        <v>Fetch...</v>
      </c>
      <c r="P224">
        <f>IFERROR([1]!s_fa_invturndays($A224,TEXT($B$1,"yyyy/mm/dd")),"")</f>
        <v>17.1341</v>
      </c>
    </row>
    <row r="225" spans="1:16">
      <c r="A225" t="s">
        <v>238</v>
      </c>
      <c r="B225">
        <f>IFERROR([1]!s_stm07_is($A225,"W70156729",TEXT($B$1,"yyyy/mm/dd"),1),"")</f>
        <v>10359530671.299999</v>
      </c>
      <c r="C225">
        <f>IFERROR([1]!s_stm07_is($A225,"W75682424",TEXT($B$1,"yyyy/mm/dd"),1),"")</f>
        <v>6074908557.6899996</v>
      </c>
      <c r="D225">
        <f>IFERROR([1]!s_stm07_is($A225,"W76031679",TEXT($B$1,"yyyy/mm/dd"),1),"")</f>
        <v>2341119289.0999999</v>
      </c>
      <c r="E225">
        <f>IFERROR([1]!s_stm07_is($A225,"W70752487",TEXT($B$1,"yyyy/mm/dd"),1),"")</f>
        <v>860133225.44000006</v>
      </c>
      <c r="F225">
        <f>IFERROR([1]!s_stm07_is_103($A225,TEXT($B$1,"yyyy/mm/dd"),1),"")</f>
        <v>52689620.060000002</v>
      </c>
      <c r="G225">
        <f>IFERROR([1]!s_stm07_is_104($A225,TEXT($B$1,"yyyy/mm/dd"),1),"")</f>
        <v>304384192.87</v>
      </c>
      <c r="H225">
        <f>IFERROR([1]!s_stm07_is_105($A225,TEXT($B$1,"yyyy/mm/dd"),1),"")</f>
        <v>10859299.51</v>
      </c>
      <c r="I225">
        <f>IFERROR([1]!s_stm07_is($A225,"W72946623",TEXT($B$1,"yyyy/mm/dd"),1),"")</f>
        <v>557450846.73000002</v>
      </c>
      <c r="J225">
        <f>IFERROR([1]!s_stm07_is($A225,"W30028333",TEXT($B$1,"yyyy/mm/dd"),1),"")</f>
        <v>285327021.06999999</v>
      </c>
      <c r="K225">
        <f>IFERROR([1]!s_stm07_cs($A225,"W77130581",TEXT($B$1,"yyyy/mm/dd"),1),"")</f>
        <v>1799869025.29</v>
      </c>
      <c r="L225">
        <f>IFERROR([1]!s_stm07_cs($A225,"W77745895",TEXT($B$1,"yyyy/mm/dd"),1),"")</f>
        <v>419100309.62</v>
      </c>
      <c r="M225">
        <f>IFERROR([1]!S_FA_EPS_basic2($A225,$B$1,"Cur=CNY"),"")</f>
        <v>7.0000000000000007E-2</v>
      </c>
      <c r="N225">
        <f>IFERROR([1]!s_fa_arturndays($A225,TEXT($B$1,"yyyy/mm/dd")),"")</f>
        <v>100.553</v>
      </c>
      <c r="O225" t="str">
        <f>IFERROR([1]!fa_apturndays($A225,TEXT($B$1,"yyyy/mm/dd")),"")</f>
        <v>Fetch...</v>
      </c>
      <c r="P225">
        <f>IFERROR([1]!s_fa_invturndays($A225,TEXT($B$1,"yyyy/mm/dd")),"")</f>
        <v>11.926600000000001</v>
      </c>
    </row>
    <row r="226" spans="1:16">
      <c r="A226" t="s">
        <v>239</v>
      </c>
      <c r="B226">
        <f>IFERROR([1]!s_stm07_is($A226,"W70156729",TEXT($B$1,"yyyy/mm/dd"),1),"")</f>
        <v>7907792595.8900003</v>
      </c>
      <c r="C226">
        <f>IFERROR([1]!s_stm07_is($A226,"W75682424",TEXT($B$1,"yyyy/mm/dd"),1),"")</f>
        <v>6933526564.2399998</v>
      </c>
      <c r="D226">
        <f>IFERROR([1]!s_stm07_is($A226,"W76031679",TEXT($B$1,"yyyy/mm/dd"),1),"")</f>
        <v>80679760.650000006</v>
      </c>
      <c r="E226">
        <f>IFERROR([1]!s_stm07_is($A226,"W70752487",TEXT($B$1,"yyyy/mm/dd"),1),"")</f>
        <v>450010691.52999997</v>
      </c>
      <c r="F226">
        <f>IFERROR([1]!s_stm07_is_103($A226,TEXT($B$1,"yyyy/mm/dd"),1),"")</f>
        <v>554961438.94000006</v>
      </c>
      <c r="G226">
        <f>IFERROR([1]!s_stm07_is_104($A226,TEXT($B$1,"yyyy/mm/dd"),1),"")</f>
        <v>75317144.609999999</v>
      </c>
      <c r="H226">
        <f>IFERROR([1]!s_stm07_is_105($A226,TEXT($B$1,"yyyy/mm/dd"),1),"")</f>
        <v>75109028.040000007</v>
      </c>
      <c r="I226">
        <f>IFERROR([1]!s_stm07_is($A226,"W72946623",TEXT($B$1,"yyyy/mm/dd"),1),"")</f>
        <v>-173271789.59999999</v>
      </c>
      <c r="J226">
        <f>IFERROR([1]!s_stm07_is($A226,"W30028333",TEXT($B$1,"yyyy/mm/dd"),1),"")</f>
        <v>-112822112.23999999</v>
      </c>
      <c r="K226">
        <f>IFERROR([1]!s_stm07_cs($A226,"W77130581",TEXT($B$1,"yyyy/mm/dd"),1),"")</f>
        <v>172859722.06999999</v>
      </c>
      <c r="L226">
        <f>IFERROR([1]!s_stm07_cs($A226,"W77745895",TEXT($B$1,"yyyy/mm/dd"),1),"")</f>
        <v>881286230.51999998</v>
      </c>
      <c r="M226">
        <f>IFERROR([1]!S_FA_EPS_basic2($A226,$B$1,"Cur=CNY"),"")</f>
        <v>-0.2</v>
      </c>
      <c r="N226">
        <f>IFERROR([1]!s_fa_arturndays($A226,TEXT($B$1,"yyyy/mm/dd")),"")</f>
        <v>79.959100000000007</v>
      </c>
      <c r="O226" t="str">
        <f>IFERROR([1]!fa_apturndays($A226,TEXT($B$1,"yyyy/mm/dd")),"")</f>
        <v>Fetch...</v>
      </c>
      <c r="P226">
        <f>IFERROR([1]!s_fa_invturndays($A226,TEXT($B$1,"yyyy/mm/dd")),"")</f>
        <v>58.924599999999998</v>
      </c>
    </row>
    <row r="227" spans="1:16">
      <c r="A227" t="s">
        <v>240</v>
      </c>
      <c r="B227">
        <f>IFERROR([1]!s_stm07_is($A227,"W70156729",TEXT($B$1,"yyyy/mm/dd"),1),"")</f>
        <v>3018792798.75</v>
      </c>
      <c r="C227">
        <f>IFERROR([1]!s_stm07_is($A227,"W75682424",TEXT($B$1,"yyyy/mm/dd"),1),"")</f>
        <v>1989472829.2</v>
      </c>
      <c r="D227">
        <f>IFERROR([1]!s_stm07_is($A227,"W76031679",TEXT($B$1,"yyyy/mm/dd"),1),"")</f>
        <v>128236973.92</v>
      </c>
      <c r="E227">
        <f>IFERROR([1]!s_stm07_is($A227,"W70752487",TEXT($B$1,"yyyy/mm/dd"),1),"")</f>
        <v>297976348.26999998</v>
      </c>
      <c r="F227">
        <f>IFERROR([1]!s_stm07_is_103($A227,TEXT($B$1,"yyyy/mm/dd"),1),"")</f>
        <v>256095984.08000001</v>
      </c>
      <c r="G227">
        <f>IFERROR([1]!s_stm07_is_104($A227,TEXT($B$1,"yyyy/mm/dd"),1),"")</f>
        <v>21575831.07</v>
      </c>
      <c r="H227">
        <f>IFERROR([1]!s_stm07_is_105($A227,TEXT($B$1,"yyyy/mm/dd"),1),"")</f>
        <v>12359295.380000001</v>
      </c>
      <c r="I227">
        <f>IFERROR([1]!s_stm07_is($A227,"W72946623",TEXT($B$1,"yyyy/mm/dd"),1),"")</f>
        <v>348782788.48000002</v>
      </c>
      <c r="J227">
        <f>IFERROR([1]!s_stm07_is($A227,"W30028333",TEXT($B$1,"yyyy/mm/dd"),1),"")</f>
        <v>260342822.69999999</v>
      </c>
      <c r="K227">
        <f>IFERROR([1]!s_stm07_cs($A227,"W77130581",TEXT($B$1,"yyyy/mm/dd"),1),"")</f>
        <v>-222580027.33000001</v>
      </c>
      <c r="L227">
        <f>IFERROR([1]!s_stm07_cs($A227,"W77745895",TEXT($B$1,"yyyy/mm/dd"),1),"")</f>
        <v>626885092.60000002</v>
      </c>
      <c r="M227">
        <f>IFERROR([1]!S_FA_EPS_basic2($A227,$B$1,"Cur=CNY"),"")</f>
        <v>0.48870000000000002</v>
      </c>
      <c r="N227">
        <f>IFERROR([1]!s_fa_arturndays($A227,TEXT($B$1,"yyyy/mm/dd")),"")</f>
        <v>134.47389999999999</v>
      </c>
      <c r="O227" t="str">
        <f>IFERROR([1]!fa_apturndays($A227,TEXT($B$1,"yyyy/mm/dd")),"")</f>
        <v>Fetch...</v>
      </c>
      <c r="P227">
        <f>IFERROR([1]!s_fa_invturndays($A227,TEXT($B$1,"yyyy/mm/dd")),"")</f>
        <v>140.98849999999999</v>
      </c>
    </row>
    <row r="228" spans="1:16">
      <c r="A228" t="s">
        <v>241</v>
      </c>
      <c r="B228">
        <f>IFERROR([1]!s_stm07_is($A228,"W70156729",TEXT($B$1,"yyyy/mm/dd"),1),"")</f>
        <v>26185810369.099998</v>
      </c>
      <c r="C228">
        <f>IFERROR([1]!s_stm07_is($A228,"W75682424",TEXT($B$1,"yyyy/mm/dd"),1),"")</f>
        <v>21913777198.16</v>
      </c>
      <c r="D228">
        <f>IFERROR([1]!s_stm07_is($A228,"W76031679",TEXT($B$1,"yyyy/mm/dd"),1),"")</f>
        <v>190668019.72999999</v>
      </c>
      <c r="E228">
        <f>IFERROR([1]!s_stm07_is($A228,"W70752487",TEXT($B$1,"yyyy/mm/dd"),1),"")</f>
        <v>1047998746.58</v>
      </c>
      <c r="F228">
        <f>IFERROR([1]!s_stm07_is_103($A228,TEXT($B$1,"yyyy/mm/dd"),1),"")</f>
        <v>891319698.52999997</v>
      </c>
      <c r="G228">
        <f>IFERROR([1]!s_stm07_is_104($A228,TEXT($B$1,"yyyy/mm/dd"),1),"")</f>
        <v>76080986.840000004</v>
      </c>
      <c r="H228">
        <f>IFERROR([1]!s_stm07_is_105($A228,TEXT($B$1,"yyyy/mm/dd"),1),"")</f>
        <v>21341225.399999999</v>
      </c>
      <c r="I228">
        <f>IFERROR([1]!s_stm07_is($A228,"W72946623",TEXT($B$1,"yyyy/mm/dd"),1),"")</f>
        <v>1076469606.8199999</v>
      </c>
      <c r="J228">
        <f>IFERROR([1]!s_stm07_is($A228,"W30028333",TEXT($B$1,"yyyy/mm/dd"),1),"")</f>
        <v>418177316.30000001</v>
      </c>
      <c r="K228">
        <f>IFERROR([1]!s_stm07_cs($A228,"W77130581",TEXT($B$1,"yyyy/mm/dd"),1),"")</f>
        <v>2653337452.3600001</v>
      </c>
      <c r="L228">
        <f>IFERROR([1]!s_stm07_cs($A228,"W77745895",TEXT($B$1,"yyyy/mm/dd"),1),"")</f>
        <v>1225558956.0799999</v>
      </c>
      <c r="M228">
        <f>IFERROR([1]!S_FA_EPS_basic2($A228,$B$1,"Cur=CNY"),"")</f>
        <v>0.51</v>
      </c>
      <c r="N228">
        <f>IFERROR([1]!s_fa_arturndays($A228,TEXT($B$1,"yyyy/mm/dd")),"")</f>
        <v>103.624</v>
      </c>
      <c r="O228" t="str">
        <f>IFERROR([1]!fa_apturndays($A228,TEXT($B$1,"yyyy/mm/dd")),"")</f>
        <v>Fetch...</v>
      </c>
      <c r="P228">
        <f>IFERROR([1]!s_fa_invturndays($A228,TEXT($B$1,"yyyy/mm/dd")),"")</f>
        <v>42.6036</v>
      </c>
    </row>
    <row r="229" spans="1:16">
      <c r="A229" t="s">
        <v>242</v>
      </c>
      <c r="B229">
        <f>IFERROR([1]!s_stm07_is($A229,"W70156729",TEXT($B$1,"yyyy/mm/dd"),1),"")</f>
        <v>6145823063.2700005</v>
      </c>
      <c r="C229">
        <f>IFERROR([1]!s_stm07_is($A229,"W75682424",TEXT($B$1,"yyyy/mm/dd"),1),"")</f>
        <v>2731266775.1100001</v>
      </c>
      <c r="D229">
        <f>IFERROR([1]!s_stm07_is($A229,"W76031679",TEXT($B$1,"yyyy/mm/dd"),1),"")</f>
        <v>307632924.33999997</v>
      </c>
      <c r="E229">
        <f>IFERROR([1]!s_stm07_is($A229,"W70752487",TEXT($B$1,"yyyy/mm/dd"),1),"")</f>
        <v>334166959.80000001</v>
      </c>
      <c r="F229">
        <f>IFERROR([1]!s_stm07_is_103($A229,TEXT($B$1,"yyyy/mm/dd"),1),"")</f>
        <v>1402601277.8499999</v>
      </c>
      <c r="G229">
        <f>IFERROR([1]!s_stm07_is_104($A229,TEXT($B$1,"yyyy/mm/dd"),1),"")</f>
        <v>63926855.619999997</v>
      </c>
      <c r="H229">
        <f>IFERROR([1]!s_stm07_is_105($A229,TEXT($B$1,"yyyy/mm/dd"),1),"")</f>
        <v>93245133.090000004</v>
      </c>
      <c r="I229">
        <f>IFERROR([1]!s_stm07_is($A229,"W72946623",TEXT($B$1,"yyyy/mm/dd"),1),"")</f>
        <v>1521169419.02</v>
      </c>
      <c r="J229">
        <f>IFERROR([1]!s_stm07_is($A229,"W30028333",TEXT($B$1,"yyyy/mm/dd"),1),"")</f>
        <v>1437124791.04</v>
      </c>
      <c r="K229">
        <f>IFERROR([1]!s_stm07_cs($A229,"W77130581",TEXT($B$1,"yyyy/mm/dd"),1),"")</f>
        <v>766518941.74000001</v>
      </c>
      <c r="L229">
        <f>IFERROR([1]!s_stm07_cs($A229,"W77745895",TEXT($B$1,"yyyy/mm/dd"),1),"")</f>
        <v>378372952.75999999</v>
      </c>
      <c r="M229">
        <f>IFERROR([1]!S_FA_EPS_basic2($A229,$B$1,"Cur=CNY"),"")</f>
        <v>1.7071000000000001</v>
      </c>
      <c r="N229">
        <f>IFERROR([1]!s_fa_arturndays($A229,TEXT($B$1,"yyyy/mm/dd")),"")</f>
        <v>242.91499999999999</v>
      </c>
      <c r="O229" t="str">
        <f>IFERROR([1]!fa_apturndays($A229,TEXT($B$1,"yyyy/mm/dd")),"")</f>
        <v>Fetch...</v>
      </c>
      <c r="P229">
        <f>IFERROR([1]!s_fa_invturndays($A229,TEXT($B$1,"yyyy/mm/dd")),"")</f>
        <v>279.52480000000003</v>
      </c>
    </row>
    <row r="230" spans="1:16">
      <c r="A230" t="s">
        <v>243</v>
      </c>
      <c r="B230">
        <f>IFERROR([1]!s_stm07_is($A230,"W70156729",TEXT($B$1,"yyyy/mm/dd"),1),"")</f>
        <v>31011744510.27</v>
      </c>
      <c r="C230">
        <f>IFERROR([1]!s_stm07_is($A230,"W75682424",TEXT($B$1,"yyyy/mm/dd"),1),"")</f>
        <v>22087497052.41</v>
      </c>
      <c r="D230">
        <f>IFERROR([1]!s_stm07_is($A230,"W76031679",TEXT($B$1,"yyyy/mm/dd"),1),"")</f>
        <v>751525231.83000004</v>
      </c>
      <c r="E230">
        <f>IFERROR([1]!s_stm07_is($A230,"W70752487",TEXT($B$1,"yyyy/mm/dd"),1),"")</f>
        <v>1909325738.4400001</v>
      </c>
      <c r="F230">
        <f>IFERROR([1]!s_stm07_is_103($A230,TEXT($B$1,"yyyy/mm/dd"),1),"")</f>
        <v>1374071324.05</v>
      </c>
      <c r="G230">
        <f>IFERROR([1]!s_stm07_is_104($A230,TEXT($B$1,"yyyy/mm/dd"),1),"")</f>
        <v>145823153.16999999</v>
      </c>
      <c r="H230">
        <f>IFERROR([1]!s_stm07_is_105($A230,TEXT($B$1,"yyyy/mm/dd"),1),"")</f>
        <v>262600466.90000001</v>
      </c>
      <c r="I230">
        <f>IFERROR([1]!s_stm07_is($A230,"W72946623",TEXT($B$1,"yyyy/mm/dd"),1),"")</f>
        <v>4843757030.8299999</v>
      </c>
      <c r="J230">
        <f>IFERROR([1]!s_stm07_is($A230,"W30028333",TEXT($B$1,"yyyy/mm/dd"),1),"")</f>
        <v>4062891412.0999999</v>
      </c>
      <c r="K230">
        <f>IFERROR([1]!s_stm07_cs($A230,"W77130581",TEXT($B$1,"yyyy/mm/dd"),1),"")</f>
        <v>5090762717.9799995</v>
      </c>
      <c r="L230">
        <f>IFERROR([1]!s_stm07_cs($A230,"W77745895",TEXT($B$1,"yyyy/mm/dd"),1),"")</f>
        <v>3152387105.4899998</v>
      </c>
      <c r="M230">
        <f>IFERROR([1]!S_FA_EPS_basic2($A230,$B$1,"Cur=CNY"),"")</f>
        <v>1.03</v>
      </c>
      <c r="N230">
        <f>IFERROR([1]!s_fa_arturndays($A230,TEXT($B$1,"yyyy/mm/dd")),"")</f>
        <v>83.123599999999996</v>
      </c>
      <c r="O230" t="str">
        <f>IFERROR([1]!fa_apturndays($A230,TEXT($B$1,"yyyy/mm/dd")),"")</f>
        <v>Fetch...</v>
      </c>
      <c r="P230">
        <f>IFERROR([1]!s_fa_invturndays($A230,TEXT($B$1,"yyyy/mm/dd")),"")</f>
        <v>88.994399999999999</v>
      </c>
    </row>
    <row r="231" spans="1:16">
      <c r="A231" t="s">
        <v>244</v>
      </c>
      <c r="B231">
        <f>IFERROR([1]!s_stm07_is($A231,"W70156729",TEXT($B$1,"yyyy/mm/dd"),1),"")</f>
        <v>11567508564.02</v>
      </c>
      <c r="C231">
        <f>IFERROR([1]!s_stm07_is($A231,"W75682424",TEXT($B$1,"yyyy/mm/dd"),1),"")</f>
        <v>9547470655.6200008</v>
      </c>
      <c r="D231">
        <f>IFERROR([1]!s_stm07_is($A231,"W76031679",TEXT($B$1,"yyyy/mm/dd"),1),"")</f>
        <v>294731405.80000001</v>
      </c>
      <c r="E231">
        <f>IFERROR([1]!s_stm07_is($A231,"W70752487",TEXT($B$1,"yyyy/mm/dd"),1),"")</f>
        <v>581068475.83000004</v>
      </c>
      <c r="F231">
        <f>IFERROR([1]!s_stm07_is_103($A231,TEXT($B$1,"yyyy/mm/dd"),1),"")</f>
        <v>479263685.82999998</v>
      </c>
      <c r="G231">
        <f>IFERROR([1]!s_stm07_is_104($A231,TEXT($B$1,"yyyy/mm/dd"),1),"")</f>
        <v>68916704.700000003</v>
      </c>
      <c r="H231">
        <f>IFERROR([1]!s_stm07_is_105($A231,TEXT($B$1,"yyyy/mm/dd"),1),"")</f>
        <v>119860091.31999999</v>
      </c>
      <c r="I231">
        <f>IFERROR([1]!s_stm07_is($A231,"W72946623",TEXT($B$1,"yyyy/mm/dd"),1),"")</f>
        <v>506601535.36000001</v>
      </c>
      <c r="J231">
        <f>IFERROR([1]!s_stm07_is($A231,"W30028333",TEXT($B$1,"yyyy/mm/dd"),1),"")</f>
        <v>314222302.55000001</v>
      </c>
      <c r="K231">
        <f>IFERROR([1]!s_stm07_cs($A231,"W77130581",TEXT($B$1,"yyyy/mm/dd"),1),"")</f>
        <v>812130254.19000006</v>
      </c>
      <c r="L231">
        <f>IFERROR([1]!s_stm07_cs($A231,"W77745895",TEXT($B$1,"yyyy/mm/dd"),1),"")</f>
        <v>363308721.87</v>
      </c>
      <c r="M231">
        <f>IFERROR([1]!S_FA_EPS_basic2($A231,$B$1,"Cur=CNY"),"")</f>
        <v>0.25</v>
      </c>
      <c r="N231">
        <f>IFERROR([1]!s_fa_arturndays($A231,TEXT($B$1,"yyyy/mm/dd")),"")</f>
        <v>157.63890000000001</v>
      </c>
      <c r="O231" t="str">
        <f>IFERROR([1]!fa_apturndays($A231,TEXT($B$1,"yyyy/mm/dd")),"")</f>
        <v>Fetch...</v>
      </c>
      <c r="P231">
        <f>IFERROR([1]!s_fa_invturndays($A231,TEXT($B$1,"yyyy/mm/dd")),"")</f>
        <v>140.4111</v>
      </c>
    </row>
    <row r="232" spans="1:16">
      <c r="A232" t="s">
        <v>245</v>
      </c>
      <c r="B232">
        <f>IFERROR([1]!s_stm07_is($A232,"W70156729",TEXT($B$1,"yyyy/mm/dd"),1),"")</f>
        <v>2494829408.0700002</v>
      </c>
      <c r="C232">
        <f>IFERROR([1]!s_stm07_is($A232,"W75682424",TEXT($B$1,"yyyy/mm/dd"),1),"")</f>
        <v>1698031985.99</v>
      </c>
      <c r="D232">
        <f>IFERROR([1]!s_stm07_is($A232,"W76031679",TEXT($B$1,"yyyy/mm/dd"),1),"")</f>
        <v>152932806.55000001</v>
      </c>
      <c r="E232">
        <f>IFERROR([1]!s_stm07_is($A232,"W70752487",TEXT($B$1,"yyyy/mm/dd"),1),"")</f>
        <v>175851413.96000001</v>
      </c>
      <c r="F232">
        <f>IFERROR([1]!s_stm07_is_103($A232,TEXT($B$1,"yyyy/mm/dd"),1),"")</f>
        <v>7883349.2000000002</v>
      </c>
      <c r="G232">
        <f>IFERROR([1]!s_stm07_is_104($A232,TEXT($B$1,"yyyy/mm/dd"),1),"")</f>
        <v>159218127.19999999</v>
      </c>
      <c r="H232">
        <f>IFERROR([1]!s_stm07_is_105($A232,TEXT($B$1,"yyyy/mm/dd"),1),"")</f>
        <v>4697814.9000000004</v>
      </c>
      <c r="I232">
        <f>IFERROR([1]!s_stm07_is($A232,"W72946623",TEXT($B$1,"yyyy/mm/dd"),1),"")</f>
        <v>281426916.74000001</v>
      </c>
      <c r="J232">
        <f>IFERROR([1]!s_stm07_is($A232,"W30028333",TEXT($B$1,"yyyy/mm/dd"),1),"")</f>
        <v>236297603.86000001</v>
      </c>
      <c r="K232">
        <f>IFERROR([1]!s_stm07_cs($A232,"W77130581",TEXT($B$1,"yyyy/mm/dd"),1),"")</f>
        <v>1461227836.1800001</v>
      </c>
      <c r="L232">
        <f>IFERROR([1]!s_stm07_cs($A232,"W77745895",TEXT($B$1,"yyyy/mm/dd"),1),"")</f>
        <v>2662743971.1900001</v>
      </c>
      <c r="M232">
        <f>IFERROR([1]!S_FA_EPS_basic2($A232,$B$1,"Cur=CNY"),"")</f>
        <v>0.25659999999999999</v>
      </c>
      <c r="N232">
        <f>IFERROR([1]!s_fa_arturndays($A232,TEXT($B$1,"yyyy/mm/dd")),"")</f>
        <v>177.62870000000001</v>
      </c>
      <c r="O232" t="str">
        <f>IFERROR([1]!fa_apturndays($A232,TEXT($B$1,"yyyy/mm/dd")),"")</f>
        <v>Fetch...</v>
      </c>
      <c r="P232">
        <f>IFERROR([1]!s_fa_invturndays($A232,TEXT($B$1,"yyyy/mm/dd")),"")</f>
        <v>23.8232</v>
      </c>
    </row>
    <row r="233" spans="1:16">
      <c r="A233" t="s">
        <v>246</v>
      </c>
      <c r="B233">
        <f>IFERROR([1]!s_stm07_is($A233,"W70156729",TEXT($B$1,"yyyy/mm/dd"),1),"")</f>
        <v>22586366921.57</v>
      </c>
      <c r="C233">
        <f>IFERROR([1]!s_stm07_is($A233,"W75682424",TEXT($B$1,"yyyy/mm/dd"),1),"")</f>
        <v>18562434994.470001</v>
      </c>
      <c r="D233">
        <f>IFERROR([1]!s_stm07_is($A233,"W76031679",TEXT($B$1,"yyyy/mm/dd"),1),"")</f>
        <v>275285118.24000001</v>
      </c>
      <c r="E233">
        <f>IFERROR([1]!s_stm07_is($A233,"W70752487",TEXT($B$1,"yyyy/mm/dd"),1),"")</f>
        <v>581499905.61000001</v>
      </c>
      <c r="F233">
        <f>IFERROR([1]!s_stm07_is_103($A233,TEXT($B$1,"yyyy/mm/dd"),1),"")</f>
        <v>568689019.51999998</v>
      </c>
      <c r="G233">
        <f>IFERROR([1]!s_stm07_is_104($A233,TEXT($B$1,"yyyy/mm/dd"),1),"")</f>
        <v>56062181.960000001</v>
      </c>
      <c r="H233">
        <f>IFERROR([1]!s_stm07_is_105($A233,TEXT($B$1,"yyyy/mm/dd"),1),"")</f>
        <v>216787735.44</v>
      </c>
      <c r="I233">
        <f>IFERROR([1]!s_stm07_is($A233,"W72946623",TEXT($B$1,"yyyy/mm/dd"),1),"")</f>
        <v>2565341520</v>
      </c>
      <c r="J233">
        <f>IFERROR([1]!s_stm07_is($A233,"W30028333",TEXT($B$1,"yyyy/mm/dd"),1),"")</f>
        <v>1851179463.1600001</v>
      </c>
      <c r="K233">
        <f>IFERROR([1]!s_stm07_cs($A233,"W77130581",TEXT($B$1,"yyyy/mm/dd"),1),"")</f>
        <v>3258111466.4499998</v>
      </c>
      <c r="L233">
        <f>IFERROR([1]!s_stm07_cs($A233,"W77745895",TEXT($B$1,"yyyy/mm/dd"),1),"")</f>
        <v>1428766763.7</v>
      </c>
      <c r="M233">
        <f>IFERROR([1]!S_FA_EPS_basic2($A233,$B$1,"Cur=CNY"),"")</f>
        <v>1.1599999999999999</v>
      </c>
      <c r="N233">
        <f>IFERROR([1]!s_fa_arturndays($A233,TEXT($B$1,"yyyy/mm/dd")),"")</f>
        <v>53.2104</v>
      </c>
      <c r="O233" t="str">
        <f>IFERROR([1]!fa_apturndays($A233,TEXT($B$1,"yyyy/mm/dd")),"")</f>
        <v>Fetch...</v>
      </c>
      <c r="P233">
        <f>IFERROR([1]!s_fa_invturndays($A233,TEXT($B$1,"yyyy/mm/dd")),"")</f>
        <v>93.399799999999999</v>
      </c>
    </row>
    <row r="234" spans="1:16">
      <c r="A234" t="s">
        <v>247</v>
      </c>
      <c r="B234">
        <f>IFERROR([1]!s_stm07_is($A234,"W70156729",TEXT($B$1,"yyyy/mm/dd"),1),"")</f>
        <v>68920106345.660004</v>
      </c>
      <c r="C234">
        <f>IFERROR([1]!s_stm07_is($A234,"W75682424",TEXT($B$1,"yyyy/mm/dd"),1),"")</f>
        <v>61551544752.059998</v>
      </c>
      <c r="D234">
        <f>IFERROR([1]!s_stm07_is($A234,"W76031679",TEXT($B$1,"yyyy/mm/dd"),1),"")</f>
        <v>4938017.04</v>
      </c>
      <c r="E234">
        <f>IFERROR([1]!s_stm07_is($A234,"W70752487",TEXT($B$1,"yyyy/mm/dd"),1),"")</f>
        <v>1975670993.8</v>
      </c>
      <c r="F234">
        <f>IFERROR([1]!s_stm07_is_103($A234,TEXT($B$1,"yyyy/mm/dd"),1),"")</f>
        <v>2338270361.4200001</v>
      </c>
      <c r="G234">
        <f>IFERROR([1]!s_stm07_is_104($A234,TEXT($B$1,"yyyy/mm/dd"),1),"")</f>
        <v>889816327.54999995</v>
      </c>
      <c r="H234">
        <f>IFERROR([1]!s_stm07_is_105($A234,TEXT($B$1,"yyyy/mm/dd"),1),"")</f>
        <v>156426133.5</v>
      </c>
      <c r="I234">
        <f>IFERROR([1]!s_stm07_is($A234,"W72946623",TEXT($B$1,"yyyy/mm/dd"),1),"")</f>
        <v>1591561585.1700001</v>
      </c>
      <c r="J234">
        <f>IFERROR([1]!s_stm07_is($A234,"W30028333",TEXT($B$1,"yyyy/mm/dd"),1),"")</f>
        <v>1108889427.21</v>
      </c>
      <c r="K234">
        <f>IFERROR([1]!s_stm07_cs($A234,"W77130581",TEXT($B$1,"yyyy/mm/dd"),1),"")</f>
        <v>-3456020727.1700001</v>
      </c>
      <c r="L234">
        <f>IFERROR([1]!s_stm07_cs($A234,"W77745895",TEXT($B$1,"yyyy/mm/dd"),1),"")</f>
        <v>3190234608.71</v>
      </c>
      <c r="M234">
        <f>IFERROR([1]!S_FA_EPS_basic2($A234,$B$1,"Cur=CNY"),"")</f>
        <v>0.2954</v>
      </c>
      <c r="N234">
        <f>IFERROR([1]!s_fa_arturndays($A234,TEXT($B$1,"yyyy/mm/dd")),"")</f>
        <v>222.26339999999999</v>
      </c>
      <c r="O234" t="str">
        <f>IFERROR([1]!fa_apturndays($A234,TEXT($B$1,"yyyy/mm/dd")),"")</f>
        <v>Fetch...</v>
      </c>
      <c r="P234">
        <f>IFERROR([1]!s_fa_invturndays($A234,TEXT($B$1,"yyyy/mm/dd")),"")</f>
        <v>209.63140000000001</v>
      </c>
    </row>
    <row r="235" spans="1:16">
      <c r="A235" t="s">
        <v>248</v>
      </c>
      <c r="B235">
        <f>IFERROR([1]!s_stm07_is($A235,"W70156729",TEXT($B$1,"yyyy/mm/dd"),1),"")</f>
        <v>46409521005.410004</v>
      </c>
      <c r="C235">
        <f>IFERROR([1]!s_stm07_is($A235,"W75682424",TEXT($B$1,"yyyy/mm/dd"),1),"")</f>
        <v>42926354207.160004</v>
      </c>
      <c r="D235">
        <f>IFERROR([1]!s_stm07_is($A235,"W76031679",TEXT($B$1,"yyyy/mm/dd"),1),"")</f>
        <v>15370579.1</v>
      </c>
      <c r="E235">
        <f>IFERROR([1]!s_stm07_is($A235,"W70752487",TEXT($B$1,"yyyy/mm/dd"),1),"")</f>
        <v>741759116.00999999</v>
      </c>
      <c r="F235">
        <f>IFERROR([1]!s_stm07_is_103($A235,TEXT($B$1,"yyyy/mm/dd"),1),"")</f>
        <v>1047649135.62</v>
      </c>
      <c r="G235">
        <f>IFERROR([1]!s_stm07_is_104($A235,TEXT($B$1,"yyyy/mm/dd"),1),"")</f>
        <v>373024881.31999999</v>
      </c>
      <c r="H235">
        <f>IFERROR([1]!s_stm07_is_105($A235,TEXT($B$1,"yyyy/mm/dd"),1),"")</f>
        <v>305320977.55000001</v>
      </c>
      <c r="I235">
        <f>IFERROR([1]!s_stm07_is($A235,"W72946623",TEXT($B$1,"yyyy/mm/dd"),1),"")</f>
        <v>1459479522.76</v>
      </c>
      <c r="J235">
        <f>IFERROR([1]!s_stm07_is($A235,"W30028333",TEXT($B$1,"yyyy/mm/dd"),1),"")</f>
        <v>964326971.90999997</v>
      </c>
      <c r="K235">
        <f>IFERROR([1]!s_stm07_cs($A235,"W77130581",TEXT($B$1,"yyyy/mm/dd"),1),"")</f>
        <v>1289490561.77</v>
      </c>
      <c r="L235">
        <f>IFERROR([1]!s_stm07_cs($A235,"W77745895",TEXT($B$1,"yyyy/mm/dd"),1),"")</f>
        <v>391927830.56999999</v>
      </c>
      <c r="M235">
        <f>IFERROR([1]!S_FA_EPS_basic2($A235,$B$1,"Cur=CNY"),"")</f>
        <v>0.36</v>
      </c>
      <c r="N235">
        <f>IFERROR([1]!s_fa_arturndays($A235,TEXT($B$1,"yyyy/mm/dd")),"")</f>
        <v>72.805199999999999</v>
      </c>
      <c r="O235" t="str">
        <f>IFERROR([1]!fa_apturndays($A235,TEXT($B$1,"yyyy/mm/dd")),"")</f>
        <v>Fetch...</v>
      </c>
      <c r="P235">
        <f>IFERROR([1]!s_fa_invturndays($A235,TEXT($B$1,"yyyy/mm/dd")),"")</f>
        <v>268.7971</v>
      </c>
    </row>
    <row r="236" spans="1:16">
      <c r="A236" t="s">
        <v>249</v>
      </c>
      <c r="B236">
        <f>IFERROR([1]!s_stm07_is($A236,"W70156729",TEXT($B$1,"yyyy/mm/dd"),1),"")</f>
        <v>2592079274.1100001</v>
      </c>
      <c r="C236">
        <f>IFERROR([1]!s_stm07_is($A236,"W75682424",TEXT($B$1,"yyyy/mm/dd"),1),"")</f>
        <v>1288704281.9000001</v>
      </c>
      <c r="D236">
        <f>IFERROR([1]!s_stm07_is($A236,"W76031679",TEXT($B$1,"yyyy/mm/dd"),1),"")</f>
        <v>232747027.5</v>
      </c>
      <c r="E236">
        <f>IFERROR([1]!s_stm07_is($A236,"W70752487",TEXT($B$1,"yyyy/mm/dd"),1),"")</f>
        <v>235671092.88999999</v>
      </c>
      <c r="F236">
        <f>IFERROR([1]!s_stm07_is_103($A236,TEXT($B$1,"yyyy/mm/dd"),1),"")</f>
        <v>450945520.76999998</v>
      </c>
      <c r="G236">
        <f>IFERROR([1]!s_stm07_is_104($A236,TEXT($B$1,"yyyy/mm/dd"),1),"")</f>
        <v>4172430.28</v>
      </c>
      <c r="H236">
        <f>IFERROR([1]!s_stm07_is_105($A236,TEXT($B$1,"yyyy/mm/dd"),1),"")</f>
        <v>3839458.16</v>
      </c>
      <c r="I236">
        <f>IFERROR([1]!s_stm07_is($A236,"W72946623",TEXT($B$1,"yyyy/mm/dd"),1),"")</f>
        <v>319921987.10000002</v>
      </c>
      <c r="J236">
        <f>IFERROR([1]!s_stm07_is($A236,"W30028333",TEXT($B$1,"yyyy/mm/dd"),1),"")</f>
        <v>300061092.91000003</v>
      </c>
      <c r="K236">
        <f>IFERROR([1]!s_stm07_cs($A236,"W77130581",TEXT($B$1,"yyyy/mm/dd"),1),"")</f>
        <v>281622648.14999998</v>
      </c>
      <c r="L236">
        <f>IFERROR([1]!s_stm07_cs($A236,"W77745895",TEXT($B$1,"yyyy/mm/dd"),1),"")</f>
        <v>33222893.809999999</v>
      </c>
      <c r="M236">
        <f>IFERROR([1]!S_FA_EPS_basic2($A236,$B$1,"Cur=CNY"),"")</f>
        <v>0.15740000000000001</v>
      </c>
      <c r="N236">
        <f>IFERROR([1]!s_fa_arturndays($A236,TEXT($B$1,"yyyy/mm/dd")),"")</f>
        <v>263.13869999999997</v>
      </c>
      <c r="O236" t="str">
        <f>IFERROR([1]!fa_apturndays($A236,TEXT($B$1,"yyyy/mm/dd")),"")</f>
        <v>Fetch...</v>
      </c>
      <c r="P236">
        <f>IFERROR([1]!s_fa_invturndays($A236,TEXT($B$1,"yyyy/mm/dd")),"")</f>
        <v>130.94239999999999</v>
      </c>
    </row>
    <row r="237" spans="1:16">
      <c r="A237" t="s">
        <v>250</v>
      </c>
      <c r="B237">
        <f>IFERROR([1]!s_stm07_is($A237,"W70156729",TEXT($B$1,"yyyy/mm/dd"),1),"")</f>
        <v>24198215078.91</v>
      </c>
      <c r="C237">
        <f>IFERROR([1]!s_stm07_is($A237,"W75682424",TEXT($B$1,"yyyy/mm/dd"),1),"")</f>
        <v>21006708959</v>
      </c>
      <c r="D237">
        <f>IFERROR([1]!s_stm07_is($A237,"W76031679",TEXT($B$1,"yyyy/mm/dd"),1),"")</f>
        <v>234851403.68000001</v>
      </c>
      <c r="E237">
        <f>IFERROR([1]!s_stm07_is($A237,"W70752487",TEXT($B$1,"yyyy/mm/dd"),1),"")</f>
        <v>383848605.85000002</v>
      </c>
      <c r="F237">
        <f>IFERROR([1]!s_stm07_is_103($A237,TEXT($B$1,"yyyy/mm/dd"),1),"")</f>
        <v>637759713.30999994</v>
      </c>
      <c r="G237">
        <f>IFERROR([1]!s_stm07_is_104($A237,TEXT($B$1,"yyyy/mm/dd"),1),"")</f>
        <v>57014913.060000002</v>
      </c>
      <c r="H237">
        <f>IFERROR([1]!s_stm07_is_105($A237,TEXT($B$1,"yyyy/mm/dd"),1),"")</f>
        <v>125196022.89</v>
      </c>
      <c r="I237">
        <f>IFERROR([1]!s_stm07_is($A237,"W72946623",TEXT($B$1,"yyyy/mm/dd"),1),"")</f>
        <v>2133794750.5599999</v>
      </c>
      <c r="J237">
        <f>IFERROR([1]!s_stm07_is($A237,"W30028333",TEXT($B$1,"yyyy/mm/dd"),1),"")</f>
        <v>1857552915.0899999</v>
      </c>
      <c r="K237">
        <f>IFERROR([1]!s_stm07_cs($A237,"W77130581",TEXT($B$1,"yyyy/mm/dd"),1),"")</f>
        <v>3740472955.3800001</v>
      </c>
      <c r="L237">
        <f>IFERROR([1]!s_stm07_cs($A237,"W77745895",TEXT($B$1,"yyyy/mm/dd"),1),"")</f>
        <v>1717285144.6199999</v>
      </c>
      <c r="M237">
        <f>IFERROR([1]!S_FA_EPS_basic2($A237,$B$1,"Cur=CNY"),"")</f>
        <v>0.37</v>
      </c>
      <c r="N237">
        <f>IFERROR([1]!s_fa_arturndays($A237,TEXT($B$1,"yyyy/mm/dd")),"")</f>
        <v>38.275100000000002</v>
      </c>
      <c r="O237" t="str">
        <f>IFERROR([1]!fa_apturndays($A237,TEXT($B$1,"yyyy/mm/dd")),"")</f>
        <v>Fetch...</v>
      </c>
      <c r="P237">
        <f>IFERROR([1]!s_fa_invturndays($A237,TEXT($B$1,"yyyy/mm/dd")),"")</f>
        <v>63.880800000000001</v>
      </c>
    </row>
    <row r="238" spans="1:16">
      <c r="A238" t="s">
        <v>251</v>
      </c>
      <c r="B238">
        <f>IFERROR([1]!s_stm07_is($A238,"W70156729",TEXT($B$1,"yyyy/mm/dd"),1),"")</f>
        <v>12928399148.389999</v>
      </c>
      <c r="C238">
        <f>IFERROR([1]!s_stm07_is($A238,"W75682424",TEXT($B$1,"yyyy/mm/dd"),1),"")</f>
        <v>10242083405.549999</v>
      </c>
      <c r="D238">
        <f>IFERROR([1]!s_stm07_is($A238,"W76031679",TEXT($B$1,"yyyy/mm/dd"),1),"")</f>
        <v>372685096.95999998</v>
      </c>
      <c r="E238">
        <f>IFERROR([1]!s_stm07_is($A238,"W70752487",TEXT($B$1,"yyyy/mm/dd"),1),"")</f>
        <v>682841464.48000002</v>
      </c>
      <c r="F238">
        <f>IFERROR([1]!s_stm07_is_103($A238,TEXT($B$1,"yyyy/mm/dd"),1),"")</f>
        <v>910480222.90999997</v>
      </c>
      <c r="G238">
        <f>IFERROR([1]!s_stm07_is_104($A238,TEXT($B$1,"yyyy/mm/dd"),1),"")</f>
        <v>185887880.13</v>
      </c>
      <c r="H238">
        <f>IFERROR([1]!s_stm07_is_105($A238,TEXT($B$1,"yyyy/mm/dd"),1),"")</f>
        <v>22915691.399999999</v>
      </c>
      <c r="I238">
        <f>IFERROR([1]!s_stm07_is($A238,"W72946623",TEXT($B$1,"yyyy/mm/dd"),1),"")</f>
        <v>558255749.07000005</v>
      </c>
      <c r="J238">
        <f>IFERROR([1]!s_stm07_is($A238,"W30028333",TEXT($B$1,"yyyy/mm/dd"),1),"")</f>
        <v>477291283.31</v>
      </c>
      <c r="K238">
        <f>IFERROR([1]!s_stm07_cs($A238,"W77130581",TEXT($B$1,"yyyy/mm/dd"),1),"")</f>
        <v>3260621300.9400001</v>
      </c>
      <c r="L238">
        <f>IFERROR([1]!s_stm07_cs($A238,"W77745895",TEXT($B$1,"yyyy/mm/dd"),1),"")</f>
        <v>215134043.84</v>
      </c>
      <c r="M238">
        <f>IFERROR([1]!S_FA_EPS_basic2($A238,$B$1,"Cur=CNY"),"")</f>
        <v>0.1489</v>
      </c>
      <c r="N238">
        <f>IFERROR([1]!s_fa_arturndays($A238,TEXT($B$1,"yyyy/mm/dd")),"")</f>
        <v>184.9759</v>
      </c>
      <c r="O238" t="str">
        <f>IFERROR([1]!fa_apturndays($A238,TEXT($B$1,"yyyy/mm/dd")),"")</f>
        <v>Fetch...</v>
      </c>
      <c r="P238">
        <f>IFERROR([1]!s_fa_invturndays($A238,TEXT($B$1,"yyyy/mm/dd")),"")</f>
        <v>365.70499999999998</v>
      </c>
    </row>
    <row r="239" spans="1:16">
      <c r="A239" t="s">
        <v>252</v>
      </c>
      <c r="B239">
        <f>IFERROR([1]!s_stm07_is($A239,"W70156729",TEXT($B$1,"yyyy/mm/dd"),1),"")</f>
        <v>8685063558.6100006</v>
      </c>
      <c r="C239">
        <f>IFERROR([1]!s_stm07_is($A239,"W75682424",TEXT($B$1,"yyyy/mm/dd"),1),"")</f>
        <v>8542948257.46</v>
      </c>
      <c r="D239">
        <f>IFERROR([1]!s_stm07_is($A239,"W76031679",TEXT($B$1,"yyyy/mm/dd"),1),"")</f>
        <v>94954098.569999993</v>
      </c>
      <c r="E239">
        <f>IFERROR([1]!s_stm07_is($A239,"W70752487",TEXT($B$1,"yyyy/mm/dd"),1),"")</f>
        <v>228241092.71000001</v>
      </c>
      <c r="F239">
        <f>IFERROR([1]!s_stm07_is_103($A239,TEXT($B$1,"yyyy/mm/dd"),1),"")</f>
        <v>86064571.879999995</v>
      </c>
      <c r="G239">
        <f>IFERROR([1]!s_stm07_is_104($A239,TEXT($B$1,"yyyy/mm/dd"),1),"")</f>
        <v>88797821.689999998</v>
      </c>
      <c r="H239">
        <f>IFERROR([1]!s_stm07_is_105($A239,TEXT($B$1,"yyyy/mm/dd"),1),"")</f>
        <v>6660204.0800000001</v>
      </c>
      <c r="I239">
        <f>IFERROR([1]!s_stm07_is($A239,"W72946623",TEXT($B$1,"yyyy/mm/dd"),1),"")</f>
        <v>-483916158.63999999</v>
      </c>
      <c r="J239">
        <f>IFERROR([1]!s_stm07_is($A239,"W30028333",TEXT($B$1,"yyyy/mm/dd"),1),"")</f>
        <v>-463341845.62</v>
      </c>
      <c r="K239">
        <f>IFERROR([1]!s_stm07_cs($A239,"W77130581",TEXT($B$1,"yyyy/mm/dd"),1),"")</f>
        <v>17505167.399999999</v>
      </c>
      <c r="L239">
        <f>IFERROR([1]!s_stm07_cs($A239,"W77745895",TEXT($B$1,"yyyy/mm/dd"),1),"")</f>
        <v>237791119.40000001</v>
      </c>
      <c r="M239">
        <f>IFERROR([1]!S_FA_EPS_basic2($A239,$B$1,"Cur=CNY"),"")</f>
        <v>-0.63639999999999997</v>
      </c>
      <c r="N239">
        <f>IFERROR([1]!s_fa_arturndays($A239,TEXT($B$1,"yyyy/mm/dd")),"")</f>
        <v>70.360600000000005</v>
      </c>
      <c r="O239" t="str">
        <f>IFERROR([1]!fa_apturndays($A239,TEXT($B$1,"yyyy/mm/dd")),"")</f>
        <v>Fetch...</v>
      </c>
      <c r="P239">
        <f>IFERROR([1]!s_fa_invturndays($A239,TEXT($B$1,"yyyy/mm/dd")),"")</f>
        <v>38.363199999999999</v>
      </c>
    </row>
    <row r="240" spans="1:16">
      <c r="A240" t="s">
        <v>253</v>
      </c>
      <c r="B240">
        <f>IFERROR([1]!s_stm07_is($A240,"W70156729",TEXT($B$1,"yyyy/mm/dd"),1),"")</f>
        <v>8323268551.4399996</v>
      </c>
      <c r="C240">
        <f>IFERROR([1]!s_stm07_is($A240,"W75682424",TEXT($B$1,"yyyy/mm/dd"),1),"")</f>
        <v>6481792835.2600002</v>
      </c>
      <c r="D240">
        <f>IFERROR([1]!s_stm07_is($A240,"W76031679",TEXT($B$1,"yyyy/mm/dd"),1),"")</f>
        <v>137996546.59</v>
      </c>
      <c r="E240">
        <f>IFERROR([1]!s_stm07_is($A240,"W70752487",TEXT($B$1,"yyyy/mm/dd"),1),"")</f>
        <v>454495609.66000003</v>
      </c>
      <c r="F240">
        <f>IFERROR([1]!s_stm07_is_103($A240,TEXT($B$1,"yyyy/mm/dd"),1),"")</f>
        <v>424200429.91000003</v>
      </c>
      <c r="G240">
        <f>IFERROR([1]!s_stm07_is_104($A240,TEXT($B$1,"yyyy/mm/dd"),1),"")</f>
        <v>57573810.609999999</v>
      </c>
      <c r="H240">
        <f>IFERROR([1]!s_stm07_is_105($A240,TEXT($B$1,"yyyy/mm/dd"),1),"")</f>
        <v>50473303.100000001</v>
      </c>
      <c r="I240">
        <f>IFERROR([1]!s_stm07_is($A240,"W72946623",TEXT($B$1,"yyyy/mm/dd"),1),"")</f>
        <v>531576664.67000002</v>
      </c>
      <c r="J240">
        <f>IFERROR([1]!s_stm07_is($A240,"W30028333",TEXT($B$1,"yyyy/mm/dd"),1),"")</f>
        <v>403096344.61000001</v>
      </c>
      <c r="K240">
        <f>IFERROR([1]!s_stm07_cs($A240,"W77130581",TEXT($B$1,"yyyy/mm/dd"),1),"")</f>
        <v>368131613.99000001</v>
      </c>
      <c r="L240">
        <f>IFERROR([1]!s_stm07_cs($A240,"W77745895",TEXT($B$1,"yyyy/mm/dd"),1),"")</f>
        <v>294793943.79000002</v>
      </c>
      <c r="M240">
        <f>IFERROR([1]!S_FA_EPS_basic2($A240,$B$1,"Cur=CNY"),"")</f>
        <v>0.3952</v>
      </c>
      <c r="N240">
        <f>IFERROR([1]!s_fa_arturndays($A240,TEXT($B$1,"yyyy/mm/dd")),"")</f>
        <v>53.9148</v>
      </c>
      <c r="O240" t="str">
        <f>IFERROR([1]!fa_apturndays($A240,TEXT($B$1,"yyyy/mm/dd")),"")</f>
        <v>Fetch...</v>
      </c>
      <c r="P240">
        <f>IFERROR([1]!s_fa_invturndays($A240,TEXT($B$1,"yyyy/mm/dd")),"")</f>
        <v>419.14080000000001</v>
      </c>
    </row>
    <row r="241" spans="1:16">
      <c r="A241" t="s">
        <v>254</v>
      </c>
      <c r="B241">
        <f>IFERROR([1]!s_stm07_is($A241,"W70156729",TEXT($B$1,"yyyy/mm/dd"),1),"")</f>
        <v>45070461822.870003</v>
      </c>
      <c r="C241">
        <f>IFERROR([1]!s_stm07_is($A241,"W75682424",TEXT($B$1,"yyyy/mm/dd"),1),"")</f>
        <v>37780369237.620003</v>
      </c>
      <c r="D241">
        <f>IFERROR([1]!s_stm07_is($A241,"W76031679",TEXT($B$1,"yyyy/mm/dd"),1),"")</f>
        <v>351173600.43000001</v>
      </c>
      <c r="E241">
        <f>IFERROR([1]!s_stm07_is($A241,"W70752487",TEXT($B$1,"yyyy/mm/dd"),1),"")</f>
        <v>2031280126.75</v>
      </c>
      <c r="F241">
        <f>IFERROR([1]!s_stm07_is_103($A241,TEXT($B$1,"yyyy/mm/dd"),1),"")</f>
        <v>2430381617.0100002</v>
      </c>
      <c r="G241">
        <f>IFERROR([1]!s_stm07_is_104($A241,TEXT($B$1,"yyyy/mm/dd"),1),"")</f>
        <v>1469283851.1800001</v>
      </c>
      <c r="H241">
        <f>IFERROR([1]!s_stm07_is_105($A241,TEXT($B$1,"yyyy/mm/dd"),1),"")</f>
        <v>333055984.94999999</v>
      </c>
      <c r="I241">
        <f>IFERROR([1]!s_stm07_is($A241,"W72946623",TEXT($B$1,"yyyy/mm/dd"),1),"")</f>
        <v>2253326185.3499999</v>
      </c>
      <c r="J241">
        <f>IFERROR([1]!s_stm07_is($A241,"W30028333",TEXT($B$1,"yyyy/mm/dd"),1),"")</f>
        <v>2383271938.21</v>
      </c>
      <c r="K241">
        <f>IFERROR([1]!s_stm07_cs($A241,"W77130581",TEXT($B$1,"yyyy/mm/dd"),1),"")</f>
        <v>3624414966.6999998</v>
      </c>
      <c r="L241">
        <f>IFERROR([1]!s_stm07_cs($A241,"W77745895",TEXT($B$1,"yyyy/mm/dd"),1),"")</f>
        <v>10170965654.139999</v>
      </c>
      <c r="M241">
        <f>IFERROR([1]!S_FA_EPS_basic2($A241,$B$1,"Cur=CNY"),"")</f>
        <v>1.32</v>
      </c>
      <c r="N241">
        <f>IFERROR([1]!s_fa_arturndays($A241,TEXT($B$1,"yyyy/mm/dd")),"")</f>
        <v>130.81399999999999</v>
      </c>
      <c r="O241" t="str">
        <f>IFERROR([1]!fa_apturndays($A241,TEXT($B$1,"yyyy/mm/dd")),"")</f>
        <v>Fetch...</v>
      </c>
      <c r="P241">
        <f>IFERROR([1]!s_fa_invturndays($A241,TEXT($B$1,"yyyy/mm/dd")),"")</f>
        <v>80.096100000000007</v>
      </c>
    </row>
    <row r="242" spans="1:16">
      <c r="A242" t="s">
        <v>255</v>
      </c>
      <c r="B242">
        <f>IFERROR([1]!s_stm07_is($A242,"W70156729",TEXT($B$1,"yyyy/mm/dd"),1),"")</f>
        <v>13121060568.370001</v>
      </c>
      <c r="C242">
        <f>IFERROR([1]!s_stm07_is($A242,"W75682424",TEXT($B$1,"yyyy/mm/dd"),1),"")</f>
        <v>11926732235.040001</v>
      </c>
      <c r="D242">
        <f>IFERROR([1]!s_stm07_is($A242,"W76031679",TEXT($B$1,"yyyy/mm/dd"),1),"")</f>
        <v>36431292.07</v>
      </c>
      <c r="E242">
        <f>IFERROR([1]!s_stm07_is($A242,"W70752487",TEXT($B$1,"yyyy/mm/dd"),1),"")</f>
        <v>262745196.97999999</v>
      </c>
      <c r="F242">
        <f>IFERROR([1]!s_stm07_is_103($A242,TEXT($B$1,"yyyy/mm/dd"),1),"")</f>
        <v>515960529.68000001</v>
      </c>
      <c r="G242">
        <f>IFERROR([1]!s_stm07_is_104($A242,TEXT($B$1,"yyyy/mm/dd"),1),"")</f>
        <v>153495908.62</v>
      </c>
      <c r="H242">
        <f>IFERROR([1]!s_stm07_is_105($A242,TEXT($B$1,"yyyy/mm/dd"),1),"")</f>
        <v>225079170.09999999</v>
      </c>
      <c r="I242">
        <f>IFERROR([1]!s_stm07_is($A242,"W72946623",TEXT($B$1,"yyyy/mm/dd"),1),"")</f>
        <v>571593371.33000004</v>
      </c>
      <c r="J242">
        <f>IFERROR([1]!s_stm07_is($A242,"W30028333",TEXT($B$1,"yyyy/mm/dd"),1),"")</f>
        <v>267423331.53</v>
      </c>
      <c r="K242">
        <f>IFERROR([1]!s_stm07_cs($A242,"W77130581",TEXT($B$1,"yyyy/mm/dd"),1),"")</f>
        <v>1430398285.6700001</v>
      </c>
      <c r="L242">
        <f>IFERROR([1]!s_stm07_cs($A242,"W77745895",TEXT($B$1,"yyyy/mm/dd"),1),"")</f>
        <v>448218420.31</v>
      </c>
      <c r="M242">
        <f>IFERROR([1]!S_FA_EPS_basic2($A242,$B$1,"Cur=CNY"),"")</f>
        <v>0.12</v>
      </c>
      <c r="N242">
        <f>IFERROR([1]!s_fa_arturndays($A242,TEXT($B$1,"yyyy/mm/dd")),"")</f>
        <v>4.2060000000000004</v>
      </c>
      <c r="O242" t="str">
        <f>IFERROR([1]!fa_apturndays($A242,TEXT($B$1,"yyyy/mm/dd")),"")</f>
        <v>Fetch...</v>
      </c>
      <c r="P242">
        <f>IFERROR([1]!s_fa_invturndays($A242,TEXT($B$1,"yyyy/mm/dd")),"")</f>
        <v>51.344999999999999</v>
      </c>
    </row>
    <row r="243" spans="1:16">
      <c r="A243" t="s">
        <v>256</v>
      </c>
      <c r="B243">
        <f>IFERROR([1]!s_stm07_is($A243,"W70156729",TEXT($B$1,"yyyy/mm/dd"),1),"")</f>
        <v>355127029.75</v>
      </c>
      <c r="C243">
        <f>IFERROR([1]!s_stm07_is($A243,"W75682424",TEXT($B$1,"yyyy/mm/dd"),1),"")</f>
        <v>289079196.92000002</v>
      </c>
      <c r="D243">
        <f>IFERROR([1]!s_stm07_is($A243,"W76031679",TEXT($B$1,"yyyy/mm/dd"),1),"")</f>
        <v>10338974.060000001</v>
      </c>
      <c r="E243">
        <f>IFERROR([1]!s_stm07_is($A243,"W70752487",TEXT($B$1,"yyyy/mm/dd"),1),"")</f>
        <v>48669280.759999998</v>
      </c>
      <c r="F243">
        <f>IFERROR([1]!s_stm07_is_103($A243,TEXT($B$1,"yyyy/mm/dd"),1),"")</f>
        <v>16506067.779999999</v>
      </c>
      <c r="G243">
        <f>IFERROR([1]!s_stm07_is_104($A243,TEXT($B$1,"yyyy/mm/dd"),1),"")</f>
        <v>18022659.949999999</v>
      </c>
      <c r="H243">
        <f>IFERROR([1]!s_stm07_is_105($A243,TEXT($B$1,"yyyy/mm/dd"),1),"")</f>
        <v>1832162.3</v>
      </c>
      <c r="I243">
        <f>IFERROR([1]!s_stm07_is($A243,"W72946623",TEXT($B$1,"yyyy/mm/dd"),1),"")</f>
        <v>61521482.240000002</v>
      </c>
      <c r="J243">
        <f>IFERROR([1]!s_stm07_is($A243,"W30028333",TEXT($B$1,"yyyy/mm/dd"),1),"")</f>
        <v>53139479.520000003</v>
      </c>
      <c r="K243">
        <f>IFERROR([1]!s_stm07_cs($A243,"W77130581",TEXT($B$1,"yyyy/mm/dd"),1),"")</f>
        <v>126087953.43000001</v>
      </c>
      <c r="L243">
        <f>IFERROR([1]!s_stm07_cs($A243,"W77745895",TEXT($B$1,"yyyy/mm/dd"),1),"")</f>
        <v>31646943.629999999</v>
      </c>
      <c r="M243">
        <f>IFERROR([1]!S_FA_EPS_basic2($A243,$B$1,"Cur=CNY"),"")</f>
        <v>0.09</v>
      </c>
      <c r="N243">
        <f>IFERROR([1]!s_fa_arturndays($A243,TEXT($B$1,"yyyy/mm/dd")),"")</f>
        <v>68.152100000000004</v>
      </c>
      <c r="O243" t="str">
        <f>IFERROR([1]!fa_apturndays($A243,TEXT($B$1,"yyyy/mm/dd")),"")</f>
        <v>Fetch...</v>
      </c>
      <c r="P243">
        <f>IFERROR([1]!s_fa_invturndays($A243,TEXT($B$1,"yyyy/mm/dd")),"")</f>
        <v>230.9024</v>
      </c>
    </row>
    <row r="244" spans="1:16">
      <c r="A244" t="s">
        <v>257</v>
      </c>
      <c r="B244">
        <f>IFERROR([1]!s_stm07_is($A244,"W70156729",TEXT($B$1,"yyyy/mm/dd"),1),"")</f>
        <v>39191560256.739998</v>
      </c>
      <c r="C244">
        <f>IFERROR([1]!s_stm07_is($A244,"W75682424",TEXT($B$1,"yyyy/mm/dd"),1),"")</f>
        <v>33083418191.369999</v>
      </c>
      <c r="D244">
        <f>IFERROR([1]!s_stm07_is($A244,"W76031679",TEXT($B$1,"yyyy/mm/dd"),1),"")</f>
        <v>181476538.31</v>
      </c>
      <c r="E244">
        <f>IFERROR([1]!s_stm07_is($A244,"W70752487",TEXT($B$1,"yyyy/mm/dd"),1),"")</f>
        <v>929890810.5</v>
      </c>
      <c r="F244">
        <f>IFERROR([1]!s_stm07_is_103($A244,TEXT($B$1,"yyyy/mm/dd"),1),"")</f>
        <v>545530182.66999996</v>
      </c>
      <c r="G244">
        <f>IFERROR([1]!s_stm07_is_104($A244,TEXT($B$1,"yyyy/mm/dd"),1),"")</f>
        <v>507359313.75</v>
      </c>
      <c r="H244">
        <f>IFERROR([1]!s_stm07_is_105($A244,TEXT($B$1,"yyyy/mm/dd"),1),"")</f>
        <v>19517482.489999998</v>
      </c>
      <c r="I244">
        <f>IFERROR([1]!s_stm07_is($A244,"W72946623",TEXT($B$1,"yyyy/mm/dd"),1),"")</f>
        <v>3828340063.6599998</v>
      </c>
      <c r="J244">
        <f>IFERROR([1]!s_stm07_is($A244,"W30028333",TEXT($B$1,"yyyy/mm/dd"),1),"")</f>
        <v>3250616586.1399999</v>
      </c>
      <c r="K244">
        <f>IFERROR([1]!s_stm07_cs($A244,"W77130581",TEXT($B$1,"yyyy/mm/dd"),1),"")</f>
        <v>4956059083.3400002</v>
      </c>
      <c r="L244">
        <f>IFERROR([1]!s_stm07_cs($A244,"W77745895",TEXT($B$1,"yyyy/mm/dd"),1),"")</f>
        <v>7928616572.9300003</v>
      </c>
      <c r="M244">
        <f>IFERROR([1]!S_FA_EPS_basic2($A244,$B$1,"Cur=CNY"),"")</f>
        <v>1.1599999999999999</v>
      </c>
      <c r="N244">
        <f>IFERROR([1]!s_fa_arturndays($A244,TEXT($B$1,"yyyy/mm/dd")),"")</f>
        <v>19.076899999999998</v>
      </c>
      <c r="O244" t="str">
        <f>IFERROR([1]!fa_apturndays($A244,TEXT($B$1,"yyyy/mm/dd")),"")</f>
        <v>Fetch...</v>
      </c>
      <c r="P244">
        <f>IFERROR([1]!s_fa_invturndays($A244,TEXT($B$1,"yyyy/mm/dd")),"")</f>
        <v>55.651699999999998</v>
      </c>
    </row>
    <row r="245" spans="1:16">
      <c r="A245" t="s">
        <v>258</v>
      </c>
      <c r="B245">
        <f>IFERROR([1]!s_stm07_is($A245,"W70156729",TEXT($B$1,"yyyy/mm/dd"),1),"")</f>
        <v>3959936275.1700001</v>
      </c>
      <c r="C245">
        <f>IFERROR([1]!s_stm07_is($A245,"W75682424",TEXT($B$1,"yyyy/mm/dd"),1),"")</f>
        <v>3526476985.52</v>
      </c>
      <c r="D245">
        <f>IFERROR([1]!s_stm07_is($A245,"W76031679",TEXT($B$1,"yyyy/mm/dd"),1),"")</f>
        <v>80053162.579999998</v>
      </c>
      <c r="E245">
        <f>IFERROR([1]!s_stm07_is($A245,"W70752487",TEXT($B$1,"yyyy/mm/dd"),1),"")</f>
        <v>132489398.8</v>
      </c>
      <c r="F245">
        <f>IFERROR([1]!s_stm07_is_103($A245,TEXT($B$1,"yyyy/mm/dd"),1),"")</f>
        <v>161612680.97999999</v>
      </c>
      <c r="G245">
        <f>IFERROR([1]!s_stm07_is_104($A245,TEXT($B$1,"yyyy/mm/dd"),1),"")</f>
        <v>11713301.310000001</v>
      </c>
      <c r="H245">
        <f>IFERROR([1]!s_stm07_is_105($A245,TEXT($B$1,"yyyy/mm/dd"),1),"")</f>
        <v>10398529.1</v>
      </c>
      <c r="I245">
        <f>IFERROR([1]!s_stm07_is($A245,"W72946623",TEXT($B$1,"yyyy/mm/dd"),1),"")</f>
        <v>90534755.939999998</v>
      </c>
      <c r="J245">
        <f>IFERROR([1]!s_stm07_is($A245,"W30028333",TEXT($B$1,"yyyy/mm/dd"),1),"")</f>
        <v>73438500.75</v>
      </c>
      <c r="K245">
        <f>IFERROR([1]!s_stm07_cs($A245,"W77130581",TEXT($B$1,"yyyy/mm/dd"),1),"")</f>
        <v>523125111.36000001</v>
      </c>
      <c r="L245">
        <f>IFERROR([1]!s_stm07_cs($A245,"W77745895",TEXT($B$1,"yyyy/mm/dd"),1),"")</f>
        <v>96276267.849999994</v>
      </c>
      <c r="M245">
        <f>IFERROR([1]!S_FA_EPS_basic2($A245,$B$1,"Cur=CNY"),"")</f>
        <v>9.0800000000000006E-2</v>
      </c>
      <c r="N245">
        <f>IFERROR([1]!s_fa_arturndays($A245,TEXT($B$1,"yyyy/mm/dd")),"")</f>
        <v>70.948499999999996</v>
      </c>
      <c r="O245" t="str">
        <f>IFERROR([1]!fa_apturndays($A245,TEXT($B$1,"yyyy/mm/dd")),"")</f>
        <v>Fetch...</v>
      </c>
      <c r="P245">
        <f>IFERROR([1]!s_fa_invturndays($A245,TEXT($B$1,"yyyy/mm/dd")),"")</f>
        <v>54.296199999999999</v>
      </c>
    </row>
    <row r="246" spans="1:16">
      <c r="A246" t="s">
        <v>259</v>
      </c>
      <c r="B246">
        <f>IFERROR([1]!s_stm07_is($A246,"W70156729",TEXT($B$1,"yyyy/mm/dd"),1),"")</f>
        <v>30195487692.290001</v>
      </c>
      <c r="C246">
        <f>IFERROR([1]!s_stm07_is($A246,"W75682424",TEXT($B$1,"yyyy/mm/dd"),1),"")</f>
        <v>24478976768.299999</v>
      </c>
      <c r="D246">
        <f>IFERROR([1]!s_stm07_is($A246,"W76031679",TEXT($B$1,"yyyy/mm/dd"),1),"")</f>
        <v>261649802.66999999</v>
      </c>
      <c r="E246">
        <f>IFERROR([1]!s_stm07_is($A246,"W70752487",TEXT($B$1,"yyyy/mm/dd"),1),"")</f>
        <v>1534962374.8299999</v>
      </c>
      <c r="F246">
        <f>IFERROR([1]!s_stm07_is_103($A246,TEXT($B$1,"yyyy/mm/dd"),1),"")</f>
        <v>1497560835.6600001</v>
      </c>
      <c r="G246">
        <f>IFERROR([1]!s_stm07_is_104($A246,TEXT($B$1,"yyyy/mm/dd"),1),"")</f>
        <v>365282630.25999999</v>
      </c>
      <c r="H246">
        <f>IFERROR([1]!s_stm07_is_105($A246,TEXT($B$1,"yyyy/mm/dd"),1),"")</f>
        <v>40375703.640000001</v>
      </c>
      <c r="I246">
        <f>IFERROR([1]!s_stm07_is($A246,"W72946623",TEXT($B$1,"yyyy/mm/dd"),1),"")</f>
        <v>2346007169.71</v>
      </c>
      <c r="J246">
        <f>IFERROR([1]!s_stm07_is($A246,"W30028333",TEXT($B$1,"yyyy/mm/dd"),1),"")</f>
        <v>1817776776.6099999</v>
      </c>
      <c r="K246">
        <f>IFERROR([1]!s_stm07_cs($A246,"W77130581",TEXT($B$1,"yyyy/mm/dd"),1),"")</f>
        <v>5401826740.2399998</v>
      </c>
      <c r="L246">
        <f>IFERROR([1]!s_stm07_cs($A246,"W77745895",TEXT($B$1,"yyyy/mm/dd"),1),"")</f>
        <v>3554999929.9099998</v>
      </c>
      <c r="M246">
        <f>IFERROR([1]!S_FA_EPS_basic2($A246,$B$1,"Cur=CNY"),"")</f>
        <v>1.0831999999999999</v>
      </c>
      <c r="N246">
        <f>IFERROR([1]!s_fa_arturndays($A246,TEXT($B$1,"yyyy/mm/dd")),"")</f>
        <v>86.638400000000004</v>
      </c>
      <c r="O246" t="str">
        <f>IFERROR([1]!fa_apturndays($A246,TEXT($B$1,"yyyy/mm/dd")),"")</f>
        <v>Fetch...</v>
      </c>
      <c r="P246">
        <f>IFERROR([1]!s_fa_invturndays($A246,TEXT($B$1,"yyyy/mm/dd")),"")</f>
        <v>63.450699999999998</v>
      </c>
    </row>
    <row r="247" spans="1:16">
      <c r="A247" t="s">
        <v>260</v>
      </c>
      <c r="B247">
        <f>IFERROR([1]!s_stm07_is($A247,"W70156729",TEXT($B$1,"yyyy/mm/dd"),1),"")</f>
        <v>17306048352.32</v>
      </c>
      <c r="C247">
        <f>IFERROR([1]!s_stm07_is($A247,"W75682424",TEXT($B$1,"yyyy/mm/dd"),1),"")</f>
        <v>15114073306.120001</v>
      </c>
      <c r="D247">
        <f>IFERROR([1]!s_stm07_is($A247,"W76031679",TEXT($B$1,"yyyy/mm/dd"),1),"")</f>
        <v>263946386.91999999</v>
      </c>
      <c r="E247">
        <f>IFERROR([1]!s_stm07_is($A247,"W70752487",TEXT($B$1,"yyyy/mm/dd"),1),"")</f>
        <v>537858223.64999998</v>
      </c>
      <c r="F247">
        <f>IFERROR([1]!s_stm07_is_103($A247,TEXT($B$1,"yyyy/mm/dd"),1),"")</f>
        <v>529848987.75999999</v>
      </c>
      <c r="G247">
        <f>IFERROR([1]!s_stm07_is_104($A247,TEXT($B$1,"yyyy/mm/dd"),1),"")</f>
        <v>66967323.240000002</v>
      </c>
      <c r="H247">
        <f>IFERROR([1]!s_stm07_is_105($A247,TEXT($B$1,"yyyy/mm/dd"),1),"")</f>
        <v>32453898.18</v>
      </c>
      <c r="I247">
        <f>IFERROR([1]!s_stm07_is($A247,"W72946623",TEXT($B$1,"yyyy/mm/dd"),1),"")</f>
        <v>491457830.16000003</v>
      </c>
      <c r="J247">
        <f>IFERROR([1]!s_stm07_is($A247,"W30028333",TEXT($B$1,"yyyy/mm/dd"),1),"")</f>
        <v>443667700.64999998</v>
      </c>
      <c r="K247">
        <f>IFERROR([1]!s_stm07_cs($A247,"W77130581",TEXT($B$1,"yyyy/mm/dd"),1),"")</f>
        <v>477319695.41000003</v>
      </c>
      <c r="L247">
        <f>IFERROR([1]!s_stm07_cs($A247,"W77745895",TEXT($B$1,"yyyy/mm/dd"),1),"")</f>
        <v>25021939.18</v>
      </c>
      <c r="M247">
        <f>IFERROR([1]!S_FA_EPS_basic2($A247,$B$1,"Cur=CNY"),"")</f>
        <v>0.1671</v>
      </c>
      <c r="N247">
        <f>IFERROR([1]!s_fa_arturndays($A247,TEXT($B$1,"yyyy/mm/dd")),"")</f>
        <v>249.53210000000001</v>
      </c>
      <c r="O247" t="str">
        <f>IFERROR([1]!fa_apturndays($A247,TEXT($B$1,"yyyy/mm/dd")),"")</f>
        <v>Fetch...</v>
      </c>
      <c r="P247">
        <f>IFERROR([1]!s_fa_invturndays($A247,TEXT($B$1,"yyyy/mm/dd")),"")</f>
        <v>232.6934</v>
      </c>
    </row>
    <row r="248" spans="1:16">
      <c r="A248" t="s">
        <v>261</v>
      </c>
      <c r="B248">
        <f>IFERROR([1]!s_stm07_is($A248,"W70156729",TEXT($B$1,"yyyy/mm/dd"),1),"")</f>
        <v>15987174027.67</v>
      </c>
      <c r="C248">
        <f>IFERROR([1]!s_stm07_is($A248,"W75682424",TEXT($B$1,"yyyy/mm/dd"),1),"")</f>
        <v>13275815698.209999</v>
      </c>
      <c r="D248">
        <f>IFERROR([1]!s_stm07_is($A248,"W76031679",TEXT($B$1,"yyyy/mm/dd"),1),"")</f>
        <v>197964056.27000001</v>
      </c>
      <c r="E248">
        <f>IFERROR([1]!s_stm07_is($A248,"W70752487",TEXT($B$1,"yyyy/mm/dd"),1),"")</f>
        <v>662332435.38999999</v>
      </c>
      <c r="F248">
        <f>IFERROR([1]!s_stm07_is_103($A248,TEXT($B$1,"yyyy/mm/dd"),1),"")</f>
        <v>467858426.20999998</v>
      </c>
      <c r="G248">
        <f>IFERROR([1]!s_stm07_is_104($A248,TEXT($B$1,"yyyy/mm/dd"),1),"")</f>
        <v>179346353.96000001</v>
      </c>
      <c r="H248">
        <f>IFERROR([1]!s_stm07_is_105($A248,TEXT($B$1,"yyyy/mm/dd"),1),"")</f>
        <v>42550737.109999999</v>
      </c>
      <c r="I248">
        <f>IFERROR([1]!s_stm07_is($A248,"W72946623",TEXT($B$1,"yyyy/mm/dd"),1),"")</f>
        <v>1328933337.77</v>
      </c>
      <c r="J248">
        <f>IFERROR([1]!s_stm07_is($A248,"W30028333",TEXT($B$1,"yyyy/mm/dd"),1),"")</f>
        <v>987214945.42999995</v>
      </c>
      <c r="K248">
        <f>IFERROR([1]!s_stm07_cs($A248,"W77130581",TEXT($B$1,"yyyy/mm/dd"),1),"")</f>
        <v>1463761442.75</v>
      </c>
      <c r="L248">
        <f>IFERROR([1]!s_stm07_cs($A248,"W77745895",TEXT($B$1,"yyyy/mm/dd"),1),"")</f>
        <v>562140212.34000003</v>
      </c>
      <c r="M248">
        <f>IFERROR([1]!S_FA_EPS_basic2($A248,$B$1,"Cur=CNY"),"")</f>
        <v>0.47</v>
      </c>
      <c r="N248">
        <f>IFERROR([1]!s_fa_arturndays($A248,TEXT($B$1,"yyyy/mm/dd")),"")</f>
        <v>92.6999</v>
      </c>
      <c r="O248" t="str">
        <f>IFERROR([1]!fa_apturndays($A248,TEXT($B$1,"yyyy/mm/dd")),"")</f>
        <v>Fetch...</v>
      </c>
      <c r="P248">
        <f>IFERROR([1]!s_fa_invturndays($A248,TEXT($B$1,"yyyy/mm/dd")),"")</f>
        <v>78.057199999999995</v>
      </c>
    </row>
    <row r="249" spans="1:16">
      <c r="A249" t="s">
        <v>262</v>
      </c>
      <c r="B249">
        <f>IFERROR([1]!s_stm07_is($A249,"W70156729",TEXT($B$1,"yyyy/mm/dd"),1),"")</f>
        <v>39439575005.870003</v>
      </c>
      <c r="C249">
        <f>IFERROR([1]!s_stm07_is($A249,"W75682424",TEXT($B$1,"yyyy/mm/dd"),1),"")</f>
        <v>32997898081.919998</v>
      </c>
      <c r="D249">
        <f>IFERROR([1]!s_stm07_is($A249,"W76031679",TEXT($B$1,"yyyy/mm/dd"),1),"")</f>
        <v>2188353603.9000001</v>
      </c>
      <c r="E249">
        <f>IFERROR([1]!s_stm07_is($A249,"W70752487",TEXT($B$1,"yyyy/mm/dd"),1),"")</f>
        <v>1255057712.8199999</v>
      </c>
      <c r="F249">
        <f>IFERROR([1]!s_stm07_is_103($A249,TEXT($B$1,"yyyy/mm/dd"),1),"")</f>
        <v>71580246.290000007</v>
      </c>
      <c r="G249">
        <f>IFERROR([1]!s_stm07_is_104($A249,TEXT($B$1,"yyyy/mm/dd"),1),"")</f>
        <v>276017744.63999999</v>
      </c>
      <c r="H249">
        <f>IFERROR([1]!s_stm07_is_105($A249,TEXT($B$1,"yyyy/mm/dd"),1),"")</f>
        <v>197583734.91</v>
      </c>
      <c r="I249">
        <f>IFERROR([1]!s_stm07_is($A249,"W72946623",TEXT($B$1,"yyyy/mm/dd"),1),"")</f>
        <v>3013538302.0500002</v>
      </c>
      <c r="J249">
        <f>IFERROR([1]!s_stm07_is($A249,"W30028333",TEXT($B$1,"yyyy/mm/dd"),1),"")</f>
        <v>1293918282.02</v>
      </c>
      <c r="K249">
        <f>IFERROR([1]!s_stm07_cs($A249,"W77130581",TEXT($B$1,"yyyy/mm/dd"),1),"")</f>
        <v>2344524029.3600001</v>
      </c>
      <c r="L249">
        <f>IFERROR([1]!s_stm07_cs($A249,"W77745895",TEXT($B$1,"yyyy/mm/dd"),1),"")</f>
        <v>1064636209.45</v>
      </c>
      <c r="M249">
        <f>IFERROR([1]!S_FA_EPS_basic2($A249,$B$1,"Cur=CNY"),"")</f>
        <v>0.79</v>
      </c>
      <c r="N249">
        <f>IFERROR([1]!s_fa_arturndays($A249,TEXT($B$1,"yyyy/mm/dd")),"")</f>
        <v>63.316699999999997</v>
      </c>
      <c r="O249" t="str">
        <f>IFERROR([1]!fa_apturndays($A249,TEXT($B$1,"yyyy/mm/dd")),"")</f>
        <v>Fetch...</v>
      </c>
      <c r="P249">
        <f>IFERROR([1]!s_fa_invturndays($A249,TEXT($B$1,"yyyy/mm/dd")),"")</f>
        <v>42.054099999999998</v>
      </c>
    </row>
    <row r="250" spans="1:16">
      <c r="A250" t="s">
        <v>263</v>
      </c>
      <c r="B250">
        <f>IFERROR([1]!s_stm07_is($A250,"W70156729",TEXT($B$1,"yyyy/mm/dd"),1),"")</f>
        <v>588348798.98000002</v>
      </c>
      <c r="C250">
        <f>IFERROR([1]!s_stm07_is($A250,"W75682424",TEXT($B$1,"yyyy/mm/dd"),1),"")</f>
        <v>361701795.10000002</v>
      </c>
      <c r="D250">
        <f>IFERROR([1]!s_stm07_is($A250,"W76031679",TEXT($B$1,"yyyy/mm/dd"),1),"")</f>
        <v>10677088.08</v>
      </c>
      <c r="E250">
        <f>IFERROR([1]!s_stm07_is($A250,"W70752487",TEXT($B$1,"yyyy/mm/dd"),1),"")</f>
        <v>48031656.520000003</v>
      </c>
      <c r="F250">
        <f>IFERROR([1]!s_stm07_is_103($A250,TEXT($B$1,"yyyy/mm/dd"),1),"")</f>
        <v>23214517.52</v>
      </c>
      <c r="G250">
        <f>IFERROR([1]!s_stm07_is_104($A250,TEXT($B$1,"yyyy/mm/dd"),1),"")</f>
        <v>2044955.94</v>
      </c>
      <c r="H250">
        <f>IFERROR([1]!s_stm07_is_105($A250,TEXT($B$1,"yyyy/mm/dd"),1),"")</f>
        <v>7386497.7699999996</v>
      </c>
      <c r="I250">
        <f>IFERROR([1]!s_stm07_is($A250,"W72946623",TEXT($B$1,"yyyy/mm/dd"),1),"")</f>
        <v>227939567.16999999</v>
      </c>
      <c r="J250">
        <f>IFERROR([1]!s_stm07_is($A250,"W30028333",TEXT($B$1,"yyyy/mm/dd"),1),"")</f>
        <v>176679035.68000001</v>
      </c>
      <c r="K250">
        <f>IFERROR([1]!s_stm07_cs($A250,"W77130581",TEXT($B$1,"yyyy/mm/dd"),1),"")</f>
        <v>262189454.28</v>
      </c>
      <c r="L250">
        <f>IFERROR([1]!s_stm07_cs($A250,"W77745895",TEXT($B$1,"yyyy/mm/dd"),1),"")</f>
        <v>117868955.5</v>
      </c>
      <c r="M250">
        <f>IFERROR([1]!S_FA_EPS_basic2($A250,$B$1,"Cur=CNY"),"")</f>
        <v>0.1777</v>
      </c>
      <c r="N250">
        <f>IFERROR([1]!s_fa_arturndays($A250,TEXT($B$1,"yyyy/mm/dd")),"")</f>
        <v>88.308899999999994</v>
      </c>
      <c r="O250" t="str">
        <f>IFERROR([1]!fa_apturndays($A250,TEXT($B$1,"yyyy/mm/dd")),"")</f>
        <v>Fetch...</v>
      </c>
      <c r="P250">
        <f>IFERROR([1]!s_fa_invturndays($A250,TEXT($B$1,"yyyy/mm/dd")),"")</f>
        <v>1186.9436000000001</v>
      </c>
    </row>
    <row r="251" spans="1:16">
      <c r="A251" t="s">
        <v>264</v>
      </c>
      <c r="B251">
        <f>IFERROR([1]!s_stm07_is($A251,"W70156729",TEXT($B$1,"yyyy/mm/dd"),1),"")</f>
        <v>9831621566.3600006</v>
      </c>
      <c r="C251">
        <f>IFERROR([1]!s_stm07_is($A251,"W75682424",TEXT($B$1,"yyyy/mm/dd"),1),"")</f>
        <v>7396586658.5100002</v>
      </c>
      <c r="D251">
        <f>IFERROR([1]!s_stm07_is($A251,"W76031679",TEXT($B$1,"yyyy/mm/dd"),1),"")</f>
        <v>118482723.19</v>
      </c>
      <c r="E251">
        <f>IFERROR([1]!s_stm07_is($A251,"W70752487",TEXT($B$1,"yyyy/mm/dd"),1),"")</f>
        <v>780932977.88</v>
      </c>
      <c r="F251">
        <f>IFERROR([1]!s_stm07_is_103($A251,TEXT($B$1,"yyyy/mm/dd"),1),"")</f>
        <v>508099043.19</v>
      </c>
      <c r="G251">
        <f>IFERROR([1]!s_stm07_is_104($A251,TEXT($B$1,"yyyy/mm/dd"),1),"")</f>
        <v>14512794.4</v>
      </c>
      <c r="H251">
        <f>IFERROR([1]!s_stm07_is_105($A251,TEXT($B$1,"yyyy/mm/dd"),1),"")</f>
        <v>16618387.449999999</v>
      </c>
      <c r="I251">
        <f>IFERROR([1]!s_stm07_is($A251,"W72946623",TEXT($B$1,"yyyy/mm/dd"),1),"")</f>
        <v>1041259904.83</v>
      </c>
      <c r="J251">
        <f>IFERROR([1]!s_stm07_is($A251,"W30028333",TEXT($B$1,"yyyy/mm/dd"),1),"")</f>
        <v>792624554.65999997</v>
      </c>
      <c r="K251">
        <f>IFERROR([1]!s_stm07_cs($A251,"W77130581",TEXT($B$1,"yyyy/mm/dd"),1),"")</f>
        <v>799585503.46000004</v>
      </c>
      <c r="L251">
        <f>IFERROR([1]!s_stm07_cs($A251,"W77745895",TEXT($B$1,"yyyy/mm/dd"),1),"")</f>
        <v>233309776.66999999</v>
      </c>
      <c r="M251">
        <f>IFERROR([1]!S_FA_EPS_basic2($A251,$B$1,"Cur=CNY"),"")</f>
        <v>0.64</v>
      </c>
      <c r="N251">
        <f>IFERROR([1]!s_fa_arturndays($A251,TEXT($B$1,"yyyy/mm/dd")),"")</f>
        <v>60.774900000000002</v>
      </c>
      <c r="O251" t="str">
        <f>IFERROR([1]!fa_apturndays($A251,TEXT($B$1,"yyyy/mm/dd")),"")</f>
        <v>Fetch...</v>
      </c>
      <c r="P251">
        <f>IFERROR([1]!s_fa_invturndays($A251,TEXT($B$1,"yyyy/mm/dd")),"")</f>
        <v>24.932600000000001</v>
      </c>
    </row>
    <row r="252" spans="1:16">
      <c r="A252" t="s">
        <v>265</v>
      </c>
      <c r="B252">
        <f>IFERROR([1]!s_stm07_is($A252,"W70156729",TEXT($B$1,"yyyy/mm/dd"),1),"")</f>
        <v>7310078670.4300003</v>
      </c>
      <c r="C252">
        <f>IFERROR([1]!s_stm07_is($A252,"W75682424",TEXT($B$1,"yyyy/mm/dd"),1),"")</f>
        <v>5155824338.8400002</v>
      </c>
      <c r="D252">
        <f>IFERROR([1]!s_stm07_is($A252,"W76031679",TEXT($B$1,"yyyy/mm/dd"),1),"")</f>
        <v>659898651.86000001</v>
      </c>
      <c r="E252">
        <f>IFERROR([1]!s_stm07_is($A252,"W70752487",TEXT($B$1,"yyyy/mm/dd"),1),"")</f>
        <v>644085461.66999996</v>
      </c>
      <c r="F252">
        <f>IFERROR([1]!s_stm07_is_103($A252,TEXT($B$1,"yyyy/mm/dd"),1),"")</f>
        <v>293265944.39999998</v>
      </c>
      <c r="G252">
        <f>IFERROR([1]!s_stm07_is_104($A252,TEXT($B$1,"yyyy/mm/dd"),1),"")</f>
        <v>313603519.86000001</v>
      </c>
      <c r="H252">
        <f>IFERROR([1]!s_stm07_is_105($A252,TEXT($B$1,"yyyy/mm/dd"),1),"")</f>
        <v>46081810.039999999</v>
      </c>
      <c r="I252">
        <f>IFERROR([1]!s_stm07_is($A252,"W72946623",TEXT($B$1,"yyyy/mm/dd"),1),"")</f>
        <v>54022847.969999999</v>
      </c>
      <c r="J252">
        <f>IFERROR([1]!s_stm07_is($A252,"W30028333",TEXT($B$1,"yyyy/mm/dd"),1),"")</f>
        <v>84161898.129999995</v>
      </c>
      <c r="K252">
        <f>IFERROR([1]!s_stm07_cs($A252,"W77130581",TEXT($B$1,"yyyy/mm/dd"),1),"")</f>
        <v>388713345.23000002</v>
      </c>
      <c r="L252">
        <f>IFERROR([1]!s_stm07_cs($A252,"W77745895",TEXT($B$1,"yyyy/mm/dd"),1),"")</f>
        <v>717805897.34000003</v>
      </c>
      <c r="M252">
        <f>IFERROR([1]!S_FA_EPS_basic2($A252,$B$1,"Cur=CNY"),"")</f>
        <v>7.8299999999999995E-2</v>
      </c>
      <c r="N252">
        <f>IFERROR([1]!s_fa_arturndays($A252,TEXT($B$1,"yyyy/mm/dd")),"")</f>
        <v>313.64350000000002</v>
      </c>
      <c r="O252" t="str">
        <f>IFERROR([1]!fa_apturndays($A252,TEXT($B$1,"yyyy/mm/dd")),"")</f>
        <v>Fetch...</v>
      </c>
      <c r="P252">
        <f>IFERROR([1]!s_fa_invturndays($A252,TEXT($B$1,"yyyy/mm/dd")),"")</f>
        <v>220.76410000000001</v>
      </c>
    </row>
    <row r="253" spans="1:16">
      <c r="A253" t="s">
        <v>266</v>
      </c>
      <c r="B253">
        <f>IFERROR([1]!s_stm07_is($A253,"W70156729",TEXT($B$1,"yyyy/mm/dd"),1),"")</f>
        <v>1860693572.54</v>
      </c>
      <c r="C253">
        <f>IFERROR([1]!s_stm07_is($A253,"W75682424",TEXT($B$1,"yyyy/mm/dd"),1),"")</f>
        <v>1405933999.8299999</v>
      </c>
      <c r="D253">
        <f>IFERROR([1]!s_stm07_is($A253,"W76031679",TEXT($B$1,"yyyy/mm/dd"),1),"")</f>
        <v>28676824.280000001</v>
      </c>
      <c r="E253">
        <f>IFERROR([1]!s_stm07_is($A253,"W70752487",TEXT($B$1,"yyyy/mm/dd"),1),"")</f>
        <v>308287485.79000002</v>
      </c>
      <c r="F253">
        <f>IFERROR([1]!s_stm07_is_103($A253,TEXT($B$1,"yyyy/mm/dd"),1),"")</f>
        <v>116933717.28</v>
      </c>
      <c r="G253">
        <f>IFERROR([1]!s_stm07_is_104($A253,TEXT($B$1,"yyyy/mm/dd"),1),"")</f>
        <v>27250265.25</v>
      </c>
      <c r="H253">
        <f>IFERROR([1]!s_stm07_is_105($A253,TEXT($B$1,"yyyy/mm/dd"),1),"")</f>
        <v>50776763.030000001</v>
      </c>
      <c r="I253">
        <f>IFERROR([1]!s_stm07_is($A253,"W72946623",TEXT($B$1,"yyyy/mm/dd"),1),"")</f>
        <v>-84091024.280000001</v>
      </c>
      <c r="J253">
        <f>IFERROR([1]!s_stm07_is($A253,"W30028333",TEXT($B$1,"yyyy/mm/dd"),1),"")</f>
        <v>-91075551.150000006</v>
      </c>
      <c r="K253">
        <f>IFERROR([1]!s_stm07_cs($A253,"W77130581",TEXT($B$1,"yyyy/mm/dd"),1),"")</f>
        <v>-59678368.549999997</v>
      </c>
      <c r="L253">
        <f>IFERROR([1]!s_stm07_cs($A253,"W77745895",TEXT($B$1,"yyyy/mm/dd"),1),"")</f>
        <v>74460780.859999999</v>
      </c>
      <c r="M253">
        <f>IFERROR([1]!S_FA_EPS_basic2($A253,$B$1,"Cur=CNY"),"")</f>
        <v>-0.06</v>
      </c>
      <c r="N253">
        <f>IFERROR([1]!s_fa_arturndays($A253,TEXT($B$1,"yyyy/mm/dd")),"")</f>
        <v>81.575299999999999</v>
      </c>
      <c r="O253" t="str">
        <f>IFERROR([1]!fa_apturndays($A253,TEXT($B$1,"yyyy/mm/dd")),"")</f>
        <v>Fetch...</v>
      </c>
      <c r="P253">
        <f>IFERROR([1]!s_fa_invturndays($A253,TEXT($B$1,"yyyy/mm/dd")),"")</f>
        <v>217.85169999999999</v>
      </c>
    </row>
    <row r="254" spans="1:16">
      <c r="A254" t="s">
        <v>267</v>
      </c>
      <c r="B254">
        <f>IFERROR([1]!s_stm07_is($A254,"W70156729",TEXT($B$1,"yyyy/mm/dd"),1),"")</f>
        <v>16981074699.26</v>
      </c>
      <c r="C254">
        <f>IFERROR([1]!s_stm07_is($A254,"W75682424",TEXT($B$1,"yyyy/mm/dd"),1),"")</f>
        <v>15306380317.77</v>
      </c>
      <c r="D254">
        <f>IFERROR([1]!s_stm07_is($A254,"W76031679",TEXT($B$1,"yyyy/mm/dd"),1),"")</f>
        <v>381303993.17000002</v>
      </c>
      <c r="E254">
        <f>IFERROR([1]!s_stm07_is($A254,"W70752487",TEXT($B$1,"yyyy/mm/dd"),1),"")</f>
        <v>517135979.19</v>
      </c>
      <c r="F254">
        <f>IFERROR([1]!s_stm07_is_103($A254,TEXT($B$1,"yyyy/mm/dd"),1),"")</f>
        <v>183506429.53999999</v>
      </c>
      <c r="G254">
        <f>IFERROR([1]!s_stm07_is_104($A254,TEXT($B$1,"yyyy/mm/dd"),1),"")</f>
        <v>159995645.74000001</v>
      </c>
      <c r="H254">
        <f>IFERROR([1]!s_stm07_is_105($A254,TEXT($B$1,"yyyy/mm/dd"),1),"")</f>
        <v>24220746.079999998</v>
      </c>
      <c r="I254">
        <f>IFERROR([1]!s_stm07_is($A254,"W72946623",TEXT($B$1,"yyyy/mm/dd"),1),"")</f>
        <v>328109399.22000003</v>
      </c>
      <c r="J254">
        <f>IFERROR([1]!s_stm07_is($A254,"W30028333",TEXT($B$1,"yyyy/mm/dd"),1),"")</f>
        <v>210634875.19999999</v>
      </c>
      <c r="K254">
        <f>IFERROR([1]!s_stm07_cs($A254,"W77130581",TEXT($B$1,"yyyy/mm/dd"),1),"")</f>
        <v>380861739.93000001</v>
      </c>
      <c r="L254">
        <f>IFERROR([1]!s_stm07_cs($A254,"W77745895",TEXT($B$1,"yyyy/mm/dd"),1),"")</f>
        <v>378950382.13</v>
      </c>
      <c r="M254">
        <f>IFERROR([1]!S_FA_EPS_basic2($A254,$B$1,"Cur=CNY"),"")</f>
        <v>0.15</v>
      </c>
      <c r="N254">
        <f>IFERROR([1]!s_fa_arturndays($A254,TEXT($B$1,"yyyy/mm/dd")),"")</f>
        <v>9.6801999999999992</v>
      </c>
      <c r="O254" t="str">
        <f>IFERROR([1]!fa_apturndays($A254,TEXT($B$1,"yyyy/mm/dd")),"")</f>
        <v>Fetch...</v>
      </c>
      <c r="P254">
        <f>IFERROR([1]!s_fa_invturndays($A254,TEXT($B$1,"yyyy/mm/dd")),"")</f>
        <v>119.47029999999999</v>
      </c>
    </row>
    <row r="255" spans="1:16">
      <c r="A255" t="s">
        <v>268</v>
      </c>
      <c r="B255">
        <f>IFERROR([1]!s_stm07_is($A255,"W70156729",TEXT($B$1,"yyyy/mm/dd"),1),"")</f>
        <v>9198482498.7999992</v>
      </c>
      <c r="C255">
        <f>IFERROR([1]!s_stm07_is($A255,"W75682424",TEXT($B$1,"yyyy/mm/dd"),1),"")</f>
        <v>7874438567.1800003</v>
      </c>
      <c r="D255">
        <f>IFERROR([1]!s_stm07_is($A255,"W76031679",TEXT($B$1,"yyyy/mm/dd"),1),"")</f>
        <v>197820385.61000001</v>
      </c>
      <c r="E255">
        <f>IFERROR([1]!s_stm07_is($A255,"W70752487",TEXT($B$1,"yyyy/mm/dd"),1),"")</f>
        <v>313185945.02999997</v>
      </c>
      <c r="F255">
        <f>IFERROR([1]!s_stm07_is_103($A255,TEXT($B$1,"yyyy/mm/dd"),1),"")</f>
        <v>321780420.47000003</v>
      </c>
      <c r="G255">
        <f>IFERROR([1]!s_stm07_is_104($A255,TEXT($B$1,"yyyy/mm/dd"),1),"")</f>
        <v>47605609.270000003</v>
      </c>
      <c r="H255">
        <f>IFERROR([1]!s_stm07_is_105($A255,TEXT($B$1,"yyyy/mm/dd"),1),"")</f>
        <v>36521303.729999997</v>
      </c>
      <c r="I255">
        <f>IFERROR([1]!s_stm07_is($A255,"W72946623",TEXT($B$1,"yyyy/mm/dd"),1),"")</f>
        <v>400518312.56999999</v>
      </c>
      <c r="J255">
        <f>IFERROR([1]!s_stm07_is($A255,"W30028333",TEXT($B$1,"yyyy/mm/dd"),1),"")</f>
        <v>362279734</v>
      </c>
      <c r="K255">
        <f>IFERROR([1]!s_stm07_cs($A255,"W77130581",TEXT($B$1,"yyyy/mm/dd"),1),"")</f>
        <v>211852094.09999999</v>
      </c>
      <c r="L255">
        <f>IFERROR([1]!s_stm07_cs($A255,"W77745895",TEXT($B$1,"yyyy/mm/dd"),1),"")</f>
        <v>696856769.88999999</v>
      </c>
      <c r="M255">
        <f>IFERROR([1]!S_FA_EPS_basic2($A255,$B$1,"Cur=CNY"),"")</f>
        <v>0.55000000000000004</v>
      </c>
      <c r="N255">
        <f>IFERROR([1]!s_fa_arturndays($A255,TEXT($B$1,"yyyy/mm/dd")),"")</f>
        <v>113.318</v>
      </c>
      <c r="O255" t="str">
        <f>IFERROR([1]!fa_apturndays($A255,TEXT($B$1,"yyyy/mm/dd")),"")</f>
        <v>Fetch...</v>
      </c>
      <c r="P255">
        <f>IFERROR([1]!s_fa_invturndays($A255,TEXT($B$1,"yyyy/mm/dd")),"")</f>
        <v>66.2898</v>
      </c>
    </row>
    <row r="256" spans="1:16">
      <c r="A256" t="s">
        <v>269</v>
      </c>
      <c r="B256">
        <f>IFERROR([1]!s_stm07_is($A256,"W70156729",TEXT($B$1,"yyyy/mm/dd"),1),"")</f>
        <v>866492275.54999995</v>
      </c>
      <c r="C256">
        <f>IFERROR([1]!s_stm07_is($A256,"W75682424",TEXT($B$1,"yyyy/mm/dd"),1),"")</f>
        <v>614477796.59000003</v>
      </c>
      <c r="D256">
        <f>IFERROR([1]!s_stm07_is($A256,"W76031679",TEXT($B$1,"yyyy/mm/dd"),1),"")</f>
        <v>60129444.799999997</v>
      </c>
      <c r="E256">
        <f>IFERROR([1]!s_stm07_is($A256,"W70752487",TEXT($B$1,"yyyy/mm/dd"),1),"")</f>
        <v>70967641.739999995</v>
      </c>
      <c r="F256">
        <f>IFERROR([1]!s_stm07_is_103($A256,TEXT($B$1,"yyyy/mm/dd"),1),"")</f>
        <v>79419570.219999999</v>
      </c>
      <c r="G256">
        <f>IFERROR([1]!s_stm07_is_104($A256,TEXT($B$1,"yyyy/mm/dd"),1),"")</f>
        <v>236541.72</v>
      </c>
      <c r="H256">
        <f>IFERROR([1]!s_stm07_is_105($A256,TEXT($B$1,"yyyy/mm/dd"),1),"")</f>
        <v>15637383.58</v>
      </c>
      <c r="I256">
        <f>IFERROR([1]!s_stm07_is($A256,"W72946623",TEXT($B$1,"yyyy/mm/dd"),1),"")</f>
        <v>71196392.569999993</v>
      </c>
      <c r="J256">
        <f>IFERROR([1]!s_stm07_is($A256,"W30028333",TEXT($B$1,"yyyy/mm/dd"),1),"")</f>
        <v>58742966.68</v>
      </c>
      <c r="K256">
        <f>IFERROR([1]!s_stm07_cs($A256,"W77130581",TEXT($B$1,"yyyy/mm/dd"),1),"")</f>
        <v>186399074.97999999</v>
      </c>
      <c r="L256">
        <f>IFERROR([1]!s_stm07_cs($A256,"W77745895",TEXT($B$1,"yyyy/mm/dd"),1),"")</f>
        <v>41584535.939999998</v>
      </c>
      <c r="M256">
        <f>IFERROR([1]!S_FA_EPS_basic2($A256,$B$1,"Cur=CNY"),"")</f>
        <v>8.3099999999999993E-2</v>
      </c>
      <c r="N256">
        <f>IFERROR([1]!s_fa_arturndays($A256,TEXT($B$1,"yyyy/mm/dd")),"")</f>
        <v>52.0901</v>
      </c>
      <c r="O256" t="str">
        <f>IFERROR([1]!fa_apturndays($A256,TEXT($B$1,"yyyy/mm/dd")),"")</f>
        <v>Fetch...</v>
      </c>
      <c r="P256">
        <f>IFERROR([1]!s_fa_invturndays($A256,TEXT($B$1,"yyyy/mm/dd")),"")</f>
        <v>130.34979999999999</v>
      </c>
    </row>
    <row r="257" spans="1:16">
      <c r="A257" t="s">
        <v>270</v>
      </c>
      <c r="B257">
        <f>IFERROR([1]!s_stm07_is($A257,"W70156729",TEXT($B$1,"yyyy/mm/dd"),1),"")</f>
        <v>43028613537.059998</v>
      </c>
      <c r="C257">
        <f>IFERROR([1]!s_stm07_is($A257,"W75682424",TEXT($B$1,"yyyy/mm/dd"),1),"")</f>
        <v>40158606997.809998</v>
      </c>
      <c r="D257">
        <f>IFERROR([1]!s_stm07_is($A257,"W76031679",TEXT($B$1,"yyyy/mm/dd"),1),"")</f>
        <v>45231590.859999999</v>
      </c>
      <c r="E257">
        <f>IFERROR([1]!s_stm07_is($A257,"W70752487",TEXT($B$1,"yyyy/mm/dd"),1),"")</f>
        <v>661915638.99000001</v>
      </c>
      <c r="F257">
        <f>IFERROR([1]!s_stm07_is_103($A257,TEXT($B$1,"yyyy/mm/dd"),1),"")</f>
        <v>1543737039.8199999</v>
      </c>
      <c r="G257">
        <f>IFERROR([1]!s_stm07_is_104($A257,TEXT($B$1,"yyyy/mm/dd"),1),"")</f>
        <v>381003036.18000001</v>
      </c>
      <c r="H257">
        <f>IFERROR([1]!s_stm07_is_105($A257,TEXT($B$1,"yyyy/mm/dd"),1),"")</f>
        <v>44593845.060000002</v>
      </c>
      <c r="I257">
        <f>IFERROR([1]!s_stm07_is($A257,"W72946623",TEXT($B$1,"yyyy/mm/dd"),1),"")</f>
        <v>63377091.700000003</v>
      </c>
      <c r="J257">
        <f>IFERROR([1]!s_stm07_is($A257,"W30028333",TEXT($B$1,"yyyy/mm/dd"),1),"")</f>
        <v>27095227.640000001</v>
      </c>
      <c r="K257">
        <f>IFERROR([1]!s_stm07_cs($A257,"W77130581",TEXT($B$1,"yyyy/mm/dd"),1),"")</f>
        <v>2589444011.21</v>
      </c>
      <c r="L257">
        <f>IFERROR([1]!s_stm07_cs($A257,"W77745895",TEXT($B$1,"yyyy/mm/dd"),1),"")</f>
        <v>1689658266.1099999</v>
      </c>
      <c r="M257">
        <f>IFERROR([1]!S_FA_EPS_basic2($A257,$B$1,"Cur=CNY"),"")</f>
        <v>0.01</v>
      </c>
      <c r="N257">
        <f>IFERROR([1]!s_fa_arturndays($A257,TEXT($B$1,"yyyy/mm/dd")),"")</f>
        <v>2.5501999999999998</v>
      </c>
      <c r="O257" t="str">
        <f>IFERROR([1]!fa_apturndays($A257,TEXT($B$1,"yyyy/mm/dd")),"")</f>
        <v>Fetch...</v>
      </c>
      <c r="P257">
        <f>IFERROR([1]!s_fa_invturndays($A257,TEXT($B$1,"yyyy/mm/dd")),"")</f>
        <v>27.7316</v>
      </c>
    </row>
    <row r="258" spans="1:16">
      <c r="A258" t="s">
        <v>271</v>
      </c>
      <c r="B258">
        <f>IFERROR([1]!s_stm07_is($A258,"W70156729",TEXT($B$1,"yyyy/mm/dd"),1),"")</f>
        <v>51474506545.370003</v>
      </c>
      <c r="C258">
        <f>IFERROR([1]!s_stm07_is($A258,"W75682424",TEXT($B$1,"yyyy/mm/dd"),1),"")</f>
        <v>47622467973.540001</v>
      </c>
      <c r="D258">
        <f>IFERROR([1]!s_stm07_is($A258,"W76031679",TEXT($B$1,"yyyy/mm/dd"),1),"")</f>
        <v>223357794.68000001</v>
      </c>
      <c r="E258">
        <f>IFERROR([1]!s_stm07_is($A258,"W70752487",TEXT($B$1,"yyyy/mm/dd"),1),"")</f>
        <v>1152518077.1500001</v>
      </c>
      <c r="F258">
        <f>IFERROR([1]!s_stm07_is_103($A258,TEXT($B$1,"yyyy/mm/dd"),1),"")</f>
        <v>249219478.72</v>
      </c>
      <c r="G258">
        <f>IFERROR([1]!s_stm07_is_104($A258,TEXT($B$1,"yyyy/mm/dd"),1),"")</f>
        <v>311440567.73000002</v>
      </c>
      <c r="H258">
        <f>IFERROR([1]!s_stm07_is_105($A258,TEXT($B$1,"yyyy/mm/dd"),1),"")</f>
        <v>119536371.36</v>
      </c>
      <c r="I258">
        <f>IFERROR([1]!s_stm07_is($A258,"W72946623",TEXT($B$1,"yyyy/mm/dd"),1),"")</f>
        <v>1594333868.99</v>
      </c>
      <c r="J258">
        <f>IFERROR([1]!s_stm07_is($A258,"W30028333",TEXT($B$1,"yyyy/mm/dd"),1),"")</f>
        <v>1171447387.79</v>
      </c>
      <c r="K258">
        <f>IFERROR([1]!s_stm07_cs($A258,"W77130581",TEXT($B$1,"yyyy/mm/dd"),1),"")</f>
        <v>3684373044.5500002</v>
      </c>
      <c r="L258">
        <f>IFERROR([1]!s_stm07_cs($A258,"W77745895",TEXT($B$1,"yyyy/mm/dd"),1),"")</f>
        <v>2540033654.4899998</v>
      </c>
      <c r="M258">
        <f>IFERROR([1]!S_FA_EPS_basic2($A258,$B$1,"Cur=CNY"),"")</f>
        <v>0.41</v>
      </c>
      <c r="N258">
        <f>IFERROR([1]!s_fa_arturndays($A258,TEXT($B$1,"yyyy/mm/dd")),"")</f>
        <v>5.5202999999999998</v>
      </c>
      <c r="O258" t="str">
        <f>IFERROR([1]!fa_apturndays($A258,TEXT($B$1,"yyyy/mm/dd")),"")</f>
        <v>Fetch...</v>
      </c>
      <c r="P258">
        <f>IFERROR([1]!s_fa_invturndays($A258,TEXT($B$1,"yyyy/mm/dd")),"")</f>
        <v>0.90900000000000003</v>
      </c>
    </row>
    <row r="259" spans="1:16">
      <c r="A259" t="s">
        <v>272</v>
      </c>
      <c r="B259">
        <f>IFERROR([1]!s_stm07_is($A259,"W70156729",TEXT($B$1,"yyyy/mm/dd"),1),"")</f>
        <v>6310392248.3400002</v>
      </c>
      <c r="C259">
        <f>IFERROR([1]!s_stm07_is($A259,"W75682424",TEXT($B$1,"yyyy/mm/dd"),1),"")</f>
        <v>4869345844.9499998</v>
      </c>
      <c r="D259">
        <f>IFERROR([1]!s_stm07_is($A259,"W76031679",TEXT($B$1,"yyyy/mm/dd"),1),"")</f>
        <v>392416692.19</v>
      </c>
      <c r="E259">
        <f>IFERROR([1]!s_stm07_is($A259,"W70752487",TEXT($B$1,"yyyy/mm/dd"),1),"")</f>
        <v>354355821.82999998</v>
      </c>
      <c r="F259">
        <f>IFERROR([1]!s_stm07_is_103($A259,TEXT($B$1,"yyyy/mm/dd"),1),"")</f>
        <v>400401087.61000001</v>
      </c>
      <c r="G259">
        <f>IFERROR([1]!s_stm07_is_104($A259,TEXT($B$1,"yyyy/mm/dd"),1),"")</f>
        <v>108178627.61</v>
      </c>
      <c r="H259">
        <f>IFERROR([1]!s_stm07_is_105($A259,TEXT($B$1,"yyyy/mm/dd"),1),"")</f>
        <v>26494265.309999999</v>
      </c>
      <c r="I259">
        <f>IFERROR([1]!s_stm07_is($A259,"W72946623",TEXT($B$1,"yyyy/mm/dd"),1),"")</f>
        <v>86615215.019999996</v>
      </c>
      <c r="J259">
        <f>IFERROR([1]!s_stm07_is($A259,"W30028333",TEXT($B$1,"yyyy/mm/dd"),1),"")</f>
        <v>-156213051.31999999</v>
      </c>
      <c r="K259">
        <f>IFERROR([1]!s_stm07_cs($A259,"W77130581",TEXT($B$1,"yyyy/mm/dd"),1),"")</f>
        <v>144342237.02000001</v>
      </c>
      <c r="L259">
        <f>IFERROR([1]!s_stm07_cs($A259,"W77745895",TEXT($B$1,"yyyy/mm/dd"),1),"")</f>
        <v>82196832</v>
      </c>
      <c r="M259">
        <f>IFERROR([1]!S_FA_EPS_basic2($A259,$B$1,"Cur=CNY"),"")</f>
        <v>-9.4100000000000003E-2</v>
      </c>
      <c r="N259">
        <f>IFERROR([1]!s_fa_arturndays($A259,TEXT($B$1,"yyyy/mm/dd")),"")</f>
        <v>90.691500000000005</v>
      </c>
      <c r="O259" t="str">
        <f>IFERROR([1]!fa_apturndays($A259,TEXT($B$1,"yyyy/mm/dd")),"")</f>
        <v>Fetch...</v>
      </c>
      <c r="P259">
        <f>IFERROR([1]!s_fa_invturndays($A259,TEXT($B$1,"yyyy/mm/dd")),"")</f>
        <v>67.333799999999997</v>
      </c>
    </row>
    <row r="260" spans="1:16">
      <c r="A260" t="s">
        <v>273</v>
      </c>
      <c r="B260">
        <f>IFERROR([1]!s_stm07_is($A260,"W70156729",TEXT($B$1,"yyyy/mm/dd"),1),"")</f>
        <v>2609136912.3800001</v>
      </c>
      <c r="C260">
        <f>IFERROR([1]!s_stm07_is($A260,"W75682424",TEXT($B$1,"yyyy/mm/dd"),1),"")</f>
        <v>2312493280.0599999</v>
      </c>
      <c r="D260">
        <f>IFERROR([1]!s_stm07_is($A260,"W76031679",TEXT($B$1,"yyyy/mm/dd"),1),"")</f>
        <v>210963459.12</v>
      </c>
      <c r="E260">
        <f>IFERROR([1]!s_stm07_is($A260,"W70752487",TEXT($B$1,"yyyy/mm/dd"),1),"")</f>
        <v>137757643.11000001</v>
      </c>
      <c r="F260">
        <f>IFERROR([1]!s_stm07_is_103($A260,TEXT($B$1,"yyyy/mm/dd"),1),"")</f>
        <v>98342897.650000006</v>
      </c>
      <c r="G260">
        <f>IFERROR([1]!s_stm07_is_104($A260,TEXT($B$1,"yyyy/mm/dd"),1),"")</f>
        <v>35247611.020000003</v>
      </c>
      <c r="H260">
        <f>IFERROR([1]!s_stm07_is_105($A260,TEXT($B$1,"yyyy/mm/dd"),1),"")</f>
        <v>7831127.7400000002</v>
      </c>
      <c r="I260">
        <f>IFERROR([1]!s_stm07_is($A260,"W72946623",TEXT($B$1,"yyyy/mm/dd"),1),"")</f>
        <v>-189197087.22999999</v>
      </c>
      <c r="J260">
        <f>IFERROR([1]!s_stm07_is($A260,"W30028333",TEXT($B$1,"yyyy/mm/dd"),1),"")</f>
        <v>-216649698.74000001</v>
      </c>
      <c r="K260">
        <f>IFERROR([1]!s_stm07_cs($A260,"W77130581",TEXT($B$1,"yyyy/mm/dd"),1),"")</f>
        <v>182039216.05000001</v>
      </c>
      <c r="L260">
        <f>IFERROR([1]!s_stm07_cs($A260,"W77745895",TEXT($B$1,"yyyy/mm/dd"),1),"")</f>
        <v>16443856.27</v>
      </c>
      <c r="M260">
        <f>IFERROR([1]!S_FA_EPS_basic2($A260,$B$1,"Cur=CNY"),"")</f>
        <v>-0.27</v>
      </c>
      <c r="N260">
        <f>IFERROR([1]!s_fa_arturndays($A260,TEXT($B$1,"yyyy/mm/dd")),"")</f>
        <v>182.88040000000001</v>
      </c>
      <c r="O260" t="str">
        <f>IFERROR([1]!fa_apturndays($A260,TEXT($B$1,"yyyy/mm/dd")),"")</f>
        <v>Fetch...</v>
      </c>
      <c r="P260">
        <f>IFERROR([1]!s_fa_invturndays($A260,TEXT($B$1,"yyyy/mm/dd")),"")</f>
        <v>0</v>
      </c>
    </row>
    <row r="261" spans="1:16">
      <c r="A261" t="s">
        <v>274</v>
      </c>
      <c r="B261">
        <f>IFERROR([1]!s_stm07_is($A261,"W70156729",TEXT($B$1,"yyyy/mm/dd"),1),"")</f>
        <v>1921296242.8299999</v>
      </c>
      <c r="C261">
        <f>IFERROR([1]!s_stm07_is($A261,"W75682424",TEXT($B$1,"yyyy/mm/dd"),1),"")</f>
        <v>1506797585.73</v>
      </c>
      <c r="D261">
        <f>IFERROR([1]!s_stm07_is($A261,"W76031679",TEXT($B$1,"yyyy/mm/dd"),1),"")</f>
        <v>12473569.85</v>
      </c>
      <c r="E261">
        <f>IFERROR([1]!s_stm07_is($A261,"W70752487",TEXT($B$1,"yyyy/mm/dd"),1),"")</f>
        <v>116848459.55</v>
      </c>
      <c r="F261">
        <f>IFERROR([1]!s_stm07_is_103($A261,TEXT($B$1,"yyyy/mm/dd"),1),"")</f>
        <v>80031787.760000005</v>
      </c>
      <c r="G261">
        <f>IFERROR([1]!s_stm07_is_104($A261,TEXT($B$1,"yyyy/mm/dd"),1),"")</f>
        <v>34801346.299999997</v>
      </c>
      <c r="H261">
        <f>IFERROR([1]!s_stm07_is_105($A261,TEXT($B$1,"yyyy/mm/dd"),1),"")</f>
        <v>3126778.08</v>
      </c>
      <c r="I261">
        <f>IFERROR([1]!s_stm07_is($A261,"W72946623",TEXT($B$1,"yyyy/mm/dd"),1),"")</f>
        <v>246630712.69</v>
      </c>
      <c r="J261">
        <f>IFERROR([1]!s_stm07_is($A261,"W30028333",TEXT($B$1,"yyyy/mm/dd"),1),"")</f>
        <v>225447797.28</v>
      </c>
      <c r="K261">
        <f>IFERROR([1]!s_stm07_cs($A261,"W77130581",TEXT($B$1,"yyyy/mm/dd"),1),"")</f>
        <v>200006622.16999999</v>
      </c>
      <c r="L261">
        <f>IFERROR([1]!s_stm07_cs($A261,"W77745895",TEXT($B$1,"yyyy/mm/dd"),1),"")</f>
        <v>41326421.909999996</v>
      </c>
      <c r="M261">
        <f>IFERROR([1]!S_FA_EPS_basic2($A261,$B$1,"Cur=CNY"),"")</f>
        <v>0.36</v>
      </c>
      <c r="N261">
        <f>IFERROR([1]!s_fa_arturndays($A261,TEXT($B$1,"yyyy/mm/dd")),"")</f>
        <v>84.528899999999993</v>
      </c>
      <c r="O261" t="str">
        <f>IFERROR([1]!fa_apturndays($A261,TEXT($B$1,"yyyy/mm/dd")),"")</f>
        <v>Fetch...</v>
      </c>
      <c r="P261">
        <f>IFERROR([1]!s_fa_invturndays($A261,TEXT($B$1,"yyyy/mm/dd")),"")</f>
        <v>88.637200000000007</v>
      </c>
    </row>
    <row r="262" spans="1:16">
      <c r="A262" t="s">
        <v>275</v>
      </c>
      <c r="B262">
        <f>IFERROR([1]!s_stm07_is($A262,"W70156729",TEXT($B$1,"yyyy/mm/dd"),1),"")</f>
        <v>15677736867.440001</v>
      </c>
      <c r="C262">
        <f>IFERROR([1]!s_stm07_is($A262,"W75682424",TEXT($B$1,"yyyy/mm/dd"),1),"")</f>
        <v>12662413955.870001</v>
      </c>
      <c r="D262">
        <f>IFERROR([1]!s_stm07_is($A262,"W76031679",TEXT($B$1,"yyyy/mm/dd"),1),"")</f>
        <v>211243522.25999999</v>
      </c>
      <c r="E262">
        <f>IFERROR([1]!s_stm07_is($A262,"W70752487",TEXT($B$1,"yyyy/mm/dd"),1),"")</f>
        <v>797126292.84000003</v>
      </c>
      <c r="F262">
        <f>IFERROR([1]!s_stm07_is_103($A262,TEXT($B$1,"yyyy/mm/dd"),1),"")</f>
        <v>607704342.03999996</v>
      </c>
      <c r="G262">
        <f>IFERROR([1]!s_stm07_is_104($A262,TEXT($B$1,"yyyy/mm/dd"),1),"")</f>
        <v>101541754.39</v>
      </c>
      <c r="H262">
        <f>IFERROR([1]!s_stm07_is_105($A262,TEXT($B$1,"yyyy/mm/dd"),1),"")</f>
        <v>41862525.409999996</v>
      </c>
      <c r="I262">
        <f>IFERROR([1]!s_stm07_is($A262,"W72946623",TEXT($B$1,"yyyy/mm/dd"),1),"")</f>
        <v>1253462801.98</v>
      </c>
      <c r="J262">
        <f>IFERROR([1]!s_stm07_is($A262,"W30028333",TEXT($B$1,"yyyy/mm/dd"),1),"")</f>
        <v>957243636.58000004</v>
      </c>
      <c r="K262">
        <f>IFERROR([1]!s_stm07_cs($A262,"W77130581",TEXT($B$1,"yyyy/mm/dd"),1),"")</f>
        <v>1404786390.2</v>
      </c>
      <c r="L262">
        <f>IFERROR([1]!s_stm07_cs($A262,"W77745895",TEXT($B$1,"yyyy/mm/dd"),1),"")</f>
        <v>1197194896.8800001</v>
      </c>
      <c r="M262">
        <f>IFERROR([1]!S_FA_EPS_basic2($A262,$B$1,"Cur=CNY"),"")</f>
        <v>1.1499999999999999</v>
      </c>
      <c r="N262">
        <f>IFERROR([1]!s_fa_arturndays($A262,TEXT($B$1,"yyyy/mm/dd")),"")</f>
        <v>118.1917</v>
      </c>
      <c r="O262" t="str">
        <f>IFERROR([1]!fa_apturndays($A262,TEXT($B$1,"yyyy/mm/dd")),"")</f>
        <v>Fetch...</v>
      </c>
      <c r="P262">
        <f>IFERROR([1]!s_fa_invturndays($A262,TEXT($B$1,"yyyy/mm/dd")),"")</f>
        <v>74.404799999999994</v>
      </c>
    </row>
    <row r="263" spans="1:16">
      <c r="A263" t="s">
        <v>276</v>
      </c>
      <c r="B263">
        <f>IFERROR([1]!s_stm07_is($A263,"W70156729",TEXT($B$1,"yyyy/mm/dd"),1),"")</f>
        <v>2599619040.48</v>
      </c>
      <c r="C263">
        <f>IFERROR([1]!s_stm07_is($A263,"W75682424",TEXT($B$1,"yyyy/mm/dd"),1),"")</f>
        <v>2267396656.71</v>
      </c>
      <c r="D263">
        <f>IFERROR([1]!s_stm07_is($A263,"W76031679",TEXT($B$1,"yyyy/mm/dd"),1),"")</f>
        <v>189174573.19999999</v>
      </c>
      <c r="E263">
        <f>IFERROR([1]!s_stm07_is($A263,"W70752487",TEXT($B$1,"yyyy/mm/dd"),1),"")</f>
        <v>69070263.859999999</v>
      </c>
      <c r="F263">
        <f>IFERROR([1]!s_stm07_is_103($A263,TEXT($B$1,"yyyy/mm/dd"),1),"")</f>
        <v>9958033.2400000002</v>
      </c>
      <c r="G263">
        <f>IFERROR([1]!s_stm07_is_104($A263,TEXT($B$1,"yyyy/mm/dd"),1),"")</f>
        <v>2134404.5</v>
      </c>
      <c r="H263">
        <f>IFERROR([1]!s_stm07_is_105($A263,TEXT($B$1,"yyyy/mm/dd"),1),"")</f>
        <v>22899688.109999999</v>
      </c>
      <c r="I263">
        <f>IFERROR([1]!s_stm07_is($A263,"W72946623",TEXT($B$1,"yyyy/mm/dd"),1),"")</f>
        <v>-249903113.63</v>
      </c>
      <c r="J263">
        <f>IFERROR([1]!s_stm07_is($A263,"W30028333",TEXT($B$1,"yyyy/mm/dd"),1),"")</f>
        <v>-281535985.54000002</v>
      </c>
      <c r="K263">
        <f>IFERROR([1]!s_stm07_cs($A263,"W77130581",TEXT($B$1,"yyyy/mm/dd"),1),"")</f>
        <v>19692981.98</v>
      </c>
      <c r="L263">
        <f>IFERROR([1]!s_stm07_cs($A263,"W77745895",TEXT($B$1,"yyyy/mm/dd"),1),"")</f>
        <v>7396410.5599999996</v>
      </c>
      <c r="M263">
        <f>IFERROR([1]!S_FA_EPS_basic2($A263,$B$1,"Cur=CNY"),"")</f>
        <v>-0.11849999999999999</v>
      </c>
      <c r="N263">
        <f>IFERROR([1]!s_fa_arturndays($A263,TEXT($B$1,"yyyy/mm/dd")),"")</f>
        <v>50.220399999999998</v>
      </c>
      <c r="O263" t="str">
        <f>IFERROR([1]!fa_apturndays($A263,TEXT($B$1,"yyyy/mm/dd")),"")</f>
        <v>Fetch...</v>
      </c>
      <c r="P263">
        <f>IFERROR([1]!s_fa_invturndays($A263,TEXT($B$1,"yyyy/mm/dd")),"")</f>
        <v>13.3186</v>
      </c>
    </row>
    <row r="264" spans="1:16">
      <c r="A264" t="s">
        <v>277</v>
      </c>
      <c r="B264">
        <f>IFERROR([1]!s_stm07_is($A264,"W70156729",TEXT($B$1,"yyyy/mm/dd"),1),"")</f>
        <v>30114958327.310001</v>
      </c>
      <c r="C264">
        <f>IFERROR([1]!s_stm07_is($A264,"W75682424",TEXT($B$1,"yyyy/mm/dd"),1),"")</f>
        <v>19022370061</v>
      </c>
      <c r="D264">
        <f>IFERROR([1]!s_stm07_is($A264,"W76031679",TEXT($B$1,"yyyy/mm/dd"),1),"")</f>
        <v>68723088.530000001</v>
      </c>
      <c r="E264">
        <f>IFERROR([1]!s_stm07_is($A264,"W70752487",TEXT($B$1,"yyyy/mm/dd"),1),"")</f>
        <v>1024280624.29</v>
      </c>
      <c r="F264">
        <f>IFERROR([1]!s_stm07_is_103($A264,TEXT($B$1,"yyyy/mm/dd"),1),"")</f>
        <v>41060641.759999998</v>
      </c>
      <c r="G264">
        <f>IFERROR([1]!s_stm07_is_104($A264,TEXT($B$1,"yyyy/mm/dd"),1),"")</f>
        <v>141181539.78</v>
      </c>
      <c r="H264">
        <f>IFERROR([1]!s_stm07_is_105($A264,TEXT($B$1,"yyyy/mm/dd"),1),"")</f>
        <v>28260099.140000001</v>
      </c>
      <c r="I264">
        <f>IFERROR([1]!s_stm07_is($A264,"W72946623",TEXT($B$1,"yyyy/mm/dd"),1),"")</f>
        <v>8027821819.9799995</v>
      </c>
      <c r="J264">
        <f>IFERROR([1]!s_stm07_is($A264,"W30028333",TEXT($B$1,"yyyy/mm/dd"),1),"")</f>
        <v>5419089199.7600002</v>
      </c>
      <c r="K264">
        <f>IFERROR([1]!s_stm07_cs($A264,"W77130581",TEXT($B$1,"yyyy/mm/dd"),1),"")</f>
        <v>9207479881.2199993</v>
      </c>
      <c r="L264">
        <f>IFERROR([1]!s_stm07_cs($A264,"W77745895",TEXT($B$1,"yyyy/mm/dd"),1),"")</f>
        <v>7749032770.4300003</v>
      </c>
      <c r="M264">
        <f>IFERROR([1]!S_FA_EPS_basic2($A264,$B$1,"Cur=CNY"),"")</f>
        <v>2.42</v>
      </c>
      <c r="N264">
        <f>IFERROR([1]!s_fa_arturndays($A264,TEXT($B$1,"yyyy/mm/dd")),"")</f>
        <v>23.531700000000001</v>
      </c>
      <c r="O264" t="str">
        <f>IFERROR([1]!fa_apturndays($A264,TEXT($B$1,"yyyy/mm/dd")),"")</f>
        <v>Fetch...</v>
      </c>
      <c r="P264">
        <f>IFERROR([1]!s_fa_invturndays($A264,TEXT($B$1,"yyyy/mm/dd")),"")</f>
        <v>34.636000000000003</v>
      </c>
    </row>
    <row r="265" spans="1:16">
      <c r="A265" t="s">
        <v>278</v>
      </c>
      <c r="B265">
        <f>IFERROR([1]!s_stm07_is($A265,"W70156729",TEXT($B$1,"yyyy/mm/dd"),1),"")</f>
        <v>8450660581.1400003</v>
      </c>
      <c r="C265">
        <f>IFERROR([1]!s_stm07_is($A265,"W75682424",TEXT($B$1,"yyyy/mm/dd"),1),"")</f>
        <v>5775763951.1400003</v>
      </c>
      <c r="D265">
        <f>IFERROR([1]!s_stm07_is($A265,"W76031679",TEXT($B$1,"yyyy/mm/dd"),1),"")</f>
        <v>388935859.06</v>
      </c>
      <c r="E265">
        <f>IFERROR([1]!s_stm07_is($A265,"W70752487",TEXT($B$1,"yyyy/mm/dd"),1),"")</f>
        <v>310077947.10000002</v>
      </c>
      <c r="F265">
        <f>IFERROR([1]!s_stm07_is_103($A265,TEXT($B$1,"yyyy/mm/dd"),1),"")</f>
        <v>446202452.27999997</v>
      </c>
      <c r="G265">
        <f>IFERROR([1]!s_stm07_is_104($A265,TEXT($B$1,"yyyy/mm/dd"),1),"")</f>
        <v>54337471.549999997</v>
      </c>
      <c r="H265">
        <f>IFERROR([1]!s_stm07_is_105($A265,TEXT($B$1,"yyyy/mm/dd"),1),"")</f>
        <v>7745536.2999999998</v>
      </c>
      <c r="I265">
        <f>IFERROR([1]!s_stm07_is($A265,"W72946623",TEXT($B$1,"yyyy/mm/dd"),1),"")</f>
        <v>1421567020.1700001</v>
      </c>
      <c r="J265">
        <f>IFERROR([1]!s_stm07_is($A265,"W30028333",TEXT($B$1,"yyyy/mm/dd"),1),"")</f>
        <v>1143868383.1500001</v>
      </c>
      <c r="K265">
        <f>IFERROR([1]!s_stm07_cs($A265,"W77130581",TEXT($B$1,"yyyy/mm/dd"),1),"")</f>
        <v>1160052322.6199999</v>
      </c>
      <c r="L265">
        <f>IFERROR([1]!s_stm07_cs($A265,"W77745895",TEXT($B$1,"yyyy/mm/dd"),1),"")</f>
        <v>1036227283.89</v>
      </c>
      <c r="M265">
        <f>IFERROR([1]!S_FA_EPS_basic2($A265,$B$1,"Cur=CNY"),"")</f>
        <v>0.92</v>
      </c>
      <c r="N265">
        <f>IFERROR([1]!s_fa_arturndays($A265,TEXT($B$1,"yyyy/mm/dd")),"")</f>
        <v>113.59690000000001</v>
      </c>
      <c r="O265" t="str">
        <f>IFERROR([1]!fa_apturndays($A265,TEXT($B$1,"yyyy/mm/dd")),"")</f>
        <v>Fetch...</v>
      </c>
      <c r="P265">
        <f>IFERROR([1]!s_fa_invturndays($A265,TEXT($B$1,"yyyy/mm/dd")),"")</f>
        <v>67.429599999999994</v>
      </c>
    </row>
    <row r="266" spans="1:16">
      <c r="A266" t="s">
        <v>279</v>
      </c>
      <c r="B266">
        <f>IFERROR([1]!s_stm07_is($A266,"W70156729",TEXT($B$1,"yyyy/mm/dd"),1),"")</f>
        <v>20050434864.599998</v>
      </c>
      <c r="C266">
        <f>IFERROR([1]!s_stm07_is($A266,"W75682424",TEXT($B$1,"yyyy/mm/dd"),1),"")</f>
        <v>18293040515.25</v>
      </c>
      <c r="D266">
        <f>IFERROR([1]!s_stm07_is($A266,"W76031679",TEXT($B$1,"yyyy/mm/dd"),1),"")</f>
        <v>727992739.77999997</v>
      </c>
      <c r="E266">
        <f>IFERROR([1]!s_stm07_is($A266,"W70752487",TEXT($B$1,"yyyy/mm/dd"),1),"")</f>
        <v>544825113.72000003</v>
      </c>
      <c r="F266">
        <f>IFERROR([1]!s_stm07_is_103($A266,TEXT($B$1,"yyyy/mm/dd"),1),"")</f>
        <v>193979728.09</v>
      </c>
      <c r="G266">
        <f>IFERROR([1]!s_stm07_is_104($A266,TEXT($B$1,"yyyy/mm/dd"),1),"")</f>
        <v>99523555.769999996</v>
      </c>
      <c r="H266">
        <f>IFERROR([1]!s_stm07_is_105($A266,TEXT($B$1,"yyyy/mm/dd"),1),"")</f>
        <v>67353432.709999993</v>
      </c>
      <c r="I266">
        <f>IFERROR([1]!s_stm07_is($A266,"W72946623",TEXT($B$1,"yyyy/mm/dd"),1),"")</f>
        <v>36224354.219999999</v>
      </c>
      <c r="J266">
        <f>IFERROR([1]!s_stm07_is($A266,"W30028333",TEXT($B$1,"yyyy/mm/dd"),1),"")</f>
        <v>33744355.259999998</v>
      </c>
      <c r="K266">
        <f>IFERROR([1]!s_stm07_cs($A266,"W77130581",TEXT($B$1,"yyyy/mm/dd"),1),"")</f>
        <v>451185610.36000001</v>
      </c>
      <c r="L266">
        <f>IFERROR([1]!s_stm07_cs($A266,"W77745895",TEXT($B$1,"yyyy/mm/dd"),1),"")</f>
        <v>165092813.66</v>
      </c>
      <c r="M266">
        <f>IFERROR([1]!S_FA_EPS_basic2($A266,$B$1,"Cur=CNY"),"")</f>
        <v>5.1999999999999998E-3</v>
      </c>
      <c r="N266">
        <f>IFERROR([1]!s_fa_arturndays($A266,TEXT($B$1,"yyyy/mm/dd")),"")</f>
        <v>102.6665</v>
      </c>
      <c r="O266" t="str">
        <f>IFERROR([1]!fa_apturndays($A266,TEXT($B$1,"yyyy/mm/dd")),"")</f>
        <v>Fetch...</v>
      </c>
      <c r="P266">
        <f>IFERROR([1]!s_fa_invturndays($A266,TEXT($B$1,"yyyy/mm/dd")),"")</f>
        <v>17.658200000000001</v>
      </c>
    </row>
    <row r="267" spans="1:16">
      <c r="A267" t="s">
        <v>280</v>
      </c>
      <c r="B267">
        <f>IFERROR([1]!s_stm07_is($A267,"W70156729",TEXT($B$1,"yyyy/mm/dd"),1),"")</f>
        <v>6745291381.9899998</v>
      </c>
      <c r="C267">
        <f>IFERROR([1]!s_stm07_is($A267,"W75682424",TEXT($B$1,"yyyy/mm/dd"),1),"")</f>
        <v>4274077907.96</v>
      </c>
      <c r="D267">
        <f>IFERROR([1]!s_stm07_is($A267,"W76031679",TEXT($B$1,"yyyy/mm/dd"),1),"")</f>
        <v>114659194.20999999</v>
      </c>
      <c r="E267">
        <f>IFERROR([1]!s_stm07_is($A267,"W70752487",TEXT($B$1,"yyyy/mm/dd"),1),"")</f>
        <v>346766884.22000003</v>
      </c>
      <c r="F267">
        <f>IFERROR([1]!s_stm07_is_103($A267,TEXT($B$1,"yyyy/mm/dd"),1),"")</f>
        <v>619482058.25</v>
      </c>
      <c r="G267">
        <f>IFERROR([1]!s_stm07_is_104($A267,TEXT($B$1,"yyyy/mm/dd"),1),"")</f>
        <v>88157316.680000007</v>
      </c>
      <c r="H267">
        <f>IFERROR([1]!s_stm07_is_105($A267,TEXT($B$1,"yyyy/mm/dd"),1),"")</f>
        <v>2132706.5</v>
      </c>
      <c r="I267">
        <f>IFERROR([1]!s_stm07_is($A267,"W72946623",TEXT($B$1,"yyyy/mm/dd"),1),"")</f>
        <v>1274322248.1199999</v>
      </c>
      <c r="J267">
        <f>IFERROR([1]!s_stm07_is($A267,"W30028333",TEXT($B$1,"yyyy/mm/dd"),1),"")</f>
        <v>1021016292.98</v>
      </c>
      <c r="K267">
        <f>IFERROR([1]!s_stm07_cs($A267,"W77130581",TEXT($B$1,"yyyy/mm/dd"),1),"")</f>
        <v>1698999817.55</v>
      </c>
      <c r="L267">
        <f>IFERROR([1]!s_stm07_cs($A267,"W77745895",TEXT($B$1,"yyyy/mm/dd"),1),"")</f>
        <v>728970084.90999997</v>
      </c>
      <c r="M267">
        <f>IFERROR([1]!S_FA_EPS_basic2($A267,$B$1,"Cur=CNY"),"")</f>
        <v>1.3</v>
      </c>
      <c r="N267">
        <f>IFERROR([1]!s_fa_arturndays($A267,TEXT($B$1,"yyyy/mm/dd")),"")</f>
        <v>127.60980000000001</v>
      </c>
      <c r="O267" t="str">
        <f>IFERROR([1]!fa_apturndays($A267,TEXT($B$1,"yyyy/mm/dd")),"")</f>
        <v>Fetch...</v>
      </c>
      <c r="P267">
        <f>IFERROR([1]!s_fa_invturndays($A267,TEXT($B$1,"yyyy/mm/dd")),"")</f>
        <v>97.648300000000006</v>
      </c>
    </row>
    <row r="268" spans="1:16">
      <c r="A268" t="s">
        <v>281</v>
      </c>
      <c r="B268">
        <f>IFERROR([1]!s_stm07_is($A268,"W70156729",TEXT($B$1,"yyyy/mm/dd"),1),"")</f>
        <v>11082209741.52</v>
      </c>
      <c r="C268">
        <f>IFERROR([1]!s_stm07_is($A268,"W75682424",TEXT($B$1,"yyyy/mm/dd"),1),"")</f>
        <v>8695584065.1299992</v>
      </c>
      <c r="D268">
        <f>IFERROR([1]!s_stm07_is($A268,"W76031679",TEXT($B$1,"yyyy/mm/dd"),1),"")</f>
        <v>458236603.48000002</v>
      </c>
      <c r="E268">
        <f>IFERROR([1]!s_stm07_is($A268,"W70752487",TEXT($B$1,"yyyy/mm/dd"),1),"")</f>
        <v>443268335.07999998</v>
      </c>
      <c r="F268">
        <f>IFERROR([1]!s_stm07_is_103($A268,TEXT($B$1,"yyyy/mm/dd"),1),"")</f>
        <v>919433295.25999999</v>
      </c>
      <c r="G268">
        <f>IFERROR([1]!s_stm07_is_104($A268,TEXT($B$1,"yyyy/mm/dd"),1),"")</f>
        <v>29799577.300000001</v>
      </c>
      <c r="H268">
        <f>IFERROR([1]!s_stm07_is_105($A268,TEXT($B$1,"yyyy/mm/dd"),1),"")</f>
        <v>25211229.18</v>
      </c>
      <c r="I268">
        <f>IFERROR([1]!s_stm07_is($A268,"W72946623",TEXT($B$1,"yyyy/mm/dd"),1),"")</f>
        <v>402119521.33999997</v>
      </c>
      <c r="J268">
        <f>IFERROR([1]!s_stm07_is($A268,"W30028333",TEXT($B$1,"yyyy/mm/dd"),1),"")</f>
        <v>363873007.86000001</v>
      </c>
      <c r="K268">
        <f>IFERROR([1]!s_stm07_cs($A268,"W77130581",TEXT($B$1,"yyyy/mm/dd"),1),"")</f>
        <v>678366940.28999996</v>
      </c>
      <c r="L268">
        <f>IFERROR([1]!s_stm07_cs($A268,"W77745895",TEXT($B$1,"yyyy/mm/dd"),1),"")</f>
        <v>726995083.85000002</v>
      </c>
      <c r="M268">
        <f>IFERROR([1]!S_FA_EPS_basic2($A268,$B$1,"Cur=CNY"),"")</f>
        <v>0.3</v>
      </c>
      <c r="N268">
        <f>IFERROR([1]!s_fa_arturndays($A268,TEXT($B$1,"yyyy/mm/dd")),"")</f>
        <v>97.735799999999998</v>
      </c>
      <c r="O268" t="str">
        <f>IFERROR([1]!fa_apturndays($A268,TEXT($B$1,"yyyy/mm/dd")),"")</f>
        <v>Fetch...</v>
      </c>
      <c r="P268">
        <f>IFERROR([1]!s_fa_invturndays($A268,TEXT($B$1,"yyyy/mm/dd")),"")</f>
        <v>82.943600000000004</v>
      </c>
    </row>
    <row r="269" spans="1:16">
      <c r="A269" t="s">
        <v>282</v>
      </c>
      <c r="B269">
        <f>IFERROR([1]!s_stm07_is($A269,"W70156729",TEXT($B$1,"yyyy/mm/dd"),1),"")</f>
        <v>71969000000</v>
      </c>
      <c r="C269">
        <f>IFERROR([1]!s_stm07_is($A269,"W75682424",TEXT($B$1,"yyyy/mm/dd"),1),"")</f>
        <v>0</v>
      </c>
      <c r="D269">
        <f>IFERROR([1]!s_stm07_is($A269,"W76031679",TEXT($B$1,"yyyy/mm/dd"),1),"")</f>
        <v>0</v>
      </c>
      <c r="E269">
        <f>IFERROR([1]!s_stm07_is($A269,"W70752487",TEXT($B$1,"yyyy/mm/dd"),1),"")</f>
        <v>23550000000</v>
      </c>
      <c r="F269">
        <f>IFERROR([1]!s_stm07_is_103($A269,TEXT($B$1,"yyyy/mm/dd"),1),"")</f>
        <v>0</v>
      </c>
      <c r="G269">
        <f>IFERROR([1]!s_stm07_is_104($A269,TEXT($B$1,"yyyy/mm/dd"),1),"")</f>
        <v>0</v>
      </c>
      <c r="H269">
        <f>IFERROR([1]!s_stm07_is_105($A269,TEXT($B$1,"yyyy/mm/dd"),1),"")</f>
        <v>0</v>
      </c>
      <c r="I269">
        <f>IFERROR([1]!s_stm07_is($A269,"W72946623",TEXT($B$1,"yyyy/mm/dd"),1),"")</f>
        <v>32161000000</v>
      </c>
      <c r="J269">
        <f>IFERROR([1]!s_stm07_is($A269,"W30028333",TEXT($B$1,"yyyy/mm/dd"),1),"")</f>
        <v>29333000000</v>
      </c>
      <c r="K269">
        <f>IFERROR([1]!s_stm07_cs($A269,"W77130581",TEXT($B$1,"yyyy/mm/dd"),1),"")</f>
        <v>235516000000</v>
      </c>
      <c r="L269">
        <f>IFERROR([1]!s_stm07_cs($A269,"W77745895",TEXT($B$1,"yyyy/mm/dd"),1),"")</f>
        <v>3436000000</v>
      </c>
      <c r="M269">
        <f>IFERROR([1]!S_FA_EPS_basic2($A269,$B$1,"Cur=CNY"),"")</f>
        <v>4.29</v>
      </c>
      <c r="N269">
        <f>IFERROR([1]!s_fa_arturndays($A269,TEXT($B$1,"yyyy/mm/dd")),"")</f>
        <v>0</v>
      </c>
      <c r="O269" t="str">
        <f>IFERROR([1]!fa_apturndays($A269,TEXT($B$1,"yyyy/mm/dd")),"")</f>
        <v>Fetch...</v>
      </c>
      <c r="P269">
        <f>IFERROR([1]!s_fa_invturndays($A269,TEXT($B$1,"yyyy/mm/dd")),"")</f>
        <v>0</v>
      </c>
    </row>
    <row r="270" spans="1:16">
      <c r="A270" t="s">
        <v>283</v>
      </c>
      <c r="B270">
        <f>IFERROR([1]!s_stm07_is($A270,"W70156729",TEXT($B$1,"yyyy/mm/dd"),1),"")</f>
        <v>7783579654.79</v>
      </c>
      <c r="C270">
        <f>IFERROR([1]!s_stm07_is($A270,"W75682424",TEXT($B$1,"yyyy/mm/dd"),1),"")</f>
        <v>6715903459.3299999</v>
      </c>
      <c r="D270">
        <f>IFERROR([1]!s_stm07_is($A270,"W76031679",TEXT($B$1,"yyyy/mm/dd"),1),"")</f>
        <v>58316199.899999999</v>
      </c>
      <c r="E270">
        <f>IFERROR([1]!s_stm07_is($A270,"W70752487",TEXT($B$1,"yyyy/mm/dd"),1),"")</f>
        <v>382092454.45999998</v>
      </c>
      <c r="F270">
        <f>IFERROR([1]!s_stm07_is_103($A270,TEXT($B$1,"yyyy/mm/dd"),1),"")</f>
        <v>147270258.34</v>
      </c>
      <c r="G270">
        <f>IFERROR([1]!s_stm07_is_104($A270,TEXT($B$1,"yyyy/mm/dd"),1),"")</f>
        <v>76254260.930000007</v>
      </c>
      <c r="H270">
        <f>IFERROR([1]!s_stm07_is_105($A270,TEXT($B$1,"yyyy/mm/dd"),1),"")</f>
        <v>133631745.98999999</v>
      </c>
      <c r="I270">
        <f>IFERROR([1]!s_stm07_is($A270,"W72946623",TEXT($B$1,"yyyy/mm/dd"),1),"")</f>
        <v>459081266.92000002</v>
      </c>
      <c r="J270">
        <f>IFERROR([1]!s_stm07_is($A270,"W30028333",TEXT($B$1,"yyyy/mm/dd"),1),"")</f>
        <v>356817071.60000002</v>
      </c>
      <c r="K270">
        <f>IFERROR([1]!s_stm07_cs($A270,"W77130581",TEXT($B$1,"yyyy/mm/dd"),1),"")</f>
        <v>422196787.48000002</v>
      </c>
      <c r="L270">
        <f>IFERROR([1]!s_stm07_cs($A270,"W77745895",TEXT($B$1,"yyyy/mm/dd"),1),"")</f>
        <v>606131112.38</v>
      </c>
      <c r="M270">
        <f>IFERROR([1]!S_FA_EPS_basic2($A270,$B$1,"Cur=CNY"),"")</f>
        <v>9.8500000000000004E-2</v>
      </c>
      <c r="N270">
        <f>IFERROR([1]!s_fa_arturndays($A270,TEXT($B$1,"yyyy/mm/dd")),"")</f>
        <v>48.966900000000003</v>
      </c>
      <c r="O270" t="str">
        <f>IFERROR([1]!fa_apturndays($A270,TEXT($B$1,"yyyy/mm/dd")),"")</f>
        <v>Fetch...</v>
      </c>
      <c r="P270">
        <f>IFERROR([1]!s_fa_invturndays($A270,TEXT($B$1,"yyyy/mm/dd")),"")</f>
        <v>80.389399999999995</v>
      </c>
    </row>
    <row r="271" spans="1:16">
      <c r="A271" t="s">
        <v>284</v>
      </c>
      <c r="B271">
        <f>IFERROR([1]!s_stm07_is($A271,"W70156729",TEXT($B$1,"yyyy/mm/dd"),1),"")</f>
        <v>3230535513.54</v>
      </c>
      <c r="C271">
        <f>IFERROR([1]!s_stm07_is($A271,"W75682424",TEXT($B$1,"yyyy/mm/dd"),1),"")</f>
        <v>2661178924.98</v>
      </c>
      <c r="D271">
        <f>IFERROR([1]!s_stm07_is($A271,"W76031679",TEXT($B$1,"yyyy/mm/dd"),1),"")</f>
        <v>41135161.130000003</v>
      </c>
      <c r="E271">
        <f>IFERROR([1]!s_stm07_is($A271,"W70752487",TEXT($B$1,"yyyy/mm/dd"),1),"")</f>
        <v>164235471.63</v>
      </c>
      <c r="F271">
        <f>IFERROR([1]!s_stm07_is_103($A271,TEXT($B$1,"yyyy/mm/dd"),1),"")</f>
        <v>238619269.28</v>
      </c>
      <c r="G271">
        <f>IFERROR([1]!s_stm07_is_104($A271,TEXT($B$1,"yyyy/mm/dd"),1),"")</f>
        <v>34406028</v>
      </c>
      <c r="H271">
        <f>IFERROR([1]!s_stm07_is_105($A271,TEXT($B$1,"yyyy/mm/dd"),1),"")</f>
        <v>2646954.04</v>
      </c>
      <c r="I271">
        <f>IFERROR([1]!s_stm07_is($A271,"W72946623",TEXT($B$1,"yyyy/mm/dd"),1),"")</f>
        <v>108472347.23</v>
      </c>
      <c r="J271">
        <f>IFERROR([1]!s_stm07_is($A271,"W30028333",TEXT($B$1,"yyyy/mm/dd"),1),"")</f>
        <v>103368784.95999999</v>
      </c>
      <c r="K271">
        <f>IFERROR([1]!s_stm07_cs($A271,"W77130581",TEXT($B$1,"yyyy/mm/dd"),1),"")</f>
        <v>260054324.41</v>
      </c>
      <c r="L271">
        <f>IFERROR([1]!s_stm07_cs($A271,"W77745895",TEXT($B$1,"yyyy/mm/dd"),1),"")</f>
        <v>146610451.94999999</v>
      </c>
      <c r="M271">
        <f>IFERROR([1]!S_FA_EPS_basic2($A271,$B$1,"Cur=CNY"),"")</f>
        <v>0.2117</v>
      </c>
      <c r="N271">
        <f>IFERROR([1]!s_fa_arturndays($A271,TEXT($B$1,"yyyy/mm/dd")),"")</f>
        <v>141.03819999999999</v>
      </c>
      <c r="O271" t="str">
        <f>IFERROR([1]!fa_apturndays($A271,TEXT($B$1,"yyyy/mm/dd")),"")</f>
        <v>Fetch...</v>
      </c>
      <c r="P271">
        <f>IFERROR([1]!s_fa_invturndays($A271,TEXT($B$1,"yyyy/mm/dd")),"")</f>
        <v>226.1875</v>
      </c>
    </row>
    <row r="272" spans="1:16">
      <c r="A272" t="s">
        <v>285</v>
      </c>
      <c r="B272">
        <f>IFERROR([1]!s_stm07_is($A272,"W70156729",TEXT($B$1,"yyyy/mm/dd"),1),"")</f>
        <v>2212602876.4899998</v>
      </c>
      <c r="C272">
        <f>IFERROR([1]!s_stm07_is($A272,"W75682424",TEXT($B$1,"yyyy/mm/dd"),1),"")</f>
        <v>1430551010.3499999</v>
      </c>
      <c r="D272">
        <f>IFERROR([1]!s_stm07_is($A272,"W76031679",TEXT($B$1,"yyyy/mm/dd"),1),"")</f>
        <v>251072240.36000001</v>
      </c>
      <c r="E272">
        <f>IFERROR([1]!s_stm07_is($A272,"W70752487",TEXT($B$1,"yyyy/mm/dd"),1),"")</f>
        <v>390837418.25</v>
      </c>
      <c r="F272">
        <f>IFERROR([1]!s_stm07_is_103($A272,TEXT($B$1,"yyyy/mm/dd"),1),"")</f>
        <v>370922077.92000002</v>
      </c>
      <c r="G272">
        <f>IFERROR([1]!s_stm07_is_104($A272,TEXT($B$1,"yyyy/mm/dd"),1),"")</f>
        <v>4967078.22</v>
      </c>
      <c r="H272">
        <f>IFERROR([1]!s_stm07_is_105($A272,TEXT($B$1,"yyyy/mm/dd"),1),"")</f>
        <v>8382896.7000000002</v>
      </c>
      <c r="I272">
        <f>IFERROR([1]!s_stm07_is($A272,"W72946623",TEXT($B$1,"yyyy/mm/dd"),1),"")</f>
        <v>-294890005.89999998</v>
      </c>
      <c r="J272">
        <f>IFERROR([1]!s_stm07_is($A272,"W30028333",TEXT($B$1,"yyyy/mm/dd"),1),"")</f>
        <v>-257153393.87</v>
      </c>
      <c r="K272">
        <f>IFERROR([1]!s_stm07_cs($A272,"W77130581",TEXT($B$1,"yyyy/mm/dd"),1),"")</f>
        <v>393194496.33999997</v>
      </c>
      <c r="L272">
        <f>IFERROR([1]!s_stm07_cs($A272,"W77745895",TEXT($B$1,"yyyy/mm/dd"),1),"")</f>
        <v>223610046.94</v>
      </c>
      <c r="M272">
        <f>IFERROR([1]!S_FA_EPS_basic2($A272,$B$1,"Cur=CNY"),"")</f>
        <v>-0.47</v>
      </c>
      <c r="N272">
        <f>IFERROR([1]!s_fa_arturndays($A272,TEXT($B$1,"yyyy/mm/dd")),"")</f>
        <v>104.6512</v>
      </c>
      <c r="O272" t="str">
        <f>IFERROR([1]!fa_apturndays($A272,TEXT($B$1,"yyyy/mm/dd")),"")</f>
        <v>Fetch...</v>
      </c>
      <c r="P272">
        <f>IFERROR([1]!s_fa_invturndays($A272,TEXT($B$1,"yyyy/mm/dd")),"")</f>
        <v>176.3237</v>
      </c>
    </row>
    <row r="273" spans="1:16">
      <c r="A273" t="s">
        <v>286</v>
      </c>
      <c r="B273">
        <f>IFERROR([1]!s_stm07_is($A273,"W70156729",TEXT($B$1,"yyyy/mm/dd"),1),"")</f>
        <v>12055138162.450001</v>
      </c>
      <c r="C273">
        <f>IFERROR([1]!s_stm07_is($A273,"W75682424",TEXT($B$1,"yyyy/mm/dd"),1),"")</f>
        <v>8617336997.1499996</v>
      </c>
      <c r="D273">
        <f>IFERROR([1]!s_stm07_is($A273,"W76031679",TEXT($B$1,"yyyy/mm/dd"),1),"")</f>
        <v>721402338.37</v>
      </c>
      <c r="E273">
        <f>IFERROR([1]!s_stm07_is($A273,"W70752487",TEXT($B$1,"yyyy/mm/dd"),1),"")</f>
        <v>637013651.88</v>
      </c>
      <c r="F273">
        <f>IFERROR([1]!s_stm07_is_103($A273,TEXT($B$1,"yyyy/mm/dd"),1),"")</f>
        <v>905464876.50999999</v>
      </c>
      <c r="G273">
        <f>IFERROR([1]!s_stm07_is_104($A273,TEXT($B$1,"yyyy/mm/dd"),1),"")</f>
        <v>71625100.230000004</v>
      </c>
      <c r="H273">
        <f>IFERROR([1]!s_stm07_is_105($A273,TEXT($B$1,"yyyy/mm/dd"),1),"")</f>
        <v>109370636.84999999</v>
      </c>
      <c r="I273">
        <f>IFERROR([1]!s_stm07_is($A273,"W72946623",TEXT($B$1,"yyyy/mm/dd"),1),"")</f>
        <v>1268808400.7</v>
      </c>
      <c r="J273">
        <f>IFERROR([1]!s_stm07_is($A273,"W30028333",TEXT($B$1,"yyyy/mm/dd"),1),"")</f>
        <v>860854698.13</v>
      </c>
      <c r="K273">
        <f>IFERROR([1]!s_stm07_cs($A273,"W77130581",TEXT($B$1,"yyyy/mm/dd"),1),"")</f>
        <v>1700462987.6900001</v>
      </c>
      <c r="L273">
        <f>IFERROR([1]!s_stm07_cs($A273,"W77745895",TEXT($B$1,"yyyy/mm/dd"),1),"")</f>
        <v>338736520.29000002</v>
      </c>
      <c r="M273">
        <f>IFERROR([1]!S_FA_EPS_basic2($A273,$B$1,"Cur=CNY"),"")</f>
        <v>0.35</v>
      </c>
      <c r="N273">
        <f>IFERROR([1]!s_fa_arturndays($A273,TEXT($B$1,"yyyy/mm/dd")),"")</f>
        <v>88.332700000000003</v>
      </c>
      <c r="O273" t="str">
        <f>IFERROR([1]!fa_apturndays($A273,TEXT($B$1,"yyyy/mm/dd")),"")</f>
        <v>Fetch...</v>
      </c>
      <c r="P273">
        <f>IFERROR([1]!s_fa_invturndays($A273,TEXT($B$1,"yyyy/mm/dd")),"")</f>
        <v>141.29839999999999</v>
      </c>
    </row>
    <row r="274" spans="1:16">
      <c r="A274" t="s">
        <v>287</v>
      </c>
      <c r="B274">
        <f>IFERROR([1]!s_stm07_is($A274,"W70156729",TEXT($B$1,"yyyy/mm/dd"),1),"")</f>
        <v>2789726563.0700002</v>
      </c>
      <c r="C274">
        <f>IFERROR([1]!s_stm07_is($A274,"W75682424",TEXT($B$1,"yyyy/mm/dd"),1),"")</f>
        <v>1780552829.22</v>
      </c>
      <c r="D274">
        <f>IFERROR([1]!s_stm07_is($A274,"W76031679",TEXT($B$1,"yyyy/mm/dd"),1),"")</f>
        <v>270800028.36000001</v>
      </c>
      <c r="E274">
        <f>IFERROR([1]!s_stm07_is($A274,"W70752487",TEXT($B$1,"yyyy/mm/dd"),1),"")</f>
        <v>621846994.03999996</v>
      </c>
      <c r="F274">
        <f>IFERROR([1]!s_stm07_is_103($A274,TEXT($B$1,"yyyy/mm/dd"),1),"")</f>
        <v>243268664.94</v>
      </c>
      <c r="G274">
        <f>IFERROR([1]!s_stm07_is_104($A274,TEXT($B$1,"yyyy/mm/dd"),1),"")</f>
        <v>3482386.78</v>
      </c>
      <c r="H274">
        <f>IFERROR([1]!s_stm07_is_105($A274,TEXT($B$1,"yyyy/mm/dd"),1),"")</f>
        <v>122057983.83</v>
      </c>
      <c r="I274">
        <f>IFERROR([1]!s_stm07_is($A274,"W72946623",TEXT($B$1,"yyyy/mm/dd"),1),"")</f>
        <v>-70583852.840000004</v>
      </c>
      <c r="J274">
        <f>IFERROR([1]!s_stm07_is($A274,"W30028333",TEXT($B$1,"yyyy/mm/dd"),1),"")</f>
        <v>-166106537.56</v>
      </c>
      <c r="K274">
        <f>IFERROR([1]!s_stm07_cs($A274,"W77130581",TEXT($B$1,"yyyy/mm/dd"),1),"")</f>
        <v>318516461.42000002</v>
      </c>
      <c r="L274">
        <f>IFERROR([1]!s_stm07_cs($A274,"W77745895",TEXT($B$1,"yyyy/mm/dd"),1),"")</f>
        <v>480634051.30000001</v>
      </c>
      <c r="M274">
        <f>IFERROR([1]!S_FA_EPS_basic2($A274,$B$1,"Cur=CNY"),"")</f>
        <v>-0.06</v>
      </c>
      <c r="N274">
        <f>IFERROR([1]!s_fa_arturndays($A274,TEXT($B$1,"yyyy/mm/dd")),"")</f>
        <v>74.531099999999995</v>
      </c>
      <c r="O274" t="str">
        <f>IFERROR([1]!fa_apturndays($A274,TEXT($B$1,"yyyy/mm/dd")),"")</f>
        <v>Fetch...</v>
      </c>
      <c r="P274">
        <f>IFERROR([1]!s_fa_invturndays($A274,TEXT($B$1,"yyyy/mm/dd")),"")</f>
        <v>71.711699999999993</v>
      </c>
    </row>
    <row r="275" spans="1:16">
      <c r="A275" t="s">
        <v>288</v>
      </c>
      <c r="B275">
        <f>IFERROR([1]!s_stm07_is($A275,"W70156729",TEXT($B$1,"yyyy/mm/dd"),1),"")</f>
        <v>50181265325.139999</v>
      </c>
      <c r="C275">
        <f>IFERROR([1]!s_stm07_is($A275,"W75682424",TEXT($B$1,"yyyy/mm/dd"),1),"")</f>
        <v>47096777246.540001</v>
      </c>
      <c r="D275">
        <f>IFERROR([1]!s_stm07_is($A275,"W76031679",TEXT($B$1,"yyyy/mm/dd"),1),"")</f>
        <v>26850152.789999999</v>
      </c>
      <c r="E275">
        <f>IFERROR([1]!s_stm07_is($A275,"W70752487",TEXT($B$1,"yyyy/mm/dd"),1),"")</f>
        <v>726117736.13999999</v>
      </c>
      <c r="F275">
        <f>IFERROR([1]!s_stm07_is_103($A275,TEXT($B$1,"yyyy/mm/dd"),1),"")</f>
        <v>345176046.94</v>
      </c>
      <c r="G275">
        <f>IFERROR([1]!s_stm07_is_104($A275,TEXT($B$1,"yyyy/mm/dd"),1),"")</f>
        <v>549626.92000000004</v>
      </c>
      <c r="H275">
        <f>IFERROR([1]!s_stm07_is_105($A275,TEXT($B$1,"yyyy/mm/dd"),1),"")</f>
        <v>7455659.4000000004</v>
      </c>
      <c r="I275">
        <f>IFERROR([1]!s_stm07_is($A275,"W72946623",TEXT($B$1,"yyyy/mm/dd"),1),"")</f>
        <v>1782521861.78</v>
      </c>
      <c r="J275">
        <f>IFERROR([1]!s_stm07_is($A275,"W30028333",TEXT($B$1,"yyyy/mm/dd"),1),"")</f>
        <v>1487994929.97</v>
      </c>
      <c r="K275">
        <f>IFERROR([1]!s_stm07_cs($A275,"W77130581",TEXT($B$1,"yyyy/mm/dd"),1),"")</f>
        <v>1498807786.52</v>
      </c>
      <c r="L275">
        <f>IFERROR([1]!s_stm07_cs($A275,"W77745895",TEXT($B$1,"yyyy/mm/dd"),1),"")</f>
        <v>325473058.30000001</v>
      </c>
      <c r="M275">
        <f>IFERROR([1]!S_FA_EPS_basic2($A275,$B$1,"Cur=CNY"),"")</f>
        <v>0.95</v>
      </c>
      <c r="N275">
        <f>IFERROR([1]!s_fa_arturndays($A275,TEXT($B$1,"yyyy/mm/dd")),"")</f>
        <v>0.80330000000000001</v>
      </c>
      <c r="O275" t="str">
        <f>IFERROR([1]!fa_apturndays($A275,TEXT($B$1,"yyyy/mm/dd")),"")</f>
        <v>Fetch...</v>
      </c>
      <c r="P275">
        <f>IFERROR([1]!s_fa_invturndays($A275,TEXT($B$1,"yyyy/mm/dd")),"")</f>
        <v>5.9050000000000002</v>
      </c>
    </row>
    <row r="276" spans="1:16">
      <c r="A276" t="s">
        <v>289</v>
      </c>
      <c r="B276">
        <f>IFERROR([1]!s_stm07_is($A276,"W70156729",TEXT($B$1,"yyyy/mm/dd"),1),"")</f>
        <v>27921424656.150002</v>
      </c>
      <c r="C276">
        <f>IFERROR([1]!s_stm07_is($A276,"W75682424",TEXT($B$1,"yyyy/mm/dd"),1),"")</f>
        <v>23848881572.049999</v>
      </c>
      <c r="D276">
        <f>IFERROR([1]!s_stm07_is($A276,"W76031679",TEXT($B$1,"yyyy/mm/dd"),1),"")</f>
        <v>77682972.849999994</v>
      </c>
      <c r="E276">
        <f>IFERROR([1]!s_stm07_is($A276,"W70752487",TEXT($B$1,"yyyy/mm/dd"),1),"")</f>
        <v>590900718.19000006</v>
      </c>
      <c r="F276">
        <f>IFERROR([1]!s_stm07_is_103($A276,TEXT($B$1,"yyyy/mm/dd"),1),"")</f>
        <v>1592009225.71</v>
      </c>
      <c r="G276">
        <f>IFERROR([1]!s_stm07_is_104($A276,TEXT($B$1,"yyyy/mm/dd"),1),"")</f>
        <v>523842045.45999998</v>
      </c>
      <c r="H276">
        <f>IFERROR([1]!s_stm07_is_105($A276,TEXT($B$1,"yyyy/mm/dd"),1),"")</f>
        <v>99518700.969999999</v>
      </c>
      <c r="I276">
        <f>IFERROR([1]!s_stm07_is($A276,"W72946623",TEXT($B$1,"yyyy/mm/dd"),1),"")</f>
        <v>1753687748.8</v>
      </c>
      <c r="J276">
        <f>IFERROR([1]!s_stm07_is($A276,"W30028333",TEXT($B$1,"yyyy/mm/dd"),1),"")</f>
        <v>1218708143.3800001</v>
      </c>
      <c r="K276">
        <f>IFERROR([1]!s_stm07_cs($A276,"W77130581",TEXT($B$1,"yyyy/mm/dd"),1),"")</f>
        <v>6965701919.0100002</v>
      </c>
      <c r="L276">
        <f>IFERROR([1]!s_stm07_cs($A276,"W77745895",TEXT($B$1,"yyyy/mm/dd"),1),"")</f>
        <v>6211123335.6199999</v>
      </c>
      <c r="M276">
        <f>IFERROR([1]!S_FA_EPS_basic2($A276,$B$1,"Cur=CNY"),"")</f>
        <v>0.8</v>
      </c>
      <c r="N276">
        <f>IFERROR([1]!s_fa_arturndays($A276,TEXT($B$1,"yyyy/mm/dd")),"")</f>
        <v>68.733800000000002</v>
      </c>
      <c r="O276" t="str">
        <f>IFERROR([1]!fa_apturndays($A276,TEXT($B$1,"yyyy/mm/dd")),"")</f>
        <v>Fetch...</v>
      </c>
      <c r="P276">
        <f>IFERROR([1]!s_fa_invturndays($A276,TEXT($B$1,"yyyy/mm/dd")),"")</f>
        <v>57.108400000000003</v>
      </c>
    </row>
    <row r="277" spans="1:16">
      <c r="A277" t="s">
        <v>290</v>
      </c>
      <c r="B277">
        <f>IFERROR([1]!s_stm07_is($A277,"W70156729",TEXT($B$1,"yyyy/mm/dd"),1),"")</f>
        <v>14794917436.1</v>
      </c>
      <c r="C277">
        <f>IFERROR([1]!s_stm07_is($A277,"W75682424",TEXT($B$1,"yyyy/mm/dd"),1),"")</f>
        <v>13614701246.35</v>
      </c>
      <c r="D277">
        <f>IFERROR([1]!s_stm07_is($A277,"W76031679",TEXT($B$1,"yyyy/mm/dd"),1),"")</f>
        <v>158313597.31</v>
      </c>
      <c r="E277">
        <f>IFERROR([1]!s_stm07_is($A277,"W70752487",TEXT($B$1,"yyyy/mm/dd"),1),"")</f>
        <v>1092164605.4400001</v>
      </c>
      <c r="F277">
        <f>IFERROR([1]!s_stm07_is_103($A277,TEXT($B$1,"yyyy/mm/dd"),1),"")</f>
        <v>5881984.2199999997</v>
      </c>
      <c r="G277">
        <f>IFERROR([1]!s_stm07_is_104($A277,TEXT($B$1,"yyyy/mm/dd"),1),"")</f>
        <v>270571124.08999997</v>
      </c>
      <c r="H277">
        <f>IFERROR([1]!s_stm07_is_105($A277,TEXT($B$1,"yyyy/mm/dd"),1),"")</f>
        <v>37934640.079999998</v>
      </c>
      <c r="I277">
        <f>IFERROR([1]!s_stm07_is($A277,"W72946623",TEXT($B$1,"yyyy/mm/dd"),1),"")</f>
        <v>-747918163.88</v>
      </c>
      <c r="J277">
        <f>IFERROR([1]!s_stm07_is($A277,"W30028333",TEXT($B$1,"yyyy/mm/dd"),1),"")</f>
        <v>-546432242.79999995</v>
      </c>
      <c r="K277">
        <f>IFERROR([1]!s_stm07_cs($A277,"W77130581",TEXT($B$1,"yyyy/mm/dd"),1),"")</f>
        <v>829904493.98000002</v>
      </c>
      <c r="L277">
        <f>IFERROR([1]!s_stm07_cs($A277,"W77745895",TEXT($B$1,"yyyy/mm/dd"),1),"")</f>
        <v>1005397657.05</v>
      </c>
      <c r="M277">
        <f>IFERROR([1]!S_FA_EPS_basic2($A277,$B$1,"Cur=CNY"),"")</f>
        <v>-5.91E-2</v>
      </c>
      <c r="N277">
        <f>IFERROR([1]!s_fa_arturndays($A277,TEXT($B$1,"yyyy/mm/dd")),"")</f>
        <v>2.0617999999999999</v>
      </c>
      <c r="O277" t="str">
        <f>IFERROR([1]!fa_apturndays($A277,TEXT($B$1,"yyyy/mm/dd")),"")</f>
        <v>Fetch...</v>
      </c>
      <c r="P277">
        <f>IFERROR([1]!s_fa_invturndays($A277,TEXT($B$1,"yyyy/mm/dd")),"")</f>
        <v>56.863999999999997</v>
      </c>
    </row>
    <row r="278" spans="1:16">
      <c r="A278" t="s">
        <v>291</v>
      </c>
      <c r="B278">
        <f>IFERROR([1]!s_stm07_is($A278,"W70156729",TEXT($B$1,"yyyy/mm/dd"),1),"")</f>
        <v>2926727078.2600002</v>
      </c>
      <c r="C278">
        <f>IFERROR([1]!s_stm07_is($A278,"W75682424",TEXT($B$1,"yyyy/mm/dd"),1),"")</f>
        <v>1928406685.52</v>
      </c>
      <c r="D278">
        <f>IFERROR([1]!s_stm07_is($A278,"W76031679",TEXT($B$1,"yyyy/mm/dd"),1),"")</f>
        <v>140829364.15000001</v>
      </c>
      <c r="E278">
        <f>IFERROR([1]!s_stm07_is($A278,"W70752487",TEXT($B$1,"yyyy/mm/dd"),1),"")</f>
        <v>150210837.91</v>
      </c>
      <c r="F278">
        <f>IFERROR([1]!s_stm07_is_103($A278,TEXT($B$1,"yyyy/mm/dd"),1),"")</f>
        <v>177974350.72</v>
      </c>
      <c r="G278">
        <f>IFERROR([1]!s_stm07_is_104($A278,TEXT($B$1,"yyyy/mm/dd"),1),"")</f>
        <v>16108825.02</v>
      </c>
      <c r="H278">
        <f>IFERROR([1]!s_stm07_is_105($A278,TEXT($B$1,"yyyy/mm/dd"),1),"")</f>
        <v>13907052.470000001</v>
      </c>
      <c r="I278">
        <f>IFERROR([1]!s_stm07_is($A278,"W72946623",TEXT($B$1,"yyyy/mm/dd"),1),"")</f>
        <v>519820100.94999999</v>
      </c>
      <c r="J278">
        <f>IFERROR([1]!s_stm07_is($A278,"W30028333",TEXT($B$1,"yyyy/mm/dd"),1),"")</f>
        <v>468740036.47000003</v>
      </c>
      <c r="K278">
        <f>IFERROR([1]!s_stm07_cs($A278,"W77130581",TEXT($B$1,"yyyy/mm/dd"),1),"")</f>
        <v>778511255.42999995</v>
      </c>
      <c r="L278">
        <f>IFERROR([1]!s_stm07_cs($A278,"W77745895",TEXT($B$1,"yyyy/mm/dd"),1),"")</f>
        <v>42195518.159999996</v>
      </c>
      <c r="M278">
        <f>IFERROR([1]!S_FA_EPS_basic2($A278,$B$1,"Cur=CNY"),"")</f>
        <v>0.87660000000000005</v>
      </c>
      <c r="N278">
        <f>IFERROR([1]!s_fa_arturndays($A278,TEXT($B$1,"yyyy/mm/dd")),"")</f>
        <v>85.126499999999993</v>
      </c>
      <c r="O278" t="str">
        <f>IFERROR([1]!fa_apturndays($A278,TEXT($B$1,"yyyy/mm/dd")),"")</f>
        <v>Fetch...</v>
      </c>
      <c r="P278">
        <f>IFERROR([1]!s_fa_invturndays($A278,TEXT($B$1,"yyyy/mm/dd")),"")</f>
        <v>146.4486</v>
      </c>
    </row>
    <row r="279" spans="1:16">
      <c r="A279" t="s">
        <v>292</v>
      </c>
      <c r="B279">
        <f>IFERROR([1]!s_stm07_is($A279,"W70156729",TEXT($B$1,"yyyy/mm/dd"),1),"")</f>
        <v>3500236020.1599998</v>
      </c>
      <c r="C279">
        <f>IFERROR([1]!s_stm07_is($A279,"W75682424",TEXT($B$1,"yyyy/mm/dd"),1),"")</f>
        <v>3031055519.02</v>
      </c>
      <c r="D279">
        <f>IFERROR([1]!s_stm07_is($A279,"W76031679",TEXT($B$1,"yyyy/mm/dd"),1),"")</f>
        <v>115121639.05</v>
      </c>
      <c r="E279">
        <f>IFERROR([1]!s_stm07_is($A279,"W70752487",TEXT($B$1,"yyyy/mm/dd"),1),"")</f>
        <v>252199594.00999999</v>
      </c>
      <c r="F279">
        <f>IFERROR([1]!s_stm07_is_103($A279,TEXT($B$1,"yyyy/mm/dd"),1),"")</f>
        <v>99635021.069999993</v>
      </c>
      <c r="G279">
        <f>IFERROR([1]!s_stm07_is_104($A279,TEXT($B$1,"yyyy/mm/dd"),1),"")</f>
        <v>30173985.260000002</v>
      </c>
      <c r="H279">
        <f>IFERROR([1]!s_stm07_is_105($A279,TEXT($B$1,"yyyy/mm/dd"),1),"")</f>
        <v>4412193.4000000004</v>
      </c>
      <c r="I279">
        <f>IFERROR([1]!s_stm07_is($A279,"W72946623",TEXT($B$1,"yyyy/mm/dd"),1),"")</f>
        <v>-451982339.73000002</v>
      </c>
      <c r="J279">
        <f>IFERROR([1]!s_stm07_is($A279,"W30028333",TEXT($B$1,"yyyy/mm/dd"),1),"")</f>
        <v>-472169520.38999999</v>
      </c>
      <c r="K279">
        <f>IFERROR([1]!s_stm07_cs($A279,"W77130581",TEXT($B$1,"yyyy/mm/dd"),1),"")</f>
        <v>-187810216.84</v>
      </c>
      <c r="L279">
        <f>IFERROR([1]!s_stm07_cs($A279,"W77745895",TEXT($B$1,"yyyy/mm/dd"),1),"")</f>
        <v>32049121.649999999</v>
      </c>
      <c r="M279">
        <f>IFERROR([1]!S_FA_EPS_basic2($A279,$B$1,"Cur=CNY"),"")</f>
        <v>-0.56000000000000005</v>
      </c>
      <c r="N279">
        <f>IFERROR([1]!s_fa_arturndays($A279,TEXT($B$1,"yyyy/mm/dd")),"")</f>
        <v>67.137900000000002</v>
      </c>
      <c r="O279" t="str">
        <f>IFERROR([1]!fa_apturndays($A279,TEXT($B$1,"yyyy/mm/dd")),"")</f>
        <v>Fetch...</v>
      </c>
      <c r="P279">
        <f>IFERROR([1]!s_fa_invturndays($A279,TEXT($B$1,"yyyy/mm/dd")),"")</f>
        <v>197.22790000000001</v>
      </c>
    </row>
    <row r="280" spans="1:16">
      <c r="A280" t="s">
        <v>293</v>
      </c>
      <c r="B280">
        <f>IFERROR([1]!s_stm07_is($A280,"W70156729",TEXT($B$1,"yyyy/mm/dd"),1),"")</f>
        <v>5056519396.9899998</v>
      </c>
      <c r="C280">
        <f>IFERROR([1]!s_stm07_is($A280,"W75682424",TEXT($B$1,"yyyy/mm/dd"),1),"")</f>
        <v>3255146222.9200001</v>
      </c>
      <c r="D280">
        <f>IFERROR([1]!s_stm07_is($A280,"W76031679",TEXT($B$1,"yyyy/mm/dd"),1),"")</f>
        <v>124033300.43000001</v>
      </c>
      <c r="E280">
        <f>IFERROR([1]!s_stm07_is($A280,"W70752487",TEXT($B$1,"yyyy/mm/dd"),1),"")</f>
        <v>188119118.28999999</v>
      </c>
      <c r="F280">
        <f>IFERROR([1]!s_stm07_is_103($A280,TEXT($B$1,"yyyy/mm/dd"),1),"")</f>
        <v>32785614.84</v>
      </c>
      <c r="G280">
        <f>IFERROR([1]!s_stm07_is_104($A280,TEXT($B$1,"yyyy/mm/dd"),1),"")</f>
        <v>37935531.859999999</v>
      </c>
      <c r="H280">
        <f>IFERROR([1]!s_stm07_is_105($A280,TEXT($B$1,"yyyy/mm/dd"),1),"")</f>
        <v>10431257.83</v>
      </c>
      <c r="I280">
        <f>IFERROR([1]!s_stm07_is($A280,"W72946623",TEXT($B$1,"yyyy/mm/dd"),1),"")</f>
        <v>1203971941.6800001</v>
      </c>
      <c r="J280">
        <f>IFERROR([1]!s_stm07_is($A280,"W30028333",TEXT($B$1,"yyyy/mm/dd"),1),"")</f>
        <v>911522715.01999998</v>
      </c>
      <c r="K280">
        <f>IFERROR([1]!s_stm07_cs($A280,"W77130581",TEXT($B$1,"yyyy/mm/dd"),1),"")</f>
        <v>1473196332.3099999</v>
      </c>
      <c r="L280">
        <f>IFERROR([1]!s_stm07_cs($A280,"W77745895",TEXT($B$1,"yyyy/mm/dd"),1),"")</f>
        <v>152387485.02000001</v>
      </c>
      <c r="M280">
        <f>IFERROR([1]!S_FA_EPS_basic2($A280,$B$1,"Cur=CNY"),"")</f>
        <v>0.94389999999999996</v>
      </c>
      <c r="N280">
        <f>IFERROR([1]!s_fa_arturndays($A280,TEXT($B$1,"yyyy/mm/dd")),"")</f>
        <v>11.9818</v>
      </c>
      <c r="O280" t="str">
        <f>IFERROR([1]!fa_apturndays($A280,TEXT($B$1,"yyyy/mm/dd")),"")</f>
        <v>Fetch...</v>
      </c>
      <c r="P280">
        <f>IFERROR([1]!s_fa_invturndays($A280,TEXT($B$1,"yyyy/mm/dd")),"")</f>
        <v>75.406899999999993</v>
      </c>
    </row>
    <row r="281" spans="1:16">
      <c r="A281" t="s">
        <v>294</v>
      </c>
      <c r="B281">
        <f>IFERROR([1]!s_stm07_is($A281,"W70156729",TEXT($B$1,"yyyy/mm/dd"),1),"")</f>
        <v>60576690087.110001</v>
      </c>
      <c r="C281">
        <f>IFERROR([1]!s_stm07_is($A281,"W75682424",TEXT($B$1,"yyyy/mm/dd"),1),"")</f>
        <v>58606142490.089996</v>
      </c>
      <c r="D281">
        <f>IFERROR([1]!s_stm07_is($A281,"W76031679",TEXT($B$1,"yyyy/mm/dd"),1),"")</f>
        <v>136761547.87</v>
      </c>
      <c r="E281">
        <f>IFERROR([1]!s_stm07_is($A281,"W70752487",TEXT($B$1,"yyyy/mm/dd"),1),"")</f>
        <v>369910648.13999999</v>
      </c>
      <c r="F281">
        <f>IFERROR([1]!s_stm07_is_103($A281,TEXT($B$1,"yyyy/mm/dd"),1),"")</f>
        <v>1085003774.6400001</v>
      </c>
      <c r="G281">
        <f>IFERROR([1]!s_stm07_is_104($A281,TEXT($B$1,"yyyy/mm/dd"),1),"")</f>
        <v>183077393.13999999</v>
      </c>
      <c r="H281">
        <f>IFERROR([1]!s_stm07_is_105($A281,TEXT($B$1,"yyyy/mm/dd"),1),"")</f>
        <v>72080232.650000006</v>
      </c>
      <c r="I281">
        <f>IFERROR([1]!s_stm07_is($A281,"W72946623",TEXT($B$1,"yyyy/mm/dd"),1),"")</f>
        <v>536757723.69999999</v>
      </c>
      <c r="J281">
        <f>IFERROR([1]!s_stm07_is($A281,"W30028333",TEXT($B$1,"yyyy/mm/dd"),1),"")</f>
        <v>383200508.22000003</v>
      </c>
      <c r="K281">
        <f>IFERROR([1]!s_stm07_cs($A281,"W77130581",TEXT($B$1,"yyyy/mm/dd"),1),"")</f>
        <v>-783049628.95000005</v>
      </c>
      <c r="L281">
        <f>IFERROR([1]!s_stm07_cs($A281,"W77745895",TEXT($B$1,"yyyy/mm/dd"),1),"")</f>
        <v>830188219.87</v>
      </c>
      <c r="M281">
        <f>IFERROR([1]!S_FA_EPS_basic2($A281,$B$1,"Cur=CNY"),"")</f>
        <v>0.25</v>
      </c>
      <c r="N281">
        <f>IFERROR([1]!s_fa_arturndays($A281,TEXT($B$1,"yyyy/mm/dd")),"")</f>
        <v>21.591000000000001</v>
      </c>
      <c r="O281" t="str">
        <f>IFERROR([1]!fa_apturndays($A281,TEXT($B$1,"yyyy/mm/dd")),"")</f>
        <v>Fetch...</v>
      </c>
      <c r="P281">
        <f>IFERROR([1]!s_fa_invturndays($A281,TEXT($B$1,"yyyy/mm/dd")),"")</f>
        <v>26.059799999999999</v>
      </c>
    </row>
    <row r="282" spans="1:16">
      <c r="A282" t="s">
        <v>295</v>
      </c>
      <c r="B282">
        <f>IFERROR([1]!s_stm07_is($A282,"W70156729",TEXT($B$1,"yyyy/mm/dd"),1),"")</f>
        <v>1401711491.03</v>
      </c>
      <c r="C282">
        <f>IFERROR([1]!s_stm07_is($A282,"W75682424",TEXT($B$1,"yyyy/mm/dd"),1),"")</f>
        <v>855187145.95000005</v>
      </c>
      <c r="D282">
        <f>IFERROR([1]!s_stm07_is($A282,"W76031679",TEXT($B$1,"yyyy/mm/dd"),1),"")</f>
        <v>67293854.019999996</v>
      </c>
      <c r="E282">
        <f>IFERROR([1]!s_stm07_is($A282,"W70752487",TEXT($B$1,"yyyy/mm/dd"),1),"")</f>
        <v>234757009.24000001</v>
      </c>
      <c r="F282">
        <f>IFERROR([1]!s_stm07_is_103($A282,TEXT($B$1,"yyyy/mm/dd"),1),"")</f>
        <v>174812313.21000001</v>
      </c>
      <c r="G282">
        <f>IFERROR([1]!s_stm07_is_104($A282,TEXT($B$1,"yyyy/mm/dd"),1),"")</f>
        <v>34375430.130000003</v>
      </c>
      <c r="H282">
        <f>IFERROR([1]!s_stm07_is_105($A282,TEXT($B$1,"yyyy/mm/dd"),1),"")</f>
        <v>9071399.3100000005</v>
      </c>
      <c r="I282">
        <f>IFERROR([1]!s_stm07_is($A282,"W72946623",TEXT($B$1,"yyyy/mm/dd"),1),"")</f>
        <v>-313023848.67000002</v>
      </c>
      <c r="J282">
        <f>IFERROR([1]!s_stm07_is($A282,"W30028333",TEXT($B$1,"yyyy/mm/dd"),1),"")</f>
        <v>-347358758.76999998</v>
      </c>
      <c r="K282">
        <f>IFERROR([1]!s_stm07_cs($A282,"W77130581",TEXT($B$1,"yyyy/mm/dd"),1),"")</f>
        <v>123493752.15000001</v>
      </c>
      <c r="L282">
        <f>IFERROR([1]!s_stm07_cs($A282,"W77745895",TEXT($B$1,"yyyy/mm/dd"),1),"")</f>
        <v>13543548.859999999</v>
      </c>
      <c r="M282">
        <f>IFERROR([1]!S_FA_EPS_basic2($A282,$B$1,"Cur=CNY"),"")</f>
        <v>-0.38</v>
      </c>
      <c r="N282">
        <f>IFERROR([1]!s_fa_arturndays($A282,TEXT($B$1,"yyyy/mm/dd")),"")</f>
        <v>52.042700000000004</v>
      </c>
      <c r="O282" t="str">
        <f>IFERROR([1]!fa_apturndays($A282,TEXT($B$1,"yyyy/mm/dd")),"")</f>
        <v>Fetch...</v>
      </c>
      <c r="P282">
        <f>IFERROR([1]!s_fa_invturndays($A282,TEXT($B$1,"yyyy/mm/dd")),"")</f>
        <v>0</v>
      </c>
    </row>
    <row r="283" spans="1:16">
      <c r="A283" t="s">
        <v>296</v>
      </c>
      <c r="B283">
        <f>IFERROR([1]!s_stm07_is($A283,"W70156729",TEXT($B$1,"yyyy/mm/dd"),1),"")</f>
        <v>1955420342.1099999</v>
      </c>
      <c r="C283">
        <f>IFERROR([1]!s_stm07_is($A283,"W75682424",TEXT($B$1,"yyyy/mm/dd"),1),"")</f>
        <v>1916832519.9100001</v>
      </c>
      <c r="D283">
        <f>IFERROR([1]!s_stm07_is($A283,"W76031679",TEXT($B$1,"yyyy/mm/dd"),1),"")</f>
        <v>41249014.899999999</v>
      </c>
      <c r="E283">
        <f>IFERROR([1]!s_stm07_is($A283,"W70752487",TEXT($B$1,"yyyy/mm/dd"),1),"")</f>
        <v>210327532.94</v>
      </c>
      <c r="F283">
        <f>IFERROR([1]!s_stm07_is_103($A283,TEXT($B$1,"yyyy/mm/dd"),1),"")</f>
        <v>72915331.269999996</v>
      </c>
      <c r="G283">
        <f>IFERROR([1]!s_stm07_is_104($A283,TEXT($B$1,"yyyy/mm/dd"),1),"")</f>
        <v>38690043.5</v>
      </c>
      <c r="H283">
        <f>IFERROR([1]!s_stm07_is_105($A283,TEXT($B$1,"yyyy/mm/dd"),1),"")</f>
        <v>5235091.4800000004</v>
      </c>
      <c r="I283">
        <f>IFERROR([1]!s_stm07_is($A283,"W72946623",TEXT($B$1,"yyyy/mm/dd"),1),"")</f>
        <v>-410844544.32999998</v>
      </c>
      <c r="J283">
        <f>IFERROR([1]!s_stm07_is($A283,"W30028333",TEXT($B$1,"yyyy/mm/dd"),1),"")</f>
        <v>-369361305.62</v>
      </c>
      <c r="K283">
        <f>IFERROR([1]!s_stm07_cs($A283,"W77130581",TEXT($B$1,"yyyy/mm/dd"),1),"")</f>
        <v>-169089983.81999999</v>
      </c>
      <c r="L283">
        <f>IFERROR([1]!s_stm07_cs($A283,"W77745895",TEXT($B$1,"yyyy/mm/dd"),1),"")</f>
        <v>127406697.23999999</v>
      </c>
      <c r="M283">
        <f>IFERROR([1]!S_FA_EPS_basic2($A283,$B$1,"Cur=CNY"),"")</f>
        <v>-0.22</v>
      </c>
      <c r="N283">
        <f>IFERROR([1]!s_fa_arturndays($A283,TEXT($B$1,"yyyy/mm/dd")),"")</f>
        <v>89.903400000000005</v>
      </c>
      <c r="O283" t="str">
        <f>IFERROR([1]!fa_apturndays($A283,TEXT($B$1,"yyyy/mm/dd")),"")</f>
        <v>Fetch...</v>
      </c>
      <c r="P283">
        <f>IFERROR([1]!s_fa_invturndays($A283,TEXT($B$1,"yyyy/mm/dd")),"")</f>
        <v>89.78</v>
      </c>
    </row>
    <row r="284" spans="1:16">
      <c r="A284" t="s">
        <v>297</v>
      </c>
      <c r="B284">
        <f>IFERROR([1]!s_stm07_is($A284,"W70156729",TEXT($B$1,"yyyy/mm/dd"),1),"")</f>
        <v>21386059440.130001</v>
      </c>
      <c r="C284">
        <f>IFERROR([1]!s_stm07_is($A284,"W75682424",TEXT($B$1,"yyyy/mm/dd"),1),"")</f>
        <v>15143323875.5</v>
      </c>
      <c r="D284">
        <f>IFERROR([1]!s_stm07_is($A284,"W76031679",TEXT($B$1,"yyyy/mm/dd"),1),"")</f>
        <v>467926372.06999999</v>
      </c>
      <c r="E284">
        <f>IFERROR([1]!s_stm07_is($A284,"W70752487",TEXT($B$1,"yyyy/mm/dd"),1),"")</f>
        <v>901740149.50999999</v>
      </c>
      <c r="F284">
        <f>IFERROR([1]!s_stm07_is_103($A284,TEXT($B$1,"yyyy/mm/dd"),1),"")</f>
        <v>2091638784.0699999</v>
      </c>
      <c r="G284">
        <f>IFERROR([1]!s_stm07_is_104($A284,TEXT($B$1,"yyyy/mm/dd"),1),"")</f>
        <v>28417890.43</v>
      </c>
      <c r="H284">
        <f>IFERROR([1]!s_stm07_is_105($A284,TEXT($B$1,"yyyy/mm/dd"),1),"")</f>
        <v>69463073.5</v>
      </c>
      <c r="I284">
        <f>IFERROR([1]!s_stm07_is($A284,"W72946623",TEXT($B$1,"yyyy/mm/dd"),1),"")</f>
        <v>2690774891.98</v>
      </c>
      <c r="J284">
        <f>IFERROR([1]!s_stm07_is($A284,"W30028333",TEXT($B$1,"yyyy/mm/dd"),1),"")</f>
        <v>2161521950.25</v>
      </c>
      <c r="K284">
        <f>IFERROR([1]!s_stm07_cs($A284,"W77130581",TEXT($B$1,"yyyy/mm/dd"),1),"")</f>
        <v>1561835267.72</v>
      </c>
      <c r="L284">
        <f>IFERROR([1]!s_stm07_cs($A284,"W77745895",TEXT($B$1,"yyyy/mm/dd"),1),"")</f>
        <v>1582141609.49</v>
      </c>
      <c r="M284">
        <f>IFERROR([1]!S_FA_EPS_basic2($A284,$B$1,"Cur=CNY"),"")</f>
        <v>1.0238</v>
      </c>
      <c r="N284">
        <f>IFERROR([1]!s_fa_arturndays($A284,TEXT($B$1,"yyyy/mm/dd")),"")</f>
        <v>205.08150000000001</v>
      </c>
      <c r="O284" t="str">
        <f>IFERROR([1]!fa_apturndays($A284,TEXT($B$1,"yyyy/mm/dd")),"")</f>
        <v>Fetch...</v>
      </c>
      <c r="P284">
        <f>IFERROR([1]!s_fa_invturndays($A284,TEXT($B$1,"yyyy/mm/dd")),"")</f>
        <v>128.32849999999999</v>
      </c>
    </row>
    <row r="285" spans="1:16">
      <c r="A285" t="s">
        <v>298</v>
      </c>
      <c r="B285">
        <f>IFERROR([1]!s_stm07_is($A285,"W70156729",TEXT($B$1,"yyyy/mm/dd"),1),"")</f>
        <v>9911752817.2900009</v>
      </c>
      <c r="C285">
        <f>IFERROR([1]!s_stm07_is($A285,"W75682424",TEXT($B$1,"yyyy/mm/dd"),1),"")</f>
        <v>8865660394.7800007</v>
      </c>
      <c r="D285">
        <f>IFERROR([1]!s_stm07_is($A285,"W76031679",TEXT($B$1,"yyyy/mm/dd"),1),"")</f>
        <v>30103213.050000001</v>
      </c>
      <c r="E285">
        <f>IFERROR([1]!s_stm07_is($A285,"W70752487",TEXT($B$1,"yyyy/mm/dd"),1),"")</f>
        <v>213890491.24000001</v>
      </c>
      <c r="F285">
        <f>IFERROR([1]!s_stm07_is_103($A285,TEXT($B$1,"yyyy/mm/dd"),1),"")</f>
        <v>487881119.30000001</v>
      </c>
      <c r="G285">
        <f>IFERROR([1]!s_stm07_is_104($A285,TEXT($B$1,"yyyy/mm/dd"),1),"")</f>
        <v>116778149.62</v>
      </c>
      <c r="H285">
        <f>IFERROR([1]!s_stm07_is_105($A285,TEXT($B$1,"yyyy/mm/dd"),1),"")</f>
        <v>1142994.53</v>
      </c>
      <c r="I285">
        <f>IFERROR([1]!s_stm07_is($A285,"W72946623",TEXT($B$1,"yyyy/mm/dd"),1),"")</f>
        <v>16793732.559999999</v>
      </c>
      <c r="J285">
        <f>IFERROR([1]!s_stm07_is($A285,"W30028333",TEXT($B$1,"yyyy/mm/dd"),1),"")</f>
        <v>-18548946.850000001</v>
      </c>
      <c r="K285">
        <f>IFERROR([1]!s_stm07_cs($A285,"W77130581",TEXT($B$1,"yyyy/mm/dd"),1),"")</f>
        <v>28856722.350000001</v>
      </c>
      <c r="L285">
        <f>IFERROR([1]!s_stm07_cs($A285,"W77745895",TEXT($B$1,"yyyy/mm/dd"),1),"")</f>
        <v>1106195504.27</v>
      </c>
      <c r="M285">
        <f>IFERROR([1]!S_FA_EPS_basic2($A285,$B$1,"Cur=CNY"),"")</f>
        <v>-1.8700000000000001E-2</v>
      </c>
      <c r="N285">
        <f>IFERROR([1]!s_fa_arturndays($A285,TEXT($B$1,"yyyy/mm/dd")),"")</f>
        <v>85.802099999999996</v>
      </c>
      <c r="O285" t="str">
        <f>IFERROR([1]!fa_apturndays($A285,TEXT($B$1,"yyyy/mm/dd")),"")</f>
        <v>Fetch...</v>
      </c>
      <c r="P285">
        <f>IFERROR([1]!s_fa_invturndays($A285,TEXT($B$1,"yyyy/mm/dd")),"")</f>
        <v>61.829099999999997</v>
      </c>
    </row>
    <row r="286" spans="1:16">
      <c r="A286" t="s">
        <v>299</v>
      </c>
      <c r="B286">
        <f>IFERROR([1]!s_stm07_is($A286,"W70156729",TEXT($B$1,"yyyy/mm/dd"),1),"")</f>
        <v>68194270159</v>
      </c>
      <c r="C286">
        <f>IFERROR([1]!s_stm07_is($A286,"W75682424",TEXT($B$1,"yyyy/mm/dd"),1),"")</f>
        <v>65274120911</v>
      </c>
      <c r="D286">
        <f>IFERROR([1]!s_stm07_is($A286,"W76031679",TEXT($B$1,"yyyy/mm/dd"),1),"")</f>
        <v>720430936</v>
      </c>
      <c r="E286">
        <f>IFERROR([1]!s_stm07_is($A286,"W70752487",TEXT($B$1,"yyyy/mm/dd"),1),"")</f>
        <v>1122792482</v>
      </c>
      <c r="F286">
        <f>IFERROR([1]!s_stm07_is_103($A286,TEXT($B$1,"yyyy/mm/dd"),1),"")</f>
        <v>31554467</v>
      </c>
      <c r="G286">
        <f>IFERROR([1]!s_stm07_is_104($A286,TEXT($B$1,"yyyy/mm/dd"),1),"")</f>
        <v>1016434408</v>
      </c>
      <c r="H286">
        <f>IFERROR([1]!s_stm07_is_105($A286,TEXT($B$1,"yyyy/mm/dd"),1),"")</f>
        <v>208821062</v>
      </c>
      <c r="I286">
        <f>IFERROR([1]!s_stm07_is($A286,"W72946623",TEXT($B$1,"yyyy/mm/dd"),1),"")</f>
        <v>-371400400</v>
      </c>
      <c r="J286">
        <f>IFERROR([1]!s_stm07_is($A286,"W30028333",TEXT($B$1,"yyyy/mm/dd"),1),"")</f>
        <v>-319090133</v>
      </c>
      <c r="K286">
        <f>IFERROR([1]!s_stm07_cs($A286,"W77130581",TEXT($B$1,"yyyy/mm/dd"),1),"")</f>
        <v>899621678</v>
      </c>
      <c r="L286">
        <f>IFERROR([1]!s_stm07_cs($A286,"W77745895",TEXT($B$1,"yyyy/mm/dd"),1),"")</f>
        <v>294956304</v>
      </c>
      <c r="M286">
        <f>IFERROR([1]!S_FA_EPS_basic2($A286,$B$1,"Cur=CNY"),"")</f>
        <v>-0.12</v>
      </c>
      <c r="N286">
        <f>IFERROR([1]!s_fa_arturndays($A286,TEXT($B$1,"yyyy/mm/dd")),"")</f>
        <v>88.7727</v>
      </c>
      <c r="O286" t="str">
        <f>IFERROR([1]!fa_apturndays($A286,TEXT($B$1,"yyyy/mm/dd")),"")</f>
        <v>Fetch...</v>
      </c>
      <c r="P286">
        <f>IFERROR([1]!s_fa_invturndays($A286,TEXT($B$1,"yyyy/mm/dd")),"")</f>
        <v>36.829799999999999</v>
      </c>
    </row>
    <row r="287" spans="1:16">
      <c r="A287" t="s">
        <v>300</v>
      </c>
      <c r="B287">
        <f>IFERROR([1]!s_stm07_is($A287,"W70156729",TEXT($B$1,"yyyy/mm/dd"),1),"")</f>
        <v>17213915293.790001</v>
      </c>
      <c r="C287">
        <f>IFERROR([1]!s_stm07_is($A287,"W75682424",TEXT($B$1,"yyyy/mm/dd"),1),"")</f>
        <v>14931570294.389999</v>
      </c>
      <c r="D287">
        <f>IFERROR([1]!s_stm07_is($A287,"W76031679",TEXT($B$1,"yyyy/mm/dd"),1),"")</f>
        <v>142342500.25999999</v>
      </c>
      <c r="E287">
        <f>IFERROR([1]!s_stm07_is($A287,"W70752487",TEXT($B$1,"yyyy/mm/dd"),1),"")</f>
        <v>743871645.62</v>
      </c>
      <c r="F287">
        <f>IFERROR([1]!s_stm07_is_103($A287,TEXT($B$1,"yyyy/mm/dd"),1),"")</f>
        <v>1037534018.8</v>
      </c>
      <c r="G287">
        <f>IFERROR([1]!s_stm07_is_104($A287,TEXT($B$1,"yyyy/mm/dd"),1),"")</f>
        <v>319685152.75999999</v>
      </c>
      <c r="H287">
        <f>IFERROR([1]!s_stm07_is_105($A287,TEXT($B$1,"yyyy/mm/dd"),1),"")</f>
        <v>122983828.90000001</v>
      </c>
      <c r="I287">
        <f>IFERROR([1]!s_stm07_is($A287,"W72946623",TEXT($B$1,"yyyy/mm/dd"),1),"")</f>
        <v>884592662.03999996</v>
      </c>
      <c r="J287">
        <f>IFERROR([1]!s_stm07_is($A287,"W30028333",TEXT($B$1,"yyyy/mm/dd"),1),"")</f>
        <v>710508576.42999995</v>
      </c>
      <c r="K287">
        <f>IFERROR([1]!s_stm07_cs($A287,"W77130581",TEXT($B$1,"yyyy/mm/dd"),1),"")</f>
        <v>3472079653.3499999</v>
      </c>
      <c r="L287">
        <f>IFERROR([1]!s_stm07_cs($A287,"W77745895",TEXT($B$1,"yyyy/mm/dd"),1),"")</f>
        <v>6146401441.1400003</v>
      </c>
      <c r="M287">
        <f>IFERROR([1]!S_FA_EPS_basic2($A287,$B$1,"Cur=CNY"),"")</f>
        <v>0.22</v>
      </c>
      <c r="N287">
        <f>IFERROR([1]!s_fa_arturndays($A287,TEXT($B$1,"yyyy/mm/dd")),"")</f>
        <v>53.436199999999999</v>
      </c>
      <c r="O287" t="str">
        <f>IFERROR([1]!fa_apturndays($A287,TEXT($B$1,"yyyy/mm/dd")),"")</f>
        <v>Fetch...</v>
      </c>
      <c r="P287">
        <f>IFERROR([1]!s_fa_invturndays($A287,TEXT($B$1,"yyyy/mm/dd")),"")</f>
        <v>60.233899999999998</v>
      </c>
    </row>
    <row r="288" spans="1:16">
      <c r="A288" t="s">
        <v>301</v>
      </c>
      <c r="B288">
        <f>IFERROR([1]!s_stm07_is($A288,"W70156729",TEXT($B$1,"yyyy/mm/dd"),1),"")</f>
        <v>840478861.63</v>
      </c>
      <c r="C288">
        <f>IFERROR([1]!s_stm07_is($A288,"W75682424",TEXT($B$1,"yyyy/mm/dd"),1),"")</f>
        <v>410360141.76999998</v>
      </c>
      <c r="D288">
        <f>IFERROR([1]!s_stm07_is($A288,"W76031679",TEXT($B$1,"yyyy/mm/dd"),1),"")</f>
        <v>5167134.5599999996</v>
      </c>
      <c r="E288">
        <f>IFERROR([1]!s_stm07_is($A288,"W70752487",TEXT($B$1,"yyyy/mm/dd"),1),"")</f>
        <v>144520341.41</v>
      </c>
      <c r="F288">
        <f>IFERROR([1]!s_stm07_is_103($A288,TEXT($B$1,"yyyy/mm/dd"),1),"")</f>
        <v>13209766.24</v>
      </c>
      <c r="G288">
        <f>IFERROR([1]!s_stm07_is_104($A288,TEXT($B$1,"yyyy/mm/dd"),1),"")</f>
        <v>3687371.6</v>
      </c>
      <c r="H288">
        <f>IFERROR([1]!s_stm07_is_105($A288,TEXT($B$1,"yyyy/mm/dd"),1),"")</f>
        <v>2856128.45</v>
      </c>
      <c r="I288">
        <f>IFERROR([1]!s_stm07_is($A288,"W72946623",TEXT($B$1,"yyyy/mm/dd"),1),"")</f>
        <v>322790639.87</v>
      </c>
      <c r="J288">
        <f>IFERROR([1]!s_stm07_is($A288,"W30028333",TEXT($B$1,"yyyy/mm/dd"),1),"")</f>
        <v>278764889.29000002</v>
      </c>
      <c r="K288">
        <f>IFERROR([1]!s_stm07_cs($A288,"W77130581",TEXT($B$1,"yyyy/mm/dd"),1),"")</f>
        <v>310454462.05000001</v>
      </c>
      <c r="L288">
        <f>IFERROR([1]!s_stm07_cs($A288,"W77745895",TEXT($B$1,"yyyy/mm/dd"),1),"")</f>
        <v>264255259.75999999</v>
      </c>
      <c r="M288">
        <f>IFERROR([1]!S_FA_EPS_basic2($A288,$B$1,"Cur=CNY"),"")</f>
        <v>1.0736000000000001</v>
      </c>
      <c r="N288">
        <f>IFERROR([1]!s_fa_arturndays($A288,TEXT($B$1,"yyyy/mm/dd")),"")</f>
        <v>50.293399999999998</v>
      </c>
      <c r="O288" t="str">
        <f>IFERROR([1]!fa_apturndays($A288,TEXT($B$1,"yyyy/mm/dd")),"")</f>
        <v>Fetch...</v>
      </c>
      <c r="P288">
        <f>IFERROR([1]!s_fa_invturndays($A288,TEXT($B$1,"yyyy/mm/dd")),"")</f>
        <v>167.4419</v>
      </c>
    </row>
    <row r="289" spans="1:16">
      <c r="A289" t="s">
        <v>302</v>
      </c>
      <c r="B289">
        <f>IFERROR([1]!s_stm07_is($A289,"W70156729",TEXT($B$1,"yyyy/mm/dd"),1),"")</f>
        <v>1351952543.51</v>
      </c>
      <c r="C289">
        <f>IFERROR([1]!s_stm07_is($A289,"W75682424",TEXT($B$1,"yyyy/mm/dd"),1),"")</f>
        <v>1074401290.95</v>
      </c>
      <c r="D289">
        <f>IFERROR([1]!s_stm07_is($A289,"W76031679",TEXT($B$1,"yyyy/mm/dd"),1),"")</f>
        <v>9471924.6199999992</v>
      </c>
      <c r="E289">
        <f>IFERROR([1]!s_stm07_is($A289,"W70752487",TEXT($B$1,"yyyy/mm/dd"),1),"")</f>
        <v>76880792.920000002</v>
      </c>
      <c r="F289">
        <f>IFERROR([1]!s_stm07_is_103($A289,TEXT($B$1,"yyyy/mm/dd"),1),"")</f>
        <v>112596012.98999999</v>
      </c>
      <c r="G289">
        <f>IFERROR([1]!s_stm07_is_104($A289,TEXT($B$1,"yyyy/mm/dd"),1),"")</f>
        <v>1291747.07</v>
      </c>
      <c r="H289">
        <f>IFERROR([1]!s_stm07_is_105($A289,TEXT($B$1,"yyyy/mm/dd"),1),"")</f>
        <v>14014938.609999999</v>
      </c>
      <c r="I289">
        <f>IFERROR([1]!s_stm07_is($A289,"W72946623",TEXT($B$1,"yyyy/mm/dd"),1),"")</f>
        <v>-12308970.369999999</v>
      </c>
      <c r="J289">
        <f>IFERROR([1]!s_stm07_is($A289,"W30028333",TEXT($B$1,"yyyy/mm/dd"),1),"")</f>
        <v>-11650204.529999999</v>
      </c>
      <c r="K289">
        <f>IFERROR([1]!s_stm07_cs($A289,"W77130581",TEXT($B$1,"yyyy/mm/dd"),1),"")</f>
        <v>133722698.04000001</v>
      </c>
      <c r="L289">
        <f>IFERROR([1]!s_stm07_cs($A289,"W77745895",TEXT($B$1,"yyyy/mm/dd"),1),"")</f>
        <v>30595130.48</v>
      </c>
      <c r="M289">
        <f>IFERROR([1]!S_FA_EPS_basic2($A289,$B$1,"Cur=CNY"),"")</f>
        <v>-1.7100000000000001E-2</v>
      </c>
      <c r="N289">
        <f>IFERROR([1]!s_fa_arturndays($A289,TEXT($B$1,"yyyy/mm/dd")),"")</f>
        <v>105.5873</v>
      </c>
      <c r="O289" t="str">
        <f>IFERROR([1]!fa_apturndays($A289,TEXT($B$1,"yyyy/mm/dd")),"")</f>
        <v>Fetch...</v>
      </c>
      <c r="P289">
        <f>IFERROR([1]!s_fa_invturndays($A289,TEXT($B$1,"yyyy/mm/dd")),"")</f>
        <v>116.1628</v>
      </c>
    </row>
    <row r="290" spans="1:16">
      <c r="A290" t="s">
        <v>303</v>
      </c>
      <c r="B290">
        <f>IFERROR([1]!s_stm07_is($A290,"W70156729",TEXT($B$1,"yyyy/mm/dd"),1),"")</f>
        <v>653194311.01999998</v>
      </c>
      <c r="C290">
        <f>IFERROR([1]!s_stm07_is($A290,"W75682424",TEXT($B$1,"yyyy/mm/dd"),1),"")</f>
        <v>465652388.94</v>
      </c>
      <c r="D290">
        <f>IFERROR([1]!s_stm07_is($A290,"W76031679",TEXT($B$1,"yyyy/mm/dd"),1),"")</f>
        <v>39769845.350000001</v>
      </c>
      <c r="E290">
        <f>IFERROR([1]!s_stm07_is($A290,"W70752487",TEXT($B$1,"yyyy/mm/dd"),1),"")</f>
        <v>235839897.68000001</v>
      </c>
      <c r="F290">
        <f>IFERROR([1]!s_stm07_is_103($A290,TEXT($B$1,"yyyy/mm/dd"),1),"")</f>
        <v>311075010.24000001</v>
      </c>
      <c r="G290">
        <f>IFERROR([1]!s_stm07_is_104($A290,TEXT($B$1,"yyyy/mm/dd"),1),"")</f>
        <v>1918424.22</v>
      </c>
      <c r="H290">
        <f>IFERROR([1]!s_stm07_is_105($A290,TEXT($B$1,"yyyy/mm/dd"),1),"")</f>
        <v>22641116.969999999</v>
      </c>
      <c r="I290">
        <f>IFERROR([1]!s_stm07_is($A290,"W72946623",TEXT($B$1,"yyyy/mm/dd"),1),"")</f>
        <v>45848131.810000002</v>
      </c>
      <c r="J290">
        <f>IFERROR([1]!s_stm07_is($A290,"W30028333",TEXT($B$1,"yyyy/mm/dd"),1),"")</f>
        <v>92252668.819999993</v>
      </c>
      <c r="K290">
        <f>IFERROR([1]!s_stm07_cs($A290,"W77130581",TEXT($B$1,"yyyy/mm/dd"),1),"")</f>
        <v>-266319092.11000001</v>
      </c>
      <c r="L290">
        <f>IFERROR([1]!s_stm07_cs($A290,"W77745895",TEXT($B$1,"yyyy/mm/dd"),1),"")</f>
        <v>54020030.520000003</v>
      </c>
      <c r="M290">
        <f>IFERROR([1]!S_FA_EPS_basic2($A290,$B$1,"Cur=CNY"),"")</f>
        <v>1.6299999999999999E-2</v>
      </c>
      <c r="N290">
        <f>IFERROR([1]!s_fa_arturndays($A290,TEXT($B$1,"yyyy/mm/dd")),"")</f>
        <v>67.942499999999995</v>
      </c>
      <c r="O290" t="str">
        <f>IFERROR([1]!fa_apturndays($A290,TEXT($B$1,"yyyy/mm/dd")),"")</f>
        <v>Fetch...</v>
      </c>
      <c r="P290">
        <f>IFERROR([1]!s_fa_invturndays($A290,TEXT($B$1,"yyyy/mm/dd")),"")</f>
        <v>12.495900000000001</v>
      </c>
    </row>
    <row r="291" spans="1:16">
      <c r="A291" t="s">
        <v>304</v>
      </c>
      <c r="B291">
        <f>IFERROR([1]!s_stm07_is($A291,"W70156729",TEXT($B$1,"yyyy/mm/dd"),1),"")</f>
        <v>73023477737.270004</v>
      </c>
      <c r="C291">
        <f>IFERROR([1]!s_stm07_is($A291,"W75682424",TEXT($B$1,"yyyy/mm/dd"),1),"")</f>
        <v>62665847815.419998</v>
      </c>
      <c r="D291">
        <f>IFERROR([1]!s_stm07_is($A291,"W76031679",TEXT($B$1,"yyyy/mm/dd"),1),"")</f>
        <v>1496640579.8099999</v>
      </c>
      <c r="E291">
        <f>IFERROR([1]!s_stm07_is($A291,"W70752487",TEXT($B$1,"yyyy/mm/dd"),1),"")</f>
        <v>2250087567.9299998</v>
      </c>
      <c r="F291">
        <f>IFERROR([1]!s_stm07_is_103($A291,TEXT($B$1,"yyyy/mm/dd"),1),"")</f>
        <v>2501038897.71</v>
      </c>
      <c r="G291">
        <f>IFERROR([1]!s_stm07_is_104($A291,TEXT($B$1,"yyyy/mm/dd"),1),"")</f>
        <v>1056830204.17</v>
      </c>
      <c r="H291">
        <f>IFERROR([1]!s_stm07_is_105($A291,TEXT($B$1,"yyyy/mm/dd"),1),"")</f>
        <v>413220831.20999998</v>
      </c>
      <c r="I291">
        <f>IFERROR([1]!s_stm07_is($A291,"W72946623",TEXT($B$1,"yyyy/mm/dd"),1),"")</f>
        <v>3988991789.6700001</v>
      </c>
      <c r="J291">
        <f>IFERROR([1]!s_stm07_is($A291,"W30028333",TEXT($B$1,"yyyy/mm/dd"),1),"")</f>
        <v>2774356663.48</v>
      </c>
      <c r="K291">
        <f>IFERROR([1]!s_stm07_cs($A291,"W77130581",TEXT($B$1,"yyyy/mm/dd"),1),"")</f>
        <v>3543478540.46</v>
      </c>
      <c r="L291">
        <f>IFERROR([1]!s_stm07_cs($A291,"W77745895",TEXT($B$1,"yyyy/mm/dd"),1),"")</f>
        <v>7478645978.8599997</v>
      </c>
      <c r="M291">
        <f>IFERROR([1]!S_FA_EPS_basic2($A291,$B$1,"Cur=CNY"),"")</f>
        <v>0.63690000000000002</v>
      </c>
      <c r="N291">
        <f>IFERROR([1]!s_fa_arturndays($A291,TEXT($B$1,"yyyy/mm/dd")),"")</f>
        <v>155.70930000000001</v>
      </c>
      <c r="O291" t="str">
        <f>IFERROR([1]!fa_apturndays($A291,TEXT($B$1,"yyyy/mm/dd")),"")</f>
        <v>Fetch...</v>
      </c>
      <c r="P291">
        <f>IFERROR([1]!s_fa_invturndays($A291,TEXT($B$1,"yyyy/mm/dd")),"")</f>
        <v>95.754900000000006</v>
      </c>
    </row>
    <row r="292" spans="1:16">
      <c r="A292" t="s">
        <v>305</v>
      </c>
      <c r="B292">
        <f>IFERROR([1]!s_stm07_is($A292,"W70156729",TEXT($B$1,"yyyy/mm/dd"),1),"")</f>
        <v>83310334567.309998</v>
      </c>
      <c r="C292">
        <f>IFERROR([1]!s_stm07_is($A292,"W75682424",TEXT($B$1,"yyyy/mm/dd"),1),"")</f>
        <v>80145258826.589996</v>
      </c>
      <c r="D292">
        <f>IFERROR([1]!s_stm07_is($A292,"W76031679",TEXT($B$1,"yyyy/mm/dd"),1),"")</f>
        <v>283475835.81</v>
      </c>
      <c r="E292">
        <f>IFERROR([1]!s_stm07_is($A292,"W70752487",TEXT($B$1,"yyyy/mm/dd"),1),"")</f>
        <v>1061975789.26</v>
      </c>
      <c r="F292">
        <f>IFERROR([1]!s_stm07_is_103($A292,TEXT($B$1,"yyyy/mm/dd"),1),"")</f>
        <v>145217676.69</v>
      </c>
      <c r="G292">
        <f>IFERROR([1]!s_stm07_is_104($A292,TEXT($B$1,"yyyy/mm/dd"),1),"")</f>
        <v>656002802.13</v>
      </c>
      <c r="H292">
        <f>IFERROR([1]!s_stm07_is_105($A292,TEXT($B$1,"yyyy/mm/dd"),1),"")</f>
        <v>114294083.44</v>
      </c>
      <c r="I292">
        <f>IFERROR([1]!s_stm07_is($A292,"W72946623",TEXT($B$1,"yyyy/mm/dd"),1),"")</f>
        <v>1221808059.0899999</v>
      </c>
      <c r="J292">
        <f>IFERROR([1]!s_stm07_is($A292,"W30028333",TEXT($B$1,"yyyy/mm/dd"),1),"")</f>
        <v>943160922.19000006</v>
      </c>
      <c r="K292">
        <f>IFERROR([1]!s_stm07_cs($A292,"W77130581",TEXT($B$1,"yyyy/mm/dd"),1),"")</f>
        <v>-1678969513.0999999</v>
      </c>
      <c r="L292">
        <f>IFERROR([1]!s_stm07_cs($A292,"W77745895",TEXT($B$1,"yyyy/mm/dd"),1),"")</f>
        <v>986433892.72000003</v>
      </c>
      <c r="M292">
        <f>IFERROR([1]!S_FA_EPS_basic2($A292,$B$1,"Cur=CNY"),"")</f>
        <v>0.47</v>
      </c>
      <c r="N292">
        <f>IFERROR([1]!s_fa_arturndays($A292,TEXT($B$1,"yyyy/mm/dd")),"")</f>
        <v>37.081699999999998</v>
      </c>
      <c r="O292" t="str">
        <f>IFERROR([1]!fa_apturndays($A292,TEXT($B$1,"yyyy/mm/dd")),"")</f>
        <v>Fetch...</v>
      </c>
      <c r="P292">
        <f>IFERROR([1]!s_fa_invturndays($A292,TEXT($B$1,"yyyy/mm/dd")),"")</f>
        <v>46.147300000000001</v>
      </c>
    </row>
    <row r="293" spans="1:16">
      <c r="A293" t="s">
        <v>306</v>
      </c>
      <c r="B293">
        <f>IFERROR([1]!s_stm07_is($A293,"W70156729",TEXT($B$1,"yyyy/mm/dd"),1),"")</f>
        <v>15517282463.43</v>
      </c>
      <c r="C293">
        <f>IFERROR([1]!s_stm07_is($A293,"W75682424",TEXT($B$1,"yyyy/mm/dd"),1),"")</f>
        <v>12665647027.889999</v>
      </c>
      <c r="D293">
        <f>IFERROR([1]!s_stm07_is($A293,"W76031679",TEXT($B$1,"yyyy/mm/dd"),1),"")</f>
        <v>246675624.18000001</v>
      </c>
      <c r="E293">
        <f>IFERROR([1]!s_stm07_is($A293,"W70752487",TEXT($B$1,"yyyy/mm/dd"),1),"")</f>
        <v>868624382.91999996</v>
      </c>
      <c r="F293">
        <f>IFERROR([1]!s_stm07_is_103($A293,TEXT($B$1,"yyyy/mm/dd"),1),"")</f>
        <v>956024575.01999998</v>
      </c>
      <c r="G293">
        <f>IFERROR([1]!s_stm07_is_104($A293,TEXT($B$1,"yyyy/mm/dd"),1),"")</f>
        <v>33796479.960000001</v>
      </c>
      <c r="H293">
        <f>IFERROR([1]!s_stm07_is_105($A293,TEXT($B$1,"yyyy/mm/dd"),1),"")</f>
        <v>25300945.75</v>
      </c>
      <c r="I293">
        <f>IFERROR([1]!s_stm07_is($A293,"W72946623",TEXT($B$1,"yyyy/mm/dd"),1),"")</f>
        <v>693412131.80999994</v>
      </c>
      <c r="J293">
        <f>IFERROR([1]!s_stm07_is($A293,"W30028333",TEXT($B$1,"yyyy/mm/dd"),1),"")</f>
        <v>583079439.55999994</v>
      </c>
      <c r="K293">
        <f>IFERROR([1]!s_stm07_cs($A293,"W77130581",TEXT($B$1,"yyyy/mm/dd"),1),"")</f>
        <v>774491495.11000001</v>
      </c>
      <c r="L293">
        <f>IFERROR([1]!s_stm07_cs($A293,"W77745895",TEXT($B$1,"yyyy/mm/dd"),1),"")</f>
        <v>193876463.47999999</v>
      </c>
      <c r="M293">
        <f>IFERROR([1]!S_FA_EPS_basic2($A293,$B$1,"Cur=CNY"),"")</f>
        <v>0.3049</v>
      </c>
      <c r="N293">
        <f>IFERROR([1]!s_fa_arturndays($A293,TEXT($B$1,"yyyy/mm/dd")),"")</f>
        <v>142.1464</v>
      </c>
      <c r="O293" t="str">
        <f>IFERROR([1]!fa_apturndays($A293,TEXT($B$1,"yyyy/mm/dd")),"")</f>
        <v>Fetch...</v>
      </c>
      <c r="P293">
        <f>IFERROR([1]!s_fa_invturndays($A293,TEXT($B$1,"yyyy/mm/dd")),"")</f>
        <v>196.83959999999999</v>
      </c>
    </row>
    <row r="294" spans="1:16">
      <c r="A294" t="s">
        <v>307</v>
      </c>
      <c r="B294">
        <f>IFERROR([1]!s_stm07_is($A294,"W70156729",TEXT($B$1,"yyyy/mm/dd"),1),"")</f>
        <v>2571967227.9400001</v>
      </c>
      <c r="C294">
        <f>IFERROR([1]!s_stm07_is($A294,"W75682424",TEXT($B$1,"yyyy/mm/dd"),1),"")</f>
        <v>866684242.99000001</v>
      </c>
      <c r="D294">
        <f>IFERROR([1]!s_stm07_is($A294,"W76031679",TEXT($B$1,"yyyy/mm/dd"),1),"")</f>
        <v>863468206.24000001</v>
      </c>
      <c r="E294">
        <f>IFERROR([1]!s_stm07_is($A294,"W70752487",TEXT($B$1,"yyyy/mm/dd"),1),"")</f>
        <v>175795218.03</v>
      </c>
      <c r="F294">
        <f>IFERROR([1]!s_stm07_is_103($A294,TEXT($B$1,"yyyy/mm/dd"),1),"")</f>
        <v>605235898.34000003</v>
      </c>
      <c r="G294">
        <f>IFERROR([1]!s_stm07_is_104($A294,TEXT($B$1,"yyyy/mm/dd"),1),"")</f>
        <v>5803577.6200000001</v>
      </c>
      <c r="H294">
        <f>IFERROR([1]!s_stm07_is_105($A294,TEXT($B$1,"yyyy/mm/dd"),1),"")</f>
        <v>3267352.59</v>
      </c>
      <c r="I294">
        <f>IFERROR([1]!s_stm07_is($A294,"W72946623",TEXT($B$1,"yyyy/mm/dd"),1),"")</f>
        <v>30676411.27</v>
      </c>
      <c r="J294">
        <f>IFERROR([1]!s_stm07_is($A294,"W30028333",TEXT($B$1,"yyyy/mm/dd"),1),"")</f>
        <v>74222546.629999995</v>
      </c>
      <c r="K294">
        <f>IFERROR([1]!s_stm07_cs($A294,"W77130581",TEXT($B$1,"yyyy/mm/dd"),1),"")</f>
        <v>163391133.25999999</v>
      </c>
      <c r="L294">
        <f>IFERROR([1]!s_stm07_cs($A294,"W77745895",TEXT($B$1,"yyyy/mm/dd"),1),"")</f>
        <v>290325499.56</v>
      </c>
      <c r="M294">
        <f>IFERROR([1]!S_FA_EPS_basic2($A294,$B$1,"Cur=CNY"),"")</f>
        <v>6.4299999999999996E-2</v>
      </c>
      <c r="N294">
        <f>IFERROR([1]!s_fa_arturndays($A294,TEXT($B$1,"yyyy/mm/dd")),"")</f>
        <v>367.9477</v>
      </c>
      <c r="O294" t="str">
        <f>IFERROR([1]!fa_apturndays($A294,TEXT($B$1,"yyyy/mm/dd")),"")</f>
        <v>Fetch...</v>
      </c>
      <c r="P294">
        <f>IFERROR([1]!s_fa_invturndays($A294,TEXT($B$1,"yyyy/mm/dd")),"")</f>
        <v>202.0429</v>
      </c>
    </row>
    <row r="295" spans="1:16">
      <c r="A295" t="s">
        <v>308</v>
      </c>
      <c r="B295">
        <f>IFERROR([1]!s_stm07_is($A295,"W70156729",TEXT($B$1,"yyyy/mm/dd"),1),"")</f>
        <v>5782592204.7700005</v>
      </c>
      <c r="C295">
        <f>IFERROR([1]!s_stm07_is($A295,"W75682424",TEXT($B$1,"yyyy/mm/dd"),1),"")</f>
        <v>3617392167.79</v>
      </c>
      <c r="D295">
        <f>IFERROR([1]!s_stm07_is($A295,"W76031679",TEXT($B$1,"yyyy/mm/dd"),1),"")</f>
        <v>500278280.20999998</v>
      </c>
      <c r="E295">
        <f>IFERROR([1]!s_stm07_is($A295,"W70752487",TEXT($B$1,"yyyy/mm/dd"),1),"")</f>
        <v>499886620.00999999</v>
      </c>
      <c r="F295">
        <f>IFERROR([1]!s_stm07_is_103($A295,TEXT($B$1,"yyyy/mm/dd"),1),"")</f>
        <v>142599833.63</v>
      </c>
      <c r="G295">
        <f>IFERROR([1]!s_stm07_is_104($A295,TEXT($B$1,"yyyy/mm/dd"),1),"")</f>
        <v>125833072.83</v>
      </c>
      <c r="H295">
        <f>IFERROR([1]!s_stm07_is_105($A295,TEXT($B$1,"yyyy/mm/dd"),1),"")</f>
        <v>16622832.310000001</v>
      </c>
      <c r="I295">
        <f>IFERROR([1]!s_stm07_is($A295,"W72946623",TEXT($B$1,"yyyy/mm/dd"),1),"")</f>
        <v>666883153.01999998</v>
      </c>
      <c r="J295">
        <f>IFERROR([1]!s_stm07_is($A295,"W30028333",TEXT($B$1,"yyyy/mm/dd"),1),"")</f>
        <v>650416565.05999994</v>
      </c>
      <c r="K295">
        <f>IFERROR([1]!s_stm07_cs($A295,"W77130581",TEXT($B$1,"yyyy/mm/dd"),1),"")</f>
        <v>1475458549.8</v>
      </c>
      <c r="L295">
        <f>IFERROR([1]!s_stm07_cs($A295,"W77745895",TEXT($B$1,"yyyy/mm/dd"),1),"")</f>
        <v>1235788521.1199999</v>
      </c>
      <c r="M295">
        <f>IFERROR([1]!S_FA_EPS_basic2($A295,$B$1,"Cur=CNY"),"")</f>
        <v>0.66090000000000004</v>
      </c>
      <c r="N295">
        <f>IFERROR([1]!s_fa_arturndays($A295,TEXT($B$1,"yyyy/mm/dd")),"")</f>
        <v>36.272399999999998</v>
      </c>
      <c r="O295" t="str">
        <f>IFERROR([1]!fa_apturndays($A295,TEXT($B$1,"yyyy/mm/dd")),"")</f>
        <v>Fetch...</v>
      </c>
      <c r="P295">
        <f>IFERROR([1]!s_fa_invturndays($A295,TEXT($B$1,"yyyy/mm/dd")),"")</f>
        <v>121.102</v>
      </c>
    </row>
    <row r="296" spans="1:16">
      <c r="A296" t="s">
        <v>309</v>
      </c>
      <c r="B296">
        <f>IFERROR([1]!s_stm07_is($A296,"W70156729",TEXT($B$1,"yyyy/mm/dd"),1),"")</f>
        <v>6540911252.7600002</v>
      </c>
      <c r="C296">
        <f>IFERROR([1]!s_stm07_is($A296,"W75682424",TEXT($B$1,"yyyy/mm/dd"),1),"")</f>
        <v>4967781563.0799999</v>
      </c>
      <c r="D296">
        <f>IFERROR([1]!s_stm07_is($A296,"W76031679",TEXT($B$1,"yyyy/mm/dd"),1),"")</f>
        <v>844817727.61000001</v>
      </c>
      <c r="E296">
        <f>IFERROR([1]!s_stm07_is($A296,"W70752487",TEXT($B$1,"yyyy/mm/dd"),1),"")</f>
        <v>232024882.75</v>
      </c>
      <c r="F296">
        <f>IFERROR([1]!s_stm07_is_103($A296,TEXT($B$1,"yyyy/mm/dd"),1),"")</f>
        <v>39531182.490000002</v>
      </c>
      <c r="G296">
        <f>IFERROR([1]!s_stm07_is_104($A296,TEXT($B$1,"yyyy/mm/dd"),1),"")</f>
        <v>12599510.15</v>
      </c>
      <c r="H296">
        <f>IFERROR([1]!s_stm07_is_105($A296,TEXT($B$1,"yyyy/mm/dd"),1),"")</f>
        <v>5408274.2699999996</v>
      </c>
      <c r="I296">
        <f>IFERROR([1]!s_stm07_is($A296,"W72946623",TEXT($B$1,"yyyy/mm/dd"),1),"")</f>
        <v>678352809.08000004</v>
      </c>
      <c r="J296">
        <f>IFERROR([1]!s_stm07_is($A296,"W30028333",TEXT($B$1,"yyyy/mm/dd"),1),"")</f>
        <v>544828170.33000004</v>
      </c>
      <c r="K296">
        <f>IFERROR([1]!s_stm07_cs($A296,"W77130581",TEXT($B$1,"yyyy/mm/dd"),1),"")</f>
        <v>485649773.31999999</v>
      </c>
      <c r="L296">
        <f>IFERROR([1]!s_stm07_cs($A296,"W77745895",TEXT($B$1,"yyyy/mm/dd"),1),"")</f>
        <v>196178170.84</v>
      </c>
      <c r="M296">
        <f>IFERROR([1]!S_FA_EPS_basic2($A296,$B$1,"Cur=CNY"),"")</f>
        <v>0.62</v>
      </c>
      <c r="N296">
        <f>IFERROR([1]!s_fa_arturndays($A296,TEXT($B$1,"yyyy/mm/dd")),"")</f>
        <v>10.792400000000001</v>
      </c>
      <c r="O296" t="str">
        <f>IFERROR([1]!fa_apturndays($A296,TEXT($B$1,"yyyy/mm/dd")),"")</f>
        <v>Fetch...</v>
      </c>
      <c r="P296">
        <f>IFERROR([1]!s_fa_invturndays($A296,TEXT($B$1,"yyyy/mm/dd")),"")</f>
        <v>74.397099999999995</v>
      </c>
    </row>
    <row r="297" spans="1:16">
      <c r="A297" t="s">
        <v>310</v>
      </c>
      <c r="B297">
        <f>IFERROR([1]!s_stm07_is($A297,"W70156729",TEXT($B$1,"yyyy/mm/dd"),1),"")</f>
        <v>3052738508.8299999</v>
      </c>
      <c r="C297">
        <f>IFERROR([1]!s_stm07_is($A297,"W75682424",TEXT($B$1,"yyyy/mm/dd"),1),"")</f>
        <v>2173388255.3299999</v>
      </c>
      <c r="D297">
        <f>IFERROR([1]!s_stm07_is($A297,"W76031679",TEXT($B$1,"yyyy/mm/dd"),1),"")</f>
        <v>204928452.69</v>
      </c>
      <c r="E297">
        <f>IFERROR([1]!s_stm07_is($A297,"W70752487",TEXT($B$1,"yyyy/mm/dd"),1),"")</f>
        <v>371237915.13999999</v>
      </c>
      <c r="F297">
        <f>IFERROR([1]!s_stm07_is_103($A297,TEXT($B$1,"yyyy/mm/dd"),1),"")</f>
        <v>13354432.689999999</v>
      </c>
      <c r="G297">
        <f>IFERROR([1]!s_stm07_is_104($A297,TEXT($B$1,"yyyy/mm/dd"),1),"")</f>
        <v>123429836.14</v>
      </c>
      <c r="H297">
        <f>IFERROR([1]!s_stm07_is_105($A297,TEXT($B$1,"yyyy/mm/dd"),1),"")</f>
        <v>4512605.9800000004</v>
      </c>
      <c r="I297">
        <f>IFERROR([1]!s_stm07_is($A297,"W72946623",TEXT($B$1,"yyyy/mm/dd"),1),"")</f>
        <v>77963308.290000007</v>
      </c>
      <c r="J297">
        <f>IFERROR([1]!s_stm07_is($A297,"W30028333",TEXT($B$1,"yyyy/mm/dd"),1),"")</f>
        <v>30942846.16</v>
      </c>
      <c r="K297">
        <f>IFERROR([1]!s_stm07_cs($A297,"W77130581",TEXT($B$1,"yyyy/mm/dd"),1),"")</f>
        <v>293786255.06999999</v>
      </c>
      <c r="L297">
        <f>IFERROR([1]!s_stm07_cs($A297,"W77745895",TEXT($B$1,"yyyy/mm/dd"),1),"")</f>
        <v>257003663.00999999</v>
      </c>
      <c r="M297">
        <f>IFERROR([1]!S_FA_EPS_basic2($A297,$B$1,"Cur=CNY"),"")</f>
        <v>9.4000000000000004E-3</v>
      </c>
      <c r="N297">
        <f>IFERROR([1]!s_fa_arturndays($A297,TEXT($B$1,"yyyy/mm/dd")),"")</f>
        <v>142.46709999999999</v>
      </c>
      <c r="O297" t="str">
        <f>IFERROR([1]!fa_apturndays($A297,TEXT($B$1,"yyyy/mm/dd")),"")</f>
        <v>Fetch...</v>
      </c>
      <c r="P297">
        <f>IFERROR([1]!s_fa_invturndays($A297,TEXT($B$1,"yyyy/mm/dd")),"")</f>
        <v>29.2864</v>
      </c>
    </row>
    <row r="298" spans="1:16">
      <c r="A298" t="s">
        <v>311</v>
      </c>
      <c r="B298">
        <f>IFERROR([1]!s_stm07_is($A298,"W70156729",TEXT($B$1,"yyyy/mm/dd"),1),"")</f>
        <v>27525637318.639999</v>
      </c>
      <c r="C298">
        <f>IFERROR([1]!s_stm07_is($A298,"W75682424",TEXT($B$1,"yyyy/mm/dd"),1),"")</f>
        <v>26507403992.27</v>
      </c>
      <c r="D298">
        <f>IFERROR([1]!s_stm07_is($A298,"W76031679",TEXT($B$1,"yyyy/mm/dd"),1),"")</f>
        <v>80654012.909999996</v>
      </c>
      <c r="E298">
        <f>IFERROR([1]!s_stm07_is($A298,"W70752487",TEXT($B$1,"yyyy/mm/dd"),1),"")</f>
        <v>141200335.28</v>
      </c>
      <c r="F298">
        <f>IFERROR([1]!s_stm07_is_103($A298,TEXT($B$1,"yyyy/mm/dd"),1),"")</f>
        <v>13587962.41</v>
      </c>
      <c r="G298">
        <f>IFERROR([1]!s_stm07_is_104($A298,TEXT($B$1,"yyyy/mm/dd"),1),"")</f>
        <v>634290215.76999998</v>
      </c>
      <c r="H298">
        <f>IFERROR([1]!s_stm07_is_105($A298,TEXT($B$1,"yyyy/mm/dd"),1),"")</f>
        <v>76250015.109999999</v>
      </c>
      <c r="I298">
        <f>IFERROR([1]!s_stm07_is($A298,"W72946623",TEXT($B$1,"yyyy/mm/dd"),1),"")</f>
        <v>-995649499.05999994</v>
      </c>
      <c r="J298">
        <f>IFERROR([1]!s_stm07_is($A298,"W30028333",TEXT($B$1,"yyyy/mm/dd"),1),"")</f>
        <v>-920594371.88</v>
      </c>
      <c r="K298">
        <f>IFERROR([1]!s_stm07_cs($A298,"W77130581",TEXT($B$1,"yyyy/mm/dd"),1),"")</f>
        <v>1068788021.55</v>
      </c>
      <c r="L298">
        <f>IFERROR([1]!s_stm07_cs($A298,"W77745895",TEXT($B$1,"yyyy/mm/dd"),1),"")</f>
        <v>948664368.38</v>
      </c>
      <c r="M298">
        <f>IFERROR([1]!S_FA_EPS_basic2($A298,$B$1,"Cur=CNY"),"")</f>
        <v>-0.58409999999999995</v>
      </c>
      <c r="N298">
        <f>IFERROR([1]!s_fa_arturndays($A298,TEXT($B$1,"yyyy/mm/dd")),"")</f>
        <v>73.376499999999993</v>
      </c>
      <c r="O298" t="str">
        <f>IFERROR([1]!fa_apturndays($A298,TEXT($B$1,"yyyy/mm/dd")),"")</f>
        <v>Fetch...</v>
      </c>
      <c r="P298">
        <f>IFERROR([1]!s_fa_invturndays($A298,TEXT($B$1,"yyyy/mm/dd")),"")</f>
        <v>38.000700000000002</v>
      </c>
    </row>
    <row r="299" spans="1:16">
      <c r="A299" t="s">
        <v>312</v>
      </c>
      <c r="B299">
        <f>IFERROR([1]!s_stm07_is($A299,"W70156729",TEXT($B$1,"yyyy/mm/dd"),1),"")</f>
        <v>1157778316.6199999</v>
      </c>
      <c r="C299">
        <f>IFERROR([1]!s_stm07_is($A299,"W75682424",TEXT($B$1,"yyyy/mm/dd"),1),"")</f>
        <v>565204088.49000001</v>
      </c>
      <c r="D299">
        <f>IFERROR([1]!s_stm07_is($A299,"W76031679",TEXT($B$1,"yyyy/mm/dd"),1),"")</f>
        <v>18821823.469999999</v>
      </c>
      <c r="E299">
        <f>IFERROR([1]!s_stm07_is($A299,"W70752487",TEXT($B$1,"yyyy/mm/dd"),1),"")</f>
        <v>112712616.16</v>
      </c>
      <c r="F299">
        <f>IFERROR([1]!s_stm07_is_103($A299,TEXT($B$1,"yyyy/mm/dd"),1),"")</f>
        <v>106239759.83</v>
      </c>
      <c r="G299">
        <f>IFERROR([1]!s_stm07_is_104($A299,TEXT($B$1,"yyyy/mm/dd"),1),"")</f>
        <v>3215718.38</v>
      </c>
      <c r="H299">
        <f>IFERROR([1]!s_stm07_is_105($A299,TEXT($B$1,"yyyy/mm/dd"),1),"")</f>
        <v>3751578.22</v>
      </c>
      <c r="I299">
        <f>IFERROR([1]!s_stm07_is($A299,"W72946623",TEXT($B$1,"yyyy/mm/dd"),1),"")</f>
        <v>345532537.01999998</v>
      </c>
      <c r="J299">
        <f>IFERROR([1]!s_stm07_is($A299,"W30028333",TEXT($B$1,"yyyy/mm/dd"),1),"")</f>
        <v>278574464.51999998</v>
      </c>
      <c r="K299">
        <f>IFERROR([1]!s_stm07_cs($A299,"W77130581",TEXT($B$1,"yyyy/mm/dd"),1),"")</f>
        <v>351004007.62</v>
      </c>
      <c r="L299">
        <f>IFERROR([1]!s_stm07_cs($A299,"W77745895",TEXT($B$1,"yyyy/mm/dd"),1),"")</f>
        <v>343104819.41000003</v>
      </c>
      <c r="M299">
        <f>IFERROR([1]!S_FA_EPS_basic2($A299,$B$1,"Cur=CNY"),"")</f>
        <v>0.59240000000000004</v>
      </c>
      <c r="N299">
        <f>IFERROR([1]!s_fa_arturndays($A299,TEXT($B$1,"yyyy/mm/dd")),"")</f>
        <v>105.9509</v>
      </c>
      <c r="O299" t="str">
        <f>IFERROR([1]!fa_apturndays($A299,TEXT($B$1,"yyyy/mm/dd")),"")</f>
        <v>Fetch...</v>
      </c>
      <c r="P299">
        <f>IFERROR([1]!s_fa_invturndays($A299,TEXT($B$1,"yyyy/mm/dd")),"")</f>
        <v>191.84649999999999</v>
      </c>
    </row>
    <row r="300" spans="1:16">
      <c r="A300" t="s">
        <v>313</v>
      </c>
      <c r="B300">
        <f>IFERROR([1]!s_stm07_is($A300,"W70156729",TEXT($B$1,"yyyy/mm/dd"),1),"")</f>
        <v>7955022614.7600002</v>
      </c>
      <c r="C300">
        <f>IFERROR([1]!s_stm07_is($A300,"W75682424",TEXT($B$1,"yyyy/mm/dd"),1),"")</f>
        <v>3930042261.8099999</v>
      </c>
      <c r="D300">
        <f>IFERROR([1]!s_stm07_is($A300,"W76031679",TEXT($B$1,"yyyy/mm/dd"),1),"")</f>
        <v>1763462079.4100001</v>
      </c>
      <c r="E300">
        <f>IFERROR([1]!s_stm07_is($A300,"W70752487",TEXT($B$1,"yyyy/mm/dd"),1),"")</f>
        <v>475517451.17000002</v>
      </c>
      <c r="F300">
        <f>IFERROR([1]!s_stm07_is_103($A300,TEXT($B$1,"yyyy/mm/dd"),1),"")</f>
        <v>570145985.27999997</v>
      </c>
      <c r="G300">
        <f>IFERROR([1]!s_stm07_is_104($A300,TEXT($B$1,"yyyy/mm/dd"),1),"")</f>
        <v>5997356.9400000004</v>
      </c>
      <c r="H300">
        <f>IFERROR([1]!s_stm07_is_105($A300,TEXT($B$1,"yyyy/mm/dd"),1),"")</f>
        <v>249182104.77000001</v>
      </c>
      <c r="I300">
        <f>IFERROR([1]!s_stm07_is($A300,"W72946623",TEXT($B$1,"yyyy/mm/dd"),1),"")</f>
        <v>1684492195.6500001</v>
      </c>
      <c r="J300">
        <f>IFERROR([1]!s_stm07_is($A300,"W30028333",TEXT($B$1,"yyyy/mm/dd"),1),"")</f>
        <v>1481794880.1300001</v>
      </c>
      <c r="K300">
        <f>IFERROR([1]!s_stm07_cs($A300,"W77130581",TEXT($B$1,"yyyy/mm/dd"),1),"")</f>
        <v>1502921715.79</v>
      </c>
      <c r="L300">
        <f>IFERROR([1]!s_stm07_cs($A300,"W77745895",TEXT($B$1,"yyyy/mm/dd"),1),"")</f>
        <v>128981496.52</v>
      </c>
      <c r="M300">
        <f>IFERROR([1]!S_FA_EPS_basic2($A300,$B$1,"Cur=CNY"),"")</f>
        <v>1.48</v>
      </c>
      <c r="N300">
        <f>IFERROR([1]!s_fa_arturndays($A300,TEXT($B$1,"yyyy/mm/dd")),"")</f>
        <v>32.2303</v>
      </c>
      <c r="O300" t="str">
        <f>IFERROR([1]!fa_apturndays($A300,TEXT($B$1,"yyyy/mm/dd")),"")</f>
        <v>Fetch...</v>
      </c>
      <c r="P300">
        <f>IFERROR([1]!s_fa_invturndays($A300,TEXT($B$1,"yyyy/mm/dd")),"")</f>
        <v>134.47890000000001</v>
      </c>
    </row>
    <row r="301" spans="1:16">
      <c r="A301" t="s">
        <v>314</v>
      </c>
      <c r="B301">
        <f>IFERROR([1]!s_stm07_is($A301,"W70156729",TEXT($B$1,"yyyy/mm/dd"),1),"")</f>
        <v>9981605095.5100002</v>
      </c>
      <c r="C301">
        <f>IFERROR([1]!s_stm07_is($A301,"W75682424",TEXT($B$1,"yyyy/mm/dd"),1),"")</f>
        <v>6947352184.5100002</v>
      </c>
      <c r="D301">
        <f>IFERROR([1]!s_stm07_is($A301,"W76031679",TEXT($B$1,"yyyy/mm/dd"),1),"")</f>
        <v>174247147.86000001</v>
      </c>
      <c r="E301">
        <f>IFERROR([1]!s_stm07_is($A301,"W70752487",TEXT($B$1,"yyyy/mm/dd"),1),"")</f>
        <v>957632928.19000006</v>
      </c>
      <c r="F301">
        <f>IFERROR([1]!s_stm07_is_103($A301,TEXT($B$1,"yyyy/mm/dd"),1),"")</f>
        <v>315518565.97000003</v>
      </c>
      <c r="G301">
        <f>IFERROR([1]!s_stm07_is_104($A301,TEXT($B$1,"yyyy/mm/dd"),1),"")</f>
        <v>139654514.25</v>
      </c>
      <c r="H301">
        <f>IFERROR([1]!s_stm07_is_105($A301,TEXT($B$1,"yyyy/mm/dd"),1),"")</f>
        <v>14140449.92</v>
      </c>
      <c r="I301">
        <f>IFERROR([1]!s_stm07_is($A301,"W72946623",TEXT($B$1,"yyyy/mm/dd"),1),"")</f>
        <v>1341628648.24</v>
      </c>
      <c r="J301">
        <f>IFERROR([1]!s_stm07_is($A301,"W30028333",TEXT($B$1,"yyyy/mm/dd"),1),"")</f>
        <v>757548587.74000001</v>
      </c>
      <c r="K301">
        <f>IFERROR([1]!s_stm07_cs($A301,"W77130581",TEXT($B$1,"yyyy/mm/dd"),1),"")</f>
        <v>1185745663.05</v>
      </c>
      <c r="L301">
        <f>IFERROR([1]!s_stm07_cs($A301,"W77745895",TEXT($B$1,"yyyy/mm/dd"),1),"")</f>
        <v>504442684.93000001</v>
      </c>
      <c r="M301">
        <f>IFERROR([1]!S_FA_EPS_basic2($A301,$B$1,"Cur=CNY"),"")</f>
        <v>0.28599999999999998</v>
      </c>
      <c r="N301">
        <f>IFERROR([1]!s_fa_arturndays($A301,TEXT($B$1,"yyyy/mm/dd")),"")</f>
        <v>160.57810000000001</v>
      </c>
      <c r="O301" t="str">
        <f>IFERROR([1]!fa_apturndays($A301,TEXT($B$1,"yyyy/mm/dd")),"")</f>
        <v>Fetch...</v>
      </c>
      <c r="P301">
        <f>IFERROR([1]!s_fa_invturndays($A301,TEXT($B$1,"yyyy/mm/dd")),"")</f>
        <v>46.448</v>
      </c>
    </row>
    <row r="302" spans="1:16">
      <c r="A302" t="s">
        <v>315</v>
      </c>
      <c r="B302">
        <f>IFERROR([1]!s_stm07_is($A302,"W70156729",TEXT($B$1,"yyyy/mm/dd"),1),"")</f>
        <v>27105390547.66</v>
      </c>
      <c r="C302">
        <f>IFERROR([1]!s_stm07_is($A302,"W75682424",TEXT($B$1,"yyyy/mm/dd"),1),"")</f>
        <v>15624405247.68</v>
      </c>
      <c r="D302">
        <f>IFERROR([1]!s_stm07_is($A302,"W76031679",TEXT($B$1,"yyyy/mm/dd"),1),"")</f>
        <v>5190906420.5100002</v>
      </c>
      <c r="E302">
        <f>IFERROR([1]!s_stm07_is($A302,"W70752487",TEXT($B$1,"yyyy/mm/dd"),1),"")</f>
        <v>1387906299.5</v>
      </c>
      <c r="F302">
        <f>IFERROR([1]!s_stm07_is_103($A302,TEXT($B$1,"yyyy/mm/dd"),1),"")</f>
        <v>4438994619.1999998</v>
      </c>
      <c r="G302">
        <f>IFERROR([1]!s_stm07_is_104($A302,TEXT($B$1,"yyyy/mm/dd"),1),"")</f>
        <v>208563679.80000001</v>
      </c>
      <c r="H302">
        <f>IFERROR([1]!s_stm07_is_105($A302,TEXT($B$1,"yyyy/mm/dd"),1),"")</f>
        <v>57369998.759999998</v>
      </c>
      <c r="I302">
        <f>IFERROR([1]!s_stm07_is($A302,"W72946623",TEXT($B$1,"yyyy/mm/dd"),1),"")</f>
        <v>593251220.38999999</v>
      </c>
      <c r="J302">
        <f>IFERROR([1]!s_stm07_is($A302,"W30028333",TEXT($B$1,"yyyy/mm/dd"),1),"")</f>
        <v>839390861.36000001</v>
      </c>
      <c r="K302">
        <f>IFERROR([1]!s_stm07_cs($A302,"W77130581",TEXT($B$1,"yyyy/mm/dd"),1),"")</f>
        <v>3208095271.7800002</v>
      </c>
      <c r="L302">
        <f>IFERROR([1]!s_stm07_cs($A302,"W77745895",TEXT($B$1,"yyyy/mm/dd"),1),"")</f>
        <v>3150644412.0700002</v>
      </c>
      <c r="M302">
        <f>IFERROR([1]!S_FA_EPS_basic2($A302,$B$1,"Cur=CNY"),"")</f>
        <v>0.36</v>
      </c>
      <c r="N302">
        <f>IFERROR([1]!s_fa_arturndays($A302,TEXT($B$1,"yyyy/mm/dd")),"")</f>
        <v>205.60849999999999</v>
      </c>
      <c r="O302" t="str">
        <f>IFERROR([1]!fa_apturndays($A302,TEXT($B$1,"yyyy/mm/dd")),"")</f>
        <v>Fetch...</v>
      </c>
      <c r="P302">
        <f>IFERROR([1]!s_fa_invturndays($A302,TEXT($B$1,"yyyy/mm/dd")),"")</f>
        <v>85.152699999999996</v>
      </c>
    </row>
    <row r="303" spans="1:16">
      <c r="A303" t="s">
        <v>316</v>
      </c>
      <c r="B303">
        <f>IFERROR([1]!s_stm07_is($A303,"W70156729",TEXT($B$1,"yyyy/mm/dd"),1),"")</f>
        <v>4106877852.48</v>
      </c>
      <c r="C303">
        <f>IFERROR([1]!s_stm07_is($A303,"W75682424",TEXT($B$1,"yyyy/mm/dd"),1),"")</f>
        <v>3100366380.4400001</v>
      </c>
      <c r="D303">
        <f>IFERROR([1]!s_stm07_is($A303,"W76031679",TEXT($B$1,"yyyy/mm/dd"),1),"")</f>
        <v>110734432.69</v>
      </c>
      <c r="E303">
        <f>IFERROR([1]!s_stm07_is($A303,"W70752487",TEXT($B$1,"yyyy/mm/dd"),1),"")</f>
        <v>361790238.79000002</v>
      </c>
      <c r="F303">
        <f>IFERROR([1]!s_stm07_is_103($A303,TEXT($B$1,"yyyy/mm/dd"),1),"")</f>
        <v>19574604.57</v>
      </c>
      <c r="G303">
        <f>IFERROR([1]!s_stm07_is_104($A303,TEXT($B$1,"yyyy/mm/dd"),1),"")</f>
        <v>1091277.95</v>
      </c>
      <c r="H303">
        <f>IFERROR([1]!s_stm07_is_105($A303,TEXT($B$1,"yyyy/mm/dd"),1),"")</f>
        <v>22688201.359999999</v>
      </c>
      <c r="I303">
        <f>IFERROR([1]!s_stm07_is($A303,"W72946623",TEXT($B$1,"yyyy/mm/dd"),1),"")</f>
        <v>797207372.00999999</v>
      </c>
      <c r="J303">
        <f>IFERROR([1]!s_stm07_is($A303,"W30028333",TEXT($B$1,"yyyy/mm/dd"),1),"")</f>
        <v>634042181.16999996</v>
      </c>
      <c r="K303">
        <f>IFERROR([1]!s_stm07_cs($A303,"W77130581",TEXT($B$1,"yyyy/mm/dd"),1),"")</f>
        <v>778436676.10000002</v>
      </c>
      <c r="L303">
        <f>IFERROR([1]!s_stm07_cs($A303,"W77745895",TEXT($B$1,"yyyy/mm/dd"),1),"")</f>
        <v>343396731.14999998</v>
      </c>
      <c r="M303">
        <f>IFERROR([1]!S_FA_EPS_basic2($A303,$B$1,"Cur=CNY"),"")</f>
        <v>0.54</v>
      </c>
      <c r="N303">
        <f>IFERROR([1]!s_fa_arturndays($A303,TEXT($B$1,"yyyy/mm/dd")),"")</f>
        <v>4.6412000000000004</v>
      </c>
      <c r="O303" t="str">
        <f>IFERROR([1]!fa_apturndays($A303,TEXT($B$1,"yyyy/mm/dd")),"")</f>
        <v>Fetch...</v>
      </c>
      <c r="P303">
        <f>IFERROR([1]!s_fa_invturndays($A303,TEXT($B$1,"yyyy/mm/dd")),"")</f>
        <v>61.891800000000003</v>
      </c>
    </row>
    <row r="304" spans="1:16">
      <c r="A304" t="s">
        <v>317</v>
      </c>
      <c r="B304">
        <f>IFERROR([1]!s_stm07_is($A304,"W70156729",TEXT($B$1,"yyyy/mm/dd"),1),"")</f>
        <v>32743783343.799999</v>
      </c>
      <c r="C304">
        <f>IFERROR([1]!s_stm07_is($A304,"W75682424",TEXT($B$1,"yyyy/mm/dd"),1),"")</f>
        <v>19442555822.77</v>
      </c>
      <c r="D304">
        <f>IFERROR([1]!s_stm07_is($A304,"W76031679",TEXT($B$1,"yyyy/mm/dd"),1),"")</f>
        <v>5113115207.4300003</v>
      </c>
      <c r="E304">
        <f>IFERROR([1]!s_stm07_is($A304,"W70752487",TEXT($B$1,"yyyy/mm/dd"),1),"")</f>
        <v>1295533102.3800001</v>
      </c>
      <c r="F304">
        <f>IFERROR([1]!s_stm07_is_103($A304,TEXT($B$1,"yyyy/mm/dd"),1),"")</f>
        <v>4336016982.7600002</v>
      </c>
      <c r="G304">
        <f>IFERROR([1]!s_stm07_is_104($A304,TEXT($B$1,"yyyy/mm/dd"),1),"")</f>
        <v>-21982366.93</v>
      </c>
      <c r="H304">
        <f>IFERROR([1]!s_stm07_is_105($A304,TEXT($B$1,"yyyy/mm/dd"),1),"")</f>
        <v>281626532.36000001</v>
      </c>
      <c r="I304">
        <f>IFERROR([1]!s_stm07_is($A304,"W72946623",TEXT($B$1,"yyyy/mm/dd"),1),"")</f>
        <v>4362593813.9399996</v>
      </c>
      <c r="J304">
        <f>IFERROR([1]!s_stm07_is($A304,"W30028333",TEXT($B$1,"yyyy/mm/dd"),1),"")</f>
        <v>3857923611.8600001</v>
      </c>
      <c r="K304">
        <f>IFERROR([1]!s_stm07_cs($A304,"W77130581",TEXT($B$1,"yyyy/mm/dd"),1),"")</f>
        <v>3907798165.2800002</v>
      </c>
      <c r="L304">
        <f>IFERROR([1]!s_stm07_cs($A304,"W77745895",TEXT($B$1,"yyyy/mm/dd"),1),"")</f>
        <v>673228356.89999998</v>
      </c>
      <c r="M304">
        <f>IFERROR([1]!S_FA_EPS_basic2($A304,$B$1,"Cur=CNY"),"")</f>
        <v>1.18</v>
      </c>
      <c r="N304">
        <f>IFERROR([1]!s_fa_arturndays($A304,TEXT($B$1,"yyyy/mm/dd")),"")</f>
        <v>178.76650000000001</v>
      </c>
      <c r="O304" t="str">
        <f>IFERROR([1]!fa_apturndays($A304,TEXT($B$1,"yyyy/mm/dd")),"")</f>
        <v>Fetch...</v>
      </c>
      <c r="P304">
        <f>IFERROR([1]!s_fa_invturndays($A304,TEXT($B$1,"yyyy/mm/dd")),"")</f>
        <v>105.95399999999999</v>
      </c>
    </row>
    <row r="305" spans="1:16">
      <c r="A305" t="s">
        <v>318</v>
      </c>
      <c r="B305">
        <f>IFERROR([1]!s_stm07_is($A305,"W70156729",TEXT($B$1,"yyyy/mm/dd"),1),"")</f>
        <v>112394440038.95</v>
      </c>
      <c r="C305">
        <f>IFERROR([1]!s_stm07_is($A305,"W75682424",TEXT($B$1,"yyyy/mm/dd"),1),"")</f>
        <v>110111621568</v>
      </c>
      <c r="D305">
        <f>IFERROR([1]!s_stm07_is($A305,"W76031679",TEXT($B$1,"yyyy/mm/dd"),1),"")</f>
        <v>41673559.189999998</v>
      </c>
      <c r="E305">
        <f>IFERROR([1]!s_stm07_is($A305,"W70752487",TEXT($B$1,"yyyy/mm/dd"),1),"")</f>
        <v>585196599.05999994</v>
      </c>
      <c r="F305">
        <f>IFERROR([1]!s_stm07_is_103($A305,TEXT($B$1,"yyyy/mm/dd"),1),"")</f>
        <v>227015065.84999999</v>
      </c>
      <c r="G305">
        <f>IFERROR([1]!s_stm07_is_104($A305,TEXT($B$1,"yyyy/mm/dd"),1),"")</f>
        <v>415305406.69</v>
      </c>
      <c r="H305">
        <f>IFERROR([1]!s_stm07_is_105($A305,TEXT($B$1,"yyyy/mm/dd"),1),"")</f>
        <v>43949601.450000003</v>
      </c>
      <c r="I305">
        <f>IFERROR([1]!s_stm07_is($A305,"W72946623",TEXT($B$1,"yyyy/mm/dd"),1),"")</f>
        <v>791269992.57000005</v>
      </c>
      <c r="J305">
        <f>IFERROR([1]!s_stm07_is($A305,"W30028333",TEXT($B$1,"yyyy/mm/dd"),1),"")</f>
        <v>637653078.16999996</v>
      </c>
      <c r="K305">
        <f>IFERROR([1]!s_stm07_cs($A305,"W77130581",TEXT($B$1,"yyyy/mm/dd"),1),"")</f>
        <v>-2004810606.3800001</v>
      </c>
      <c r="L305">
        <f>IFERROR([1]!s_stm07_cs($A305,"W77745895",TEXT($B$1,"yyyy/mm/dd"),1),"")</f>
        <v>1281316836.23</v>
      </c>
      <c r="M305">
        <f>IFERROR([1]!S_FA_EPS_basic2($A305,$B$1,"Cur=CNY"),"")</f>
        <v>0.54</v>
      </c>
      <c r="N305">
        <f>IFERROR([1]!s_fa_arturndays($A305,TEXT($B$1,"yyyy/mm/dd")),"")</f>
        <v>7.8899999999999998E-2</v>
      </c>
      <c r="O305" t="str">
        <f>IFERROR([1]!fa_apturndays($A305,TEXT($B$1,"yyyy/mm/dd")),"")</f>
        <v>Fetch...</v>
      </c>
      <c r="P305">
        <f>IFERROR([1]!s_fa_invturndays($A305,TEXT($B$1,"yyyy/mm/dd")),"")</f>
        <v>50.360199999999999</v>
      </c>
    </row>
    <row r="306" spans="1:16">
      <c r="A306" t="s">
        <v>319</v>
      </c>
      <c r="B306">
        <f>IFERROR([1]!s_stm07_is($A306,"W70156729",TEXT($B$1,"yyyy/mm/dd"),1),"")</f>
        <v>8197856927.2700005</v>
      </c>
      <c r="C306">
        <f>IFERROR([1]!s_stm07_is($A306,"W75682424",TEXT($B$1,"yyyy/mm/dd"),1),"")</f>
        <v>7030918167.21</v>
      </c>
      <c r="D306">
        <f>IFERROR([1]!s_stm07_is($A306,"W76031679",TEXT($B$1,"yyyy/mm/dd"),1),"")</f>
        <v>77583433.75</v>
      </c>
      <c r="E306">
        <f>IFERROR([1]!s_stm07_is($A306,"W70752487",TEXT($B$1,"yyyy/mm/dd"),1),"")</f>
        <v>434588308.69999999</v>
      </c>
      <c r="F306">
        <f>IFERROR([1]!s_stm07_is_103($A306,TEXT($B$1,"yyyy/mm/dd"),1),"")</f>
        <v>349843411.30000001</v>
      </c>
      <c r="G306">
        <f>IFERROR([1]!s_stm07_is_104($A306,TEXT($B$1,"yyyy/mm/dd"),1),"")</f>
        <v>35404740.270000003</v>
      </c>
      <c r="H306">
        <f>IFERROR([1]!s_stm07_is_105($A306,TEXT($B$1,"yyyy/mm/dd"),1),"")</f>
        <v>5525564.8300000001</v>
      </c>
      <c r="I306">
        <f>IFERROR([1]!s_stm07_is($A306,"W72946623",TEXT($B$1,"yyyy/mm/dd"),1),"")</f>
        <v>203604772.06999999</v>
      </c>
      <c r="J306">
        <f>IFERROR([1]!s_stm07_is($A306,"W30028333",TEXT($B$1,"yyyy/mm/dd"),1),"")</f>
        <v>194945839.90000001</v>
      </c>
      <c r="K306">
        <f>IFERROR([1]!s_stm07_cs($A306,"W77130581",TEXT($B$1,"yyyy/mm/dd"),1),"")</f>
        <v>1102114992.1800001</v>
      </c>
      <c r="L306">
        <f>IFERROR([1]!s_stm07_cs($A306,"W77745895",TEXT($B$1,"yyyy/mm/dd"),1),"")</f>
        <v>186164983.21000001</v>
      </c>
      <c r="M306">
        <f>IFERROR([1]!S_FA_EPS_basic2($A306,$B$1,"Cur=CNY"),"")</f>
        <v>0.06</v>
      </c>
      <c r="N306">
        <f>IFERROR([1]!s_fa_arturndays($A306,TEXT($B$1,"yyyy/mm/dd")),"")</f>
        <v>103.3562</v>
      </c>
      <c r="O306" t="str">
        <f>IFERROR([1]!fa_apturndays($A306,TEXT($B$1,"yyyy/mm/dd")),"")</f>
        <v>Fetch...</v>
      </c>
      <c r="P306">
        <f>IFERROR([1]!s_fa_invturndays($A306,TEXT($B$1,"yyyy/mm/dd")),"")</f>
        <v>77.336200000000005</v>
      </c>
    </row>
    <row r="307" spans="1:16">
      <c r="A307" t="s">
        <v>320</v>
      </c>
      <c r="B307">
        <f>IFERROR([1]!s_stm07_is($A307,"W70156729",TEXT($B$1,"yyyy/mm/dd"),1),"")</f>
        <v>96550169615.259995</v>
      </c>
      <c r="C307">
        <f>IFERROR([1]!s_stm07_is($A307,"W75682424",TEXT($B$1,"yyyy/mm/dd"),1),"")</f>
        <v>85155349336.389999</v>
      </c>
      <c r="D307">
        <f>IFERROR([1]!s_stm07_is($A307,"W76031679",TEXT($B$1,"yyyy/mm/dd"),1),"")</f>
        <v>735912821.05999994</v>
      </c>
      <c r="E307">
        <f>IFERROR([1]!s_stm07_is($A307,"W70752487",TEXT($B$1,"yyyy/mm/dd"),1),"")</f>
        <v>2498052462.48</v>
      </c>
      <c r="F307">
        <f>IFERROR([1]!s_stm07_is_103($A307,TEXT($B$1,"yyyy/mm/dd"),1),"")</f>
        <v>5303167876.6599998</v>
      </c>
      <c r="G307">
        <f>IFERROR([1]!s_stm07_is_104($A307,TEXT($B$1,"yyyy/mm/dd"),1),"")</f>
        <v>615731512.78999996</v>
      </c>
      <c r="H307">
        <f>IFERROR([1]!s_stm07_is_105($A307,TEXT($B$1,"yyyy/mm/dd"),1),"")</f>
        <v>376619288.43000001</v>
      </c>
      <c r="I307">
        <f>IFERROR([1]!s_stm07_is($A307,"W72946623",TEXT($B$1,"yyyy/mm/dd"),1),"")</f>
        <v>3980457902.23</v>
      </c>
      <c r="J307">
        <f>IFERROR([1]!s_stm07_is($A307,"W30028333",TEXT($B$1,"yyyy/mm/dd"),1),"")</f>
        <v>3940313461.54</v>
      </c>
      <c r="K307">
        <f>IFERROR([1]!s_stm07_cs($A307,"W77130581",TEXT($B$1,"yyyy/mm/dd"),1),"")</f>
        <v>6848877206.3999996</v>
      </c>
      <c r="L307">
        <f>IFERROR([1]!s_stm07_cs($A307,"W77745895",TEXT($B$1,"yyyy/mm/dd"),1),"")</f>
        <v>7129436142.3800001</v>
      </c>
      <c r="M307">
        <f>IFERROR([1]!S_FA_EPS_basic2($A307,$B$1,"Cur=CNY"),"")</f>
        <v>1.1399999999999999</v>
      </c>
      <c r="N307">
        <f>IFERROR([1]!s_fa_arturndays($A307,TEXT($B$1,"yyyy/mm/dd")),"")</f>
        <v>58.121699999999997</v>
      </c>
      <c r="O307" t="str">
        <f>IFERROR([1]!fa_apturndays($A307,TEXT($B$1,"yyyy/mm/dd")),"")</f>
        <v>Fetch...</v>
      </c>
      <c r="P307">
        <f>IFERROR([1]!s_fa_invturndays($A307,TEXT($B$1,"yyyy/mm/dd")),"")</f>
        <v>49.792499999999997</v>
      </c>
    </row>
    <row r="308" spans="1:16">
      <c r="A308" t="s">
        <v>321</v>
      </c>
      <c r="B308">
        <f>IFERROR([1]!s_stm07_is($A308,"W70156729",TEXT($B$1,"yyyy/mm/dd"),1),"")</f>
        <v>8209763125.3599997</v>
      </c>
      <c r="C308">
        <f>IFERROR([1]!s_stm07_is($A308,"W75682424",TEXT($B$1,"yyyy/mm/dd"),1),"")</f>
        <v>6012016903.2799997</v>
      </c>
      <c r="D308">
        <f>IFERROR([1]!s_stm07_is($A308,"W76031679",TEXT($B$1,"yyyy/mm/dd"),1),"")</f>
        <v>1391577254.71</v>
      </c>
      <c r="E308">
        <f>IFERROR([1]!s_stm07_is($A308,"W70752487",TEXT($B$1,"yyyy/mm/dd"),1),"")</f>
        <v>381130615.83999997</v>
      </c>
      <c r="F308">
        <f>IFERROR([1]!s_stm07_is_103($A308,TEXT($B$1,"yyyy/mm/dd"),1),"")</f>
        <v>302971036.92000002</v>
      </c>
      <c r="G308">
        <f>IFERROR([1]!s_stm07_is_104($A308,TEXT($B$1,"yyyy/mm/dd"),1),"")</f>
        <v>1353519.27</v>
      </c>
      <c r="H308">
        <f>IFERROR([1]!s_stm07_is_105($A308,TEXT($B$1,"yyyy/mm/dd"),1),"")</f>
        <v>80771793.75</v>
      </c>
      <c r="I308">
        <f>IFERROR([1]!s_stm07_is($A308,"W72946623",TEXT($B$1,"yyyy/mm/dd"),1),"")</f>
        <v>97539086.620000005</v>
      </c>
      <c r="J308">
        <f>IFERROR([1]!s_stm07_is($A308,"W30028333",TEXT($B$1,"yyyy/mm/dd"),1),"")</f>
        <v>117645794.97</v>
      </c>
      <c r="K308">
        <f>IFERROR([1]!s_stm07_cs($A308,"W77130581",TEXT($B$1,"yyyy/mm/dd"),1),"")</f>
        <v>715008988.97000003</v>
      </c>
      <c r="L308">
        <f>IFERROR([1]!s_stm07_cs($A308,"W77745895",TEXT($B$1,"yyyy/mm/dd"),1),"")</f>
        <v>12869041.529999999</v>
      </c>
      <c r="M308">
        <f>IFERROR([1]!S_FA_EPS_basic2($A308,$B$1,"Cur=CNY"),"")</f>
        <v>0.16</v>
      </c>
      <c r="N308">
        <f>IFERROR([1]!s_fa_arturndays($A308,TEXT($B$1,"yyyy/mm/dd")),"")</f>
        <v>42.162500000000001</v>
      </c>
      <c r="O308" t="str">
        <f>IFERROR([1]!fa_apturndays($A308,TEXT($B$1,"yyyy/mm/dd")),"")</f>
        <v>Fetch...</v>
      </c>
      <c r="P308">
        <f>IFERROR([1]!s_fa_invturndays($A308,TEXT($B$1,"yyyy/mm/dd")),"")</f>
        <v>35.069299999999998</v>
      </c>
    </row>
    <row r="309" spans="1:16">
      <c r="A309" t="s">
        <v>322</v>
      </c>
      <c r="B309">
        <f>IFERROR([1]!s_stm07_is($A309,"W70156729",TEXT($B$1,"yyyy/mm/dd"),1),"")</f>
        <v>2360367146.3800001</v>
      </c>
      <c r="C309">
        <f>IFERROR([1]!s_stm07_is($A309,"W75682424",TEXT($B$1,"yyyy/mm/dd"),1),"")</f>
        <v>1856459381.5899999</v>
      </c>
      <c r="D309">
        <f>IFERROR([1]!s_stm07_is($A309,"W76031679",TEXT($B$1,"yyyy/mm/dd"),1),"")</f>
        <v>87773468.579999998</v>
      </c>
      <c r="E309">
        <f>IFERROR([1]!s_stm07_is($A309,"W70752487",TEXT($B$1,"yyyy/mm/dd"),1),"")</f>
        <v>260887430.84999999</v>
      </c>
      <c r="F309">
        <f>IFERROR([1]!s_stm07_is_103($A309,TEXT($B$1,"yyyy/mm/dd"),1),"")</f>
        <v>128377768.33</v>
      </c>
      <c r="G309">
        <f>IFERROR([1]!s_stm07_is_104($A309,TEXT($B$1,"yyyy/mm/dd"),1),"")</f>
        <v>149365831.72</v>
      </c>
      <c r="H309">
        <f>IFERROR([1]!s_stm07_is_105($A309,TEXT($B$1,"yyyy/mm/dd"),1),"")</f>
        <v>9273672.7599999998</v>
      </c>
      <c r="I309">
        <f>IFERROR([1]!s_stm07_is($A309,"W72946623",TEXT($B$1,"yyyy/mm/dd"),1),"")</f>
        <v>168585017.63999999</v>
      </c>
      <c r="J309">
        <f>IFERROR([1]!s_stm07_is($A309,"W30028333",TEXT($B$1,"yyyy/mm/dd"),1),"")</f>
        <v>176845412.25999999</v>
      </c>
      <c r="K309">
        <f>IFERROR([1]!s_stm07_cs($A309,"W77130581",TEXT($B$1,"yyyy/mm/dd"),1),"")</f>
        <v>99503970.579999998</v>
      </c>
      <c r="L309">
        <f>IFERROR([1]!s_stm07_cs($A309,"W77745895",TEXT($B$1,"yyyy/mm/dd"),1),"")</f>
        <v>139172348.49000001</v>
      </c>
      <c r="M309">
        <f>IFERROR([1]!S_FA_EPS_basic2($A309,$B$1,"Cur=CNY"),"")</f>
        <v>0.14610000000000001</v>
      </c>
      <c r="N309">
        <f>IFERROR([1]!s_fa_arturndays($A309,TEXT($B$1,"yyyy/mm/dd")),"")</f>
        <v>144.99170000000001</v>
      </c>
      <c r="O309" t="str">
        <f>IFERROR([1]!fa_apturndays($A309,TEXT($B$1,"yyyy/mm/dd")),"")</f>
        <v>Fetch...</v>
      </c>
      <c r="P309">
        <f>IFERROR([1]!s_fa_invturndays($A309,TEXT($B$1,"yyyy/mm/dd")),"")</f>
        <v>781.92880000000002</v>
      </c>
    </row>
    <row r="310" spans="1:16">
      <c r="A310" t="s">
        <v>323</v>
      </c>
      <c r="B310">
        <f>IFERROR([1]!s_stm07_is($A310,"W70156729",TEXT($B$1,"yyyy/mm/dd"),1),"")</f>
        <v>82887760417</v>
      </c>
      <c r="C310">
        <f>IFERROR([1]!s_stm07_is($A310,"W75682424",TEXT($B$1,"yyyy/mm/dd"),1),"")</f>
        <v>71932333814.320007</v>
      </c>
      <c r="D310">
        <f>IFERROR([1]!s_stm07_is($A310,"W76031679",TEXT($B$1,"yyyy/mm/dd"),1),"")</f>
        <v>1081574328.6300001</v>
      </c>
      <c r="E310">
        <f>IFERROR([1]!s_stm07_is($A310,"W70752487",TEXT($B$1,"yyyy/mm/dd"),1),"")</f>
        <v>602512337.63</v>
      </c>
      <c r="F310">
        <f>IFERROR([1]!s_stm07_is_103($A310,TEXT($B$1,"yyyy/mm/dd"),1),"")</f>
        <v>0</v>
      </c>
      <c r="G310">
        <f>IFERROR([1]!s_stm07_is_104($A310,TEXT($B$1,"yyyy/mm/dd"),1),"")</f>
        <v>607394639.19000006</v>
      </c>
      <c r="H310">
        <f>IFERROR([1]!s_stm07_is_105($A310,TEXT($B$1,"yyyy/mm/dd"),1),"")</f>
        <v>144611826.16999999</v>
      </c>
      <c r="I310">
        <f>IFERROR([1]!s_stm07_is($A310,"W72946623",TEXT($B$1,"yyyy/mm/dd"),1),"")</f>
        <v>6183356617.4899998</v>
      </c>
      <c r="J310">
        <f>IFERROR([1]!s_stm07_is($A310,"W30028333",TEXT($B$1,"yyyy/mm/dd"),1),"")</f>
        <v>2116317717.4300001</v>
      </c>
      <c r="K310">
        <f>IFERROR([1]!s_stm07_cs($A310,"W77130581",TEXT($B$1,"yyyy/mm/dd"),1),"")</f>
        <v>-4290949913.6500001</v>
      </c>
      <c r="L310">
        <f>IFERROR([1]!s_stm07_cs($A310,"W77745895",TEXT($B$1,"yyyy/mm/dd"),1),"")</f>
        <v>11752718.949999999</v>
      </c>
      <c r="M310">
        <f>IFERROR([1]!S_FA_EPS_basic2($A310,$B$1,"Cur=CNY"),"")</f>
        <v>0.68</v>
      </c>
      <c r="N310">
        <f>IFERROR([1]!s_fa_arturndays($A310,TEXT($B$1,"yyyy/mm/dd")),"")</f>
        <v>2.5110000000000001</v>
      </c>
      <c r="O310" t="str">
        <f>IFERROR([1]!fa_apturndays($A310,TEXT($B$1,"yyyy/mm/dd")),"")</f>
        <v>Fetch...</v>
      </c>
      <c r="P310">
        <f>IFERROR([1]!s_fa_invturndays($A310,TEXT($B$1,"yyyy/mm/dd")),"")</f>
        <v>653.71349999999995</v>
      </c>
    </row>
    <row r="311" spans="1:16">
      <c r="A311" t="s">
        <v>324</v>
      </c>
      <c r="B311">
        <f>IFERROR([1]!s_stm07_is($A311,"W70156729",TEXT($B$1,"yyyy/mm/dd"),1),"")</f>
        <v>8113365986.4799995</v>
      </c>
      <c r="C311">
        <f>IFERROR([1]!s_stm07_is($A311,"W75682424",TEXT($B$1,"yyyy/mm/dd"),1),"")</f>
        <v>6502803918.1499996</v>
      </c>
      <c r="D311">
        <f>IFERROR([1]!s_stm07_is($A311,"W76031679",TEXT($B$1,"yyyy/mm/dd"),1),"")</f>
        <v>72840997.900000006</v>
      </c>
      <c r="E311">
        <f>IFERROR([1]!s_stm07_is($A311,"W70752487",TEXT($B$1,"yyyy/mm/dd"),1),"")</f>
        <v>122904817.23</v>
      </c>
      <c r="F311">
        <f>IFERROR([1]!s_stm07_is_103($A311,TEXT($B$1,"yyyy/mm/dd"),1),"")</f>
        <v>467686398.79000002</v>
      </c>
      <c r="G311">
        <f>IFERROR([1]!s_stm07_is_104($A311,TEXT($B$1,"yyyy/mm/dd"),1),"")</f>
        <v>21667906.629999999</v>
      </c>
      <c r="H311">
        <f>IFERROR([1]!s_stm07_is_105($A311,TEXT($B$1,"yyyy/mm/dd"),1),"")</f>
        <v>8248984.4500000002</v>
      </c>
      <c r="I311">
        <f>IFERROR([1]!s_stm07_is($A311,"W72946623",TEXT($B$1,"yyyy/mm/dd"),1),"")</f>
        <v>893427199.72000003</v>
      </c>
      <c r="J311">
        <f>IFERROR([1]!s_stm07_is($A311,"W30028333",TEXT($B$1,"yyyy/mm/dd"),1),"")</f>
        <v>710609286.02999997</v>
      </c>
      <c r="K311">
        <f>IFERROR([1]!s_stm07_cs($A311,"W77130581",TEXT($B$1,"yyyy/mm/dd"),1),"")</f>
        <v>1589468928.1900001</v>
      </c>
      <c r="L311">
        <f>IFERROR([1]!s_stm07_cs($A311,"W77745895",TEXT($B$1,"yyyy/mm/dd"),1),"")</f>
        <v>971238865.12</v>
      </c>
      <c r="M311">
        <f>IFERROR([1]!S_FA_EPS_basic2($A311,$B$1,"Cur=CNY"),"")</f>
        <v>0.61639999999999995</v>
      </c>
      <c r="N311">
        <f>IFERROR([1]!s_fa_arturndays($A311,TEXT($B$1,"yyyy/mm/dd")),"")</f>
        <v>92.250900000000001</v>
      </c>
      <c r="O311" t="str">
        <f>IFERROR([1]!fa_apturndays($A311,TEXT($B$1,"yyyy/mm/dd")),"")</f>
        <v>Fetch...</v>
      </c>
      <c r="P311">
        <f>IFERROR([1]!s_fa_invturndays($A311,TEXT($B$1,"yyyy/mm/dd")),"")</f>
        <v>95.752300000000005</v>
      </c>
    </row>
    <row r="312" spans="1:16">
      <c r="A312" t="s">
        <v>325</v>
      </c>
      <c r="B312">
        <f>IFERROR([1]!s_stm07_is($A312,"W70156729",TEXT($B$1,"yyyy/mm/dd"),1),"")</f>
        <v>12221287989.74</v>
      </c>
      <c r="C312">
        <f>IFERROR([1]!s_stm07_is($A312,"W75682424",TEXT($B$1,"yyyy/mm/dd"),1),"")</f>
        <v>9490797116.2000008</v>
      </c>
      <c r="D312">
        <f>IFERROR([1]!s_stm07_is($A312,"W76031679",TEXT($B$1,"yyyy/mm/dd"),1),"")</f>
        <v>272022813.94</v>
      </c>
      <c r="E312">
        <f>IFERROR([1]!s_stm07_is($A312,"W70752487",TEXT($B$1,"yyyy/mm/dd"),1),"")</f>
        <v>735127054.95000005</v>
      </c>
      <c r="F312">
        <f>IFERROR([1]!s_stm07_is_103($A312,TEXT($B$1,"yyyy/mm/dd"),1),"")</f>
        <v>690644297.10000002</v>
      </c>
      <c r="G312">
        <f>IFERROR([1]!s_stm07_is_104($A312,TEXT($B$1,"yyyy/mm/dd"),1),"")</f>
        <v>22402246.77</v>
      </c>
      <c r="H312">
        <f>IFERROR([1]!s_stm07_is_105($A312,TEXT($B$1,"yyyy/mm/dd"),1),"")</f>
        <v>67534044.700000003</v>
      </c>
      <c r="I312">
        <f>IFERROR([1]!s_stm07_is($A312,"W72946623",TEXT($B$1,"yyyy/mm/dd"),1),"")</f>
        <v>1329263254.99</v>
      </c>
      <c r="J312">
        <f>IFERROR([1]!s_stm07_is($A312,"W30028333",TEXT($B$1,"yyyy/mm/dd"),1),"")</f>
        <v>1082717150.8399999</v>
      </c>
      <c r="K312">
        <f>IFERROR([1]!s_stm07_cs($A312,"W77130581",TEXT($B$1,"yyyy/mm/dd"),1),"")</f>
        <v>1993209708.24</v>
      </c>
      <c r="L312">
        <f>IFERROR([1]!s_stm07_cs($A312,"W77745895",TEXT($B$1,"yyyy/mm/dd"),1),"")</f>
        <v>739899274.82000005</v>
      </c>
      <c r="M312">
        <f>IFERROR([1]!S_FA_EPS_basic2($A312,$B$1,"Cur=CNY"),"")</f>
        <v>0.44</v>
      </c>
      <c r="N312">
        <f>IFERROR([1]!s_fa_arturndays($A312,TEXT($B$1,"yyyy/mm/dd")),"")</f>
        <v>78.590599999999995</v>
      </c>
      <c r="O312" t="str">
        <f>IFERROR([1]!fa_apturndays($A312,TEXT($B$1,"yyyy/mm/dd")),"")</f>
        <v>Fetch...</v>
      </c>
      <c r="P312">
        <f>IFERROR([1]!s_fa_invturndays($A312,TEXT($B$1,"yyyy/mm/dd")),"")</f>
        <v>70.210999999999999</v>
      </c>
    </row>
    <row r="313" spans="1:16">
      <c r="A313" t="s">
        <v>326</v>
      </c>
      <c r="B313">
        <f>IFERROR([1]!s_stm07_is($A313,"W70156729",TEXT($B$1,"yyyy/mm/dd"),1),"")</f>
        <v>4217043002.8600001</v>
      </c>
      <c r="C313">
        <f>IFERROR([1]!s_stm07_is($A313,"W75682424",TEXT($B$1,"yyyy/mm/dd"),1),"")</f>
        <v>2775613387.1999998</v>
      </c>
      <c r="D313">
        <f>IFERROR([1]!s_stm07_is($A313,"W76031679",TEXT($B$1,"yyyy/mm/dd"),1),"")</f>
        <v>971442951.04999995</v>
      </c>
      <c r="E313">
        <f>IFERROR([1]!s_stm07_is($A313,"W70752487",TEXT($B$1,"yyyy/mm/dd"),1),"")</f>
        <v>189319543.81999999</v>
      </c>
      <c r="F313">
        <f>IFERROR([1]!s_stm07_is_103($A313,TEXT($B$1,"yyyy/mm/dd"),1),"")</f>
        <v>14219872.15</v>
      </c>
      <c r="G313">
        <f>IFERROR([1]!s_stm07_is_104($A313,TEXT($B$1,"yyyy/mm/dd"),1),"")</f>
        <v>277612666.33999997</v>
      </c>
      <c r="H313">
        <f>IFERROR([1]!s_stm07_is_105($A313,TEXT($B$1,"yyyy/mm/dd"),1),"")</f>
        <v>6868510.7999999998</v>
      </c>
      <c r="I313">
        <f>IFERROR([1]!s_stm07_is($A313,"W72946623",TEXT($B$1,"yyyy/mm/dd"),1),"")</f>
        <v>135238484.22</v>
      </c>
      <c r="J313">
        <f>IFERROR([1]!s_stm07_is($A313,"W30028333",TEXT($B$1,"yyyy/mm/dd"),1),"")</f>
        <v>112814998.56999999</v>
      </c>
      <c r="K313">
        <f>IFERROR([1]!s_stm07_cs($A313,"W77130581",TEXT($B$1,"yyyy/mm/dd"),1),"")</f>
        <v>649642939.14999998</v>
      </c>
      <c r="L313">
        <f>IFERROR([1]!s_stm07_cs($A313,"W77745895",TEXT($B$1,"yyyy/mm/dd"),1),"")</f>
        <v>400256470.07999998</v>
      </c>
      <c r="M313">
        <f>IFERROR([1]!S_FA_EPS_basic2($A313,$B$1,"Cur=CNY"),"")</f>
        <v>0.04</v>
      </c>
      <c r="N313">
        <f>IFERROR([1]!s_fa_arturndays($A313,TEXT($B$1,"yyyy/mm/dd")),"")</f>
        <v>3.6333000000000002</v>
      </c>
      <c r="O313" t="str">
        <f>IFERROR([1]!fa_apturndays($A313,TEXT($B$1,"yyyy/mm/dd")),"")</f>
        <v>Fetch...</v>
      </c>
      <c r="P313">
        <f>IFERROR([1]!s_fa_invturndays($A313,TEXT($B$1,"yyyy/mm/dd")),"")</f>
        <v>41.008299999999998</v>
      </c>
    </row>
    <row r="314" spans="1:16">
      <c r="A314" t="s">
        <v>327</v>
      </c>
      <c r="B314">
        <f>IFERROR([1]!s_stm07_is($A314,"W70156729",TEXT($B$1,"yyyy/mm/dd"),1),"")</f>
        <v>7348183033.3999996</v>
      </c>
      <c r="C314">
        <f>IFERROR([1]!s_stm07_is($A314,"W75682424",TEXT($B$1,"yyyy/mm/dd"),1),"")</f>
        <v>4602381475.6899996</v>
      </c>
      <c r="D314">
        <f>IFERROR([1]!s_stm07_is($A314,"W76031679",TEXT($B$1,"yyyy/mm/dd"),1),"")</f>
        <v>334814245.64999998</v>
      </c>
      <c r="E314">
        <f>IFERROR([1]!s_stm07_is($A314,"W70752487",TEXT($B$1,"yyyy/mm/dd"),1),"")</f>
        <v>469084273.93000001</v>
      </c>
      <c r="F314">
        <f>IFERROR([1]!s_stm07_is_103($A314,TEXT($B$1,"yyyy/mm/dd"),1),"")</f>
        <v>223371782.72999999</v>
      </c>
      <c r="G314">
        <f>IFERROR([1]!s_stm07_is_104($A314,TEXT($B$1,"yyyy/mm/dd"),1),"")</f>
        <v>44112683.810000002</v>
      </c>
      <c r="H314">
        <f>IFERROR([1]!s_stm07_is_105($A314,TEXT($B$1,"yyyy/mm/dd"),1),"")</f>
        <v>69728486.019999996</v>
      </c>
      <c r="I314">
        <f>IFERROR([1]!s_stm07_is($A314,"W72946623",TEXT($B$1,"yyyy/mm/dd"),1),"")</f>
        <v>1905528918.0999999</v>
      </c>
      <c r="J314">
        <f>IFERROR([1]!s_stm07_is($A314,"W30028333",TEXT($B$1,"yyyy/mm/dd"),1),"")</f>
        <v>1577013862.0799999</v>
      </c>
      <c r="K314">
        <f>IFERROR([1]!s_stm07_cs($A314,"W77130581",TEXT($B$1,"yyyy/mm/dd"),1),"")</f>
        <v>-328691227.23000002</v>
      </c>
      <c r="L314">
        <f>IFERROR([1]!s_stm07_cs($A314,"W77745895",TEXT($B$1,"yyyy/mm/dd"),1),"")</f>
        <v>379015817.19</v>
      </c>
      <c r="M314">
        <f>IFERROR([1]!S_FA_EPS_basic2($A314,$B$1,"Cur=CNY"),"")</f>
        <v>0.24</v>
      </c>
      <c r="N314">
        <f>IFERROR([1]!s_fa_arturndays($A314,TEXT($B$1,"yyyy/mm/dd")),"")</f>
        <v>79.377300000000005</v>
      </c>
      <c r="O314" t="str">
        <f>IFERROR([1]!fa_apturndays($A314,TEXT($B$1,"yyyy/mm/dd")),"")</f>
        <v>Fetch...</v>
      </c>
      <c r="P314">
        <f>IFERROR([1]!s_fa_invturndays($A314,TEXT($B$1,"yyyy/mm/dd")),"")</f>
        <v>377.71480000000003</v>
      </c>
    </row>
    <row r="315" spans="1:16">
      <c r="A315" t="s">
        <v>328</v>
      </c>
      <c r="B315">
        <f>IFERROR([1]!s_stm07_is($A315,"W70156729",TEXT($B$1,"yyyy/mm/dd"),1),"")</f>
        <v>3595176058.48</v>
      </c>
      <c r="C315">
        <f>IFERROR([1]!s_stm07_is($A315,"W75682424",TEXT($B$1,"yyyy/mm/dd"),1),"")</f>
        <v>2999002217.5900002</v>
      </c>
      <c r="D315">
        <f>IFERROR([1]!s_stm07_is($A315,"W76031679",TEXT($B$1,"yyyy/mm/dd"),1),"")</f>
        <v>110723547.26000001</v>
      </c>
      <c r="E315">
        <f>IFERROR([1]!s_stm07_is($A315,"W70752487",TEXT($B$1,"yyyy/mm/dd"),1),"")</f>
        <v>240584003.34999999</v>
      </c>
      <c r="F315">
        <f>IFERROR([1]!s_stm07_is_103($A315,TEXT($B$1,"yyyy/mm/dd"),1),"")</f>
        <v>237641074.41999999</v>
      </c>
      <c r="G315">
        <f>IFERROR([1]!s_stm07_is_104($A315,TEXT($B$1,"yyyy/mm/dd"),1),"")</f>
        <v>86216437.489999995</v>
      </c>
      <c r="H315">
        <f>IFERROR([1]!s_stm07_is_105($A315,TEXT($B$1,"yyyy/mm/dd"),1),"")</f>
        <v>15447387.43</v>
      </c>
      <c r="I315">
        <f>IFERROR([1]!s_stm07_is($A315,"W72946623",TEXT($B$1,"yyyy/mm/dd"),1),"")</f>
        <v>67580772.469999999</v>
      </c>
      <c r="J315">
        <f>IFERROR([1]!s_stm07_is($A315,"W30028333",TEXT($B$1,"yyyy/mm/dd"),1),"")</f>
        <v>41464894.920000002</v>
      </c>
      <c r="K315">
        <f>IFERROR([1]!s_stm07_cs($A315,"W77130581",TEXT($B$1,"yyyy/mm/dd"),1),"")</f>
        <v>174027512.99000001</v>
      </c>
      <c r="L315">
        <f>IFERROR([1]!s_stm07_cs($A315,"W77745895",TEXT($B$1,"yyyy/mm/dd"),1),"")</f>
        <v>245913625.41</v>
      </c>
      <c r="M315">
        <f>IFERROR([1]!S_FA_EPS_basic2($A315,$B$1,"Cur=CNY"),"")</f>
        <v>0.05</v>
      </c>
      <c r="N315">
        <f>IFERROR([1]!s_fa_arturndays($A315,TEXT($B$1,"yyyy/mm/dd")),"")</f>
        <v>32.218499999999999</v>
      </c>
      <c r="O315" t="str">
        <f>IFERROR([1]!fa_apturndays($A315,TEXT($B$1,"yyyy/mm/dd")),"")</f>
        <v>Fetch...</v>
      </c>
      <c r="P315">
        <f>IFERROR([1]!s_fa_invturndays($A315,TEXT($B$1,"yyyy/mm/dd")),"")</f>
        <v>165.7611</v>
      </c>
    </row>
    <row r="316" spans="1:16">
      <c r="A316" t="s">
        <v>329</v>
      </c>
      <c r="B316">
        <f>IFERROR([1]!s_stm07_is($A316,"W70156729",TEXT($B$1,"yyyy/mm/dd"),1),"")</f>
        <v>9007754105.5799999</v>
      </c>
      <c r="C316">
        <f>IFERROR([1]!s_stm07_is($A316,"W75682424",TEXT($B$1,"yyyy/mm/dd"),1),"")</f>
        <v>7303939785.0600004</v>
      </c>
      <c r="D316">
        <f>IFERROR([1]!s_stm07_is($A316,"W76031679",TEXT($B$1,"yyyy/mm/dd"),1),"")</f>
        <v>158837916.44999999</v>
      </c>
      <c r="E316">
        <f>IFERROR([1]!s_stm07_is($A316,"W70752487",TEXT($B$1,"yyyy/mm/dd"),1),"")</f>
        <v>387594755.75</v>
      </c>
      <c r="F316">
        <f>IFERROR([1]!s_stm07_is_103($A316,TEXT($B$1,"yyyy/mm/dd"),1),"")</f>
        <v>323950108.48000002</v>
      </c>
      <c r="G316">
        <f>IFERROR([1]!s_stm07_is_104($A316,TEXT($B$1,"yyyy/mm/dd"),1),"")</f>
        <v>83797811.790000007</v>
      </c>
      <c r="H316">
        <f>IFERROR([1]!s_stm07_is_105($A316,TEXT($B$1,"yyyy/mm/dd"),1),"")</f>
        <v>15896907.050000001</v>
      </c>
      <c r="I316">
        <f>IFERROR([1]!s_stm07_is($A316,"W72946623",TEXT($B$1,"yyyy/mm/dd"),1),"")</f>
        <v>693911731.33000004</v>
      </c>
      <c r="J316">
        <f>IFERROR([1]!s_stm07_is($A316,"W30028333",TEXT($B$1,"yyyy/mm/dd"),1),"")</f>
        <v>478767144.50999999</v>
      </c>
      <c r="K316">
        <f>IFERROR([1]!s_stm07_cs($A316,"W77130581",TEXT($B$1,"yyyy/mm/dd"),1),"")</f>
        <v>1296665107.9400001</v>
      </c>
      <c r="L316">
        <f>IFERROR([1]!s_stm07_cs($A316,"W77745895",TEXT($B$1,"yyyy/mm/dd"),1),"")</f>
        <v>1083205059.1600001</v>
      </c>
      <c r="M316">
        <f>IFERROR([1]!S_FA_EPS_basic2($A316,$B$1,"Cur=CNY"),"")</f>
        <v>0.59809999999999997</v>
      </c>
      <c r="N316">
        <f>IFERROR([1]!s_fa_arturndays($A316,TEXT($B$1,"yyyy/mm/dd")),"")</f>
        <v>79.681299999999993</v>
      </c>
      <c r="O316" t="str">
        <f>IFERROR([1]!fa_apturndays($A316,TEXT($B$1,"yyyy/mm/dd")),"")</f>
        <v>Fetch...</v>
      </c>
      <c r="P316">
        <f>IFERROR([1]!s_fa_invturndays($A316,TEXT($B$1,"yyyy/mm/dd")),"")</f>
        <v>79.656599999999997</v>
      </c>
    </row>
    <row r="317" spans="1:16">
      <c r="A317" t="s">
        <v>330</v>
      </c>
      <c r="B317">
        <f>IFERROR([1]!s_stm07_is($A317,"W70156729",TEXT($B$1,"yyyy/mm/dd"),1),"")</f>
        <v>3171008206.0900002</v>
      </c>
      <c r="C317">
        <f>IFERROR([1]!s_stm07_is($A317,"W75682424",TEXT($B$1,"yyyy/mm/dd"),1),"")</f>
        <v>2653206078.7800002</v>
      </c>
      <c r="D317">
        <f>IFERROR([1]!s_stm07_is($A317,"W76031679",TEXT($B$1,"yyyy/mm/dd"),1),"")</f>
        <v>96270637.159999996</v>
      </c>
      <c r="E317">
        <f>IFERROR([1]!s_stm07_is($A317,"W70752487",TEXT($B$1,"yyyy/mm/dd"),1),"")</f>
        <v>214866934.69</v>
      </c>
      <c r="F317">
        <f>IFERROR([1]!s_stm07_is_103($A317,TEXT($B$1,"yyyy/mm/dd"),1),"")</f>
        <v>147460870.97</v>
      </c>
      <c r="G317">
        <f>IFERROR([1]!s_stm07_is_104($A317,TEXT($B$1,"yyyy/mm/dd"),1),"")</f>
        <v>19713434.879999999</v>
      </c>
      <c r="H317">
        <f>IFERROR([1]!s_stm07_is_105($A317,TEXT($B$1,"yyyy/mm/dd"),1),"")</f>
        <v>12699670.560000001</v>
      </c>
      <c r="I317">
        <f>IFERROR([1]!s_stm07_is($A317,"W72946623",TEXT($B$1,"yyyy/mm/dd"),1),"")</f>
        <v>53789500.200000003</v>
      </c>
      <c r="J317">
        <f>IFERROR([1]!s_stm07_is($A317,"W30028333",TEXT($B$1,"yyyy/mm/dd"),1),"")</f>
        <v>63742956.25</v>
      </c>
      <c r="K317">
        <f>IFERROR([1]!s_stm07_cs($A317,"W77130581",TEXT($B$1,"yyyy/mm/dd"),1),"")</f>
        <v>778220671.38999999</v>
      </c>
      <c r="L317">
        <f>IFERROR([1]!s_stm07_cs($A317,"W77745895",TEXT($B$1,"yyyy/mm/dd"),1),"")</f>
        <v>83430700.189999998</v>
      </c>
      <c r="M317">
        <f>IFERROR([1]!S_FA_EPS_basic2($A317,$B$1,"Cur=CNY"),"")</f>
        <v>5.0700000000000002E-2</v>
      </c>
      <c r="N317">
        <f>IFERROR([1]!s_fa_arturndays($A317,TEXT($B$1,"yyyy/mm/dd")),"")</f>
        <v>112.3806</v>
      </c>
      <c r="O317" t="str">
        <f>IFERROR([1]!fa_apturndays($A317,TEXT($B$1,"yyyy/mm/dd")),"")</f>
        <v>Fetch...</v>
      </c>
      <c r="P317">
        <f>IFERROR([1]!s_fa_invturndays($A317,TEXT($B$1,"yyyy/mm/dd")),"")</f>
        <v>101.1122</v>
      </c>
    </row>
    <row r="318" spans="1:16">
      <c r="A318" t="s">
        <v>331</v>
      </c>
      <c r="B318">
        <f>IFERROR([1]!s_stm07_is($A318,"W70156729",TEXT($B$1,"yyyy/mm/dd"),1),"")</f>
        <v>5911188872.1800003</v>
      </c>
      <c r="C318">
        <f>IFERROR([1]!s_stm07_is($A318,"W75682424",TEXT($B$1,"yyyy/mm/dd"),1),"")</f>
        <v>1647615667.02</v>
      </c>
      <c r="D318">
        <f>IFERROR([1]!s_stm07_is($A318,"W76031679",TEXT($B$1,"yyyy/mm/dd"),1),"")</f>
        <v>2114321377.8099999</v>
      </c>
      <c r="E318">
        <f>IFERROR([1]!s_stm07_is($A318,"W70752487",TEXT($B$1,"yyyy/mm/dd"),1),"")</f>
        <v>263617140.81999999</v>
      </c>
      <c r="F318">
        <f>IFERROR([1]!s_stm07_is_103($A318,TEXT($B$1,"yyyy/mm/dd"),1),"")</f>
        <v>685535013.44000006</v>
      </c>
      <c r="G318">
        <f>IFERROR([1]!s_stm07_is_104($A318,TEXT($B$1,"yyyy/mm/dd"),1),"")</f>
        <v>2438852.2599999998</v>
      </c>
      <c r="H318">
        <f>IFERROR([1]!s_stm07_is_105($A318,TEXT($B$1,"yyyy/mm/dd"),1),"")</f>
        <v>21461971.949999999</v>
      </c>
      <c r="I318">
        <f>IFERROR([1]!s_stm07_is($A318,"W72946623",TEXT($B$1,"yyyy/mm/dd"),1),"")</f>
        <v>1173082351.1300001</v>
      </c>
      <c r="J318">
        <f>IFERROR([1]!s_stm07_is($A318,"W30028333",TEXT($B$1,"yyyy/mm/dd"),1),"")</f>
        <v>1057334353.51</v>
      </c>
      <c r="K318">
        <f>IFERROR([1]!s_stm07_cs($A318,"W77130581",TEXT($B$1,"yyyy/mm/dd"),1),"")</f>
        <v>1078389756.8299999</v>
      </c>
      <c r="L318">
        <f>IFERROR([1]!s_stm07_cs($A318,"W77745895",TEXT($B$1,"yyyy/mm/dd"),1),"")</f>
        <v>437407150.19</v>
      </c>
      <c r="M318">
        <f>IFERROR([1]!S_FA_EPS_basic2($A318,$B$1,"Cur=CNY"),"")</f>
        <v>1.05</v>
      </c>
      <c r="N318">
        <f>IFERROR([1]!s_fa_arturndays($A318,TEXT($B$1,"yyyy/mm/dd")),"")</f>
        <v>90.198400000000007</v>
      </c>
      <c r="O318" t="str">
        <f>IFERROR([1]!fa_apturndays($A318,TEXT($B$1,"yyyy/mm/dd")),"")</f>
        <v>Fetch...</v>
      </c>
      <c r="P318">
        <f>IFERROR([1]!s_fa_invturndays($A318,TEXT($B$1,"yyyy/mm/dd")),"")</f>
        <v>154.93199999999999</v>
      </c>
    </row>
    <row r="319" spans="1:16">
      <c r="A319" t="s">
        <v>332</v>
      </c>
      <c r="B319">
        <f>IFERROR([1]!s_stm07_is($A319,"W70156729",TEXT($B$1,"yyyy/mm/dd"),1),"")</f>
        <v>4509979596.79</v>
      </c>
      <c r="C319">
        <f>IFERROR([1]!s_stm07_is($A319,"W75682424",TEXT($B$1,"yyyy/mm/dd"),1),"")</f>
        <v>3741733432.1500001</v>
      </c>
      <c r="D319">
        <f>IFERROR([1]!s_stm07_is($A319,"W76031679",TEXT($B$1,"yyyy/mm/dd"),1),"")</f>
        <v>17565853.43</v>
      </c>
      <c r="E319">
        <f>IFERROR([1]!s_stm07_is($A319,"W70752487",TEXT($B$1,"yyyy/mm/dd"),1),"")</f>
        <v>284802294.93000001</v>
      </c>
      <c r="F319">
        <f>IFERROR([1]!s_stm07_is_103($A319,TEXT($B$1,"yyyy/mm/dd"),1),"")</f>
        <v>284709272.55000001</v>
      </c>
      <c r="G319">
        <f>IFERROR([1]!s_stm07_is_104($A319,TEXT($B$1,"yyyy/mm/dd"),1),"")</f>
        <v>6908507.1200000001</v>
      </c>
      <c r="H319">
        <f>IFERROR([1]!s_stm07_is_105($A319,TEXT($B$1,"yyyy/mm/dd"),1),"")</f>
        <v>15519611.23</v>
      </c>
      <c r="I319">
        <f>IFERROR([1]!s_stm07_is($A319,"W72946623",TEXT($B$1,"yyyy/mm/dd"),1),"")</f>
        <v>256307716.03999999</v>
      </c>
      <c r="J319">
        <f>IFERROR([1]!s_stm07_is($A319,"W30028333",TEXT($B$1,"yyyy/mm/dd"),1),"")</f>
        <v>232702514.68000001</v>
      </c>
      <c r="K319">
        <f>IFERROR([1]!s_stm07_cs($A319,"W77130581",TEXT($B$1,"yyyy/mm/dd"),1),"")</f>
        <v>202286321.97</v>
      </c>
      <c r="L319">
        <f>IFERROR([1]!s_stm07_cs($A319,"W77745895",TEXT($B$1,"yyyy/mm/dd"),1),"")</f>
        <v>98038633.040000007</v>
      </c>
      <c r="M319">
        <f>IFERROR([1]!S_FA_EPS_basic2($A319,$B$1,"Cur=CNY"),"")</f>
        <v>0.23</v>
      </c>
      <c r="N319">
        <f>IFERROR([1]!s_fa_arturndays($A319,TEXT($B$1,"yyyy/mm/dd")),"")</f>
        <v>107.8232</v>
      </c>
      <c r="O319" t="str">
        <f>IFERROR([1]!fa_apturndays($A319,TEXT($B$1,"yyyy/mm/dd")),"")</f>
        <v>Fetch...</v>
      </c>
      <c r="P319">
        <f>IFERROR([1]!s_fa_invturndays($A319,TEXT($B$1,"yyyy/mm/dd")),"")</f>
        <v>86.799300000000002</v>
      </c>
    </row>
    <row r="320" spans="1:16">
      <c r="A320" t="s">
        <v>333</v>
      </c>
      <c r="B320">
        <f>IFERROR([1]!s_stm07_is($A320,"W70156729",TEXT($B$1,"yyyy/mm/dd"),1),"")</f>
        <v>23213561891.650002</v>
      </c>
      <c r="C320">
        <f>IFERROR([1]!s_stm07_is($A320,"W75682424",TEXT($B$1,"yyyy/mm/dd"),1),"")</f>
        <v>20388048770.740002</v>
      </c>
      <c r="D320">
        <f>IFERROR([1]!s_stm07_is($A320,"W76031679",TEXT($B$1,"yyyy/mm/dd"),1),"")</f>
        <v>27609058.940000001</v>
      </c>
      <c r="E320">
        <f>IFERROR([1]!s_stm07_is($A320,"W70752487",TEXT($B$1,"yyyy/mm/dd"),1),"")</f>
        <v>584916397.38</v>
      </c>
      <c r="F320">
        <f>IFERROR([1]!s_stm07_is_103($A320,TEXT($B$1,"yyyy/mm/dd"),1),"")</f>
        <v>1000362518.6799999</v>
      </c>
      <c r="G320">
        <f>IFERROR([1]!s_stm07_is_104($A320,TEXT($B$1,"yyyy/mm/dd"),1),"")</f>
        <v>95499998.920000002</v>
      </c>
      <c r="H320">
        <f>IFERROR([1]!s_stm07_is_105($A320,TEXT($B$1,"yyyy/mm/dd"),1),"")</f>
        <v>54225474.799999997</v>
      </c>
      <c r="I320">
        <f>IFERROR([1]!s_stm07_is($A320,"W72946623",TEXT($B$1,"yyyy/mm/dd"),1),"")</f>
        <v>1386637073.54</v>
      </c>
      <c r="J320">
        <f>IFERROR([1]!s_stm07_is($A320,"W30028333",TEXT($B$1,"yyyy/mm/dd"),1),"")</f>
        <v>1117760299.5999999</v>
      </c>
      <c r="K320">
        <f>IFERROR([1]!s_stm07_cs($A320,"W77130581",TEXT($B$1,"yyyy/mm/dd"),1),"")</f>
        <v>31287198.800000001</v>
      </c>
      <c r="L320">
        <f>IFERROR([1]!s_stm07_cs($A320,"W77745895",TEXT($B$1,"yyyy/mm/dd"),1),"")</f>
        <v>654272415.96000004</v>
      </c>
      <c r="M320">
        <f>IFERROR([1]!S_FA_EPS_basic2($A320,$B$1,"Cur=CNY"),"")</f>
        <v>0.22</v>
      </c>
      <c r="N320">
        <f>IFERROR([1]!s_fa_arturndays($A320,TEXT($B$1,"yyyy/mm/dd")),"")</f>
        <v>17.1617</v>
      </c>
      <c r="O320" t="str">
        <f>IFERROR([1]!fa_apturndays($A320,TEXT($B$1,"yyyy/mm/dd")),"")</f>
        <v>Fetch...</v>
      </c>
      <c r="P320">
        <f>IFERROR([1]!s_fa_invturndays($A320,TEXT($B$1,"yyyy/mm/dd")),"")</f>
        <v>185.3664</v>
      </c>
    </row>
    <row r="321" spans="1:16">
      <c r="A321" t="s">
        <v>334</v>
      </c>
      <c r="B321">
        <f>IFERROR([1]!s_stm07_is($A321,"W70156729",TEXT($B$1,"yyyy/mm/dd"),1),"")</f>
        <v>8595287340.3500004</v>
      </c>
      <c r="C321">
        <f>IFERROR([1]!s_stm07_is($A321,"W75682424",TEXT($B$1,"yyyy/mm/dd"),1),"")</f>
        <v>7373016679.3199997</v>
      </c>
      <c r="D321">
        <f>IFERROR([1]!s_stm07_is($A321,"W76031679",TEXT($B$1,"yyyy/mm/dd"),1),"")</f>
        <v>47966731.359999999</v>
      </c>
      <c r="E321">
        <f>IFERROR([1]!s_stm07_is($A321,"W70752487",TEXT($B$1,"yyyy/mm/dd"),1),"")</f>
        <v>284253026.35000002</v>
      </c>
      <c r="F321">
        <f>IFERROR([1]!s_stm07_is_103($A321,TEXT($B$1,"yyyy/mm/dd"),1),"")</f>
        <v>37154382.280000001</v>
      </c>
      <c r="G321">
        <f>IFERROR([1]!s_stm07_is_104($A321,TEXT($B$1,"yyyy/mm/dd"),1),"")</f>
        <v>101411900.61</v>
      </c>
      <c r="H321">
        <f>IFERROR([1]!s_stm07_is_105($A321,TEXT($B$1,"yyyy/mm/dd"),1),"")</f>
        <v>5435877.54</v>
      </c>
      <c r="I321">
        <f>IFERROR([1]!s_stm07_is($A321,"W72946623",TEXT($B$1,"yyyy/mm/dd"),1),"")</f>
        <v>719105092.36000001</v>
      </c>
      <c r="J321">
        <f>IFERROR([1]!s_stm07_is($A321,"W30028333",TEXT($B$1,"yyyy/mm/dd"),1),"")</f>
        <v>583929118.67999995</v>
      </c>
      <c r="K321">
        <f>IFERROR([1]!s_stm07_cs($A321,"W77130581",TEXT($B$1,"yyyy/mm/dd"),1),"")</f>
        <v>1296166009.75</v>
      </c>
      <c r="L321">
        <f>IFERROR([1]!s_stm07_cs($A321,"W77745895",TEXT($B$1,"yyyy/mm/dd"),1),"")</f>
        <v>727259479.66999996</v>
      </c>
      <c r="M321">
        <f>IFERROR([1]!S_FA_EPS_basic2($A321,$B$1,"Cur=CNY"),"")</f>
        <v>0.52510000000000001</v>
      </c>
      <c r="N321">
        <f>IFERROR([1]!s_fa_arturndays($A321,TEXT($B$1,"yyyy/mm/dd")),"")</f>
        <v>4.3806000000000003</v>
      </c>
      <c r="O321" t="str">
        <f>IFERROR([1]!fa_apturndays($A321,TEXT($B$1,"yyyy/mm/dd")),"")</f>
        <v>Fetch...</v>
      </c>
      <c r="P321">
        <f>IFERROR([1]!s_fa_invturndays($A321,TEXT($B$1,"yyyy/mm/dd")),"")</f>
        <v>14.727499999999999</v>
      </c>
    </row>
    <row r="322" spans="1:16">
      <c r="A322" t="s">
        <v>335</v>
      </c>
      <c r="B322">
        <f>IFERROR([1]!s_stm07_is($A322,"W70156729",TEXT($B$1,"yyyy/mm/dd"),1),"")</f>
        <v>2267990021.8299999</v>
      </c>
      <c r="C322">
        <f>IFERROR([1]!s_stm07_is($A322,"W75682424",TEXT($B$1,"yyyy/mm/dd"),1),"")</f>
        <v>1416118858.26</v>
      </c>
      <c r="D322">
        <f>IFERROR([1]!s_stm07_is($A322,"W76031679",TEXT($B$1,"yyyy/mm/dd"),1),"")</f>
        <v>316686798.50999999</v>
      </c>
      <c r="E322">
        <f>IFERROR([1]!s_stm07_is($A322,"W70752487",TEXT($B$1,"yyyy/mm/dd"),1),"")</f>
        <v>186257288.31</v>
      </c>
      <c r="F322">
        <f>IFERROR([1]!s_stm07_is_103($A322,TEXT($B$1,"yyyy/mm/dd"),1),"")</f>
        <v>344967640.13</v>
      </c>
      <c r="G322">
        <f>IFERROR([1]!s_stm07_is_104($A322,TEXT($B$1,"yyyy/mm/dd"),1),"")</f>
        <v>1771307.79</v>
      </c>
      <c r="H322">
        <f>IFERROR([1]!s_stm07_is_105($A322,TEXT($B$1,"yyyy/mm/dd"),1),"")</f>
        <v>18800351.789999999</v>
      </c>
      <c r="I322">
        <f>IFERROR([1]!s_stm07_is($A322,"W72946623",TEXT($B$1,"yyyy/mm/dd"),1),"")</f>
        <v>30900900.890000001</v>
      </c>
      <c r="J322">
        <f>IFERROR([1]!s_stm07_is($A322,"W30028333",TEXT($B$1,"yyyy/mm/dd"),1),"")</f>
        <v>57645196.600000001</v>
      </c>
      <c r="K322">
        <f>IFERROR([1]!s_stm07_cs($A322,"W77130581",TEXT($B$1,"yyyy/mm/dd"),1),"")</f>
        <v>314007110.66000003</v>
      </c>
      <c r="L322">
        <f>IFERROR([1]!s_stm07_cs($A322,"W77745895",TEXT($B$1,"yyyy/mm/dd"),1),"")</f>
        <v>71743936.030000001</v>
      </c>
      <c r="M322">
        <f>IFERROR([1]!S_FA_EPS_basic2($A322,$B$1,"Cur=CNY"),"")</f>
        <v>6.8199999999999997E-2</v>
      </c>
      <c r="N322">
        <f>IFERROR([1]!s_fa_arturndays($A322,TEXT($B$1,"yyyy/mm/dd")),"")</f>
        <v>240.51310000000001</v>
      </c>
      <c r="O322" t="str">
        <f>IFERROR([1]!fa_apturndays($A322,TEXT($B$1,"yyyy/mm/dd")),"")</f>
        <v>Fetch...</v>
      </c>
      <c r="P322">
        <f>IFERROR([1]!s_fa_invturndays($A322,TEXT($B$1,"yyyy/mm/dd")),"")</f>
        <v>132.7972</v>
      </c>
    </row>
    <row r="323" spans="1:16">
      <c r="A323" t="s">
        <v>336</v>
      </c>
      <c r="B323">
        <f>IFERROR([1]!s_stm07_is($A323,"W70156729",TEXT($B$1,"yyyy/mm/dd"),1),"")</f>
        <v>2426794600.1199999</v>
      </c>
      <c r="C323">
        <f>IFERROR([1]!s_stm07_is($A323,"W75682424",TEXT($B$1,"yyyy/mm/dd"),1),"")</f>
        <v>1104448872.3699999</v>
      </c>
      <c r="D323">
        <f>IFERROR([1]!s_stm07_is($A323,"W76031679",TEXT($B$1,"yyyy/mm/dd"),1),"")</f>
        <v>251513769.27000001</v>
      </c>
      <c r="E323">
        <f>IFERROR([1]!s_stm07_is($A323,"W70752487",TEXT($B$1,"yyyy/mm/dd"),1),"")</f>
        <v>169580865.40000001</v>
      </c>
      <c r="F323">
        <f>IFERROR([1]!s_stm07_is_103($A323,TEXT($B$1,"yyyy/mm/dd"),1),"")</f>
        <v>88470681.239999995</v>
      </c>
      <c r="G323">
        <f>IFERROR([1]!s_stm07_is_104($A323,TEXT($B$1,"yyyy/mm/dd"),1),"")</f>
        <v>13437123.5</v>
      </c>
      <c r="H323">
        <f>IFERROR([1]!s_stm07_is_105($A323,TEXT($B$1,"yyyy/mm/dd"),1),"")</f>
        <v>30821648.789999999</v>
      </c>
      <c r="I323">
        <f>IFERROR([1]!s_stm07_is($A323,"W72946623",TEXT($B$1,"yyyy/mm/dd"),1),"")</f>
        <v>848212227.55999994</v>
      </c>
      <c r="J323">
        <f>IFERROR([1]!s_stm07_is($A323,"W30028333",TEXT($B$1,"yyyy/mm/dd"),1),"")</f>
        <v>709737360.26999998</v>
      </c>
      <c r="K323">
        <f>IFERROR([1]!s_stm07_cs($A323,"W77130581",TEXT($B$1,"yyyy/mm/dd"),1),"")</f>
        <v>604031442.89999998</v>
      </c>
      <c r="L323">
        <f>IFERROR([1]!s_stm07_cs($A323,"W77745895",TEXT($B$1,"yyyy/mm/dd"),1),"")</f>
        <v>112136511.95999999</v>
      </c>
      <c r="M323">
        <f>IFERROR([1]!S_FA_EPS_basic2($A323,$B$1,"Cur=CNY"),"")</f>
        <v>0.79</v>
      </c>
      <c r="N323">
        <f>IFERROR([1]!s_fa_arturndays($A323,TEXT($B$1,"yyyy/mm/dd")),"")</f>
        <v>77.406000000000006</v>
      </c>
      <c r="O323" t="str">
        <f>IFERROR([1]!fa_apturndays($A323,TEXT($B$1,"yyyy/mm/dd")),"")</f>
        <v>Fetch...</v>
      </c>
      <c r="P323">
        <f>IFERROR([1]!s_fa_invturndays($A323,TEXT($B$1,"yyyy/mm/dd")),"")</f>
        <v>142.1576</v>
      </c>
    </row>
    <row r="324" spans="1:16">
      <c r="A324" t="s">
        <v>337</v>
      </c>
      <c r="B324">
        <f>IFERROR([1]!s_stm07_is($A324,"W70156729",TEXT($B$1,"yyyy/mm/dd"),1),"")</f>
        <v>27578652775.299999</v>
      </c>
      <c r="C324">
        <f>IFERROR([1]!s_stm07_is($A324,"W75682424",TEXT($B$1,"yyyy/mm/dd"),1),"")</f>
        <v>20733988519.810001</v>
      </c>
      <c r="D324">
        <f>IFERROR([1]!s_stm07_is($A324,"W76031679",TEXT($B$1,"yyyy/mm/dd"),1),"")</f>
        <v>2369061189.2800002</v>
      </c>
      <c r="E324">
        <f>IFERROR([1]!s_stm07_is($A324,"W70752487",TEXT($B$1,"yyyy/mm/dd"),1),"")</f>
        <v>1756232648.26</v>
      </c>
      <c r="F324">
        <f>IFERROR([1]!s_stm07_is_103($A324,TEXT($B$1,"yyyy/mm/dd"),1),"")</f>
        <v>503462763.49000001</v>
      </c>
      <c r="G324">
        <f>IFERROR([1]!s_stm07_is_104($A324,TEXT($B$1,"yyyy/mm/dd"),1),"")</f>
        <v>142791020.33000001</v>
      </c>
      <c r="H324">
        <f>IFERROR([1]!s_stm07_is_105($A324,TEXT($B$1,"yyyy/mm/dd"),1),"")</f>
        <v>43593137.020000003</v>
      </c>
      <c r="I324">
        <f>IFERROR([1]!s_stm07_is($A324,"W72946623",TEXT($B$1,"yyyy/mm/dd"),1),"")</f>
        <v>247188268.08000001</v>
      </c>
      <c r="J324">
        <f>IFERROR([1]!s_stm07_is($A324,"W30028333",TEXT($B$1,"yyyy/mm/dd"),1),"")</f>
        <v>113267071.15000001</v>
      </c>
      <c r="K324">
        <f>IFERROR([1]!s_stm07_cs($A324,"W77130581",TEXT($B$1,"yyyy/mm/dd"),1),"")</f>
        <v>3554185742.9899998</v>
      </c>
      <c r="L324">
        <f>IFERROR([1]!s_stm07_cs($A324,"W77745895",TEXT($B$1,"yyyy/mm/dd"),1),"")</f>
        <v>996156350.28999996</v>
      </c>
      <c r="M324">
        <f>IFERROR([1]!S_FA_EPS_basic2($A324,$B$1,"Cur=CNY"),"")</f>
        <v>0.05</v>
      </c>
      <c r="N324">
        <f>IFERROR([1]!s_fa_arturndays($A324,TEXT($B$1,"yyyy/mm/dd")),"")</f>
        <v>84.6601</v>
      </c>
      <c r="O324" t="str">
        <f>IFERROR([1]!fa_apturndays($A324,TEXT($B$1,"yyyy/mm/dd")),"")</f>
        <v>Fetch...</v>
      </c>
      <c r="P324">
        <f>IFERROR([1]!s_fa_invturndays($A324,TEXT($B$1,"yyyy/mm/dd")),"")</f>
        <v>58.7928</v>
      </c>
    </row>
    <row r="325" spans="1:16">
      <c r="A325" t="s">
        <v>338</v>
      </c>
      <c r="B325">
        <f>IFERROR([1]!s_stm07_is($A325,"W70156729",TEXT($B$1,"yyyy/mm/dd"),1),"")</f>
        <v>6928468248.8699999</v>
      </c>
      <c r="C325">
        <f>IFERROR([1]!s_stm07_is($A325,"W75682424",TEXT($B$1,"yyyy/mm/dd"),1),"")</f>
        <v>4760761835.1099997</v>
      </c>
      <c r="D325">
        <f>IFERROR([1]!s_stm07_is($A325,"W76031679",TEXT($B$1,"yyyy/mm/dd"),1),"")</f>
        <v>91066556.109999999</v>
      </c>
      <c r="E325">
        <f>IFERROR([1]!s_stm07_is($A325,"W70752487",TEXT($B$1,"yyyy/mm/dd"),1),"")</f>
        <v>408845616.06999999</v>
      </c>
      <c r="F325">
        <f>IFERROR([1]!s_stm07_is_103($A325,TEXT($B$1,"yyyy/mm/dd"),1),"")</f>
        <v>414763189.93000001</v>
      </c>
      <c r="G325">
        <f>IFERROR([1]!s_stm07_is_104($A325,TEXT($B$1,"yyyy/mm/dd"),1),"")</f>
        <v>1093913.21</v>
      </c>
      <c r="H325">
        <f>IFERROR([1]!s_stm07_is_105($A325,TEXT($B$1,"yyyy/mm/dd"),1),"")</f>
        <v>47123581.32</v>
      </c>
      <c r="I325">
        <f>IFERROR([1]!s_stm07_is($A325,"W72946623",TEXT($B$1,"yyyy/mm/dd"),1),"")</f>
        <v>1329832208.26</v>
      </c>
      <c r="J325">
        <f>IFERROR([1]!s_stm07_is($A325,"W30028333",TEXT($B$1,"yyyy/mm/dd"),1),"")</f>
        <v>1172419600.48</v>
      </c>
      <c r="K325">
        <f>IFERROR([1]!s_stm07_cs($A325,"W77130581",TEXT($B$1,"yyyy/mm/dd"),1),"")</f>
        <v>1347140797.7</v>
      </c>
      <c r="L325">
        <f>IFERROR([1]!s_stm07_cs($A325,"W77745895",TEXT($B$1,"yyyy/mm/dd"),1),"")</f>
        <v>746686839.5</v>
      </c>
      <c r="M325">
        <f>IFERROR([1]!S_FA_EPS_basic2($A325,$B$1,"Cur=CNY"),"")</f>
        <v>0.86</v>
      </c>
      <c r="N325">
        <f>IFERROR([1]!s_fa_arturndays($A325,TEXT($B$1,"yyyy/mm/dd")),"")</f>
        <v>65.884600000000006</v>
      </c>
      <c r="O325" t="str">
        <f>IFERROR([1]!fa_apturndays($A325,TEXT($B$1,"yyyy/mm/dd")),"")</f>
        <v>Fetch...</v>
      </c>
      <c r="P325">
        <f>IFERROR([1]!s_fa_invturndays($A325,TEXT($B$1,"yyyy/mm/dd")),"")</f>
        <v>63.0871</v>
      </c>
    </row>
    <row r="326" spans="1:16">
      <c r="A326" t="s">
        <v>339</v>
      </c>
      <c r="B326">
        <f>IFERROR([1]!s_stm07_is($A326,"W70156729",TEXT($B$1,"yyyy/mm/dd"),1),"")</f>
        <v>2045730836.5899999</v>
      </c>
      <c r="C326">
        <f>IFERROR([1]!s_stm07_is($A326,"W75682424",TEXT($B$1,"yyyy/mm/dd"),1),"")</f>
        <v>490408170.22000003</v>
      </c>
      <c r="D326">
        <f>IFERROR([1]!s_stm07_is($A326,"W76031679",TEXT($B$1,"yyyy/mm/dd"),1),"")</f>
        <v>673181339.01999998</v>
      </c>
      <c r="E326">
        <f>IFERROR([1]!s_stm07_is($A326,"W70752487",TEXT($B$1,"yyyy/mm/dd"),1),"")</f>
        <v>144599099.86000001</v>
      </c>
      <c r="F326">
        <f>IFERROR([1]!s_stm07_is_103($A326,TEXT($B$1,"yyyy/mm/dd"),1),"")</f>
        <v>160037114.88999999</v>
      </c>
      <c r="G326">
        <f>IFERROR([1]!s_stm07_is_104($A326,TEXT($B$1,"yyyy/mm/dd"),1),"")</f>
        <v>19857723.629999999</v>
      </c>
      <c r="H326">
        <f>IFERROR([1]!s_stm07_is_105($A326,TEXT($B$1,"yyyy/mm/dd"),1),"")</f>
        <v>18620984.079999998</v>
      </c>
      <c r="I326">
        <f>IFERROR([1]!s_stm07_is($A326,"W72946623",TEXT($B$1,"yyyy/mm/dd"),1),"")</f>
        <v>536925660.39999998</v>
      </c>
      <c r="J326">
        <f>IFERROR([1]!s_stm07_is($A326,"W30028333",TEXT($B$1,"yyyy/mm/dd"),1),"")</f>
        <v>433134148.19999999</v>
      </c>
      <c r="K326">
        <f>IFERROR([1]!s_stm07_cs($A326,"W77130581",TEXT($B$1,"yyyy/mm/dd"),1),"")</f>
        <v>708121274.38999999</v>
      </c>
      <c r="L326">
        <f>IFERROR([1]!s_stm07_cs($A326,"W77745895",TEXT($B$1,"yyyy/mm/dd"),1),"")</f>
        <v>86944409.980000004</v>
      </c>
      <c r="M326">
        <f>IFERROR([1]!S_FA_EPS_basic2($A326,$B$1,"Cur=CNY"),"")</f>
        <v>0.74</v>
      </c>
      <c r="N326">
        <f>IFERROR([1]!s_fa_arturndays($A326,TEXT($B$1,"yyyy/mm/dd")),"")</f>
        <v>14.7942</v>
      </c>
      <c r="O326" t="str">
        <f>IFERROR([1]!fa_apturndays($A326,TEXT($B$1,"yyyy/mm/dd")),"")</f>
        <v>Fetch...</v>
      </c>
      <c r="P326">
        <f>IFERROR([1]!s_fa_invturndays($A326,TEXT($B$1,"yyyy/mm/dd")),"")</f>
        <v>151.0574</v>
      </c>
    </row>
    <row r="327" spans="1:16">
      <c r="A327" t="s">
        <v>340</v>
      </c>
      <c r="B327">
        <f>IFERROR([1]!s_stm07_is($A327,"W70156729",TEXT($B$1,"yyyy/mm/dd"),1),"")</f>
        <v>19239902016.330002</v>
      </c>
      <c r="C327">
        <f>IFERROR([1]!s_stm07_is($A327,"W75682424",TEXT($B$1,"yyyy/mm/dd"),1),"")</f>
        <v>16904141323.190001</v>
      </c>
      <c r="D327">
        <f>IFERROR([1]!s_stm07_is($A327,"W76031679",TEXT($B$1,"yyyy/mm/dd"),1),"")</f>
        <v>726229042.80999994</v>
      </c>
      <c r="E327">
        <f>IFERROR([1]!s_stm07_is($A327,"W70752487",TEXT($B$1,"yyyy/mm/dd"),1),"")</f>
        <v>423778830.97000003</v>
      </c>
      <c r="F327">
        <f>IFERROR([1]!s_stm07_is_103($A327,TEXT($B$1,"yyyy/mm/dd"),1),"")</f>
        <v>652929766.49000001</v>
      </c>
      <c r="G327">
        <f>IFERROR([1]!s_stm07_is_104($A327,TEXT($B$1,"yyyy/mm/dd"),1),"")</f>
        <v>44443380.240000002</v>
      </c>
      <c r="H327">
        <f>IFERROR([1]!s_stm07_is_105($A327,TEXT($B$1,"yyyy/mm/dd"),1),"")</f>
        <v>17416247.289999999</v>
      </c>
      <c r="I327">
        <f>IFERROR([1]!s_stm07_is($A327,"W72946623",TEXT($B$1,"yyyy/mm/dd"),1),"")</f>
        <v>409495993.14999998</v>
      </c>
      <c r="J327">
        <f>IFERROR([1]!s_stm07_is($A327,"W30028333",TEXT($B$1,"yyyy/mm/dd"),1),"")</f>
        <v>347113536.57999998</v>
      </c>
      <c r="K327">
        <f>IFERROR([1]!s_stm07_cs($A327,"W77130581",TEXT($B$1,"yyyy/mm/dd"),1),"")</f>
        <v>604494232.96000004</v>
      </c>
      <c r="L327">
        <f>IFERROR([1]!s_stm07_cs($A327,"W77745895",TEXT($B$1,"yyyy/mm/dd"),1),"")</f>
        <v>278281039.63</v>
      </c>
      <c r="M327">
        <f>IFERROR([1]!S_FA_EPS_basic2($A327,$B$1,"Cur=CNY"),"")</f>
        <v>0.34470000000000001</v>
      </c>
      <c r="N327">
        <f>IFERROR([1]!s_fa_arturndays($A327,TEXT($B$1,"yyyy/mm/dd")),"")</f>
        <v>102.01479999999999</v>
      </c>
      <c r="O327" t="str">
        <f>IFERROR([1]!fa_apturndays($A327,TEXT($B$1,"yyyy/mm/dd")),"")</f>
        <v>Fetch...</v>
      </c>
      <c r="P327">
        <f>IFERROR([1]!s_fa_invturndays($A327,TEXT($B$1,"yyyy/mm/dd")),"")</f>
        <v>36.640500000000003</v>
      </c>
    </row>
    <row r="328" spans="1:16">
      <c r="A328" t="s">
        <v>341</v>
      </c>
      <c r="B328">
        <f>IFERROR([1]!s_stm07_is($A328,"W70156729",TEXT($B$1,"yyyy/mm/dd"),1),"")</f>
        <v>11928697127.379999</v>
      </c>
      <c r="C328">
        <f>IFERROR([1]!s_stm07_is($A328,"W75682424",TEXT($B$1,"yyyy/mm/dd"),1),"")</f>
        <v>9133771044</v>
      </c>
      <c r="D328">
        <f>IFERROR([1]!s_stm07_is($A328,"W76031679",TEXT($B$1,"yyyy/mm/dd"),1),"")</f>
        <v>299337452.29000002</v>
      </c>
      <c r="E328">
        <f>IFERROR([1]!s_stm07_is($A328,"W70752487",TEXT($B$1,"yyyy/mm/dd"),1),"")</f>
        <v>209850026.02000001</v>
      </c>
      <c r="F328">
        <f>IFERROR([1]!s_stm07_is_103($A328,TEXT($B$1,"yyyy/mm/dd"),1),"")</f>
        <v>1039117990.73</v>
      </c>
      <c r="G328">
        <f>IFERROR([1]!s_stm07_is_104($A328,TEXT($B$1,"yyyy/mm/dd"),1),"")</f>
        <v>7539689.1299999999</v>
      </c>
      <c r="H328">
        <f>IFERROR([1]!s_stm07_is_105($A328,TEXT($B$1,"yyyy/mm/dd"),1),"")</f>
        <v>55963288.390000001</v>
      </c>
      <c r="I328">
        <f>IFERROR([1]!s_stm07_is($A328,"W72946623",TEXT($B$1,"yyyy/mm/dd"),1),"")</f>
        <v>1026152845.12</v>
      </c>
      <c r="J328">
        <f>IFERROR([1]!s_stm07_is($A328,"W30028333",TEXT($B$1,"yyyy/mm/dd"),1),"")</f>
        <v>946320781.21000004</v>
      </c>
      <c r="K328">
        <f>IFERROR([1]!s_stm07_cs($A328,"W77130581",TEXT($B$1,"yyyy/mm/dd"),1),"")</f>
        <v>1627903629.6400001</v>
      </c>
      <c r="L328">
        <f>IFERROR([1]!s_stm07_cs($A328,"W77745895",TEXT($B$1,"yyyy/mm/dd"),1),"")</f>
        <v>825419173.79999995</v>
      </c>
      <c r="M328">
        <f>IFERROR([1]!S_FA_EPS_basic2($A328,$B$1,"Cur=CNY"),"")</f>
        <v>1.21</v>
      </c>
      <c r="N328">
        <f>IFERROR([1]!s_fa_arturndays($A328,TEXT($B$1,"yyyy/mm/dd")),"")</f>
        <v>54.097900000000003</v>
      </c>
      <c r="O328" t="str">
        <f>IFERROR([1]!fa_apturndays($A328,TEXT($B$1,"yyyy/mm/dd")),"")</f>
        <v>Fetch...</v>
      </c>
      <c r="P328">
        <f>IFERROR([1]!s_fa_invturndays($A328,TEXT($B$1,"yyyy/mm/dd")),"")</f>
        <v>191.18430000000001</v>
      </c>
    </row>
    <row r="329" spans="1:16">
      <c r="A329" t="s">
        <v>342</v>
      </c>
      <c r="B329">
        <f>IFERROR([1]!s_stm07_is($A329,"W70156729",TEXT($B$1,"yyyy/mm/dd"),1),"")</f>
        <v>2416012277.1999998</v>
      </c>
      <c r="C329">
        <f>IFERROR([1]!s_stm07_is($A329,"W75682424",TEXT($B$1,"yyyy/mm/dd"),1),"")</f>
        <v>409473077.75</v>
      </c>
      <c r="D329">
        <f>IFERROR([1]!s_stm07_is($A329,"W76031679",TEXT($B$1,"yyyy/mm/dd"),1),"")</f>
        <v>1095623208.03</v>
      </c>
      <c r="E329">
        <f>IFERROR([1]!s_stm07_is($A329,"W70752487",TEXT($B$1,"yyyy/mm/dd"),1),"")</f>
        <v>189362927.5</v>
      </c>
      <c r="F329">
        <f>IFERROR([1]!s_stm07_is_103($A329,TEXT($B$1,"yyyy/mm/dd"),1),"")</f>
        <v>81025618.519999996</v>
      </c>
      <c r="G329">
        <f>IFERROR([1]!s_stm07_is_104($A329,TEXT($B$1,"yyyy/mm/dd"),1),"")</f>
        <v>41855491.799999997</v>
      </c>
      <c r="H329">
        <f>IFERROR([1]!s_stm07_is_105($A329,TEXT($B$1,"yyyy/mm/dd"),1),"")</f>
        <v>6775395.4400000004</v>
      </c>
      <c r="I329">
        <f>IFERROR([1]!s_stm07_is($A329,"W72946623",TEXT($B$1,"yyyy/mm/dd"),1),"")</f>
        <v>739842481.90999997</v>
      </c>
      <c r="J329">
        <f>IFERROR([1]!s_stm07_is($A329,"W30028333",TEXT($B$1,"yyyy/mm/dd"),1),"")</f>
        <v>648425430.78999996</v>
      </c>
      <c r="K329">
        <f>IFERROR([1]!s_stm07_cs($A329,"W77130581",TEXT($B$1,"yyyy/mm/dd"),1),"")</f>
        <v>729702695.27999997</v>
      </c>
      <c r="L329">
        <f>IFERROR([1]!s_stm07_cs($A329,"W77745895",TEXT($B$1,"yyyy/mm/dd"),1),"")</f>
        <v>153076129.27000001</v>
      </c>
      <c r="M329">
        <f>IFERROR([1]!S_FA_EPS_basic2($A329,$B$1,"Cur=CNY"),"")</f>
        <v>1.1930000000000001</v>
      </c>
      <c r="N329">
        <f>IFERROR([1]!s_fa_arturndays($A329,TEXT($B$1,"yyyy/mm/dd")),"")</f>
        <v>14.4558</v>
      </c>
      <c r="O329" t="str">
        <f>IFERROR([1]!fa_apturndays($A329,TEXT($B$1,"yyyy/mm/dd")),"")</f>
        <v>Fetch...</v>
      </c>
      <c r="P329">
        <f>IFERROR([1]!s_fa_invturndays($A329,TEXT($B$1,"yyyy/mm/dd")),"")</f>
        <v>210.76050000000001</v>
      </c>
    </row>
    <row r="330" spans="1:16">
      <c r="A330" t="s">
        <v>343</v>
      </c>
      <c r="B330">
        <f>IFERROR([1]!s_stm07_is($A330,"W70156729",TEXT($B$1,"yyyy/mm/dd"),1),"")</f>
        <v>2472807782.0599999</v>
      </c>
      <c r="C330">
        <f>IFERROR([1]!s_stm07_is($A330,"W75682424",TEXT($B$1,"yyyy/mm/dd"),1),"")</f>
        <v>1395903941.53</v>
      </c>
      <c r="D330">
        <f>IFERROR([1]!s_stm07_is($A330,"W76031679",TEXT($B$1,"yyyy/mm/dd"),1),"")</f>
        <v>351946710.42000002</v>
      </c>
      <c r="E330">
        <f>IFERROR([1]!s_stm07_is($A330,"W70752487",TEXT($B$1,"yyyy/mm/dd"),1),"")</f>
        <v>366276168.77999997</v>
      </c>
      <c r="F330">
        <f>IFERROR([1]!s_stm07_is_103($A330,TEXT($B$1,"yyyy/mm/dd"),1),"")</f>
        <v>182594392.63</v>
      </c>
      <c r="G330">
        <f>IFERROR([1]!s_stm07_is_104($A330,TEXT($B$1,"yyyy/mm/dd"),1),"")</f>
        <v>14990132.9</v>
      </c>
      <c r="H330">
        <f>IFERROR([1]!s_stm07_is_105($A330,TEXT($B$1,"yyyy/mm/dd"),1),"")</f>
        <v>10300988.83</v>
      </c>
      <c r="I330">
        <f>IFERROR([1]!s_stm07_is($A330,"W72946623",TEXT($B$1,"yyyy/mm/dd"),1),"")</f>
        <v>102562276.48999999</v>
      </c>
      <c r="J330">
        <f>IFERROR([1]!s_stm07_is($A330,"W30028333",TEXT($B$1,"yyyy/mm/dd"),1),"")</f>
        <v>71874775.760000005</v>
      </c>
      <c r="K330">
        <f>IFERROR([1]!s_stm07_cs($A330,"W77130581",TEXT($B$1,"yyyy/mm/dd"),1),"")</f>
        <v>137871214.78999999</v>
      </c>
      <c r="L330">
        <f>IFERROR([1]!s_stm07_cs($A330,"W77745895",TEXT($B$1,"yyyy/mm/dd"),1),"")</f>
        <v>38084177.189999998</v>
      </c>
      <c r="M330">
        <f>IFERROR([1]!S_FA_EPS_basic2($A330,$B$1,"Cur=CNY"),"")</f>
        <v>0.05</v>
      </c>
      <c r="N330">
        <f>IFERROR([1]!s_fa_arturndays($A330,TEXT($B$1,"yyyy/mm/dd")),"")</f>
        <v>59.231999999999999</v>
      </c>
      <c r="O330" t="str">
        <f>IFERROR([1]!fa_apturndays($A330,TEXT($B$1,"yyyy/mm/dd")),"")</f>
        <v>Fetch...</v>
      </c>
      <c r="P330">
        <f>IFERROR([1]!s_fa_invturndays($A330,TEXT($B$1,"yyyy/mm/dd")),"")</f>
        <v>150.11879999999999</v>
      </c>
    </row>
    <row r="331" spans="1:16">
      <c r="A331" t="s">
        <v>344</v>
      </c>
      <c r="B331">
        <f>IFERROR([1]!s_stm07_is($A331,"W70156729",TEXT($B$1,"yyyy/mm/dd"),1),"")</f>
        <v>4352661358.6099997</v>
      </c>
      <c r="C331">
        <f>IFERROR([1]!s_stm07_is($A331,"W75682424",TEXT($B$1,"yyyy/mm/dd"),1),"")</f>
        <v>1098773451.8499999</v>
      </c>
      <c r="D331">
        <f>IFERROR([1]!s_stm07_is($A331,"W76031679",TEXT($B$1,"yyyy/mm/dd"),1),"")</f>
        <v>1762546363.78</v>
      </c>
      <c r="E331">
        <f>IFERROR([1]!s_stm07_is($A331,"W70752487",TEXT($B$1,"yyyy/mm/dd"),1),"")</f>
        <v>268469569.91000003</v>
      </c>
      <c r="F331">
        <f>IFERROR([1]!s_stm07_is_103($A331,TEXT($B$1,"yyyy/mm/dd"),1),"")</f>
        <v>539332060.27999997</v>
      </c>
      <c r="G331">
        <f>IFERROR([1]!s_stm07_is_104($A331,TEXT($B$1,"yyyy/mm/dd"),1),"")</f>
        <v>21689074.949999999</v>
      </c>
      <c r="H331">
        <f>IFERROR([1]!s_stm07_is_105($A331,TEXT($B$1,"yyyy/mm/dd"),1),"")</f>
        <v>40809162.520000003</v>
      </c>
      <c r="I331">
        <f>IFERROR([1]!s_stm07_is($A331,"W72946623",TEXT($B$1,"yyyy/mm/dd"),1),"")</f>
        <v>655907949.13999999</v>
      </c>
      <c r="J331">
        <f>IFERROR([1]!s_stm07_is($A331,"W30028333",TEXT($B$1,"yyyy/mm/dd"),1),"")</f>
        <v>651504743.99000001</v>
      </c>
      <c r="K331">
        <f>IFERROR([1]!s_stm07_cs($A331,"W77130581",TEXT($B$1,"yyyy/mm/dd"),1),"")</f>
        <v>1052437760.87</v>
      </c>
      <c r="L331">
        <f>IFERROR([1]!s_stm07_cs($A331,"W77745895",TEXT($B$1,"yyyy/mm/dd"),1),"")</f>
        <v>974100416.01999998</v>
      </c>
      <c r="M331">
        <f>IFERROR([1]!S_FA_EPS_basic2($A331,$B$1,"Cur=CNY"),"")</f>
        <v>0.57999999999999996</v>
      </c>
      <c r="N331">
        <f>IFERROR([1]!s_fa_arturndays($A331,TEXT($B$1,"yyyy/mm/dd")),"")</f>
        <v>50.915100000000002</v>
      </c>
      <c r="O331" t="str">
        <f>IFERROR([1]!fa_apturndays($A331,TEXT($B$1,"yyyy/mm/dd")),"")</f>
        <v>Fetch...</v>
      </c>
      <c r="P331">
        <f>IFERROR([1]!s_fa_invturndays($A331,TEXT($B$1,"yyyy/mm/dd")),"")</f>
        <v>172.8194</v>
      </c>
    </row>
    <row r="332" spans="1:16">
      <c r="A332" t="s">
        <v>345</v>
      </c>
      <c r="B332">
        <f>IFERROR([1]!s_stm07_is($A332,"W70156729",TEXT($B$1,"yyyy/mm/dd"),1),"")</f>
        <v>20094480816.16</v>
      </c>
      <c r="C332">
        <f>IFERROR([1]!s_stm07_is($A332,"W75682424",TEXT($B$1,"yyyy/mm/dd"),1),"")</f>
        <v>17566500969.349998</v>
      </c>
      <c r="D332">
        <f>IFERROR([1]!s_stm07_is($A332,"W76031679",TEXT($B$1,"yyyy/mm/dd"),1),"")</f>
        <v>748309709.11000001</v>
      </c>
      <c r="E332">
        <f>IFERROR([1]!s_stm07_is($A332,"W70752487",TEXT($B$1,"yyyy/mm/dd"),1),"")</f>
        <v>454484425.54000002</v>
      </c>
      <c r="F332">
        <f>IFERROR([1]!s_stm07_is_103($A332,TEXT($B$1,"yyyy/mm/dd"),1),"")</f>
        <v>131621633.8</v>
      </c>
      <c r="G332">
        <f>IFERROR([1]!s_stm07_is_104($A332,TEXT($B$1,"yyyy/mm/dd"),1),"")</f>
        <v>154007684.22</v>
      </c>
      <c r="H332">
        <f>IFERROR([1]!s_stm07_is_105($A332,TEXT($B$1,"yyyy/mm/dd"),1),"")</f>
        <v>34337492.409999996</v>
      </c>
      <c r="I332">
        <f>IFERROR([1]!s_stm07_is($A332,"W72946623",TEXT($B$1,"yyyy/mm/dd"),1),"")</f>
        <v>1437449732.29</v>
      </c>
      <c r="J332">
        <f>IFERROR([1]!s_stm07_is($A332,"W30028333",TEXT($B$1,"yyyy/mm/dd"),1),"")</f>
        <v>1380058462.24</v>
      </c>
      <c r="K332">
        <f>IFERROR([1]!s_stm07_cs($A332,"W77130581",TEXT($B$1,"yyyy/mm/dd"),1),"")</f>
        <v>4032265082.0999999</v>
      </c>
      <c r="L332">
        <f>IFERROR([1]!s_stm07_cs($A332,"W77745895",TEXT($B$1,"yyyy/mm/dd"),1),"")</f>
        <v>1827417034.48</v>
      </c>
      <c r="M332">
        <f>IFERROR([1]!S_FA_EPS_basic2($A332,$B$1,"Cur=CNY"),"")</f>
        <v>1.1203000000000001</v>
      </c>
      <c r="N332">
        <f>IFERROR([1]!s_fa_arturndays($A332,TEXT($B$1,"yyyy/mm/dd")),"")</f>
        <v>22.592300000000002</v>
      </c>
      <c r="O332" t="str">
        <f>IFERROR([1]!fa_apturndays($A332,TEXT($B$1,"yyyy/mm/dd")),"")</f>
        <v>Fetch...</v>
      </c>
      <c r="P332">
        <f>IFERROR([1]!s_fa_invturndays($A332,TEXT($B$1,"yyyy/mm/dd")),"")</f>
        <v>64.236400000000003</v>
      </c>
    </row>
    <row r="333" spans="1:16">
      <c r="A333" t="s">
        <v>346</v>
      </c>
      <c r="B333">
        <f>IFERROR([1]!s_stm07_is($A333,"W70156729",TEXT($B$1,"yyyy/mm/dd"),1),"")</f>
        <v>18107780440.610001</v>
      </c>
      <c r="C333">
        <f>IFERROR([1]!s_stm07_is($A333,"W75682424",TEXT($B$1,"yyyy/mm/dd"),1),"")</f>
        <v>17232626711.439999</v>
      </c>
      <c r="D333">
        <f>IFERROR([1]!s_stm07_is($A333,"W76031679",TEXT($B$1,"yyyy/mm/dd"),1),"")</f>
        <v>240685850.61000001</v>
      </c>
      <c r="E333">
        <f>IFERROR([1]!s_stm07_is($A333,"W70752487",TEXT($B$1,"yyyy/mm/dd"),1),"")</f>
        <v>455693240.23000002</v>
      </c>
      <c r="F333">
        <f>IFERROR([1]!s_stm07_is_103($A333,TEXT($B$1,"yyyy/mm/dd"),1),"")</f>
        <v>383458082.51999998</v>
      </c>
      <c r="G333">
        <f>IFERROR([1]!s_stm07_is_104($A333,TEXT($B$1,"yyyy/mm/dd"),1),"")</f>
        <v>124069295.39</v>
      </c>
      <c r="H333">
        <f>IFERROR([1]!s_stm07_is_105($A333,TEXT($B$1,"yyyy/mm/dd"),1),"")</f>
        <v>16118924.859999999</v>
      </c>
      <c r="I333">
        <f>IFERROR([1]!s_stm07_is($A333,"W72946623",TEXT($B$1,"yyyy/mm/dd"),1),"")</f>
        <v>-741958763.72000003</v>
      </c>
      <c r="J333">
        <f>IFERROR([1]!s_stm07_is($A333,"W30028333",TEXT($B$1,"yyyy/mm/dd"),1),"")</f>
        <v>-729710373.41999996</v>
      </c>
      <c r="K333">
        <f>IFERROR([1]!s_stm07_cs($A333,"W77130581",TEXT($B$1,"yyyy/mm/dd"),1),"")</f>
        <v>-539533325.24000001</v>
      </c>
      <c r="L333">
        <f>IFERROR([1]!s_stm07_cs($A333,"W77745895",TEXT($B$1,"yyyy/mm/dd"),1),"")</f>
        <v>118814340.90000001</v>
      </c>
      <c r="M333">
        <f>IFERROR([1]!S_FA_EPS_basic2($A333,$B$1,"Cur=CNY"),"")</f>
        <v>-0.59130000000000005</v>
      </c>
      <c r="N333">
        <f>IFERROR([1]!s_fa_arturndays($A333,TEXT($B$1,"yyyy/mm/dd")),"")</f>
        <v>447.81689999999998</v>
      </c>
      <c r="O333" t="str">
        <f>IFERROR([1]!fa_apturndays($A333,TEXT($B$1,"yyyy/mm/dd")),"")</f>
        <v>Fetch...</v>
      </c>
      <c r="P333">
        <f>IFERROR([1]!s_fa_invturndays($A333,TEXT($B$1,"yyyy/mm/dd")),"")</f>
        <v>8.8193000000000001</v>
      </c>
    </row>
    <row r="334" spans="1:16">
      <c r="A334" t="s">
        <v>347</v>
      </c>
      <c r="B334">
        <f>IFERROR([1]!s_stm07_is($A334,"W70156729",TEXT($B$1,"yyyy/mm/dd"),1),"")</f>
        <v>19211057613.049999</v>
      </c>
      <c r="C334">
        <f>IFERROR([1]!s_stm07_is($A334,"W75682424",TEXT($B$1,"yyyy/mm/dd"),1),"")</f>
        <v>5455522936.4300003</v>
      </c>
      <c r="D334">
        <f>IFERROR([1]!s_stm07_is($A334,"W76031679",TEXT($B$1,"yyyy/mm/dd"),1),"")</f>
        <v>5205631990.1599998</v>
      </c>
      <c r="E334">
        <f>IFERROR([1]!s_stm07_is($A334,"W70752487",TEXT($B$1,"yyyy/mm/dd"),1),"")</f>
        <v>1789690987.76</v>
      </c>
      <c r="F334">
        <f>IFERROR([1]!s_stm07_is_103($A334,TEXT($B$1,"yyyy/mm/dd"),1),"")</f>
        <v>144986992.31999999</v>
      </c>
      <c r="G334">
        <f>IFERROR([1]!s_stm07_is_104($A334,TEXT($B$1,"yyyy/mm/dd"),1),"")</f>
        <v>3903744.94</v>
      </c>
      <c r="H334">
        <f>IFERROR([1]!s_stm07_is_105($A334,TEXT($B$1,"yyyy/mm/dd"),1),"")</f>
        <v>297928105.07999998</v>
      </c>
      <c r="I334">
        <f>IFERROR([1]!s_stm07_is($A334,"W72946623",TEXT($B$1,"yyyy/mm/dd"),1),"")</f>
        <v>3463934339.6399999</v>
      </c>
      <c r="J334">
        <f>IFERROR([1]!s_stm07_is($A334,"W30028333",TEXT($B$1,"yyyy/mm/dd"),1),"")</f>
        <v>2206058926.6799998</v>
      </c>
      <c r="K334">
        <f>IFERROR([1]!s_stm07_cs($A334,"W77130581",TEXT($B$1,"yyyy/mm/dd"),1),"")</f>
        <v>-763040326.78999996</v>
      </c>
      <c r="L334">
        <f>IFERROR([1]!s_stm07_cs($A334,"W77745895",TEXT($B$1,"yyyy/mm/dd"),1),"")</f>
        <v>678481688.46000004</v>
      </c>
      <c r="M334">
        <f>IFERROR([1]!S_FA_EPS_basic2($A334,$B$1,"Cur=CNY"),"")</f>
        <v>1.4643999999999999</v>
      </c>
      <c r="N334">
        <f>IFERROR([1]!s_fa_arturndays($A334,TEXT($B$1,"yyyy/mm/dd")),"")</f>
        <v>0.1651</v>
      </c>
      <c r="O334" t="str">
        <f>IFERROR([1]!fa_apturndays($A334,TEXT($B$1,"yyyy/mm/dd")),"")</f>
        <v>Fetch...</v>
      </c>
      <c r="P334">
        <f>IFERROR([1]!s_fa_invturndays($A334,TEXT($B$1,"yyyy/mm/dd")),"")</f>
        <v>1323.5293999999999</v>
      </c>
    </row>
    <row r="335" spans="1:16">
      <c r="A335" t="s">
        <v>348</v>
      </c>
      <c r="B335">
        <f>IFERROR([1]!s_stm07_is($A335,"W70156729",TEXT($B$1,"yyyy/mm/dd"),1),"")</f>
        <v>128468230914.96001</v>
      </c>
      <c r="C335">
        <f>IFERROR([1]!s_stm07_is($A335,"W75682424",TEXT($B$1,"yyyy/mm/dd"),1),"")</f>
        <v>115193343614.53999</v>
      </c>
      <c r="D335">
        <f>IFERROR([1]!s_stm07_is($A335,"W76031679",TEXT($B$1,"yyyy/mm/dd"),1),"")</f>
        <v>2838918272.5799999</v>
      </c>
      <c r="E335">
        <f>IFERROR([1]!s_stm07_is($A335,"W70752487",TEXT($B$1,"yyyy/mm/dd"),1),"")</f>
        <v>3699769055.5500002</v>
      </c>
      <c r="F335">
        <f>IFERROR([1]!s_stm07_is_103($A335,TEXT($B$1,"yyyy/mm/dd"),1),"")</f>
        <v>933395251.55999994</v>
      </c>
      <c r="G335">
        <f>IFERROR([1]!s_stm07_is_104($A335,TEXT($B$1,"yyyy/mm/dd"),1),"")</f>
        <v>157345198.83000001</v>
      </c>
      <c r="H335">
        <f>IFERROR([1]!s_stm07_is_105($A335,TEXT($B$1,"yyyy/mm/dd"),1),"")</f>
        <v>33272254.649999999</v>
      </c>
      <c r="I335">
        <f>IFERROR([1]!s_stm07_is($A335,"W72946623",TEXT($B$1,"yyyy/mm/dd"),1),"")</f>
        <v>5183461738.1599998</v>
      </c>
      <c r="J335">
        <f>IFERROR([1]!s_stm07_is($A335,"W30028333",TEXT($B$1,"yyyy/mm/dd"),1),"")</f>
        <v>4280330734.0799999</v>
      </c>
      <c r="K335">
        <f>IFERROR([1]!s_stm07_cs($A335,"W77130581",TEXT($B$1,"yyyy/mm/dd"),1),"")</f>
        <v>6260377323.2200003</v>
      </c>
      <c r="L335">
        <f>IFERROR([1]!s_stm07_cs($A335,"W77745895",TEXT($B$1,"yyyy/mm/dd"),1),"")</f>
        <v>3336532557.6900001</v>
      </c>
      <c r="M335">
        <f>IFERROR([1]!S_FA_EPS_basic2($A335,$B$1,"Cur=CNY"),"")</f>
        <v>2.58</v>
      </c>
      <c r="N335">
        <f>IFERROR([1]!s_fa_arturndays($A335,TEXT($B$1,"yyyy/mm/dd")),"")</f>
        <v>7.1521999999999997</v>
      </c>
      <c r="O335" t="str">
        <f>IFERROR([1]!fa_apturndays($A335,TEXT($B$1,"yyyy/mm/dd")),"")</f>
        <v>Fetch...</v>
      </c>
      <c r="P335">
        <f>IFERROR([1]!s_fa_invturndays($A335,TEXT($B$1,"yyyy/mm/dd")),"")</f>
        <v>35.411799999999999</v>
      </c>
    </row>
    <row r="336" spans="1:16">
      <c r="A336" t="s">
        <v>349</v>
      </c>
      <c r="B336">
        <f>IFERROR([1]!s_stm07_is($A336,"W70156729",TEXT($B$1,"yyyy/mm/dd"),1),"")</f>
        <v>9956355075.0100002</v>
      </c>
      <c r="C336">
        <f>IFERROR([1]!s_stm07_is($A336,"W75682424",TEXT($B$1,"yyyy/mm/dd"),1),"")</f>
        <v>8588184727.1700001</v>
      </c>
      <c r="D336">
        <f>IFERROR([1]!s_stm07_is($A336,"W76031679",TEXT($B$1,"yyyy/mm/dd"),1),"")</f>
        <v>110086697.64</v>
      </c>
      <c r="E336">
        <f>IFERROR([1]!s_stm07_is($A336,"W70752487",TEXT($B$1,"yyyy/mm/dd"),1),"")</f>
        <v>443923260.72000003</v>
      </c>
      <c r="F336">
        <f>IFERROR([1]!s_stm07_is_103($A336,TEXT($B$1,"yyyy/mm/dd"),1),"")</f>
        <v>66509203.890000001</v>
      </c>
      <c r="G336">
        <f>IFERROR([1]!s_stm07_is_104($A336,TEXT($B$1,"yyyy/mm/dd"),1),"")</f>
        <v>172637790.25</v>
      </c>
      <c r="H336">
        <f>IFERROR([1]!s_stm07_is_105($A336,TEXT($B$1,"yyyy/mm/dd"),1),"")</f>
        <v>85857066.959999993</v>
      </c>
      <c r="I336">
        <f>IFERROR([1]!s_stm07_is($A336,"W72946623",TEXT($B$1,"yyyy/mm/dd"),1),"")</f>
        <v>568092593.96000004</v>
      </c>
      <c r="J336">
        <f>IFERROR([1]!s_stm07_is($A336,"W30028333",TEXT($B$1,"yyyy/mm/dd"),1),"")</f>
        <v>414004352.69999999</v>
      </c>
      <c r="K336">
        <f>IFERROR([1]!s_stm07_cs($A336,"W77130581",TEXT($B$1,"yyyy/mm/dd"),1),"")</f>
        <v>514584851.41000003</v>
      </c>
      <c r="L336">
        <f>IFERROR([1]!s_stm07_cs($A336,"W77745895",TEXT($B$1,"yyyy/mm/dd"),1),"")</f>
        <v>752273315.23000002</v>
      </c>
      <c r="M336">
        <f>IFERROR([1]!S_FA_EPS_basic2($A336,$B$1,"Cur=CNY"),"")</f>
        <v>0.22</v>
      </c>
      <c r="N336">
        <f>IFERROR([1]!s_fa_arturndays($A336,TEXT($B$1,"yyyy/mm/dd")),"")</f>
        <v>7.9881000000000002</v>
      </c>
      <c r="O336" t="str">
        <f>IFERROR([1]!fa_apturndays($A336,TEXT($B$1,"yyyy/mm/dd")),"")</f>
        <v>Fetch...</v>
      </c>
      <c r="P336">
        <f>IFERROR([1]!s_fa_invturndays($A336,TEXT($B$1,"yyyy/mm/dd")),"")</f>
        <v>58.689300000000003</v>
      </c>
    </row>
    <row r="337" spans="1:16">
      <c r="A337" t="s">
        <v>350</v>
      </c>
      <c r="B337">
        <f>IFERROR([1]!s_stm07_is($A337,"W70156729",TEXT($B$1,"yyyy/mm/dd"),1),"")</f>
        <v>1921132538.8299999</v>
      </c>
      <c r="C337">
        <f>IFERROR([1]!s_stm07_is($A337,"W75682424",TEXT($B$1,"yyyy/mm/dd"),1),"")</f>
        <v>396106527.19999999</v>
      </c>
      <c r="D337">
        <f>IFERROR([1]!s_stm07_is($A337,"W76031679",TEXT($B$1,"yyyy/mm/dd"),1),"")</f>
        <v>686970444.62</v>
      </c>
      <c r="E337">
        <f>IFERROR([1]!s_stm07_is($A337,"W70752487",TEXT($B$1,"yyyy/mm/dd"),1),"")</f>
        <v>168992964.55000001</v>
      </c>
      <c r="F337">
        <f>IFERROR([1]!s_stm07_is_103($A337,TEXT($B$1,"yyyy/mm/dd"),1),"")</f>
        <v>181137736.56999999</v>
      </c>
      <c r="G337">
        <f>IFERROR([1]!s_stm07_is_104($A337,TEXT($B$1,"yyyy/mm/dd"),1),"")</f>
        <v>752103.08</v>
      </c>
      <c r="H337">
        <f>IFERROR([1]!s_stm07_is_105($A337,TEXT($B$1,"yyyy/mm/dd"),1),"")</f>
        <v>57235052.670000002</v>
      </c>
      <c r="I337">
        <f>IFERROR([1]!s_stm07_is($A337,"W72946623",TEXT($B$1,"yyyy/mm/dd"),1),"")</f>
        <v>553286878.90999997</v>
      </c>
      <c r="J337">
        <f>IFERROR([1]!s_stm07_is($A337,"W30028333",TEXT($B$1,"yyyy/mm/dd"),1),"")</f>
        <v>503575870.31999999</v>
      </c>
      <c r="K337">
        <f>IFERROR([1]!s_stm07_cs($A337,"W77130581",TEXT($B$1,"yyyy/mm/dd"),1),"")</f>
        <v>888363914.01999998</v>
      </c>
      <c r="L337">
        <f>IFERROR([1]!s_stm07_cs($A337,"W77745895",TEXT($B$1,"yyyy/mm/dd"),1),"")</f>
        <v>17272954.309999999</v>
      </c>
      <c r="M337">
        <f>IFERROR([1]!S_FA_EPS_basic2($A337,$B$1,"Cur=CNY"),"")</f>
        <v>1.5873999999999999</v>
      </c>
      <c r="N337">
        <f>IFERROR([1]!s_fa_arturndays($A337,TEXT($B$1,"yyyy/mm/dd")),"")</f>
        <v>3.2597999999999998</v>
      </c>
      <c r="O337" t="str">
        <f>IFERROR([1]!fa_apturndays($A337,TEXT($B$1,"yyyy/mm/dd")),"")</f>
        <v>Fetch...</v>
      </c>
      <c r="P337">
        <f>IFERROR([1]!s_fa_invturndays($A337,TEXT($B$1,"yyyy/mm/dd")),"")</f>
        <v>3.3340999999999998</v>
      </c>
    </row>
    <row r="338" spans="1:16">
      <c r="A338" t="s">
        <v>351</v>
      </c>
      <c r="B338">
        <f>IFERROR([1]!s_stm07_is($A338,"W70156729",TEXT($B$1,"yyyy/mm/dd"),1),"")</f>
        <v>2522737619.6999998</v>
      </c>
      <c r="C338">
        <f>IFERROR([1]!s_stm07_is($A338,"W75682424",TEXT($B$1,"yyyy/mm/dd"),1),"")</f>
        <v>1107007576.8499999</v>
      </c>
      <c r="D338">
        <f>IFERROR([1]!s_stm07_is($A338,"W76031679",TEXT($B$1,"yyyy/mm/dd"),1),"")</f>
        <v>869866759.61000001</v>
      </c>
      <c r="E338">
        <f>IFERROR([1]!s_stm07_is($A338,"W70752487",TEXT($B$1,"yyyy/mm/dd"),1),"")</f>
        <v>142855933.53999999</v>
      </c>
      <c r="F338">
        <f>IFERROR([1]!s_stm07_is_103($A338,TEXT($B$1,"yyyy/mm/dd"),1),"")</f>
        <v>91028059.819999993</v>
      </c>
      <c r="G338">
        <f>IFERROR([1]!s_stm07_is_104($A338,TEXT($B$1,"yyyy/mm/dd"),1),"")</f>
        <v>4996927.17</v>
      </c>
      <c r="H338">
        <f>IFERROR([1]!s_stm07_is_105($A338,TEXT($B$1,"yyyy/mm/dd"),1),"")</f>
        <v>8861662.5800000001</v>
      </c>
      <c r="I338">
        <f>IFERROR([1]!s_stm07_is($A338,"W72946623",TEXT($B$1,"yyyy/mm/dd"),1),"")</f>
        <v>296585833.51999998</v>
      </c>
      <c r="J338">
        <f>IFERROR([1]!s_stm07_is($A338,"W30028333",TEXT($B$1,"yyyy/mm/dd"),1),"")</f>
        <v>275754918.87</v>
      </c>
      <c r="K338">
        <f>IFERROR([1]!s_stm07_cs($A338,"W77130581",TEXT($B$1,"yyyy/mm/dd"),1),"")</f>
        <v>305204582.68000001</v>
      </c>
      <c r="L338">
        <f>IFERROR([1]!s_stm07_cs($A338,"W77745895",TEXT($B$1,"yyyy/mm/dd"),1),"")</f>
        <v>316170977.10000002</v>
      </c>
      <c r="M338">
        <f>IFERROR([1]!S_FA_EPS_basic2($A338,$B$1,"Cur=CNY"),"")</f>
        <v>0.33</v>
      </c>
      <c r="N338">
        <f>IFERROR([1]!s_fa_arturndays($A338,TEXT($B$1,"yyyy/mm/dd")),"")</f>
        <v>78.911000000000001</v>
      </c>
      <c r="O338" t="str">
        <f>IFERROR([1]!fa_apturndays($A338,TEXT($B$1,"yyyy/mm/dd")),"")</f>
        <v>Fetch...</v>
      </c>
      <c r="P338">
        <f>IFERROR([1]!s_fa_invturndays($A338,TEXT($B$1,"yyyy/mm/dd")),"")</f>
        <v>131.18100000000001</v>
      </c>
    </row>
    <row r="339" spans="1:16">
      <c r="A339" t="s">
        <v>352</v>
      </c>
      <c r="B339">
        <f>IFERROR([1]!s_stm07_is($A339,"W70156729",TEXT($B$1,"yyyy/mm/dd"),1),"")</f>
        <v>12058509120.530001</v>
      </c>
      <c r="C339">
        <f>IFERROR([1]!s_stm07_is($A339,"W75682424",TEXT($B$1,"yyyy/mm/dd"),1),"")</f>
        <v>9085138344.3999996</v>
      </c>
      <c r="D339">
        <f>IFERROR([1]!s_stm07_is($A339,"W76031679",TEXT($B$1,"yyyy/mm/dd"),1),"")</f>
        <v>545046062.58000004</v>
      </c>
      <c r="E339">
        <f>IFERROR([1]!s_stm07_is($A339,"W70752487",TEXT($B$1,"yyyy/mm/dd"),1),"")</f>
        <v>470424086.02999997</v>
      </c>
      <c r="F339">
        <f>IFERROR([1]!s_stm07_is_103($A339,TEXT($B$1,"yyyy/mm/dd"),1),"")</f>
        <v>396472819.58999997</v>
      </c>
      <c r="G339">
        <f>IFERROR([1]!s_stm07_is_104($A339,TEXT($B$1,"yyyy/mm/dd"),1),"")</f>
        <v>23258875.879999999</v>
      </c>
      <c r="H339">
        <f>IFERROR([1]!s_stm07_is_105($A339,TEXT($B$1,"yyyy/mm/dd"),1),"")</f>
        <v>102841133.93000001</v>
      </c>
      <c r="I339">
        <f>IFERROR([1]!s_stm07_is($A339,"W72946623",TEXT($B$1,"yyyy/mm/dd"),1),"")</f>
        <v>1943391786.8800001</v>
      </c>
      <c r="J339">
        <f>IFERROR([1]!s_stm07_is($A339,"W30028333",TEXT($B$1,"yyyy/mm/dd"),1),"")</f>
        <v>1509372936.5</v>
      </c>
      <c r="K339">
        <f>IFERROR([1]!s_stm07_cs($A339,"W77130581",TEXT($B$1,"yyyy/mm/dd"),1),"")</f>
        <v>1893078712.2</v>
      </c>
      <c r="L339">
        <f>IFERROR([1]!s_stm07_cs($A339,"W77745895",TEXT($B$1,"yyyy/mm/dd"),1),"")</f>
        <v>733947399.08000004</v>
      </c>
      <c r="M339">
        <f>IFERROR([1]!S_FA_EPS_basic2($A339,$B$1,"Cur=CNY"),"")</f>
        <v>1.59</v>
      </c>
      <c r="N339">
        <f>IFERROR([1]!s_fa_arturndays($A339,TEXT($B$1,"yyyy/mm/dd")),"")</f>
        <v>40.103400000000001</v>
      </c>
      <c r="O339" t="str">
        <f>IFERROR([1]!fa_apturndays($A339,TEXT($B$1,"yyyy/mm/dd")),"")</f>
        <v>Fetch...</v>
      </c>
      <c r="P339">
        <f>IFERROR([1]!s_fa_invturndays($A339,TEXT($B$1,"yyyy/mm/dd")),"")</f>
        <v>124.434</v>
      </c>
    </row>
    <row r="340" spans="1:16">
      <c r="A340" t="s">
        <v>353</v>
      </c>
      <c r="B340">
        <f>IFERROR([1]!s_stm07_is($A340,"W70156729",TEXT($B$1,"yyyy/mm/dd"),1),"")</f>
        <v>5119928391.0699997</v>
      </c>
      <c r="C340">
        <f>IFERROR([1]!s_stm07_is($A340,"W75682424",TEXT($B$1,"yyyy/mm/dd"),1),"")</f>
        <v>3382040607.1900001</v>
      </c>
      <c r="D340">
        <f>IFERROR([1]!s_stm07_is($A340,"W76031679",TEXT($B$1,"yyyy/mm/dd"),1),"")</f>
        <v>24218216.600000001</v>
      </c>
      <c r="E340">
        <f>IFERROR([1]!s_stm07_is($A340,"W70752487",TEXT($B$1,"yyyy/mm/dd"),1),"")</f>
        <v>493473897.44</v>
      </c>
      <c r="F340">
        <f>IFERROR([1]!s_stm07_is_103($A340,TEXT($B$1,"yyyy/mm/dd"),1),"")</f>
        <v>2378058.42</v>
      </c>
      <c r="G340">
        <f>IFERROR([1]!s_stm07_is_104($A340,TEXT($B$1,"yyyy/mm/dd"),1),"")</f>
        <v>80577270.219999999</v>
      </c>
      <c r="H340">
        <f>IFERROR([1]!s_stm07_is_105($A340,TEXT($B$1,"yyyy/mm/dd"),1),"")</f>
        <v>22254010.18</v>
      </c>
      <c r="I340">
        <f>IFERROR([1]!s_stm07_is($A340,"W72946623",TEXT($B$1,"yyyy/mm/dd"),1),"")</f>
        <v>1230702333.75</v>
      </c>
      <c r="J340">
        <f>IFERROR([1]!s_stm07_is($A340,"W30028333",TEXT($B$1,"yyyy/mm/dd"),1),"")</f>
        <v>173142156.55000001</v>
      </c>
      <c r="K340">
        <f>IFERROR([1]!s_stm07_cs($A340,"W77130581",TEXT($B$1,"yyyy/mm/dd"),1),"")</f>
        <v>1521416540.3499999</v>
      </c>
      <c r="L340">
        <f>IFERROR([1]!s_stm07_cs($A340,"W77745895",TEXT($B$1,"yyyy/mm/dd"),1),"")</f>
        <v>482330456.05000001</v>
      </c>
      <c r="M340">
        <f>IFERROR([1]!S_FA_EPS_basic2($A340,$B$1,"Cur=CNY"),"")</f>
        <v>7.7499999999999999E-2</v>
      </c>
      <c r="N340">
        <f>IFERROR([1]!s_fa_arturndays($A340,TEXT($B$1,"yyyy/mm/dd")),"")</f>
        <v>9.1738</v>
      </c>
      <c r="O340" t="str">
        <f>IFERROR([1]!fa_apturndays($A340,TEXT($B$1,"yyyy/mm/dd")),"")</f>
        <v>Fetch...</v>
      </c>
      <c r="P340">
        <f>IFERROR([1]!s_fa_invturndays($A340,TEXT($B$1,"yyyy/mm/dd")),"")</f>
        <v>6.7922000000000002</v>
      </c>
    </row>
    <row r="341" spans="1:16">
      <c r="A341" t="s">
        <v>354</v>
      </c>
      <c r="B341">
        <f>IFERROR([1]!s_stm07_is($A341,"W70156729",TEXT($B$1,"yyyy/mm/dd"),1),"")</f>
        <v>9899144306.0799999</v>
      </c>
      <c r="C341">
        <f>IFERROR([1]!s_stm07_is($A341,"W75682424",TEXT($B$1,"yyyy/mm/dd"),1),"")</f>
        <v>8515917740.7700005</v>
      </c>
      <c r="D341">
        <f>IFERROR([1]!s_stm07_is($A341,"W76031679",TEXT($B$1,"yyyy/mm/dd"),1),"")</f>
        <v>130547493.08</v>
      </c>
      <c r="E341">
        <f>IFERROR([1]!s_stm07_is($A341,"W70752487",TEXT($B$1,"yyyy/mm/dd"),1),"")</f>
        <v>279624614.11000001</v>
      </c>
      <c r="F341">
        <f>IFERROR([1]!s_stm07_is_103($A341,TEXT($B$1,"yyyy/mm/dd"),1),"")</f>
        <v>489962968.18000001</v>
      </c>
      <c r="G341">
        <f>IFERROR([1]!s_stm07_is_104($A341,TEXT($B$1,"yyyy/mm/dd"),1),"")</f>
        <v>110701227.26000001</v>
      </c>
      <c r="H341">
        <f>IFERROR([1]!s_stm07_is_105($A341,TEXT($B$1,"yyyy/mm/dd"),1),"")</f>
        <v>9653768.3900000006</v>
      </c>
      <c r="I341">
        <f>IFERROR([1]!s_stm07_is($A341,"W72946623",TEXT($B$1,"yyyy/mm/dd"),1),"")</f>
        <v>381629047.5</v>
      </c>
      <c r="J341">
        <f>IFERROR([1]!s_stm07_is($A341,"W30028333",TEXT($B$1,"yyyy/mm/dd"),1),"")</f>
        <v>367482126.85000002</v>
      </c>
      <c r="K341">
        <f>IFERROR([1]!s_stm07_cs($A341,"W77130581",TEXT($B$1,"yyyy/mm/dd"),1),"")</f>
        <v>1137725676.45</v>
      </c>
      <c r="L341">
        <f>IFERROR([1]!s_stm07_cs($A341,"W77745895",TEXT($B$1,"yyyy/mm/dd"),1),"")</f>
        <v>807982227.41999996</v>
      </c>
      <c r="M341">
        <f>IFERROR([1]!S_FA_EPS_basic2($A341,$B$1,"Cur=CNY"),"")</f>
        <v>0.33489999999999998</v>
      </c>
      <c r="N341">
        <f>IFERROR([1]!s_fa_arturndays($A341,TEXT($B$1,"yyyy/mm/dd")),"")</f>
        <v>105.2632</v>
      </c>
      <c r="O341" t="str">
        <f>IFERROR([1]!fa_apturndays($A341,TEXT($B$1,"yyyy/mm/dd")),"")</f>
        <v>Fetch...</v>
      </c>
      <c r="P341">
        <f>IFERROR([1]!s_fa_invturndays($A341,TEXT($B$1,"yyyy/mm/dd")),"")</f>
        <v>81.227400000000003</v>
      </c>
    </row>
    <row r="342" spans="1:16">
      <c r="A342" t="s">
        <v>355</v>
      </c>
      <c r="B342">
        <f>IFERROR([1]!s_stm07_is($A342,"W70156729",TEXT($B$1,"yyyy/mm/dd"),1),"")</f>
        <v>5213581337.6899996</v>
      </c>
      <c r="C342">
        <f>IFERROR([1]!s_stm07_is($A342,"W75682424",TEXT($B$1,"yyyy/mm/dd"),1),"")</f>
        <v>4283908764.1300001</v>
      </c>
      <c r="D342">
        <f>IFERROR([1]!s_stm07_is($A342,"W76031679",TEXT($B$1,"yyyy/mm/dd"),1),"")</f>
        <v>123678363.52</v>
      </c>
      <c r="E342">
        <f>IFERROR([1]!s_stm07_is($A342,"W70752487",TEXT($B$1,"yyyy/mm/dd"),1),"")</f>
        <v>550733129.04999995</v>
      </c>
      <c r="F342">
        <f>IFERROR([1]!s_stm07_is_103($A342,TEXT($B$1,"yyyy/mm/dd"),1),"")</f>
        <v>130259083.90000001</v>
      </c>
      <c r="G342">
        <f>IFERROR([1]!s_stm07_is_104($A342,TEXT($B$1,"yyyy/mm/dd"),1),"")</f>
        <v>185052304.34999999</v>
      </c>
      <c r="H342">
        <f>IFERROR([1]!s_stm07_is_105($A342,TEXT($B$1,"yyyy/mm/dd"),1),"")</f>
        <v>8720931.4499999993</v>
      </c>
      <c r="I342">
        <f>IFERROR([1]!s_stm07_is($A342,"W72946623",TEXT($B$1,"yyyy/mm/dd"),1),"")</f>
        <v>-112864171.03</v>
      </c>
      <c r="J342">
        <f>IFERROR([1]!s_stm07_is($A342,"W30028333",TEXT($B$1,"yyyy/mm/dd"),1),"")</f>
        <v>-46100649.82</v>
      </c>
      <c r="K342">
        <f>IFERROR([1]!s_stm07_cs($A342,"W77130581",TEXT($B$1,"yyyy/mm/dd"),1),"")</f>
        <v>-72031284.090000004</v>
      </c>
      <c r="L342">
        <f>IFERROR([1]!s_stm07_cs($A342,"W77745895",TEXT($B$1,"yyyy/mm/dd"),1),"")</f>
        <v>304776360.24000001</v>
      </c>
      <c r="M342">
        <f>IFERROR([1]!S_FA_EPS_basic2($A342,$B$1,"Cur=CNY"),"")</f>
        <v>-0.05</v>
      </c>
      <c r="N342">
        <f>IFERROR([1]!s_fa_arturndays($A342,TEXT($B$1,"yyyy/mm/dd")),"")</f>
        <v>93.933499999999995</v>
      </c>
      <c r="O342" t="str">
        <f>IFERROR([1]!fa_apturndays($A342,TEXT($B$1,"yyyy/mm/dd")),"")</f>
        <v>Fetch...</v>
      </c>
      <c r="P342">
        <f>IFERROR([1]!s_fa_invturndays($A342,TEXT($B$1,"yyyy/mm/dd")),"")</f>
        <v>88.049700000000001</v>
      </c>
    </row>
    <row r="343" spans="1:16">
      <c r="A343" t="s">
        <v>356</v>
      </c>
      <c r="B343">
        <f>IFERROR([1]!s_stm07_is($A343,"W70156729",TEXT($B$1,"yyyy/mm/dd"),1),"")</f>
        <v>3758969165.4200001</v>
      </c>
      <c r="C343">
        <f>IFERROR([1]!s_stm07_is($A343,"W75682424",TEXT($B$1,"yyyy/mm/dd"),1),"")</f>
        <v>1458967954.9300001</v>
      </c>
      <c r="D343">
        <f>IFERROR([1]!s_stm07_is($A343,"W76031679",TEXT($B$1,"yyyy/mm/dd"),1),"")</f>
        <v>1180436455.03</v>
      </c>
      <c r="E343">
        <f>IFERROR([1]!s_stm07_is($A343,"W70752487",TEXT($B$1,"yyyy/mm/dd"),1),"")</f>
        <v>317390102.14999998</v>
      </c>
      <c r="F343">
        <f>IFERROR([1]!s_stm07_is_103($A343,TEXT($B$1,"yyyy/mm/dd"),1),"")</f>
        <v>303747966.62</v>
      </c>
      <c r="G343">
        <f>IFERROR([1]!s_stm07_is_104($A343,TEXT($B$1,"yyyy/mm/dd"),1),"")</f>
        <v>4644527.08</v>
      </c>
      <c r="H343">
        <f>IFERROR([1]!s_stm07_is_105($A343,TEXT($B$1,"yyyy/mm/dd"),1),"")</f>
        <v>16726364.65</v>
      </c>
      <c r="I343">
        <f>IFERROR([1]!s_stm07_is($A343,"W72946623",TEXT($B$1,"yyyy/mm/dd"),1),"")</f>
        <v>535841053.13</v>
      </c>
      <c r="J343">
        <f>IFERROR([1]!s_stm07_is($A343,"W30028333",TEXT($B$1,"yyyy/mm/dd"),1),"")</f>
        <v>449640395.37</v>
      </c>
      <c r="K343">
        <f>IFERROR([1]!s_stm07_cs($A343,"W77130581",TEXT($B$1,"yyyy/mm/dd"),1),"")</f>
        <v>247478004.77000001</v>
      </c>
      <c r="L343">
        <f>IFERROR([1]!s_stm07_cs($A343,"W77745895",TEXT($B$1,"yyyy/mm/dd"),1),"")</f>
        <v>209073996.22</v>
      </c>
      <c r="M343">
        <f>IFERROR([1]!S_FA_EPS_basic2($A343,$B$1,"Cur=CNY"),"")</f>
        <v>0.45</v>
      </c>
      <c r="N343">
        <f>IFERROR([1]!s_fa_arturndays($A343,TEXT($B$1,"yyyy/mm/dd")),"")</f>
        <v>52.0961</v>
      </c>
      <c r="O343" t="str">
        <f>IFERROR([1]!fa_apturndays($A343,TEXT($B$1,"yyyy/mm/dd")),"")</f>
        <v>Fetch...</v>
      </c>
      <c r="P343">
        <f>IFERROR([1]!s_fa_invturndays($A343,TEXT($B$1,"yyyy/mm/dd")),"")</f>
        <v>227.66079999999999</v>
      </c>
    </row>
    <row r="344" spans="1:16">
      <c r="A344" t="s">
        <v>357</v>
      </c>
      <c r="B344">
        <f>IFERROR([1]!s_stm07_is($A344,"W70156729",TEXT($B$1,"yyyy/mm/dd"),1),"")</f>
        <v>8160262477.6099997</v>
      </c>
      <c r="C344">
        <f>IFERROR([1]!s_stm07_is($A344,"W75682424",TEXT($B$1,"yyyy/mm/dd"),1),"")</f>
        <v>6156493643.3800001</v>
      </c>
      <c r="D344">
        <f>IFERROR([1]!s_stm07_is($A344,"W76031679",TEXT($B$1,"yyyy/mm/dd"),1),"")</f>
        <v>649905973.94000006</v>
      </c>
      <c r="E344">
        <f>IFERROR([1]!s_stm07_is($A344,"W70752487",TEXT($B$1,"yyyy/mm/dd"),1),"")</f>
        <v>266000038.81999999</v>
      </c>
      <c r="F344">
        <f>IFERROR([1]!s_stm07_is_103($A344,TEXT($B$1,"yyyy/mm/dd"),1),"")</f>
        <v>481626769.36000001</v>
      </c>
      <c r="G344">
        <f>IFERROR([1]!s_stm07_is_104($A344,TEXT($B$1,"yyyy/mm/dd"),1),"")</f>
        <v>42885821.920000002</v>
      </c>
      <c r="H344">
        <f>IFERROR([1]!s_stm07_is_105($A344,TEXT($B$1,"yyyy/mm/dd"),1),"")</f>
        <v>37038107.07</v>
      </c>
      <c r="I344">
        <f>IFERROR([1]!s_stm07_is($A344,"W72946623",TEXT($B$1,"yyyy/mm/dd"),1),"")</f>
        <v>433787548.88</v>
      </c>
      <c r="J344">
        <f>IFERROR([1]!s_stm07_is($A344,"W30028333",TEXT($B$1,"yyyy/mm/dd"),1),"")</f>
        <v>417988029.54000002</v>
      </c>
      <c r="K344">
        <f>IFERROR([1]!s_stm07_cs($A344,"W77130581",TEXT($B$1,"yyyy/mm/dd"),1),"")</f>
        <v>1161768304.23</v>
      </c>
      <c r="L344">
        <f>IFERROR([1]!s_stm07_cs($A344,"W77745895",TEXT($B$1,"yyyy/mm/dd"),1),"")</f>
        <v>343859208.69</v>
      </c>
      <c r="M344">
        <f>IFERROR([1]!S_FA_EPS_basic2($A344,$B$1,"Cur=CNY"),"")</f>
        <v>0.83</v>
      </c>
      <c r="N344">
        <f>IFERROR([1]!s_fa_arturndays($A344,TEXT($B$1,"yyyy/mm/dd")),"")</f>
        <v>147.38999999999999</v>
      </c>
      <c r="O344" t="str">
        <f>IFERROR([1]!fa_apturndays($A344,TEXT($B$1,"yyyy/mm/dd")),"")</f>
        <v>Fetch...</v>
      </c>
      <c r="P344">
        <f>IFERROR([1]!s_fa_invturndays($A344,TEXT($B$1,"yyyy/mm/dd")),"")</f>
        <v>45.479199999999999</v>
      </c>
    </row>
    <row r="345" spans="1:16">
      <c r="A345" t="s">
        <v>358</v>
      </c>
      <c r="B345">
        <f>IFERROR([1]!s_stm07_is($A345,"W70156729",TEXT($B$1,"yyyy/mm/dd"),1),"")</f>
        <v>799640976.49000001</v>
      </c>
      <c r="C345">
        <f>IFERROR([1]!s_stm07_is($A345,"W75682424",TEXT($B$1,"yyyy/mm/dd"),1),"")</f>
        <v>530138310.61000001</v>
      </c>
      <c r="D345">
        <f>IFERROR([1]!s_stm07_is($A345,"W76031679",TEXT($B$1,"yyyy/mm/dd"),1),"")</f>
        <v>19829823.09</v>
      </c>
      <c r="E345">
        <f>IFERROR([1]!s_stm07_is($A345,"W70752487",TEXT($B$1,"yyyy/mm/dd"),1),"")</f>
        <v>94360416.200000003</v>
      </c>
      <c r="F345">
        <f>IFERROR([1]!s_stm07_is_103($A345,TEXT($B$1,"yyyy/mm/dd"),1),"")</f>
        <v>74379587.569999993</v>
      </c>
      <c r="G345">
        <f>IFERROR([1]!s_stm07_is_104($A345,TEXT($B$1,"yyyy/mm/dd"),1),"")</f>
        <v>11229166.800000001</v>
      </c>
      <c r="H345">
        <f>IFERROR([1]!s_stm07_is_105($A345,TEXT($B$1,"yyyy/mm/dd"),1),"")</f>
        <v>659558.46</v>
      </c>
      <c r="I345">
        <f>IFERROR([1]!s_stm07_is($A345,"W72946623",TEXT($B$1,"yyyy/mm/dd"),1),"")</f>
        <v>128309414.29000001</v>
      </c>
      <c r="J345">
        <f>IFERROR([1]!s_stm07_is($A345,"W30028333",TEXT($B$1,"yyyy/mm/dd"),1),"")</f>
        <v>80525311.180000007</v>
      </c>
      <c r="K345">
        <f>IFERROR([1]!s_stm07_cs($A345,"W77130581",TEXT($B$1,"yyyy/mm/dd"),1),"")</f>
        <v>194074779.66</v>
      </c>
      <c r="L345">
        <f>IFERROR([1]!s_stm07_cs($A345,"W77745895",TEXT($B$1,"yyyy/mm/dd"),1),"")</f>
        <v>70044221.390000001</v>
      </c>
      <c r="M345">
        <f>IFERROR([1]!S_FA_EPS_basic2($A345,$B$1,"Cur=CNY"),"")</f>
        <v>0.34</v>
      </c>
      <c r="N345">
        <f>IFERROR([1]!s_fa_arturndays($A345,TEXT($B$1,"yyyy/mm/dd")),"")</f>
        <v>206.8015</v>
      </c>
      <c r="O345" t="str">
        <f>IFERROR([1]!fa_apturndays($A345,TEXT($B$1,"yyyy/mm/dd")),"")</f>
        <v>Fetch...</v>
      </c>
      <c r="P345">
        <f>IFERROR([1]!s_fa_invturndays($A345,TEXT($B$1,"yyyy/mm/dd")),"")</f>
        <v>244.9479</v>
      </c>
    </row>
    <row r="346" spans="1:16">
      <c r="A346" t="s">
        <v>359</v>
      </c>
      <c r="B346">
        <f>IFERROR([1]!s_stm07_is($A346,"W70156729",TEXT($B$1,"yyyy/mm/dd"),1),"")</f>
        <v>37123584782.330002</v>
      </c>
      <c r="C346">
        <f>IFERROR([1]!s_stm07_is($A346,"W75682424",TEXT($B$1,"yyyy/mm/dd"),1),"")</f>
        <v>31663381559.09</v>
      </c>
      <c r="D346">
        <f>IFERROR([1]!s_stm07_is($A346,"W76031679",TEXT($B$1,"yyyy/mm/dd"),1),"")</f>
        <v>115073022.20999999</v>
      </c>
      <c r="E346">
        <f>IFERROR([1]!s_stm07_is($A346,"W70752487",TEXT($B$1,"yyyy/mm/dd"),1),"")</f>
        <v>1111619971</v>
      </c>
      <c r="F346">
        <f>IFERROR([1]!s_stm07_is_103($A346,TEXT($B$1,"yyyy/mm/dd"),1),"")</f>
        <v>1205803686.75</v>
      </c>
      <c r="G346">
        <f>IFERROR([1]!s_stm07_is_104($A346,TEXT($B$1,"yyyy/mm/dd"),1),"")</f>
        <v>883276758.97000003</v>
      </c>
      <c r="H346">
        <f>IFERROR([1]!s_stm07_is_105($A346,TEXT($B$1,"yyyy/mm/dd"),1),"")</f>
        <v>58237611.640000001</v>
      </c>
      <c r="I346">
        <f>IFERROR([1]!s_stm07_is($A346,"W72946623",TEXT($B$1,"yyyy/mm/dd"),1),"")</f>
        <v>2013677862.02</v>
      </c>
      <c r="J346">
        <f>IFERROR([1]!s_stm07_is($A346,"W30028333",TEXT($B$1,"yyyy/mm/dd"),1),"")</f>
        <v>1580330605.21</v>
      </c>
      <c r="K346">
        <f>IFERROR([1]!s_stm07_cs($A346,"W77130581",TEXT($B$1,"yyyy/mm/dd"),1),"")</f>
        <v>3782652378.0100002</v>
      </c>
      <c r="L346">
        <f>IFERROR([1]!s_stm07_cs($A346,"W77745895",TEXT($B$1,"yyyy/mm/dd"),1),"")</f>
        <v>9174447591.6499996</v>
      </c>
      <c r="M346">
        <f>IFERROR([1]!S_FA_EPS_basic2($A346,$B$1,"Cur=CNY"),"")</f>
        <v>0.31</v>
      </c>
      <c r="N346">
        <f>IFERROR([1]!s_fa_arturndays($A346,TEXT($B$1,"yyyy/mm/dd")),"")</f>
        <v>57.966299999999997</v>
      </c>
      <c r="O346" t="str">
        <f>IFERROR([1]!fa_apturndays($A346,TEXT($B$1,"yyyy/mm/dd")),"")</f>
        <v>Fetch...</v>
      </c>
      <c r="P346">
        <f>IFERROR([1]!s_fa_invturndays($A346,TEXT($B$1,"yyyy/mm/dd")),"")</f>
        <v>106.9678</v>
      </c>
    </row>
    <row r="347" spans="1:16">
      <c r="A347" t="s">
        <v>360</v>
      </c>
      <c r="B347">
        <f>IFERROR([1]!s_stm07_is($A347,"W70156729",TEXT($B$1,"yyyy/mm/dd"),1),"")</f>
        <v>9317855602.2199993</v>
      </c>
      <c r="C347">
        <f>IFERROR([1]!s_stm07_is($A347,"W75682424",TEXT($B$1,"yyyy/mm/dd"),1),"")</f>
        <v>7262041375.3800001</v>
      </c>
      <c r="D347">
        <f>IFERROR([1]!s_stm07_is($A347,"W76031679",TEXT($B$1,"yyyy/mm/dd"),1),"")</f>
        <v>792343546.70000005</v>
      </c>
      <c r="E347">
        <f>IFERROR([1]!s_stm07_is($A347,"W70752487",TEXT($B$1,"yyyy/mm/dd"),1),"")</f>
        <v>175046368.46000001</v>
      </c>
      <c r="F347">
        <f>IFERROR([1]!s_stm07_is_103($A347,TEXT($B$1,"yyyy/mm/dd"),1),"")</f>
        <v>93769970.099999994</v>
      </c>
      <c r="G347">
        <f>IFERROR([1]!s_stm07_is_104($A347,TEXT($B$1,"yyyy/mm/dd"),1),"")</f>
        <v>38753861.030000001</v>
      </c>
      <c r="H347">
        <f>IFERROR([1]!s_stm07_is_105($A347,TEXT($B$1,"yyyy/mm/dd"),1),"")</f>
        <v>9491499.1899999995</v>
      </c>
      <c r="I347">
        <f>IFERROR([1]!s_stm07_is($A347,"W72946623",TEXT($B$1,"yyyy/mm/dd"),1),"")</f>
        <v>638303545.62</v>
      </c>
      <c r="J347">
        <f>IFERROR([1]!s_stm07_is($A347,"W30028333",TEXT($B$1,"yyyy/mm/dd"),1),"")</f>
        <v>497011978.91000003</v>
      </c>
      <c r="K347">
        <f>IFERROR([1]!s_stm07_cs($A347,"W77130581",TEXT($B$1,"yyyy/mm/dd"),1),"")</f>
        <v>-71420440.700000003</v>
      </c>
      <c r="L347">
        <f>IFERROR([1]!s_stm07_cs($A347,"W77745895",TEXT($B$1,"yyyy/mm/dd"),1),"")</f>
        <v>83201411.099999994</v>
      </c>
      <c r="M347">
        <f>IFERROR([1]!S_FA_EPS_basic2($A347,$B$1,"Cur=CNY"),"")</f>
        <v>0.56000000000000005</v>
      </c>
      <c r="N347">
        <f>IFERROR([1]!s_fa_arturndays($A347,TEXT($B$1,"yyyy/mm/dd")),"")</f>
        <v>19.967600000000001</v>
      </c>
      <c r="O347" t="str">
        <f>IFERROR([1]!fa_apturndays($A347,TEXT($B$1,"yyyy/mm/dd")),"")</f>
        <v>Fetch...</v>
      </c>
      <c r="P347">
        <f>IFERROR([1]!s_fa_invturndays($A347,TEXT($B$1,"yyyy/mm/dd")),"")</f>
        <v>184.11500000000001</v>
      </c>
    </row>
    <row r="348" spans="1:16">
      <c r="A348" t="s">
        <v>361</v>
      </c>
      <c r="B348">
        <f>IFERROR([1]!s_stm07_is($A348,"W70156729",TEXT($B$1,"yyyy/mm/dd"),1),"")</f>
        <v>2797066403.5700002</v>
      </c>
      <c r="C348">
        <f>IFERROR([1]!s_stm07_is($A348,"W75682424",TEXT($B$1,"yyyy/mm/dd"),1),"")</f>
        <v>1660587499.1700001</v>
      </c>
      <c r="D348">
        <f>IFERROR([1]!s_stm07_is($A348,"W76031679",TEXT($B$1,"yyyy/mm/dd"),1),"")</f>
        <v>364116734.67000002</v>
      </c>
      <c r="E348">
        <f>IFERROR([1]!s_stm07_is($A348,"W70752487",TEXT($B$1,"yyyy/mm/dd"),1),"")</f>
        <v>84926725.140000001</v>
      </c>
      <c r="F348">
        <f>IFERROR([1]!s_stm07_is_103($A348,TEXT($B$1,"yyyy/mm/dd"),1),"")</f>
        <v>183497238.56</v>
      </c>
      <c r="G348">
        <f>IFERROR([1]!s_stm07_is_104($A348,TEXT($B$1,"yyyy/mm/dd"),1),"")</f>
        <v>300903.59999999998</v>
      </c>
      <c r="H348">
        <f>IFERROR([1]!s_stm07_is_105($A348,TEXT($B$1,"yyyy/mm/dd"),1),"")</f>
        <v>15439086.24</v>
      </c>
      <c r="I348">
        <f>IFERROR([1]!s_stm07_is($A348,"W72946623",TEXT($B$1,"yyyy/mm/dd"),1),"")</f>
        <v>534279829.19</v>
      </c>
      <c r="J348">
        <f>IFERROR([1]!s_stm07_is($A348,"W30028333",TEXT($B$1,"yyyy/mm/dd"),1),"")</f>
        <v>430994066.31999999</v>
      </c>
      <c r="K348">
        <f>IFERROR([1]!s_stm07_cs($A348,"W77130581",TEXT($B$1,"yyyy/mm/dd"),1),"")</f>
        <v>390182866.54000002</v>
      </c>
      <c r="L348">
        <f>IFERROR([1]!s_stm07_cs($A348,"W77745895",TEXT($B$1,"yyyy/mm/dd"),1),"")</f>
        <v>8337976.54</v>
      </c>
      <c r="M348">
        <f>IFERROR([1]!S_FA_EPS_basic2($A348,$B$1,"Cur=CNY"),"")</f>
        <v>0.48</v>
      </c>
      <c r="N348">
        <f>IFERROR([1]!s_fa_arturndays($A348,TEXT($B$1,"yyyy/mm/dd")),"")</f>
        <v>28.2209</v>
      </c>
      <c r="O348" t="str">
        <f>IFERROR([1]!fa_apturndays($A348,TEXT($B$1,"yyyy/mm/dd")),"")</f>
        <v>Fetch...</v>
      </c>
      <c r="P348">
        <f>IFERROR([1]!s_fa_invturndays($A348,TEXT($B$1,"yyyy/mm/dd")),"")</f>
        <v>101.0526</v>
      </c>
    </row>
    <row r="349" spans="1:16">
      <c r="A349" t="s">
        <v>362</v>
      </c>
      <c r="B349">
        <f>IFERROR([1]!s_stm07_is($A349,"W70156729",TEXT($B$1,"yyyy/mm/dd"),1),"")</f>
        <v>308226647000</v>
      </c>
      <c r="C349">
        <f>IFERROR([1]!s_stm07_is($A349,"W75682424",TEXT($B$1,"yyyy/mm/dd"),1),"")</f>
        <v>267178276000</v>
      </c>
      <c r="D349">
        <f>IFERROR([1]!s_stm07_is($A349,"W76031679",TEXT($B$1,"yyyy/mm/dd"),1),"")</f>
        <v>3910643000</v>
      </c>
      <c r="E349">
        <f>IFERROR([1]!s_stm07_is($A349,"W70752487",TEXT($B$1,"yyyy/mm/dd"),1),"")</f>
        <v>19499245000</v>
      </c>
      <c r="F349">
        <f>IFERROR([1]!s_stm07_is_103($A349,TEXT($B$1,"yyyy/mm/dd"),1),"")</f>
        <v>2169906000</v>
      </c>
      <c r="G349">
        <f>IFERROR([1]!s_stm07_is_104($A349,TEXT($B$1,"yyyy/mm/dd"),1),"")</f>
        <v>1752364000</v>
      </c>
      <c r="H349">
        <f>IFERROR([1]!s_stm07_is_105($A349,TEXT($B$1,"yyyy/mm/dd"),1),"")</f>
        <v>262851000</v>
      </c>
      <c r="I349">
        <f>IFERROR([1]!s_stm07_is($A349,"W72946623",TEXT($B$1,"yyyy/mm/dd"),1),"")</f>
        <v>14917877000</v>
      </c>
      <c r="J349">
        <f>IFERROR([1]!s_stm07_is($A349,"W30028333",TEXT($B$1,"yyyy/mm/dd"),1),"")</f>
        <v>11117216000</v>
      </c>
      <c r="K349">
        <f>IFERROR([1]!s_stm07_cs($A349,"W77130581",TEXT($B$1,"yyyy/mm/dd"),1),"")</f>
        <v>27555275000</v>
      </c>
      <c r="L349">
        <f>IFERROR([1]!s_stm07_cs($A349,"W77745895",TEXT($B$1,"yyyy/mm/dd"),1),"")</f>
        <v>9505520000</v>
      </c>
      <c r="M349">
        <f>IFERROR([1]!S_FA_EPS_basic2($A349,$B$1,"Cur=CNY"),"")</f>
        <v>2.23</v>
      </c>
      <c r="N349">
        <f>IFERROR([1]!s_fa_arturndays($A349,TEXT($B$1,"yyyy/mm/dd")),"")</f>
        <v>34.058700000000002</v>
      </c>
      <c r="O349" t="str">
        <f>IFERROR([1]!fa_apturndays($A349,TEXT($B$1,"yyyy/mm/dd")),"")</f>
        <v>Fetch...</v>
      </c>
      <c r="P349">
        <f>IFERROR([1]!s_fa_invturndays($A349,TEXT($B$1,"yyyy/mm/dd")),"")</f>
        <v>7.5869</v>
      </c>
    </row>
    <row r="350" spans="1:16">
      <c r="A350" t="s">
        <v>363</v>
      </c>
      <c r="B350">
        <f>IFERROR([1]!s_stm07_is($A350,"W70156729",TEXT($B$1,"yyyy/mm/dd"),1),"")</f>
        <v>16222988113.76</v>
      </c>
      <c r="C350">
        <f>IFERROR([1]!s_stm07_is($A350,"W75682424",TEXT($B$1,"yyyy/mm/dd"),1),"")</f>
        <v>11082186265.84</v>
      </c>
      <c r="D350">
        <f>IFERROR([1]!s_stm07_is($A350,"W76031679",TEXT($B$1,"yyyy/mm/dd"),1),"")</f>
        <v>671728201.76999998</v>
      </c>
      <c r="E350">
        <f>IFERROR([1]!s_stm07_is($A350,"W70752487",TEXT($B$1,"yyyy/mm/dd"),1),"")</f>
        <v>587422287.26999998</v>
      </c>
      <c r="F350">
        <f>IFERROR([1]!s_stm07_is_103($A350,TEXT($B$1,"yyyy/mm/dd"),1),"")</f>
        <v>551099877.39999998</v>
      </c>
      <c r="G350">
        <f>IFERROR([1]!s_stm07_is_104($A350,TEXT($B$1,"yyyy/mm/dd"),1),"")</f>
        <v>160015555.09999999</v>
      </c>
      <c r="H350">
        <f>IFERROR([1]!s_stm07_is_105($A350,TEXT($B$1,"yyyy/mm/dd"),1),"")</f>
        <v>342265632.29000002</v>
      </c>
      <c r="I350">
        <f>IFERROR([1]!s_stm07_is($A350,"W72946623",TEXT($B$1,"yyyy/mm/dd"),1),"")</f>
        <v>3358770928.73</v>
      </c>
      <c r="J350">
        <f>IFERROR([1]!s_stm07_is($A350,"W30028333",TEXT($B$1,"yyyy/mm/dd"),1),"")</f>
        <v>2680474679.6999998</v>
      </c>
      <c r="K350">
        <f>IFERROR([1]!s_stm07_cs($A350,"W77130581",TEXT($B$1,"yyyy/mm/dd"),1),"")</f>
        <v>5378440401.54</v>
      </c>
      <c r="L350">
        <f>IFERROR([1]!s_stm07_cs($A350,"W77745895",TEXT($B$1,"yyyy/mm/dd"),1),"")</f>
        <v>873106929.26999998</v>
      </c>
      <c r="M350">
        <f>IFERROR([1]!S_FA_EPS_basic2($A350,$B$1,"Cur=CNY"),"")</f>
        <v>2.64</v>
      </c>
      <c r="N350">
        <f>IFERROR([1]!s_fa_arturndays($A350,TEXT($B$1,"yyyy/mm/dd")),"")</f>
        <v>140.00700000000001</v>
      </c>
      <c r="O350" t="str">
        <f>IFERROR([1]!fa_apturndays($A350,TEXT($B$1,"yyyy/mm/dd")),"")</f>
        <v>Fetch...</v>
      </c>
      <c r="P350">
        <f>IFERROR([1]!s_fa_invturndays($A350,TEXT($B$1,"yyyy/mm/dd")),"")</f>
        <v>206.25640000000001</v>
      </c>
    </row>
    <row r="351" spans="1:16">
      <c r="A351" t="s">
        <v>364</v>
      </c>
      <c r="B351">
        <f>IFERROR([1]!s_stm07_is($A351,"W70156729",TEXT($B$1,"yyyy/mm/dd"),1),"")</f>
        <v>2076978524.51</v>
      </c>
      <c r="C351">
        <f>IFERROR([1]!s_stm07_is($A351,"W75682424",TEXT($B$1,"yyyy/mm/dd"),1),"")</f>
        <v>1551206445.1600001</v>
      </c>
      <c r="D351">
        <f>IFERROR([1]!s_stm07_is($A351,"W76031679",TEXT($B$1,"yyyy/mm/dd"),1),"")</f>
        <v>156957469.06</v>
      </c>
      <c r="E351">
        <f>IFERROR([1]!s_stm07_is($A351,"W70752487",TEXT($B$1,"yyyy/mm/dd"),1),"")</f>
        <v>248065185.88</v>
      </c>
      <c r="F351">
        <f>IFERROR([1]!s_stm07_is_103($A351,TEXT($B$1,"yyyy/mm/dd"),1),"")</f>
        <v>36766895.380000003</v>
      </c>
      <c r="G351">
        <f>IFERROR([1]!s_stm07_is_104($A351,TEXT($B$1,"yyyy/mm/dd"),1),"")</f>
        <v>5174663.51</v>
      </c>
      <c r="H351">
        <f>IFERROR([1]!s_stm07_is_105($A351,TEXT($B$1,"yyyy/mm/dd"),1),"")</f>
        <v>1775873.88</v>
      </c>
      <c r="I351">
        <f>IFERROR([1]!s_stm07_is($A351,"W72946623",TEXT($B$1,"yyyy/mm/dd"),1),"")</f>
        <v>-20814927.989999998</v>
      </c>
      <c r="J351">
        <f>IFERROR([1]!s_stm07_is($A351,"W30028333",TEXT($B$1,"yyyy/mm/dd"),1),"")</f>
        <v>-48851287.009999998</v>
      </c>
      <c r="K351">
        <f>IFERROR([1]!s_stm07_cs($A351,"W77130581",TEXT($B$1,"yyyy/mm/dd"),1),"")</f>
        <v>116261982.97</v>
      </c>
      <c r="L351">
        <f>IFERROR([1]!s_stm07_cs($A351,"W77745895",TEXT($B$1,"yyyy/mm/dd"),1),"")</f>
        <v>23209958.829999998</v>
      </c>
      <c r="M351">
        <f>IFERROR([1]!S_FA_EPS_basic2($A351,$B$1,"Cur=CNY"),"")</f>
        <v>-2.9499999999999998E-2</v>
      </c>
      <c r="N351">
        <f>IFERROR([1]!s_fa_arturndays($A351,TEXT($B$1,"yyyy/mm/dd")),"")</f>
        <v>86.507300000000001</v>
      </c>
      <c r="O351" t="str">
        <f>IFERROR([1]!fa_apturndays($A351,TEXT($B$1,"yyyy/mm/dd")),"")</f>
        <v>Fetch...</v>
      </c>
      <c r="P351">
        <f>IFERROR([1]!s_fa_invturndays($A351,TEXT($B$1,"yyyy/mm/dd")),"")</f>
        <v>4.6924999999999999</v>
      </c>
    </row>
    <row r="352" spans="1:16">
      <c r="A352" t="s">
        <v>365</v>
      </c>
      <c r="B352">
        <f>IFERROR([1]!s_stm07_is($A352,"W70156729",TEXT($B$1,"yyyy/mm/dd"),1),"")</f>
        <v>2137227829.77</v>
      </c>
      <c r="C352">
        <f>IFERROR([1]!s_stm07_is($A352,"W75682424",TEXT($B$1,"yyyy/mm/dd"),1),"")</f>
        <v>1606292881.4200001</v>
      </c>
      <c r="D352">
        <f>IFERROR([1]!s_stm07_is($A352,"W76031679",TEXT($B$1,"yyyy/mm/dd"),1),"")</f>
        <v>127324923.77</v>
      </c>
      <c r="E352">
        <f>IFERROR([1]!s_stm07_is($A352,"W70752487",TEXT($B$1,"yyyy/mm/dd"),1),"")</f>
        <v>106592381.68000001</v>
      </c>
      <c r="F352">
        <f>IFERROR([1]!s_stm07_is_103($A352,TEXT($B$1,"yyyy/mm/dd"),1),"")</f>
        <v>171194945.84</v>
      </c>
      <c r="G352">
        <f>IFERROR([1]!s_stm07_is_104($A352,TEXT($B$1,"yyyy/mm/dd"),1),"")</f>
        <v>1137647.4099999999</v>
      </c>
      <c r="H352">
        <f>IFERROR([1]!s_stm07_is_105($A352,TEXT($B$1,"yyyy/mm/dd"),1),"")</f>
        <v>15080623.26</v>
      </c>
      <c r="I352">
        <f>IFERROR([1]!s_stm07_is($A352,"W72946623",TEXT($B$1,"yyyy/mm/dd"),1),"")</f>
        <v>129823159.59999999</v>
      </c>
      <c r="J352">
        <f>IFERROR([1]!s_stm07_is($A352,"W30028333",TEXT($B$1,"yyyy/mm/dd"),1),"")</f>
        <v>126374581.15000001</v>
      </c>
      <c r="K352">
        <f>IFERROR([1]!s_stm07_cs($A352,"W77130581",TEXT($B$1,"yyyy/mm/dd"),1),"")</f>
        <v>243302503.31</v>
      </c>
      <c r="L352">
        <f>IFERROR([1]!s_stm07_cs($A352,"W77745895",TEXT($B$1,"yyyy/mm/dd"),1),"")</f>
        <v>27412445.120000001</v>
      </c>
      <c r="M352">
        <f>IFERROR([1]!S_FA_EPS_basic2($A352,$B$1,"Cur=CNY"),"")</f>
        <v>0.22</v>
      </c>
      <c r="N352">
        <f>IFERROR([1]!s_fa_arturndays($A352,TEXT($B$1,"yyyy/mm/dd")),"")</f>
        <v>181.7723</v>
      </c>
      <c r="O352" t="str">
        <f>IFERROR([1]!fa_apturndays($A352,TEXT($B$1,"yyyy/mm/dd")),"")</f>
        <v>Fetch...</v>
      </c>
      <c r="P352">
        <f>IFERROR([1]!s_fa_invturndays($A352,TEXT($B$1,"yyyy/mm/dd")),"")</f>
        <v>178.4829</v>
      </c>
    </row>
    <row r="353" spans="1:16">
      <c r="A353" t="s">
        <v>366</v>
      </c>
      <c r="B353">
        <f>IFERROR([1]!s_stm07_is($A353,"W70156729",TEXT($B$1,"yyyy/mm/dd"),1),"")</f>
        <v>7789275344.6099997</v>
      </c>
      <c r="C353">
        <f>IFERROR([1]!s_stm07_is($A353,"W75682424",TEXT($B$1,"yyyy/mm/dd"),1),"")</f>
        <v>6097228981.8599997</v>
      </c>
      <c r="D353">
        <f>IFERROR([1]!s_stm07_is($A353,"W76031679",TEXT($B$1,"yyyy/mm/dd"),1),"")</f>
        <v>338259085.23000002</v>
      </c>
      <c r="E353">
        <f>IFERROR([1]!s_stm07_is($A353,"W70752487",TEXT($B$1,"yyyy/mm/dd"),1),"")</f>
        <v>760064308.73000002</v>
      </c>
      <c r="F353">
        <f>IFERROR([1]!s_stm07_is_103($A353,TEXT($B$1,"yyyy/mm/dd"),1),"")</f>
        <v>470510508.48000002</v>
      </c>
      <c r="G353">
        <f>IFERROR([1]!s_stm07_is_104($A353,TEXT($B$1,"yyyy/mm/dd"),1),"")</f>
        <v>60173932.57</v>
      </c>
      <c r="H353">
        <f>IFERROR([1]!s_stm07_is_105($A353,TEXT($B$1,"yyyy/mm/dd"),1),"")</f>
        <v>5951560.75</v>
      </c>
      <c r="I353">
        <f>IFERROR([1]!s_stm07_is($A353,"W72946623",TEXT($B$1,"yyyy/mm/dd"),1),"")</f>
        <v>-798709620.22000003</v>
      </c>
      <c r="J353">
        <f>IFERROR([1]!s_stm07_is($A353,"W30028333",TEXT($B$1,"yyyy/mm/dd"),1),"")</f>
        <v>-762938798.41999996</v>
      </c>
      <c r="K353">
        <f>IFERROR([1]!s_stm07_cs($A353,"W77130581",TEXT($B$1,"yyyy/mm/dd"),1),"")</f>
        <v>84756824.459999993</v>
      </c>
      <c r="L353">
        <f>IFERROR([1]!s_stm07_cs($A353,"W77745895",TEXT($B$1,"yyyy/mm/dd"),1),"")</f>
        <v>328010350.14999998</v>
      </c>
      <c r="M353">
        <f>IFERROR([1]!S_FA_EPS_basic2($A353,$B$1,"Cur=CNY"),"")</f>
        <v>-1.2242</v>
      </c>
      <c r="N353">
        <f>IFERROR([1]!s_fa_arturndays($A353,TEXT($B$1,"yyyy/mm/dd")),"")</f>
        <v>203.08</v>
      </c>
      <c r="O353" t="str">
        <f>IFERROR([1]!fa_apturndays($A353,TEXT($B$1,"yyyy/mm/dd")),"")</f>
        <v>Fetch...</v>
      </c>
      <c r="P353">
        <f>IFERROR([1]!s_fa_invturndays($A353,TEXT($B$1,"yyyy/mm/dd")),"")</f>
        <v>220.0086</v>
      </c>
    </row>
    <row r="354" spans="1:16">
      <c r="A354" t="s">
        <v>367</v>
      </c>
      <c r="B354">
        <f>IFERROR([1]!s_stm07_is($A354,"W70156729",TEXT($B$1,"yyyy/mm/dd"),1),"")</f>
        <v>39353112419.779999</v>
      </c>
      <c r="C354">
        <f>IFERROR([1]!s_stm07_is($A354,"W75682424",TEXT($B$1,"yyyy/mm/dd"),1),"")</f>
        <v>23571041381.700001</v>
      </c>
      <c r="D354">
        <f>IFERROR([1]!s_stm07_is($A354,"W76031679",TEXT($B$1,"yyyy/mm/dd"),1),"")</f>
        <v>1635955164.23</v>
      </c>
      <c r="E354">
        <f>IFERROR([1]!s_stm07_is($A354,"W70752487",TEXT($B$1,"yyyy/mm/dd"),1),"")</f>
        <v>3433421029.9899998</v>
      </c>
      <c r="F354">
        <f>IFERROR([1]!s_stm07_is_103($A354,TEXT($B$1,"yyyy/mm/dd"),1),"")</f>
        <v>5435445365.5</v>
      </c>
      <c r="G354">
        <f>IFERROR([1]!s_stm07_is_104($A354,TEXT($B$1,"yyyy/mm/dd"),1),"")</f>
        <v>281031408.69999999</v>
      </c>
      <c r="H354">
        <f>IFERROR([1]!s_stm07_is_105($A354,TEXT($B$1,"yyyy/mm/dd"),1),"")</f>
        <v>91295055.870000005</v>
      </c>
      <c r="I354">
        <f>IFERROR([1]!s_stm07_is($A354,"W72946623",TEXT($B$1,"yyyy/mm/dd"),1),"")</f>
        <v>5845114774.7700005</v>
      </c>
      <c r="J354">
        <f>IFERROR([1]!s_stm07_is($A354,"W30028333",TEXT($B$1,"yyyy/mm/dd"),1),"")</f>
        <v>5521993004.8599997</v>
      </c>
      <c r="K354">
        <f>IFERROR([1]!s_stm07_cs($A354,"W77130581",TEXT($B$1,"yyyy/mm/dd"),1),"")</f>
        <v>2133444577.8499999</v>
      </c>
      <c r="L354">
        <f>IFERROR([1]!s_stm07_cs($A354,"W77745895",TEXT($B$1,"yyyy/mm/dd"),1),"")</f>
        <v>2261525919.3000002</v>
      </c>
      <c r="M354">
        <f>IFERROR([1]!S_FA_EPS_basic2($A354,$B$1,"Cur=CNY"),"")</f>
        <v>7.6445999999999996</v>
      </c>
      <c r="N354">
        <f>IFERROR([1]!s_fa_arturndays($A354,TEXT($B$1,"yyyy/mm/dd")),"")</f>
        <v>65.233900000000006</v>
      </c>
      <c r="O354" t="str">
        <f>IFERROR([1]!fa_apturndays($A354,TEXT($B$1,"yyyy/mm/dd")),"")</f>
        <v>Fetch...</v>
      </c>
      <c r="P354">
        <f>IFERROR([1]!s_fa_invturndays($A354,TEXT($B$1,"yyyy/mm/dd")),"")</f>
        <v>405.67950000000002</v>
      </c>
    </row>
    <row r="355" spans="1:16">
      <c r="A355" t="s">
        <v>368</v>
      </c>
      <c r="B355">
        <f>IFERROR([1]!s_stm07_is($A355,"W70156729",TEXT($B$1,"yyyy/mm/dd"),1),"")</f>
        <v>5381991829.0200005</v>
      </c>
      <c r="C355">
        <f>IFERROR([1]!s_stm07_is($A355,"W75682424",TEXT($B$1,"yyyy/mm/dd"),1),"")</f>
        <v>3176274733.77</v>
      </c>
      <c r="D355">
        <f>IFERROR([1]!s_stm07_is($A355,"W76031679",TEXT($B$1,"yyyy/mm/dd"),1),"")</f>
        <v>819463055.71000004</v>
      </c>
      <c r="E355">
        <f>IFERROR([1]!s_stm07_is($A355,"W70752487",TEXT($B$1,"yyyy/mm/dd"),1),"")</f>
        <v>284410901.42000002</v>
      </c>
      <c r="F355">
        <f>IFERROR([1]!s_stm07_is_103($A355,TEXT($B$1,"yyyy/mm/dd"),1),"")</f>
        <v>173993148.93000001</v>
      </c>
      <c r="G355">
        <f>IFERROR([1]!s_stm07_is_104($A355,TEXT($B$1,"yyyy/mm/dd"),1),"")</f>
        <v>1193548.67</v>
      </c>
      <c r="H355">
        <f>IFERROR([1]!s_stm07_is_105($A355,TEXT($B$1,"yyyy/mm/dd"),1),"")</f>
        <v>16240860.25</v>
      </c>
      <c r="I355">
        <f>IFERROR([1]!s_stm07_is($A355,"W72946623",TEXT($B$1,"yyyy/mm/dd"),1),"")</f>
        <v>893513630.53999996</v>
      </c>
      <c r="J355">
        <f>IFERROR([1]!s_stm07_is($A355,"W30028333",TEXT($B$1,"yyyy/mm/dd"),1),"")</f>
        <v>740777487.24000001</v>
      </c>
      <c r="K355">
        <f>IFERROR([1]!s_stm07_cs($A355,"W77130581",TEXT($B$1,"yyyy/mm/dd"),1),"")</f>
        <v>1178385378.8800001</v>
      </c>
      <c r="L355">
        <f>IFERROR([1]!s_stm07_cs($A355,"W77745895",TEXT($B$1,"yyyy/mm/dd"),1),"")</f>
        <v>248505025.22999999</v>
      </c>
      <c r="M355">
        <f>IFERROR([1]!S_FA_EPS_basic2($A355,$B$1,"Cur=CNY"),"")</f>
        <v>0.47</v>
      </c>
      <c r="N355">
        <f>IFERROR([1]!s_fa_arturndays($A355,TEXT($B$1,"yyyy/mm/dd")),"")</f>
        <v>32.5456</v>
      </c>
      <c r="O355" t="str">
        <f>IFERROR([1]!fa_apturndays($A355,TEXT($B$1,"yyyy/mm/dd")),"")</f>
        <v>Fetch...</v>
      </c>
      <c r="P355">
        <f>IFERROR([1]!s_fa_invturndays($A355,TEXT($B$1,"yyyy/mm/dd")),"")</f>
        <v>103.5792</v>
      </c>
    </row>
    <row r="356" spans="1:16">
      <c r="A356" t="s">
        <v>369</v>
      </c>
      <c r="B356">
        <f>IFERROR([1]!s_stm07_is($A356,"W70156729",TEXT($B$1,"yyyy/mm/dd"),1),"")</f>
        <v>8217084168.5500002</v>
      </c>
      <c r="C356">
        <f>IFERROR([1]!s_stm07_is($A356,"W75682424",TEXT($B$1,"yyyy/mm/dd"),1),"")</f>
        <v>5653008288.4700003</v>
      </c>
      <c r="D356">
        <f>IFERROR([1]!s_stm07_is($A356,"W76031679",TEXT($B$1,"yyyy/mm/dd"),1),"")</f>
        <v>1075353360.1400001</v>
      </c>
      <c r="E356">
        <f>IFERROR([1]!s_stm07_is($A356,"W70752487",TEXT($B$1,"yyyy/mm/dd"),1),"")</f>
        <v>356261037.42000002</v>
      </c>
      <c r="F356">
        <f>IFERROR([1]!s_stm07_is_103($A356,TEXT($B$1,"yyyy/mm/dd"),1),"")</f>
        <v>1087497232.45</v>
      </c>
      <c r="G356">
        <f>IFERROR([1]!s_stm07_is_104($A356,TEXT($B$1,"yyyy/mm/dd"),1),"")</f>
        <v>8526466.3599999994</v>
      </c>
      <c r="H356">
        <f>IFERROR([1]!s_stm07_is_105($A356,TEXT($B$1,"yyyy/mm/dd"),1),"")</f>
        <v>57294844.5</v>
      </c>
      <c r="I356">
        <f>IFERROR([1]!s_stm07_is($A356,"W72946623",TEXT($B$1,"yyyy/mm/dd"),1),"")</f>
        <v>336325170.72000003</v>
      </c>
      <c r="J356">
        <f>IFERROR([1]!s_stm07_is($A356,"W30028333",TEXT($B$1,"yyyy/mm/dd"),1),"")</f>
        <v>268437221.38999999</v>
      </c>
      <c r="K356">
        <f>IFERROR([1]!s_stm07_cs($A356,"W77130581",TEXT($B$1,"yyyy/mm/dd"),1),"")</f>
        <v>776380209.80999994</v>
      </c>
      <c r="L356">
        <f>IFERROR([1]!s_stm07_cs($A356,"W77745895",TEXT($B$1,"yyyy/mm/dd"),1),"")</f>
        <v>163080410.13</v>
      </c>
      <c r="M356">
        <f>IFERROR([1]!S_FA_EPS_basic2($A356,$B$1,"Cur=CNY"),"")</f>
        <v>0.17</v>
      </c>
      <c r="N356">
        <f>IFERROR([1]!s_fa_arturndays($A356,TEXT($B$1,"yyyy/mm/dd")),"")</f>
        <v>166.18199999999999</v>
      </c>
      <c r="O356" t="str">
        <f>IFERROR([1]!fa_apturndays($A356,TEXT($B$1,"yyyy/mm/dd")),"")</f>
        <v>Fetch...</v>
      </c>
      <c r="P356">
        <f>IFERROR([1]!s_fa_invturndays($A356,TEXT($B$1,"yyyy/mm/dd")),"")</f>
        <v>143.2038</v>
      </c>
    </row>
    <row r="357" spans="1:16">
      <c r="A357" t="s">
        <v>370</v>
      </c>
      <c r="B357">
        <f>IFERROR([1]!s_stm07_is($A357,"W70156729",TEXT($B$1,"yyyy/mm/dd"),1),"")</f>
        <v>5201943993.75</v>
      </c>
      <c r="C357">
        <f>IFERROR([1]!s_stm07_is($A357,"W75682424",TEXT($B$1,"yyyy/mm/dd"),1),"")</f>
        <v>4356455877.8100004</v>
      </c>
      <c r="D357">
        <f>IFERROR([1]!s_stm07_is($A357,"W76031679",TEXT($B$1,"yyyy/mm/dd"),1),"")</f>
        <v>78149902.489999995</v>
      </c>
      <c r="E357">
        <f>IFERROR([1]!s_stm07_is($A357,"W70752487",TEXT($B$1,"yyyy/mm/dd"),1),"")</f>
        <v>177959584.63999999</v>
      </c>
      <c r="F357">
        <f>IFERROR([1]!s_stm07_is_103($A357,TEXT($B$1,"yyyy/mm/dd"),1),"")</f>
        <v>116109885.45999999</v>
      </c>
      <c r="G357">
        <f>IFERROR([1]!s_stm07_is_104($A357,TEXT($B$1,"yyyy/mm/dd"),1),"")</f>
        <v>73919389.430000007</v>
      </c>
      <c r="H357">
        <f>IFERROR([1]!s_stm07_is_105($A357,TEXT($B$1,"yyyy/mm/dd"),1),"")</f>
        <v>1671171.32</v>
      </c>
      <c r="I357">
        <f>IFERROR([1]!s_stm07_is($A357,"W72946623",TEXT($B$1,"yyyy/mm/dd"),1),"")</f>
        <v>333339508.45999998</v>
      </c>
      <c r="J357">
        <f>IFERROR([1]!s_stm07_is($A357,"W30028333",TEXT($B$1,"yyyy/mm/dd"),1),"")</f>
        <v>290425623.44999999</v>
      </c>
      <c r="K357">
        <f>IFERROR([1]!s_stm07_cs($A357,"W77130581",TEXT($B$1,"yyyy/mm/dd"),1),"")</f>
        <v>158866265.30000001</v>
      </c>
      <c r="L357">
        <f>IFERROR([1]!s_stm07_cs($A357,"W77745895",TEXT($B$1,"yyyy/mm/dd"),1),"")</f>
        <v>240370424.03999999</v>
      </c>
      <c r="M357">
        <f>IFERROR([1]!S_FA_EPS_basic2($A357,$B$1,"Cur=CNY"),"")</f>
        <v>0.24</v>
      </c>
      <c r="N357">
        <f>IFERROR([1]!s_fa_arturndays($A357,TEXT($B$1,"yyyy/mm/dd")),"")</f>
        <v>20.547000000000001</v>
      </c>
      <c r="O357" t="str">
        <f>IFERROR([1]!fa_apturndays($A357,TEXT($B$1,"yyyy/mm/dd")),"")</f>
        <v>Fetch...</v>
      </c>
      <c r="P357">
        <f>IFERROR([1]!s_fa_invturndays($A357,TEXT($B$1,"yyyy/mm/dd")),"")</f>
        <v>170.33359999999999</v>
      </c>
    </row>
    <row r="358" spans="1:16">
      <c r="A358" t="s">
        <v>371</v>
      </c>
      <c r="B358">
        <f>IFERROR([1]!s_stm07_is($A358,"W70156729",TEXT($B$1,"yyyy/mm/dd"),1),"")</f>
        <v>40124858839.519997</v>
      </c>
      <c r="C358">
        <f>IFERROR([1]!s_stm07_is($A358,"W75682424",TEXT($B$1,"yyyy/mm/dd"),1),"")</f>
        <v>34472669748.769997</v>
      </c>
      <c r="D358">
        <f>IFERROR([1]!s_stm07_is($A358,"W76031679",TEXT($B$1,"yyyy/mm/dd"),1),"")</f>
        <v>445146409.06</v>
      </c>
      <c r="E358">
        <f>IFERROR([1]!s_stm07_is($A358,"W70752487",TEXT($B$1,"yyyy/mm/dd"),1),"")</f>
        <v>1414555307.76</v>
      </c>
      <c r="F358">
        <f>IFERROR([1]!s_stm07_is_103($A358,TEXT($B$1,"yyyy/mm/dd"),1),"")</f>
        <v>1417226723.8699999</v>
      </c>
      <c r="G358">
        <f>IFERROR([1]!s_stm07_is_104($A358,TEXT($B$1,"yyyy/mm/dd"),1),"")</f>
        <v>443476258</v>
      </c>
      <c r="H358">
        <f>IFERROR([1]!s_stm07_is_105($A358,TEXT($B$1,"yyyy/mm/dd"),1),"")</f>
        <v>200834090.18000001</v>
      </c>
      <c r="I358">
        <f>IFERROR([1]!s_stm07_is($A358,"W72946623",TEXT($B$1,"yyyy/mm/dd"),1),"")</f>
        <v>1690416767.8699999</v>
      </c>
      <c r="J358">
        <f>IFERROR([1]!s_stm07_is($A358,"W30028333",TEXT($B$1,"yyyy/mm/dd"),1),"")</f>
        <v>1386066705.5599999</v>
      </c>
      <c r="K358">
        <f>IFERROR([1]!s_stm07_cs($A358,"W77130581",TEXT($B$1,"yyyy/mm/dd"),1),"")</f>
        <v>5307141746.9899998</v>
      </c>
      <c r="L358">
        <f>IFERROR([1]!s_stm07_cs($A358,"W77745895",TEXT($B$1,"yyyy/mm/dd"),1),"")</f>
        <v>4383254216.3500004</v>
      </c>
      <c r="M358">
        <f>IFERROR([1]!S_FA_EPS_basic2($A358,$B$1,"Cur=CNY"),"")</f>
        <v>0.79</v>
      </c>
      <c r="N358">
        <f>IFERROR([1]!s_fa_arturndays($A358,TEXT($B$1,"yyyy/mm/dd")),"")</f>
        <v>78.308499999999995</v>
      </c>
      <c r="O358" t="str">
        <f>IFERROR([1]!fa_apturndays($A358,TEXT($B$1,"yyyy/mm/dd")),"")</f>
        <v>Fetch...</v>
      </c>
      <c r="P358">
        <f>IFERROR([1]!s_fa_invturndays($A358,TEXT($B$1,"yyyy/mm/dd")),"")</f>
        <v>78.748800000000003</v>
      </c>
    </row>
    <row r="359" spans="1:16">
      <c r="A359" t="s">
        <v>372</v>
      </c>
      <c r="B359">
        <f>IFERROR([1]!s_stm07_is($A359,"W70156729",TEXT($B$1,"yyyy/mm/dd"),1),"")</f>
        <v>29118934803.380001</v>
      </c>
      <c r="C359">
        <f>IFERROR([1]!s_stm07_is($A359,"W75682424",TEXT($B$1,"yyyy/mm/dd"),1),"")</f>
        <v>25407384807.529999</v>
      </c>
      <c r="D359">
        <f>IFERROR([1]!s_stm07_is($A359,"W76031679",TEXT($B$1,"yyyy/mm/dd"),1),"")</f>
        <v>1139365107.72</v>
      </c>
      <c r="E359">
        <f>IFERROR([1]!s_stm07_is($A359,"W70752487",TEXT($B$1,"yyyy/mm/dd"),1),"")</f>
        <v>1392039619.9400001</v>
      </c>
      <c r="F359">
        <f>IFERROR([1]!s_stm07_is_103($A359,TEXT($B$1,"yyyy/mm/dd"),1),"")</f>
        <v>711290268.12</v>
      </c>
      <c r="G359">
        <f>IFERROR([1]!s_stm07_is_104($A359,TEXT($B$1,"yyyy/mm/dd"),1),"")</f>
        <v>489377005.69999999</v>
      </c>
      <c r="H359">
        <f>IFERROR([1]!s_stm07_is_105($A359,TEXT($B$1,"yyyy/mm/dd"),1),"")</f>
        <v>24240602.469999999</v>
      </c>
      <c r="I359">
        <f>IFERROR([1]!s_stm07_is($A359,"W72946623",TEXT($B$1,"yyyy/mm/dd"),1),"")</f>
        <v>-359599562.38</v>
      </c>
      <c r="J359">
        <f>IFERROR([1]!s_stm07_is($A359,"W30028333",TEXT($B$1,"yyyy/mm/dd"),1),"")</f>
        <v>-641524003.71000004</v>
      </c>
      <c r="K359">
        <f>IFERROR([1]!s_stm07_cs($A359,"W77130581",TEXT($B$1,"yyyy/mm/dd"),1),"")</f>
        <v>828752845.82000005</v>
      </c>
      <c r="L359">
        <f>IFERROR([1]!s_stm07_cs($A359,"W77745895",TEXT($B$1,"yyyy/mm/dd"),1),"")</f>
        <v>809620541.09000003</v>
      </c>
      <c r="M359">
        <f>IFERROR([1]!S_FA_EPS_basic2($A359,$B$1,"Cur=CNY"),"")</f>
        <v>-0.15</v>
      </c>
      <c r="N359">
        <f>IFERROR([1]!s_fa_arturndays($A359,TEXT($B$1,"yyyy/mm/dd")),"")</f>
        <v>13.454499999999999</v>
      </c>
      <c r="O359" t="str">
        <f>IFERROR([1]!fa_apturndays($A359,TEXT($B$1,"yyyy/mm/dd")),"")</f>
        <v>Fetch...</v>
      </c>
      <c r="P359">
        <f>IFERROR([1]!s_fa_invturndays($A359,TEXT($B$1,"yyyy/mm/dd")),"")</f>
        <v>65.700599999999994</v>
      </c>
    </row>
    <row r="360" spans="1:16">
      <c r="A360" t="s">
        <v>373</v>
      </c>
      <c r="B360">
        <f>IFERROR([1]!s_stm07_is($A360,"W70156729",TEXT($B$1,"yyyy/mm/dd"),1),"")</f>
        <v>2930470691.25</v>
      </c>
      <c r="C360">
        <f>IFERROR([1]!s_stm07_is($A360,"W75682424",TEXT($B$1,"yyyy/mm/dd"),1),"")</f>
        <v>2378347255.8800001</v>
      </c>
      <c r="D360">
        <f>IFERROR([1]!s_stm07_is($A360,"W76031679",TEXT($B$1,"yyyy/mm/dd"),1),"")</f>
        <v>40525103.079999998</v>
      </c>
      <c r="E360">
        <f>IFERROR([1]!s_stm07_is($A360,"W70752487",TEXT($B$1,"yyyy/mm/dd"),1),"")</f>
        <v>266344721.30000001</v>
      </c>
      <c r="F360">
        <f>IFERROR([1]!s_stm07_is_103($A360,TEXT($B$1,"yyyy/mm/dd"),1),"")</f>
        <v>153411406.78999999</v>
      </c>
      <c r="G360">
        <f>IFERROR([1]!s_stm07_is_104($A360,TEXT($B$1,"yyyy/mm/dd"),1),"")</f>
        <v>10300464.880000001</v>
      </c>
      <c r="H360">
        <f>IFERROR([1]!s_stm07_is_105($A360,TEXT($B$1,"yyyy/mm/dd"),1),"")</f>
        <v>12342121.4</v>
      </c>
      <c r="I360">
        <f>IFERROR([1]!s_stm07_is($A360,"W72946623",TEXT($B$1,"yyyy/mm/dd"),1),"")</f>
        <v>61179434.280000001</v>
      </c>
      <c r="J360">
        <f>IFERROR([1]!s_stm07_is($A360,"W30028333",TEXT($B$1,"yyyy/mm/dd"),1),"")</f>
        <v>26934376</v>
      </c>
      <c r="K360">
        <f>IFERROR([1]!s_stm07_cs($A360,"W77130581",TEXT($B$1,"yyyy/mm/dd"),1),"")</f>
        <v>-260876337.88999999</v>
      </c>
      <c r="L360">
        <f>IFERROR([1]!s_stm07_cs($A360,"W77745895",TEXT($B$1,"yyyy/mm/dd"),1),"")</f>
        <v>223882832.44</v>
      </c>
      <c r="M360">
        <f>IFERROR([1]!S_FA_EPS_basic2($A360,$B$1,"Cur=CNY"),"")</f>
        <v>0.03</v>
      </c>
      <c r="N360">
        <f>IFERROR([1]!s_fa_arturndays($A360,TEXT($B$1,"yyyy/mm/dd")),"")</f>
        <v>392.32780000000002</v>
      </c>
      <c r="O360" t="str">
        <f>IFERROR([1]!fa_apturndays($A360,TEXT($B$1,"yyyy/mm/dd")),"")</f>
        <v>Fetch...</v>
      </c>
      <c r="P360">
        <f>IFERROR([1]!s_fa_invturndays($A360,TEXT($B$1,"yyyy/mm/dd")),"")</f>
        <v>219.49879999999999</v>
      </c>
    </row>
    <row r="361" spans="1:16">
      <c r="A361" t="s">
        <v>374</v>
      </c>
      <c r="B361">
        <f>IFERROR([1]!s_stm07_is($A361,"W70156729",TEXT($B$1,"yyyy/mm/dd"),1),"")</f>
        <v>5619564836.8800001</v>
      </c>
      <c r="C361">
        <f>IFERROR([1]!s_stm07_is($A361,"W75682424",TEXT($B$1,"yyyy/mm/dd"),1),"")</f>
        <v>4627837535.8800001</v>
      </c>
      <c r="D361">
        <f>IFERROR([1]!s_stm07_is($A361,"W76031679",TEXT($B$1,"yyyy/mm/dd"),1),"")</f>
        <v>253710732.31</v>
      </c>
      <c r="E361">
        <f>IFERROR([1]!s_stm07_is($A361,"W70752487",TEXT($B$1,"yyyy/mm/dd"),1),"")</f>
        <v>355953371.75</v>
      </c>
      <c r="F361">
        <f>IFERROR([1]!s_stm07_is_103($A361,TEXT($B$1,"yyyy/mm/dd"),1),"")</f>
        <v>5796252.2199999997</v>
      </c>
      <c r="G361">
        <f>IFERROR([1]!s_stm07_is_104($A361,TEXT($B$1,"yyyy/mm/dd"),1),"")</f>
        <v>18451423.539999999</v>
      </c>
      <c r="H361">
        <f>IFERROR([1]!s_stm07_is_105($A361,TEXT($B$1,"yyyy/mm/dd"),1),"")</f>
        <v>6820730.8799999999</v>
      </c>
      <c r="I361">
        <f>IFERROR([1]!s_stm07_is($A361,"W72946623",TEXT($B$1,"yyyy/mm/dd"),1),"")</f>
        <v>229964735.61000001</v>
      </c>
      <c r="J361">
        <f>IFERROR([1]!s_stm07_is($A361,"W30028333",TEXT($B$1,"yyyy/mm/dd"),1),"")</f>
        <v>120285770.05</v>
      </c>
      <c r="K361">
        <f>IFERROR([1]!s_stm07_cs($A361,"W77130581",TEXT($B$1,"yyyy/mm/dd"),1),"")</f>
        <v>732530622.50999999</v>
      </c>
      <c r="L361">
        <f>IFERROR([1]!s_stm07_cs($A361,"W77745895",TEXT($B$1,"yyyy/mm/dd"),1),"")</f>
        <v>85420518.870000005</v>
      </c>
      <c r="M361">
        <f>IFERROR([1]!S_FA_EPS_basic2($A361,$B$1,"Cur=CNY"),"")</f>
        <v>6.3399999999999998E-2</v>
      </c>
      <c r="N361">
        <f>IFERROR([1]!s_fa_arturndays($A361,TEXT($B$1,"yyyy/mm/dd")),"")</f>
        <v>155.76320000000001</v>
      </c>
      <c r="O361" t="str">
        <f>IFERROR([1]!fa_apturndays($A361,TEXT($B$1,"yyyy/mm/dd")),"")</f>
        <v>Fetch...</v>
      </c>
      <c r="P361">
        <f>IFERROR([1]!s_fa_invturndays($A361,TEXT($B$1,"yyyy/mm/dd")),"")</f>
        <v>76.298699999999997</v>
      </c>
    </row>
    <row r="362" spans="1:16">
      <c r="A362" t="s">
        <v>375</v>
      </c>
      <c r="B362">
        <f>IFERROR([1]!s_stm07_is($A362,"W70156729",TEXT($B$1,"yyyy/mm/dd"),1),"")</f>
        <v>19156872095.459999</v>
      </c>
      <c r="C362">
        <f>IFERROR([1]!s_stm07_is($A362,"W75682424",TEXT($B$1,"yyyy/mm/dd"),1),"")</f>
        <v>12980499580.32</v>
      </c>
      <c r="D362">
        <f>IFERROR([1]!s_stm07_is($A362,"W76031679",TEXT($B$1,"yyyy/mm/dd"),1),"")</f>
        <v>1982572958.23</v>
      </c>
      <c r="E362">
        <f>IFERROR([1]!s_stm07_is($A362,"W70752487",TEXT($B$1,"yyyy/mm/dd"),1),"")</f>
        <v>904487764.39999998</v>
      </c>
      <c r="F362">
        <f>IFERROR([1]!s_stm07_is_103($A362,TEXT($B$1,"yyyy/mm/dd"),1),"")</f>
        <v>2435010180.6799998</v>
      </c>
      <c r="G362">
        <f>IFERROR([1]!s_stm07_is_104($A362,TEXT($B$1,"yyyy/mm/dd"),1),"")</f>
        <v>41929243.240000002</v>
      </c>
      <c r="H362">
        <f>IFERROR([1]!s_stm07_is_105($A362,TEXT($B$1,"yyyy/mm/dd"),1),"")</f>
        <v>55199636.130000003</v>
      </c>
      <c r="I362">
        <f>IFERROR([1]!s_stm07_is($A362,"W72946623",TEXT($B$1,"yyyy/mm/dd"),1),"")</f>
        <v>961631528.99000001</v>
      </c>
      <c r="J362">
        <f>IFERROR([1]!s_stm07_is($A362,"W30028333",TEXT($B$1,"yyyy/mm/dd"),1),"")</f>
        <v>408861465.49000001</v>
      </c>
      <c r="K362">
        <f>IFERROR([1]!s_stm07_cs($A362,"W77130581",TEXT($B$1,"yyyy/mm/dd"),1),"")</f>
        <v>2090520188.8599999</v>
      </c>
      <c r="L362">
        <f>IFERROR([1]!s_stm07_cs($A362,"W77745895",TEXT($B$1,"yyyy/mm/dd"),1),"")</f>
        <v>326559012.20999998</v>
      </c>
      <c r="M362">
        <f>IFERROR([1]!S_FA_EPS_basic2($A362,$B$1,"Cur=CNY"),"")</f>
        <v>0.70589999999999997</v>
      </c>
      <c r="N362">
        <f>IFERROR([1]!s_fa_arturndays($A362,TEXT($B$1,"yyyy/mm/dd")),"")</f>
        <v>59.920099999999998</v>
      </c>
      <c r="O362" t="str">
        <f>IFERROR([1]!fa_apturndays($A362,TEXT($B$1,"yyyy/mm/dd")),"")</f>
        <v>Fetch...</v>
      </c>
      <c r="P362">
        <f>IFERROR([1]!s_fa_invturndays($A362,TEXT($B$1,"yyyy/mm/dd")),"")</f>
        <v>122.3533</v>
      </c>
    </row>
    <row r="363" spans="1:16">
      <c r="A363" t="s">
        <v>376</v>
      </c>
      <c r="B363">
        <f>IFERROR([1]!s_stm07_is($A363,"W70156729",TEXT($B$1,"yyyy/mm/dd"),1),"")</f>
        <v>5478982088.2399998</v>
      </c>
      <c r="C363">
        <f>IFERROR([1]!s_stm07_is($A363,"W75682424",TEXT($B$1,"yyyy/mm/dd"),1),"")</f>
        <v>3735991898.8099999</v>
      </c>
      <c r="D363">
        <f>IFERROR([1]!s_stm07_is($A363,"W76031679",TEXT($B$1,"yyyy/mm/dd"),1),"")</f>
        <v>428459625.18000001</v>
      </c>
      <c r="E363">
        <f>IFERROR([1]!s_stm07_is($A363,"W70752487",TEXT($B$1,"yyyy/mm/dd"),1),"")</f>
        <v>419343755.27999997</v>
      </c>
      <c r="F363">
        <f>IFERROR([1]!s_stm07_is_103($A363,TEXT($B$1,"yyyy/mm/dd"),1),"")</f>
        <v>226158413.69</v>
      </c>
      <c r="G363">
        <f>IFERROR([1]!s_stm07_is_104($A363,TEXT($B$1,"yyyy/mm/dd"),1),"")</f>
        <v>71439028.049999997</v>
      </c>
      <c r="H363">
        <f>IFERROR([1]!s_stm07_is_105($A363,TEXT($B$1,"yyyy/mm/dd"),1),"")</f>
        <v>38270476.43</v>
      </c>
      <c r="I363">
        <f>IFERROR([1]!s_stm07_is($A363,"W72946623",TEXT($B$1,"yyyy/mm/dd"),1),"")</f>
        <v>402239853.05000001</v>
      </c>
      <c r="J363">
        <f>IFERROR([1]!s_stm07_is($A363,"W30028333",TEXT($B$1,"yyyy/mm/dd"),1),"")</f>
        <v>349485811.77999997</v>
      </c>
      <c r="K363">
        <f>IFERROR([1]!s_stm07_cs($A363,"W77130581",TEXT($B$1,"yyyy/mm/dd"),1),"")</f>
        <v>1712950492.6300001</v>
      </c>
      <c r="L363">
        <f>IFERROR([1]!s_stm07_cs($A363,"W77745895",TEXT($B$1,"yyyy/mm/dd"),1),"")</f>
        <v>121101942.7</v>
      </c>
      <c r="M363">
        <f>IFERROR([1]!S_FA_EPS_basic2($A363,$B$1,"Cur=CNY"),"")</f>
        <v>0.2382</v>
      </c>
      <c r="N363">
        <f>IFERROR([1]!s_fa_arturndays($A363,TEXT($B$1,"yyyy/mm/dd")),"")</f>
        <v>83.643100000000004</v>
      </c>
      <c r="O363" t="str">
        <f>IFERROR([1]!fa_apturndays($A363,TEXT($B$1,"yyyy/mm/dd")),"")</f>
        <v>Fetch...</v>
      </c>
      <c r="P363">
        <f>IFERROR([1]!s_fa_invturndays($A363,TEXT($B$1,"yyyy/mm/dd")),"")</f>
        <v>474.30829999999997</v>
      </c>
    </row>
    <row r="364" spans="1:16">
      <c r="A364" t="s">
        <v>377</v>
      </c>
      <c r="B364">
        <f>IFERROR([1]!s_stm07_is($A364,"W70156729",TEXT($B$1,"yyyy/mm/dd"),1),"")</f>
        <v>21353658964.84</v>
      </c>
      <c r="C364">
        <f>IFERROR([1]!s_stm07_is($A364,"W75682424",TEXT($B$1,"yyyy/mm/dd"),1),"")</f>
        <v>20104912253.93</v>
      </c>
      <c r="D364">
        <f>IFERROR([1]!s_stm07_is($A364,"W76031679",TEXT($B$1,"yyyy/mm/dd"),1),"")</f>
        <v>616130991.78999996</v>
      </c>
      <c r="E364">
        <f>IFERROR([1]!s_stm07_is($A364,"W70752487",TEXT($B$1,"yyyy/mm/dd"),1),"")</f>
        <v>226132025.88999999</v>
      </c>
      <c r="F364">
        <f>IFERROR([1]!s_stm07_is_103($A364,TEXT($B$1,"yyyy/mm/dd"),1),"")</f>
        <v>231451347.83000001</v>
      </c>
      <c r="G364">
        <f>IFERROR([1]!s_stm07_is_104($A364,TEXT($B$1,"yyyy/mm/dd"),1),"")</f>
        <v>39810263.240000002</v>
      </c>
      <c r="H364">
        <f>IFERROR([1]!s_stm07_is_105($A364,TEXT($B$1,"yyyy/mm/dd"),1),"")</f>
        <v>15182938.24</v>
      </c>
      <c r="I364">
        <f>IFERROR([1]!s_stm07_is($A364,"W72946623",TEXT($B$1,"yyyy/mm/dd"),1),"")</f>
        <v>190413943.11000001</v>
      </c>
      <c r="J364">
        <f>IFERROR([1]!s_stm07_is($A364,"W30028333",TEXT($B$1,"yyyy/mm/dd"),1),"")</f>
        <v>89969470.590000004</v>
      </c>
      <c r="K364">
        <f>IFERROR([1]!s_stm07_cs($A364,"W77130581",TEXT($B$1,"yyyy/mm/dd"),1),"")</f>
        <v>-426997431.56999999</v>
      </c>
      <c r="L364">
        <f>IFERROR([1]!s_stm07_cs($A364,"W77745895",TEXT($B$1,"yyyy/mm/dd"),1),"")</f>
        <v>12712942.15</v>
      </c>
      <c r="M364">
        <f>IFERROR([1]!S_FA_EPS_basic2($A364,$B$1,"Cur=CNY"),"")</f>
        <v>5.16E-2</v>
      </c>
      <c r="N364">
        <f>IFERROR([1]!s_fa_arturndays($A364,TEXT($B$1,"yyyy/mm/dd")),"")</f>
        <v>87.427400000000006</v>
      </c>
      <c r="O364" t="str">
        <f>IFERROR([1]!fa_apturndays($A364,TEXT($B$1,"yyyy/mm/dd")),"")</f>
        <v>Fetch...</v>
      </c>
      <c r="P364">
        <f>IFERROR([1]!s_fa_invturndays($A364,TEXT($B$1,"yyyy/mm/dd")),"")</f>
        <v>4.8910999999999998</v>
      </c>
    </row>
    <row r="365" spans="1:16">
      <c r="A365" t="s">
        <v>378</v>
      </c>
      <c r="B365">
        <f>IFERROR([1]!s_stm07_is($A365,"W70156729",TEXT($B$1,"yyyy/mm/dd"),1),"")</f>
        <v>10722317671.639999</v>
      </c>
      <c r="C365">
        <f>IFERROR([1]!s_stm07_is($A365,"W75682424",TEXT($B$1,"yyyy/mm/dd"),1),"")</f>
        <v>8574837458.2600002</v>
      </c>
      <c r="D365">
        <f>IFERROR([1]!s_stm07_is($A365,"W76031679",TEXT($B$1,"yyyy/mm/dd"),1),"")</f>
        <v>218262907.75</v>
      </c>
      <c r="E365">
        <f>IFERROR([1]!s_stm07_is($A365,"W70752487",TEXT($B$1,"yyyy/mm/dd"),1),"")</f>
        <v>401421025.93000001</v>
      </c>
      <c r="F365">
        <f>IFERROR([1]!s_stm07_is_103($A365,TEXT($B$1,"yyyy/mm/dd"),1),"")</f>
        <v>659470590.74000001</v>
      </c>
      <c r="G365">
        <f>IFERROR([1]!s_stm07_is_104($A365,TEXT($B$1,"yyyy/mm/dd"),1),"")</f>
        <v>55329183.939999998</v>
      </c>
      <c r="H365">
        <f>IFERROR([1]!s_stm07_is_105($A365,TEXT($B$1,"yyyy/mm/dd"),1),"")</f>
        <v>9763850.7799999993</v>
      </c>
      <c r="I365">
        <f>IFERROR([1]!s_stm07_is($A365,"W72946623",TEXT($B$1,"yyyy/mm/dd"),1),"")</f>
        <v>821626250.91999996</v>
      </c>
      <c r="J365">
        <f>IFERROR([1]!s_stm07_is($A365,"W30028333",TEXT($B$1,"yyyy/mm/dd"),1),"")</f>
        <v>663431525.51999998</v>
      </c>
      <c r="K365">
        <f>IFERROR([1]!s_stm07_cs($A365,"W77130581",TEXT($B$1,"yyyy/mm/dd"),1),"")</f>
        <v>527398750.38999999</v>
      </c>
      <c r="L365">
        <f>IFERROR([1]!s_stm07_cs($A365,"W77745895",TEXT($B$1,"yyyy/mm/dd"),1),"")</f>
        <v>331154036.45999998</v>
      </c>
      <c r="M365">
        <f>IFERROR([1]!S_FA_EPS_basic2($A365,$B$1,"Cur=CNY"),"")</f>
        <v>0.72299999999999998</v>
      </c>
      <c r="N365">
        <f>IFERROR([1]!s_fa_arturndays($A365,TEXT($B$1,"yyyy/mm/dd")),"")</f>
        <v>101.60590000000001</v>
      </c>
      <c r="O365" t="str">
        <f>IFERROR([1]!fa_apturndays($A365,TEXT($B$1,"yyyy/mm/dd")),"")</f>
        <v>Fetch...</v>
      </c>
      <c r="P365">
        <f>IFERROR([1]!s_fa_invturndays($A365,TEXT($B$1,"yyyy/mm/dd")),"")</f>
        <v>102.71040000000001</v>
      </c>
    </row>
    <row r="366" spans="1:16">
      <c r="A366" t="s">
        <v>379</v>
      </c>
      <c r="B366">
        <f>IFERROR([1]!s_stm07_is($A366,"W70156729",TEXT($B$1,"yyyy/mm/dd"),1),"")</f>
        <v>4124564661.7600002</v>
      </c>
      <c r="C366">
        <f>IFERROR([1]!s_stm07_is($A366,"W75682424",TEXT($B$1,"yyyy/mm/dd"),1),"")</f>
        <v>3104618711.3600001</v>
      </c>
      <c r="D366">
        <f>IFERROR([1]!s_stm07_is($A366,"W76031679",TEXT($B$1,"yyyy/mm/dd"),1),"")</f>
        <v>236546475.44999999</v>
      </c>
      <c r="E366">
        <f>IFERROR([1]!s_stm07_is($A366,"W70752487",TEXT($B$1,"yyyy/mm/dd"),1),"")</f>
        <v>413210360.31</v>
      </c>
      <c r="F366">
        <f>IFERROR([1]!s_stm07_is_103($A366,TEXT($B$1,"yyyy/mm/dd"),1),"")</f>
        <v>1577715396.5799999</v>
      </c>
      <c r="G366">
        <f>IFERROR([1]!s_stm07_is_104($A366,TEXT($B$1,"yyyy/mm/dd"),1),"")</f>
        <v>20624686.539999999</v>
      </c>
      <c r="H366">
        <f>IFERROR([1]!s_stm07_is_105($A366,TEXT($B$1,"yyyy/mm/dd"),1),"")</f>
        <v>35236642.960000001</v>
      </c>
      <c r="I366">
        <f>IFERROR([1]!s_stm07_is($A366,"W72946623",TEXT($B$1,"yyyy/mm/dd"),1),"")</f>
        <v>68135333.359999999</v>
      </c>
      <c r="J366">
        <f>IFERROR([1]!s_stm07_is($A366,"W30028333",TEXT($B$1,"yyyy/mm/dd"),1),"")</f>
        <v>103535417.11</v>
      </c>
      <c r="K366">
        <f>IFERROR([1]!s_stm07_cs($A366,"W77130581",TEXT($B$1,"yyyy/mm/dd"),1),"")</f>
        <v>-220571535.49000001</v>
      </c>
      <c r="L366">
        <f>IFERROR([1]!s_stm07_cs($A366,"W77745895",TEXT($B$1,"yyyy/mm/dd"),1),"")</f>
        <v>292394449.89999998</v>
      </c>
      <c r="M366">
        <f>IFERROR([1]!S_FA_EPS_basic2($A366,$B$1,"Cur=CNY"),"")</f>
        <v>4.4299999999999999E-2</v>
      </c>
      <c r="N366">
        <f>IFERROR([1]!s_fa_arturndays($A366,TEXT($B$1,"yyyy/mm/dd")),"")</f>
        <v>94.874200000000002</v>
      </c>
      <c r="O366" t="str">
        <f>IFERROR([1]!fa_apturndays($A366,TEXT($B$1,"yyyy/mm/dd")),"")</f>
        <v>Fetch...</v>
      </c>
      <c r="P366">
        <f>IFERROR([1]!s_fa_invturndays($A366,TEXT($B$1,"yyyy/mm/dd")),"")</f>
        <v>85.908600000000007</v>
      </c>
    </row>
    <row r="367" spans="1:16">
      <c r="A367" t="s">
        <v>380</v>
      </c>
      <c r="B367">
        <f>IFERROR([1]!s_stm07_is($A367,"W70156729",TEXT($B$1,"yyyy/mm/dd"),1),"")</f>
        <v>23769749306.740002</v>
      </c>
      <c r="C367">
        <f>IFERROR([1]!s_stm07_is($A367,"W75682424",TEXT($B$1,"yyyy/mm/dd"),1),"")</f>
        <v>23006336798.93</v>
      </c>
      <c r="D367">
        <f>IFERROR([1]!s_stm07_is($A367,"W76031679",TEXT($B$1,"yyyy/mm/dd"),1),"")</f>
        <v>99287952.290000007</v>
      </c>
      <c r="E367">
        <f>IFERROR([1]!s_stm07_is($A367,"W70752487",TEXT($B$1,"yyyy/mm/dd"),1),"")</f>
        <v>317804725.42000002</v>
      </c>
      <c r="F367">
        <f>IFERROR([1]!s_stm07_is_103($A367,TEXT($B$1,"yyyy/mm/dd"),1),"")</f>
        <v>667930594.90999997</v>
      </c>
      <c r="G367">
        <f>IFERROR([1]!s_stm07_is_104($A367,TEXT($B$1,"yyyy/mm/dd"),1),"")</f>
        <v>236234056.22999999</v>
      </c>
      <c r="H367">
        <f>IFERROR([1]!s_stm07_is_105($A367,TEXT($B$1,"yyyy/mm/dd"),1),"")</f>
        <v>43146791.780000001</v>
      </c>
      <c r="I367">
        <f>IFERROR([1]!s_stm07_is($A367,"W72946623",TEXT($B$1,"yyyy/mm/dd"),1),"")</f>
        <v>-628386814.52999997</v>
      </c>
      <c r="J367">
        <f>IFERROR([1]!s_stm07_is($A367,"W30028333",TEXT($B$1,"yyyy/mm/dd"),1),"")</f>
        <v>-574527723.91999996</v>
      </c>
      <c r="K367">
        <f>IFERROR([1]!s_stm07_cs($A367,"W77130581",TEXT($B$1,"yyyy/mm/dd"),1),"")</f>
        <v>1302810570.8099999</v>
      </c>
      <c r="L367">
        <f>IFERROR([1]!s_stm07_cs($A367,"W77745895",TEXT($B$1,"yyyy/mm/dd"),1),"")</f>
        <v>632426214.96000004</v>
      </c>
      <c r="M367">
        <f>IFERROR([1]!S_FA_EPS_basic2($A367,$B$1,"Cur=CNY"),"")</f>
        <v>-0.2</v>
      </c>
      <c r="N367">
        <f>IFERROR([1]!s_fa_arturndays($A367,TEXT($B$1,"yyyy/mm/dd")),"")</f>
        <v>22.064</v>
      </c>
      <c r="O367" t="str">
        <f>IFERROR([1]!fa_apturndays($A367,TEXT($B$1,"yyyy/mm/dd")),"")</f>
        <v>Fetch...</v>
      </c>
      <c r="P367">
        <f>IFERROR([1]!s_fa_invturndays($A367,TEXT($B$1,"yyyy/mm/dd")),"")</f>
        <v>21.1004</v>
      </c>
    </row>
    <row r="368" spans="1:16">
      <c r="A368" t="s">
        <v>381</v>
      </c>
      <c r="B368">
        <f>IFERROR([1]!s_stm07_is($A368,"W70156729",TEXT($B$1,"yyyy/mm/dd"),1),"")</f>
        <v>8611469139.7999992</v>
      </c>
      <c r="C368">
        <f>IFERROR([1]!s_stm07_is($A368,"W75682424",TEXT($B$1,"yyyy/mm/dd"),1),"")</f>
        <v>5945574957.2299995</v>
      </c>
      <c r="D368">
        <f>IFERROR([1]!s_stm07_is($A368,"W76031679",TEXT($B$1,"yyyy/mm/dd"),1),"")</f>
        <v>326124157.48000002</v>
      </c>
      <c r="E368">
        <f>IFERROR([1]!s_stm07_is($A368,"W70752487",TEXT($B$1,"yyyy/mm/dd"),1),"")</f>
        <v>550428100.55999994</v>
      </c>
      <c r="F368">
        <f>IFERROR([1]!s_stm07_is_103($A368,TEXT($B$1,"yyyy/mm/dd"),1),"")</f>
        <v>344151848.88999999</v>
      </c>
      <c r="G368">
        <f>IFERROR([1]!s_stm07_is_104($A368,TEXT($B$1,"yyyy/mm/dd"),1),"")</f>
        <v>91147120.079999998</v>
      </c>
      <c r="H368">
        <f>IFERROR([1]!s_stm07_is_105($A368,TEXT($B$1,"yyyy/mm/dd"),1),"")</f>
        <v>29377709.609999999</v>
      </c>
      <c r="I368">
        <f>IFERROR([1]!s_stm07_is($A368,"W72946623",TEXT($B$1,"yyyy/mm/dd"),1),"")</f>
        <v>1258313363.99</v>
      </c>
      <c r="J368">
        <f>IFERROR([1]!s_stm07_is($A368,"W30028333",TEXT($B$1,"yyyy/mm/dd"),1),"")</f>
        <v>1000316537.26</v>
      </c>
      <c r="K368">
        <f>IFERROR([1]!s_stm07_cs($A368,"W77130581",TEXT($B$1,"yyyy/mm/dd"),1),"")</f>
        <v>1031422205.22</v>
      </c>
      <c r="L368">
        <f>IFERROR([1]!s_stm07_cs($A368,"W77745895",TEXT($B$1,"yyyy/mm/dd"),1),"")</f>
        <v>1281420495.9400001</v>
      </c>
      <c r="M368">
        <f>IFERROR([1]!S_FA_EPS_basic2($A368,$B$1,"Cur=CNY"),"")</f>
        <v>2.1017999999999999</v>
      </c>
      <c r="N368">
        <f>IFERROR([1]!s_fa_arturndays($A368,TEXT($B$1,"yyyy/mm/dd")),"")</f>
        <v>53.866399999999999</v>
      </c>
      <c r="O368" t="str">
        <f>IFERROR([1]!fa_apturndays($A368,TEXT($B$1,"yyyy/mm/dd")),"")</f>
        <v>Fetch...</v>
      </c>
      <c r="P368">
        <f>IFERROR([1]!s_fa_invturndays($A368,TEXT($B$1,"yyyy/mm/dd")),"")</f>
        <v>139.4862</v>
      </c>
    </row>
    <row r="369" spans="1:16">
      <c r="A369" t="s">
        <v>382</v>
      </c>
      <c r="B369">
        <f>IFERROR([1]!s_stm07_is($A369,"W70156729",TEXT($B$1,"yyyy/mm/dd"),1),"")</f>
        <v>6097323585.2799997</v>
      </c>
      <c r="C369">
        <f>IFERROR([1]!s_stm07_is($A369,"W75682424",TEXT($B$1,"yyyy/mm/dd"),1),"")</f>
        <v>856719323.67999995</v>
      </c>
      <c r="D369">
        <f>IFERROR([1]!s_stm07_is($A369,"W76031679",TEXT($B$1,"yyyy/mm/dd"),1),"")</f>
        <v>1725872296.97</v>
      </c>
      <c r="E369">
        <f>IFERROR([1]!s_stm07_is($A369,"W70752487",TEXT($B$1,"yyyy/mm/dd"),1),"")</f>
        <v>1187780222.4300001</v>
      </c>
      <c r="F369">
        <f>IFERROR([1]!s_stm07_is_103($A369,TEXT($B$1,"yyyy/mm/dd"),1),"")</f>
        <v>1671152855.1800001</v>
      </c>
      <c r="G369">
        <f>IFERROR([1]!s_stm07_is_104($A369,TEXT($B$1,"yyyy/mm/dd"),1),"")</f>
        <v>3896743.28</v>
      </c>
      <c r="H369">
        <f>IFERROR([1]!s_stm07_is_105($A369,TEXT($B$1,"yyyy/mm/dd"),1),"")</f>
        <v>24662201.989999998</v>
      </c>
      <c r="I369">
        <f>IFERROR([1]!s_stm07_is($A369,"W72946623",TEXT($B$1,"yyyy/mm/dd"),1),"")</f>
        <v>467655494.27999997</v>
      </c>
      <c r="J369">
        <f>IFERROR([1]!s_stm07_is($A369,"W30028333",TEXT($B$1,"yyyy/mm/dd"),1),"")</f>
        <v>405114040.23000002</v>
      </c>
      <c r="K369">
        <f>IFERROR([1]!s_stm07_cs($A369,"W77130581",TEXT($B$1,"yyyy/mm/dd"),1),"")</f>
        <v>1057002591.12</v>
      </c>
      <c r="L369">
        <f>IFERROR([1]!s_stm07_cs($A369,"W77745895",TEXT($B$1,"yyyy/mm/dd"),1),"")</f>
        <v>311942465.04000002</v>
      </c>
      <c r="M369">
        <f>IFERROR([1]!S_FA_EPS_basic2($A369,$B$1,"Cur=CNY"),"")</f>
        <v>0.2467</v>
      </c>
      <c r="N369">
        <f>IFERROR([1]!s_fa_arturndays($A369,TEXT($B$1,"yyyy/mm/dd")),"")</f>
        <v>48.990900000000003</v>
      </c>
      <c r="O369" t="str">
        <f>IFERROR([1]!fa_apturndays($A369,TEXT($B$1,"yyyy/mm/dd")),"")</f>
        <v>Fetch...</v>
      </c>
      <c r="P369">
        <f>IFERROR([1]!s_fa_invturndays($A369,TEXT($B$1,"yyyy/mm/dd")),"")</f>
        <v>20.946899999999999</v>
      </c>
    </row>
    <row r="370" spans="1:16">
      <c r="A370" t="s">
        <v>383</v>
      </c>
      <c r="B370">
        <f>IFERROR([1]!s_stm07_is($A370,"W70156729",TEXT($B$1,"yyyy/mm/dd"),1),"")</f>
        <v>4618828060.3100004</v>
      </c>
      <c r="C370">
        <f>IFERROR([1]!s_stm07_is($A370,"W75682424",TEXT($B$1,"yyyy/mm/dd"),1),"")</f>
        <v>2017242630.1500001</v>
      </c>
      <c r="D370">
        <f>IFERROR([1]!s_stm07_is($A370,"W76031679",TEXT($B$1,"yyyy/mm/dd"),1),"")</f>
        <v>130197112.25</v>
      </c>
      <c r="E370">
        <f>IFERROR([1]!s_stm07_is($A370,"W70752487",TEXT($B$1,"yyyy/mm/dd"),1),"")</f>
        <v>331484384.81999999</v>
      </c>
      <c r="F370">
        <f>IFERROR([1]!s_stm07_is_103($A370,TEXT($B$1,"yyyy/mm/dd"),1),"")</f>
        <v>930764968.24000001</v>
      </c>
      <c r="G370">
        <f>IFERROR([1]!s_stm07_is_104($A370,TEXT($B$1,"yyyy/mm/dd"),1),"")</f>
        <v>26804101.84</v>
      </c>
      <c r="H370">
        <f>IFERROR([1]!s_stm07_is_105($A370,TEXT($B$1,"yyyy/mm/dd"),1),"")</f>
        <v>3212018.29</v>
      </c>
      <c r="I370">
        <f>IFERROR([1]!s_stm07_is($A370,"W72946623",TEXT($B$1,"yyyy/mm/dd"),1),"")</f>
        <v>876506913.11000001</v>
      </c>
      <c r="J370">
        <f>IFERROR([1]!s_stm07_is($A370,"W30028333",TEXT($B$1,"yyyy/mm/dd"),1),"")</f>
        <v>686192530.33000004</v>
      </c>
      <c r="K370">
        <f>IFERROR([1]!s_stm07_cs($A370,"W77130581",TEXT($B$1,"yyyy/mm/dd"),1),"")</f>
        <v>1608521596.25</v>
      </c>
      <c r="L370">
        <f>IFERROR([1]!s_stm07_cs($A370,"W77745895",TEXT($B$1,"yyyy/mm/dd"),1),"")</f>
        <v>455775203.20999998</v>
      </c>
      <c r="M370">
        <f>IFERROR([1]!S_FA_EPS_basic2($A370,$B$1,"Cur=CNY"),"")</f>
        <v>0.16070000000000001</v>
      </c>
      <c r="N370">
        <f>IFERROR([1]!s_fa_arturndays($A370,TEXT($B$1,"yyyy/mm/dd")),"")</f>
        <v>107.54940000000001</v>
      </c>
      <c r="O370" t="str">
        <f>IFERROR([1]!fa_apturndays($A370,TEXT($B$1,"yyyy/mm/dd")),"")</f>
        <v>Fetch...</v>
      </c>
      <c r="P370">
        <f>IFERROR([1]!s_fa_invturndays($A370,TEXT($B$1,"yyyy/mm/dd")),"")</f>
        <v>481.99220000000003</v>
      </c>
    </row>
    <row r="371" spans="1:16">
      <c r="A371" t="s">
        <v>384</v>
      </c>
      <c r="B371">
        <f>IFERROR([1]!s_stm07_is($A371,"W70156729",TEXT($B$1,"yyyy/mm/dd"),1),"")</f>
        <v>92507796069.940002</v>
      </c>
      <c r="C371">
        <f>IFERROR([1]!s_stm07_is($A371,"W75682424",TEXT($B$1,"yyyy/mm/dd"),1),"")</f>
        <v>50067436550.360001</v>
      </c>
      <c r="D371">
        <f>IFERROR([1]!s_stm07_is($A371,"W76031679",TEXT($B$1,"yyyy/mm/dd"),1),"")</f>
        <v>12347888877.700001</v>
      </c>
      <c r="E371">
        <f>IFERROR([1]!s_stm07_is($A371,"W70752487",TEXT($B$1,"yyyy/mm/dd"),1),"")</f>
        <v>2994512052.02</v>
      </c>
      <c r="F371">
        <f>IFERROR([1]!s_stm07_is_103($A371,TEXT($B$1,"yyyy/mm/dd"),1),"")</f>
        <v>11752624736.799999</v>
      </c>
      <c r="G371">
        <f>IFERROR([1]!s_stm07_is_104($A371,TEXT($B$1,"yyyy/mm/dd"),1),"")</f>
        <v>200704102.53</v>
      </c>
      <c r="H371">
        <f>IFERROR([1]!s_stm07_is_105($A371,TEXT($B$1,"yyyy/mm/dd"),1),"")</f>
        <v>550539471.08000004</v>
      </c>
      <c r="I371">
        <f>IFERROR([1]!s_stm07_is($A371,"W72946623",TEXT($B$1,"yyyy/mm/dd"),1),"")</f>
        <v>17013438438.620001</v>
      </c>
      <c r="J371">
        <f>IFERROR([1]!s_stm07_is($A371,"W30028333",TEXT($B$1,"yyyy/mm/dd"),1),"")</f>
        <v>14195371894.42</v>
      </c>
      <c r="K371">
        <f>IFERROR([1]!s_stm07_cs($A371,"W77130581",TEXT($B$1,"yyyy/mm/dd"),1),"")</f>
        <v>25339411083.099998</v>
      </c>
      <c r="L371">
        <f>IFERROR([1]!s_stm07_cs($A371,"W77745895",TEXT($B$1,"yyyy/mm/dd"),1),"")</f>
        <v>3622046664.6700001</v>
      </c>
      <c r="M371">
        <f>IFERROR([1]!S_FA_EPS_basic2($A371,$B$1,"Cur=CNY"),"")</f>
        <v>1.546</v>
      </c>
      <c r="N371">
        <f>IFERROR([1]!s_fa_arturndays($A371,TEXT($B$1,"yyyy/mm/dd")),"")</f>
        <v>131.77160000000001</v>
      </c>
      <c r="O371" t="str">
        <f>IFERROR([1]!fa_apturndays($A371,TEXT($B$1,"yyyy/mm/dd")),"")</f>
        <v>Fetch...</v>
      </c>
      <c r="P371">
        <f>IFERROR([1]!s_fa_invturndays($A371,TEXT($B$1,"yyyy/mm/dd")),"")</f>
        <v>149.3528</v>
      </c>
    </row>
    <row r="372" spans="1:16">
      <c r="A372" t="s">
        <v>385</v>
      </c>
      <c r="B372">
        <f>IFERROR([1]!s_stm07_is($A372,"W70156729",TEXT($B$1,"yyyy/mm/dd"),1),"")</f>
        <v>55222201707.949997</v>
      </c>
      <c r="C372">
        <f>IFERROR([1]!s_stm07_is($A372,"W75682424",TEXT($B$1,"yyyy/mm/dd"),1),"")</f>
        <v>52409751906.209999</v>
      </c>
      <c r="D372">
        <f>IFERROR([1]!s_stm07_is($A372,"W76031679",TEXT($B$1,"yyyy/mm/dd"),1),"")</f>
        <v>1649869703.0799999</v>
      </c>
      <c r="E372">
        <f>IFERROR([1]!s_stm07_is($A372,"W70752487",TEXT($B$1,"yyyy/mm/dd"),1),"")</f>
        <v>330410923.43000001</v>
      </c>
      <c r="F372">
        <f>IFERROR([1]!s_stm07_is_103($A372,TEXT($B$1,"yyyy/mm/dd"),1),"")</f>
        <v>28339435.420000002</v>
      </c>
      <c r="G372">
        <f>IFERROR([1]!s_stm07_is_104($A372,TEXT($B$1,"yyyy/mm/dd"),1),"")</f>
        <v>91488913.469999999</v>
      </c>
      <c r="H372">
        <f>IFERROR([1]!s_stm07_is_105($A372,TEXT($B$1,"yyyy/mm/dd"),1),"")</f>
        <v>80432234.659999996</v>
      </c>
      <c r="I372">
        <f>IFERROR([1]!s_stm07_is($A372,"W72946623",TEXT($B$1,"yyyy/mm/dd"),1),"")</f>
        <v>602382172.19000006</v>
      </c>
      <c r="J372">
        <f>IFERROR([1]!s_stm07_is($A372,"W30028333",TEXT($B$1,"yyyy/mm/dd"),1),"")</f>
        <v>374385638.20999998</v>
      </c>
      <c r="K372">
        <f>IFERROR([1]!s_stm07_cs($A372,"W77130581",TEXT($B$1,"yyyy/mm/dd"),1),"")</f>
        <v>3978050454.8800001</v>
      </c>
      <c r="L372">
        <f>IFERROR([1]!s_stm07_cs($A372,"W77745895",TEXT($B$1,"yyyy/mm/dd"),1),"")</f>
        <v>65074231.960000001</v>
      </c>
      <c r="M372">
        <f>IFERROR([1]!S_FA_EPS_basic2($A372,$B$1,"Cur=CNY"),"")</f>
        <v>0.30209999999999998</v>
      </c>
      <c r="N372">
        <f>IFERROR([1]!s_fa_arturndays($A372,TEXT($B$1,"yyyy/mm/dd")),"")</f>
        <v>10.056900000000001</v>
      </c>
      <c r="O372" t="str">
        <f>IFERROR([1]!fa_apturndays($A372,TEXT($B$1,"yyyy/mm/dd")),"")</f>
        <v>Fetch...</v>
      </c>
      <c r="P372">
        <f>IFERROR([1]!s_fa_invturndays($A372,TEXT($B$1,"yyyy/mm/dd")),"")</f>
        <v>21.809699999999999</v>
      </c>
    </row>
    <row r="373" spans="1:16">
      <c r="A373" t="s">
        <v>386</v>
      </c>
      <c r="B373">
        <f>IFERROR([1]!s_stm07_is($A373,"W70156729",TEXT($B$1,"yyyy/mm/dd"),1),"")</f>
        <v>2024694186.26</v>
      </c>
      <c r="C373">
        <f>IFERROR([1]!s_stm07_is($A373,"W75682424",TEXT($B$1,"yyyy/mm/dd"),1),"")</f>
        <v>1614554906.8299999</v>
      </c>
      <c r="D373">
        <f>IFERROR([1]!s_stm07_is($A373,"W76031679",TEXT($B$1,"yyyy/mm/dd"),1),"")</f>
        <v>365340044.67000002</v>
      </c>
      <c r="E373">
        <f>IFERROR([1]!s_stm07_is($A373,"W70752487",TEXT($B$1,"yyyy/mm/dd"),1),"")</f>
        <v>217395505.21000001</v>
      </c>
      <c r="F373">
        <f>IFERROR([1]!s_stm07_is_103($A373,TEXT($B$1,"yyyy/mm/dd"),1),"")</f>
        <v>56401234.979999997</v>
      </c>
      <c r="G373">
        <f>IFERROR([1]!s_stm07_is_104($A373,TEXT($B$1,"yyyy/mm/dd"),1),"")</f>
        <v>104560874.36</v>
      </c>
      <c r="H373">
        <f>IFERROR([1]!s_stm07_is_105($A373,TEXT($B$1,"yyyy/mm/dd"),1),"")</f>
        <v>59633735.100000001</v>
      </c>
      <c r="I373">
        <f>IFERROR([1]!s_stm07_is($A373,"W72946623",TEXT($B$1,"yyyy/mm/dd"),1),"")</f>
        <v>-758687201.11000001</v>
      </c>
      <c r="J373">
        <f>IFERROR([1]!s_stm07_is($A373,"W30028333",TEXT($B$1,"yyyy/mm/dd"),1),"")</f>
        <v>-653222584.04999995</v>
      </c>
      <c r="K373">
        <f>IFERROR([1]!s_stm07_cs($A373,"W77130581",TEXT($B$1,"yyyy/mm/dd"),1),"")</f>
        <v>-60237311.060000002</v>
      </c>
      <c r="L373">
        <f>IFERROR([1]!s_stm07_cs($A373,"W77745895",TEXT($B$1,"yyyy/mm/dd"),1),"")</f>
        <v>90089950.299999997</v>
      </c>
      <c r="M373">
        <f>IFERROR([1]!S_FA_EPS_basic2($A373,$B$1,"Cur=CNY"),"")</f>
        <v>-0.308</v>
      </c>
      <c r="N373">
        <f>IFERROR([1]!s_fa_arturndays($A373,TEXT($B$1,"yyyy/mm/dd")),"")</f>
        <v>284.74250000000001</v>
      </c>
      <c r="O373" t="str">
        <f>IFERROR([1]!fa_apturndays($A373,TEXT($B$1,"yyyy/mm/dd")),"")</f>
        <v>Fetch...</v>
      </c>
      <c r="P373">
        <f>IFERROR([1]!s_fa_invturndays($A373,TEXT($B$1,"yyyy/mm/dd")),"")</f>
        <v>332.01139999999998</v>
      </c>
    </row>
    <row r="374" spans="1:16">
      <c r="A374" t="s">
        <v>387</v>
      </c>
      <c r="B374">
        <f>IFERROR([1]!s_stm07_is($A374,"W70156729",TEXT($B$1,"yyyy/mm/dd"),1),"")</f>
        <v>18512918907</v>
      </c>
      <c r="C374">
        <f>IFERROR([1]!s_stm07_is($A374,"W75682424",TEXT($B$1,"yyyy/mm/dd"),1),"")</f>
        <v>9655237375</v>
      </c>
      <c r="D374">
        <f>IFERROR([1]!s_stm07_is($A374,"W76031679",TEXT($B$1,"yyyy/mm/dd"),1),"")</f>
        <v>3039399543</v>
      </c>
      <c r="E374">
        <f>IFERROR([1]!s_stm07_is($A374,"W70752487",TEXT($B$1,"yyyy/mm/dd"),1),"")</f>
        <v>1206565999</v>
      </c>
      <c r="F374">
        <f>IFERROR([1]!s_stm07_is_103($A374,TEXT($B$1,"yyyy/mm/dd"),1),"")</f>
        <v>2205212429</v>
      </c>
      <c r="G374">
        <f>IFERROR([1]!s_stm07_is_104($A374,TEXT($B$1,"yyyy/mm/dd"),1),"")</f>
        <v>102836710</v>
      </c>
      <c r="H374">
        <f>IFERROR([1]!s_stm07_is_105($A374,TEXT($B$1,"yyyy/mm/dd"),1),"")</f>
        <v>81421100</v>
      </c>
      <c r="I374">
        <f>IFERROR([1]!s_stm07_is($A374,"W72946623",TEXT($B$1,"yyyy/mm/dd"),1),"")</f>
        <v>2403835588</v>
      </c>
      <c r="J374">
        <f>IFERROR([1]!s_stm07_is($A374,"W30028333",TEXT($B$1,"yyyy/mm/dd"),1),"")</f>
        <v>1701935493</v>
      </c>
      <c r="K374">
        <f>IFERROR([1]!s_stm07_cs($A374,"W77130581",TEXT($B$1,"yyyy/mm/dd"),1),"")</f>
        <v>2642068285</v>
      </c>
      <c r="L374">
        <f>IFERROR([1]!s_stm07_cs($A374,"W77745895",TEXT($B$1,"yyyy/mm/dd"),1),"")</f>
        <v>1622489729</v>
      </c>
      <c r="M374">
        <f>IFERROR([1]!S_FA_EPS_basic2($A374,$B$1,"Cur=CNY"),"")</f>
        <v>1.07</v>
      </c>
      <c r="N374">
        <f>IFERROR([1]!s_fa_arturndays($A374,TEXT($B$1,"yyyy/mm/dd")),"")</f>
        <v>92.059799999999996</v>
      </c>
      <c r="O374" t="str">
        <f>IFERROR([1]!fa_apturndays($A374,TEXT($B$1,"yyyy/mm/dd")),"")</f>
        <v>Fetch...</v>
      </c>
      <c r="P374">
        <f>IFERROR([1]!s_fa_invturndays($A374,TEXT($B$1,"yyyy/mm/dd")),"")</f>
        <v>142.57990000000001</v>
      </c>
    </row>
    <row r="375" spans="1:16">
      <c r="A375" t="s">
        <v>388</v>
      </c>
      <c r="B375">
        <f>IFERROR([1]!s_stm07_is($A375,"W70156729",TEXT($B$1,"yyyy/mm/dd"),1),"")</f>
        <v>9594271277.5900002</v>
      </c>
      <c r="C375">
        <f>IFERROR([1]!s_stm07_is($A375,"W75682424",TEXT($B$1,"yyyy/mm/dd"),1),"")</f>
        <v>154449652.66999999</v>
      </c>
      <c r="D375">
        <f>IFERROR([1]!s_stm07_is($A375,"W76031679",TEXT($B$1,"yyyy/mm/dd"),1),"")</f>
        <v>0</v>
      </c>
      <c r="E375">
        <f>IFERROR([1]!s_stm07_is($A375,"W70752487",TEXT($B$1,"yyyy/mm/dd"),1),"")</f>
        <v>1594650434.8199999</v>
      </c>
      <c r="F375">
        <f>IFERROR([1]!s_stm07_is_103($A375,TEXT($B$1,"yyyy/mm/dd"),1),"")</f>
        <v>23507095.719999999</v>
      </c>
      <c r="G375">
        <f>IFERROR([1]!s_stm07_is_104($A375,TEXT($B$1,"yyyy/mm/dd"),1),"")</f>
        <v>0</v>
      </c>
      <c r="H375">
        <f>IFERROR([1]!s_stm07_is_105($A375,TEXT($B$1,"yyyy/mm/dd"),1),"")</f>
        <v>0</v>
      </c>
      <c r="I375">
        <f>IFERROR([1]!s_stm07_is($A375,"W72946623",TEXT($B$1,"yyyy/mm/dd"),1),"")</f>
        <v>2400655024.1700001</v>
      </c>
      <c r="J375">
        <f>IFERROR([1]!s_stm07_is($A375,"W30028333",TEXT($B$1,"yyyy/mm/dd"),1),"")</f>
        <v>1132767734.5599999</v>
      </c>
      <c r="K375">
        <f>IFERROR([1]!s_stm07_cs($A375,"W77130581",TEXT($B$1,"yyyy/mm/dd"),1),"")</f>
        <v>18882634908.07</v>
      </c>
      <c r="L375">
        <f>IFERROR([1]!s_stm07_cs($A375,"W77745895",TEXT($B$1,"yyyy/mm/dd"),1),"")</f>
        <v>136627075.78999999</v>
      </c>
      <c r="M375">
        <f>IFERROR([1]!S_FA_EPS_basic2($A375,$B$1,"Cur=CNY"),"")</f>
        <v>0.49159999999999998</v>
      </c>
      <c r="N375">
        <f>IFERROR([1]!s_fa_arturndays($A375,TEXT($B$1,"yyyy/mm/dd")),"")</f>
        <v>840.53229999999996</v>
      </c>
      <c r="O375" t="str">
        <f>IFERROR([1]!fa_apturndays($A375,TEXT($B$1,"yyyy/mm/dd")),"")</f>
        <v>Fetch...</v>
      </c>
      <c r="P375">
        <f>IFERROR([1]!s_fa_invturndays($A375,TEXT($B$1,"yyyy/mm/dd")),"")</f>
        <v>209.77799999999999</v>
      </c>
    </row>
    <row r="376" spans="1:16">
      <c r="A376" t="s">
        <v>389</v>
      </c>
      <c r="B376">
        <f>IFERROR([1]!s_stm07_is($A376,"W70156729",TEXT($B$1,"yyyy/mm/dd"),1),"")</f>
        <v>1065881192.39</v>
      </c>
      <c r="C376">
        <f>IFERROR([1]!s_stm07_is($A376,"W75682424",TEXT($B$1,"yyyy/mm/dd"),1),"")</f>
        <v>840779483.76999998</v>
      </c>
      <c r="D376">
        <f>IFERROR([1]!s_stm07_is($A376,"W76031679",TEXT($B$1,"yyyy/mm/dd"),1),"")</f>
        <v>12353255.85</v>
      </c>
      <c r="E376">
        <f>IFERROR([1]!s_stm07_is($A376,"W70752487",TEXT($B$1,"yyyy/mm/dd"),1),"")</f>
        <v>75691841.659999996</v>
      </c>
      <c r="F376">
        <f>IFERROR([1]!s_stm07_is_103($A376,TEXT($B$1,"yyyy/mm/dd"),1),"")</f>
        <v>80403972.260000005</v>
      </c>
      <c r="G376">
        <f>IFERROR([1]!s_stm07_is_104($A376,TEXT($B$1,"yyyy/mm/dd"),1),"")</f>
        <v>60865548.719999999</v>
      </c>
      <c r="H376">
        <f>IFERROR([1]!s_stm07_is_105($A376,TEXT($B$1,"yyyy/mm/dd"),1),"")</f>
        <v>3057009.61</v>
      </c>
      <c r="I376">
        <f>IFERROR([1]!s_stm07_is($A376,"W72946623",TEXT($B$1,"yyyy/mm/dd"),1),"")</f>
        <v>15299892.390000001</v>
      </c>
      <c r="J376">
        <f>IFERROR([1]!s_stm07_is($A376,"W30028333",TEXT($B$1,"yyyy/mm/dd"),1),"")</f>
        <v>20145995.690000001</v>
      </c>
      <c r="K376">
        <f>IFERROR([1]!s_stm07_cs($A376,"W77130581",TEXT($B$1,"yyyy/mm/dd"),1),"")</f>
        <v>-187347968.19</v>
      </c>
      <c r="L376">
        <f>IFERROR([1]!s_stm07_cs($A376,"W77745895",TEXT($B$1,"yyyy/mm/dd"),1),"")</f>
        <v>95780333.319999993</v>
      </c>
      <c r="M376">
        <f>IFERROR([1]!S_FA_EPS_basic2($A376,$B$1,"Cur=CNY"),"")</f>
        <v>3.0800000000000001E-2</v>
      </c>
      <c r="N376">
        <f>IFERROR([1]!s_fa_arturndays($A376,TEXT($B$1,"yyyy/mm/dd")),"")</f>
        <v>100.273</v>
      </c>
      <c r="O376" t="str">
        <f>IFERROR([1]!fa_apturndays($A376,TEXT($B$1,"yyyy/mm/dd")),"")</f>
        <v>Fetch...</v>
      </c>
      <c r="P376">
        <f>IFERROR([1]!s_fa_invturndays($A376,TEXT($B$1,"yyyy/mm/dd")),"")</f>
        <v>325.37959999999998</v>
      </c>
    </row>
    <row r="377" spans="1:16">
      <c r="A377" t="s">
        <v>390</v>
      </c>
      <c r="B377">
        <f>IFERROR([1]!s_stm07_is($A377,"W70156729",TEXT($B$1,"yyyy/mm/dd"),1),"")</f>
        <v>17807142308.740002</v>
      </c>
      <c r="C377">
        <f>IFERROR([1]!s_stm07_is($A377,"W75682424",TEXT($B$1,"yyyy/mm/dd"),1),"")</f>
        <v>14584429446.450001</v>
      </c>
      <c r="D377">
        <f>IFERROR([1]!s_stm07_is($A377,"W76031679",TEXT($B$1,"yyyy/mm/dd"),1),"")</f>
        <v>207252931.19</v>
      </c>
      <c r="E377">
        <f>IFERROR([1]!s_stm07_is($A377,"W70752487",TEXT($B$1,"yyyy/mm/dd"),1),"")</f>
        <v>299774072.70999998</v>
      </c>
      <c r="F377">
        <f>IFERROR([1]!s_stm07_is_103($A377,TEXT($B$1,"yyyy/mm/dd"),1),"")</f>
        <v>1014749968.9</v>
      </c>
      <c r="G377">
        <f>IFERROR([1]!s_stm07_is_104($A377,TEXT($B$1,"yyyy/mm/dd"),1),"")</f>
        <v>116757394.23</v>
      </c>
      <c r="H377">
        <f>IFERROR([1]!s_stm07_is_105($A377,TEXT($B$1,"yyyy/mm/dd"),1),"")</f>
        <v>46432647.219999999</v>
      </c>
      <c r="I377">
        <f>IFERROR([1]!s_stm07_is($A377,"W72946623",TEXT($B$1,"yyyy/mm/dd"),1),"")</f>
        <v>1541983792.7</v>
      </c>
      <c r="J377">
        <f>IFERROR([1]!s_stm07_is($A377,"W30028333",TEXT($B$1,"yyyy/mm/dd"),1),"")</f>
        <v>1303300688.25</v>
      </c>
      <c r="K377">
        <f>IFERROR([1]!s_stm07_cs($A377,"W77130581",TEXT($B$1,"yyyy/mm/dd"),1),"")</f>
        <v>3303516290.5100002</v>
      </c>
      <c r="L377">
        <f>IFERROR([1]!s_stm07_cs($A377,"W77745895",TEXT($B$1,"yyyy/mm/dd"),1),"")</f>
        <v>684483298.00999999</v>
      </c>
      <c r="M377">
        <f>IFERROR([1]!S_FA_EPS_basic2($A377,$B$1,"Cur=CNY"),"")</f>
        <v>0.28999999999999998</v>
      </c>
      <c r="N377">
        <f>IFERROR([1]!s_fa_arturndays($A377,TEXT($B$1,"yyyy/mm/dd")),"")</f>
        <v>94.483199999999997</v>
      </c>
      <c r="O377" t="str">
        <f>IFERROR([1]!fa_apturndays($A377,TEXT($B$1,"yyyy/mm/dd")),"")</f>
        <v>Fetch...</v>
      </c>
      <c r="P377">
        <f>IFERROR([1]!s_fa_invturndays($A377,TEXT($B$1,"yyyy/mm/dd")),"")</f>
        <v>81.612300000000005</v>
      </c>
    </row>
    <row r="378" spans="1:16">
      <c r="A378" t="s">
        <v>391</v>
      </c>
      <c r="B378">
        <f>IFERROR([1]!s_stm07_is($A378,"W70156729",TEXT($B$1,"yyyy/mm/dd"),1),"")</f>
        <v>15082533819.09</v>
      </c>
      <c r="C378">
        <f>IFERROR([1]!s_stm07_is($A378,"W75682424",TEXT($B$1,"yyyy/mm/dd"),1),"")</f>
        <v>11914675491.24</v>
      </c>
      <c r="D378">
        <f>IFERROR([1]!s_stm07_is($A378,"W76031679",TEXT($B$1,"yyyy/mm/dd"),1),"")</f>
        <v>206462455.31</v>
      </c>
      <c r="E378">
        <f>IFERROR([1]!s_stm07_is($A378,"W70752487",TEXT($B$1,"yyyy/mm/dd"),1),"")</f>
        <v>829205694.73000002</v>
      </c>
      <c r="F378">
        <f>IFERROR([1]!s_stm07_is_103($A378,TEXT($B$1,"yyyy/mm/dd"),1),"")</f>
        <v>453850779.55000001</v>
      </c>
      <c r="G378">
        <f>IFERROR([1]!s_stm07_is_104($A378,TEXT($B$1,"yyyy/mm/dd"),1),"")</f>
        <v>158098229.41999999</v>
      </c>
      <c r="H378">
        <f>IFERROR([1]!s_stm07_is_105($A378,TEXT($B$1,"yyyy/mm/dd"),1),"")</f>
        <v>32192498.760000002</v>
      </c>
      <c r="I378">
        <f>IFERROR([1]!s_stm07_is($A378,"W72946623",TEXT($B$1,"yyyy/mm/dd"),1),"")</f>
        <v>1398779079.76</v>
      </c>
      <c r="J378">
        <f>IFERROR([1]!s_stm07_is($A378,"W30028333",TEXT($B$1,"yyyy/mm/dd"),1),"")</f>
        <v>948853670.51999998</v>
      </c>
      <c r="K378">
        <f>IFERROR([1]!s_stm07_cs($A378,"W77130581",TEXT($B$1,"yyyy/mm/dd"),1),"")</f>
        <v>2220370021.4200001</v>
      </c>
      <c r="L378">
        <f>IFERROR([1]!s_stm07_cs($A378,"W77745895",TEXT($B$1,"yyyy/mm/dd"),1),"")</f>
        <v>1695695846.0599999</v>
      </c>
      <c r="M378">
        <f>IFERROR([1]!S_FA_EPS_basic2($A378,$B$1,"Cur=CNY"),"")</f>
        <v>0.97</v>
      </c>
      <c r="N378">
        <f>IFERROR([1]!s_fa_arturndays($A378,TEXT($B$1,"yyyy/mm/dd")),"")</f>
        <v>40.696800000000003</v>
      </c>
      <c r="O378" t="str">
        <f>IFERROR([1]!fa_apturndays($A378,TEXT($B$1,"yyyy/mm/dd")),"")</f>
        <v>Fetch...</v>
      </c>
      <c r="P378">
        <f>IFERROR([1]!s_fa_invturndays($A378,TEXT($B$1,"yyyy/mm/dd")),"")</f>
        <v>111.1557</v>
      </c>
    </row>
    <row r="379" spans="1:16">
      <c r="A379" t="s">
        <v>392</v>
      </c>
      <c r="B379">
        <f>IFERROR([1]!s_stm07_is($A379,"W70156729",TEXT($B$1,"yyyy/mm/dd"),1),"")</f>
        <v>1365588936.6800001</v>
      </c>
      <c r="C379">
        <f>IFERROR([1]!s_stm07_is($A379,"W75682424",TEXT($B$1,"yyyy/mm/dd"),1),"")</f>
        <v>493971286.08999997</v>
      </c>
      <c r="D379">
        <f>IFERROR([1]!s_stm07_is($A379,"W76031679",TEXT($B$1,"yyyy/mm/dd"),1),"")</f>
        <v>371076296.39999998</v>
      </c>
      <c r="E379">
        <f>IFERROR([1]!s_stm07_is($A379,"W70752487",TEXT($B$1,"yyyy/mm/dd"),1),"")</f>
        <v>474635281.11000001</v>
      </c>
      <c r="F379">
        <f>IFERROR([1]!s_stm07_is_103($A379,TEXT($B$1,"yyyy/mm/dd"),1),"")</f>
        <v>323569879.30000001</v>
      </c>
      <c r="G379">
        <f>IFERROR([1]!s_stm07_is_104($A379,TEXT($B$1,"yyyy/mm/dd"),1),"")</f>
        <v>113523735.72</v>
      </c>
      <c r="H379">
        <f>IFERROR([1]!s_stm07_is_105($A379,TEXT($B$1,"yyyy/mm/dd"),1),"")</f>
        <v>139086039.25999999</v>
      </c>
      <c r="I379">
        <f>IFERROR([1]!s_stm07_is($A379,"W72946623",TEXT($B$1,"yyyy/mm/dd"),1),"")</f>
        <v>2527258849.5700002</v>
      </c>
      <c r="J379">
        <f>IFERROR([1]!s_stm07_is($A379,"W30028333",TEXT($B$1,"yyyy/mm/dd"),1),"")</f>
        <v>2266748271.3800001</v>
      </c>
      <c r="K379">
        <f>IFERROR([1]!s_stm07_cs($A379,"W77130581",TEXT($B$1,"yyyy/mm/dd"),1),"")</f>
        <v>-166803216.90000001</v>
      </c>
      <c r="L379">
        <f>IFERROR([1]!s_stm07_cs($A379,"W77745895",TEXT($B$1,"yyyy/mm/dd"),1),"")</f>
        <v>264325605.38</v>
      </c>
      <c r="M379">
        <f>IFERROR([1]!S_FA_EPS_basic2($A379,$B$1,"Cur=CNY"),"")</f>
        <v>5.2291999999999996</v>
      </c>
      <c r="N379">
        <f>IFERROR([1]!s_fa_arturndays($A379,TEXT($B$1,"yyyy/mm/dd")),"")</f>
        <v>13.818099999999999</v>
      </c>
      <c r="O379" t="str">
        <f>IFERROR([1]!fa_apturndays($A379,TEXT($B$1,"yyyy/mm/dd")),"")</f>
        <v>Fetch...</v>
      </c>
      <c r="P379">
        <f>IFERROR([1]!s_fa_invturndays($A379,TEXT($B$1,"yyyy/mm/dd")),"")</f>
        <v>154.58609999999999</v>
      </c>
    </row>
    <row r="380" spans="1:16">
      <c r="A380" t="s">
        <v>393</v>
      </c>
      <c r="B380">
        <f>IFERROR([1]!s_stm07_is($A380,"W70156729",TEXT($B$1,"yyyy/mm/dd"),1),"")</f>
        <v>5451693869.8999996</v>
      </c>
      <c r="C380">
        <f>IFERROR([1]!s_stm07_is($A380,"W75682424",TEXT($B$1,"yyyy/mm/dd"),1),"")</f>
        <v>4791639149.5699997</v>
      </c>
      <c r="D380">
        <f>IFERROR([1]!s_stm07_is($A380,"W76031679",TEXT($B$1,"yyyy/mm/dd"),1),"")</f>
        <v>53772848.729999997</v>
      </c>
      <c r="E380">
        <f>IFERROR([1]!s_stm07_is($A380,"W70752487",TEXT($B$1,"yyyy/mm/dd"),1),"")</f>
        <v>179188376.27000001</v>
      </c>
      <c r="F380">
        <f>IFERROR([1]!s_stm07_is_103($A380,TEXT($B$1,"yyyy/mm/dd"),1),"")</f>
        <v>295336853.62</v>
      </c>
      <c r="G380">
        <f>IFERROR([1]!s_stm07_is_104($A380,TEXT($B$1,"yyyy/mm/dd"),1),"")</f>
        <v>48026740.469999999</v>
      </c>
      <c r="H380">
        <f>IFERROR([1]!s_stm07_is_105($A380,TEXT($B$1,"yyyy/mm/dd"),1),"")</f>
        <v>5504457.0300000003</v>
      </c>
      <c r="I380">
        <f>IFERROR([1]!s_stm07_is($A380,"W72946623",TEXT($B$1,"yyyy/mm/dd"),1),"")</f>
        <v>287041342.72000003</v>
      </c>
      <c r="J380">
        <f>IFERROR([1]!s_stm07_is($A380,"W30028333",TEXT($B$1,"yyyy/mm/dd"),1),"")</f>
        <v>240093871.03999999</v>
      </c>
      <c r="K380">
        <f>IFERROR([1]!s_stm07_cs($A380,"W77130581",TEXT($B$1,"yyyy/mm/dd"),1),"")</f>
        <v>849095610.19000006</v>
      </c>
      <c r="L380">
        <f>IFERROR([1]!s_stm07_cs($A380,"W77745895",TEXT($B$1,"yyyy/mm/dd"),1),"")</f>
        <v>698204810.48000002</v>
      </c>
      <c r="M380">
        <f>IFERROR([1]!S_FA_EPS_basic2($A380,$B$1,"Cur=CNY"),"")</f>
        <v>0.18</v>
      </c>
      <c r="N380">
        <f>IFERROR([1]!s_fa_arturndays($A380,TEXT($B$1,"yyyy/mm/dd")),"")</f>
        <v>91.942300000000003</v>
      </c>
      <c r="O380" t="str">
        <f>IFERROR([1]!fa_apturndays($A380,TEXT($B$1,"yyyy/mm/dd")),"")</f>
        <v>Fetch...</v>
      </c>
      <c r="P380">
        <f>IFERROR([1]!s_fa_invturndays($A380,TEXT($B$1,"yyyy/mm/dd")),"")</f>
        <v>86.058499999999995</v>
      </c>
    </row>
    <row r="381" spans="1:16">
      <c r="A381" t="s">
        <v>394</v>
      </c>
      <c r="B381">
        <f>IFERROR([1]!s_stm07_is($A381,"W70156729",TEXT($B$1,"yyyy/mm/dd"),1),"")</f>
        <v>7194624804.6700001</v>
      </c>
      <c r="C381">
        <f>IFERROR([1]!s_stm07_is($A381,"W75682424",TEXT($B$1,"yyyy/mm/dd"),1),"")</f>
        <v>5786588065.4099998</v>
      </c>
      <c r="D381">
        <f>IFERROR([1]!s_stm07_is($A381,"W76031679",TEXT($B$1,"yyyy/mm/dd"),1),"")</f>
        <v>222464870.88999999</v>
      </c>
      <c r="E381">
        <f>IFERROR([1]!s_stm07_is($A381,"W70752487",TEXT($B$1,"yyyy/mm/dd"),1),"")</f>
        <v>543585177.44000006</v>
      </c>
      <c r="F381">
        <f>IFERROR([1]!s_stm07_is_103($A381,TEXT($B$1,"yyyy/mm/dd"),1),"")</f>
        <v>481494925.49000001</v>
      </c>
      <c r="G381">
        <f>IFERROR([1]!s_stm07_is_104($A381,TEXT($B$1,"yyyy/mm/dd"),1),"")</f>
        <v>166233072.25999999</v>
      </c>
      <c r="H381">
        <f>IFERROR([1]!s_stm07_is_105($A381,TEXT($B$1,"yyyy/mm/dd"),1),"")</f>
        <v>10494848.57</v>
      </c>
      <c r="I381">
        <f>IFERROR([1]!s_stm07_is($A381,"W72946623",TEXT($B$1,"yyyy/mm/dd"),1),"")</f>
        <v>-86770754.819999993</v>
      </c>
      <c r="J381">
        <f>IFERROR([1]!s_stm07_is($A381,"W30028333",TEXT($B$1,"yyyy/mm/dd"),1),"")</f>
        <v>134946022.66</v>
      </c>
      <c r="K381">
        <f>IFERROR([1]!s_stm07_cs($A381,"W77130581",TEXT($B$1,"yyyy/mm/dd"),1),"")</f>
        <v>-62747124.299999997</v>
      </c>
      <c r="L381">
        <f>IFERROR([1]!s_stm07_cs($A381,"W77745895",TEXT($B$1,"yyyy/mm/dd"),1),"")</f>
        <v>852683193.60000002</v>
      </c>
      <c r="M381">
        <f>IFERROR([1]!S_FA_EPS_basic2($A381,$B$1,"Cur=CNY"),"")</f>
        <v>0.08</v>
      </c>
      <c r="N381">
        <f>IFERROR([1]!s_fa_arturndays($A381,TEXT($B$1,"yyyy/mm/dd")),"")</f>
        <v>103.3058</v>
      </c>
      <c r="O381" t="str">
        <f>IFERROR([1]!fa_apturndays($A381,TEXT($B$1,"yyyy/mm/dd")),"")</f>
        <v>Fetch...</v>
      </c>
      <c r="P381">
        <f>IFERROR([1]!s_fa_invturndays($A381,TEXT($B$1,"yyyy/mm/dd")),"")</f>
        <v>54.542999999999999</v>
      </c>
    </row>
    <row r="382" spans="1:16">
      <c r="A382" t="s">
        <v>395</v>
      </c>
      <c r="B382">
        <f>IFERROR([1]!s_stm07_is($A382,"W70156729",TEXT($B$1,"yyyy/mm/dd"),1),"")</f>
        <v>2337579161.3400002</v>
      </c>
      <c r="C382">
        <f>IFERROR([1]!s_stm07_is($A382,"W75682424",TEXT($B$1,"yyyy/mm/dd"),1),"")</f>
        <v>975461860.80999994</v>
      </c>
      <c r="D382">
        <f>IFERROR([1]!s_stm07_is($A382,"W76031679",TEXT($B$1,"yyyy/mm/dd"),1),"")</f>
        <v>865780155.69000006</v>
      </c>
      <c r="E382">
        <f>IFERROR([1]!s_stm07_is($A382,"W70752487",TEXT($B$1,"yyyy/mm/dd"),1),"")</f>
        <v>261048296.53999999</v>
      </c>
      <c r="F382">
        <f>IFERROR([1]!s_stm07_is_103($A382,TEXT($B$1,"yyyy/mm/dd"),1),"")</f>
        <v>741499383.08000004</v>
      </c>
      <c r="G382">
        <f>IFERROR([1]!s_stm07_is_104($A382,TEXT($B$1,"yyyy/mm/dd"),1),"")</f>
        <v>1528695.89</v>
      </c>
      <c r="H382">
        <f>IFERROR([1]!s_stm07_is_105($A382,TEXT($B$1,"yyyy/mm/dd"),1),"")</f>
        <v>17270304.260000002</v>
      </c>
      <c r="I382">
        <f>IFERROR([1]!s_stm07_is($A382,"W72946623",TEXT($B$1,"yyyy/mm/dd"),1),"")</f>
        <v>-635170475.62</v>
      </c>
      <c r="J382">
        <f>IFERROR([1]!s_stm07_is($A382,"W30028333",TEXT($B$1,"yyyy/mm/dd"),1),"")</f>
        <v>-572319870.54999995</v>
      </c>
      <c r="K382">
        <f>IFERROR([1]!s_stm07_cs($A382,"W77130581",TEXT($B$1,"yyyy/mm/dd"),1),"")</f>
        <v>286672891.00999999</v>
      </c>
      <c r="L382">
        <f>IFERROR([1]!s_stm07_cs($A382,"W77745895",TEXT($B$1,"yyyy/mm/dd"),1),"")</f>
        <v>172898626.50999999</v>
      </c>
      <c r="M382">
        <f>IFERROR([1]!S_FA_EPS_basic2($A382,$B$1,"Cur=CNY"),"")</f>
        <v>-0.4713</v>
      </c>
      <c r="N382">
        <f>IFERROR([1]!s_fa_arturndays($A382,TEXT($B$1,"yyyy/mm/dd")),"")</f>
        <v>685.84490000000005</v>
      </c>
      <c r="O382" t="str">
        <f>IFERROR([1]!fa_apturndays($A382,TEXT($B$1,"yyyy/mm/dd")),"")</f>
        <v>Fetch...</v>
      </c>
      <c r="P382">
        <f>IFERROR([1]!s_fa_invturndays($A382,TEXT($B$1,"yyyy/mm/dd")),"")</f>
        <v>168.86349999999999</v>
      </c>
    </row>
    <row r="383" spans="1:16">
      <c r="A383" t="s">
        <v>396</v>
      </c>
      <c r="B383">
        <f>IFERROR([1]!s_stm07_is($A383,"W70156729",TEXT($B$1,"yyyy/mm/dd"),1),"")</f>
        <v>14666295589.93</v>
      </c>
      <c r="C383">
        <f>IFERROR([1]!s_stm07_is($A383,"W75682424",TEXT($B$1,"yyyy/mm/dd"),1),"")</f>
        <v>9867606310.0799999</v>
      </c>
      <c r="D383">
        <f>IFERROR([1]!s_stm07_is($A383,"W76031679",TEXT($B$1,"yyyy/mm/dd"),1),"")</f>
        <v>1053708464.37</v>
      </c>
      <c r="E383">
        <f>IFERROR([1]!s_stm07_is($A383,"W70752487",TEXT($B$1,"yyyy/mm/dd"),1),"")</f>
        <v>1013400953.67</v>
      </c>
      <c r="F383">
        <f>IFERROR([1]!s_stm07_is_103($A383,TEXT($B$1,"yyyy/mm/dd"),1),"")</f>
        <v>403064547.61000001</v>
      </c>
      <c r="G383">
        <f>IFERROR([1]!s_stm07_is_104($A383,TEXT($B$1,"yyyy/mm/dd"),1),"")</f>
        <v>32496491.850000001</v>
      </c>
      <c r="H383">
        <f>IFERROR([1]!s_stm07_is_105($A383,TEXT($B$1,"yyyy/mm/dd"),1),"")</f>
        <v>95093328.680000007</v>
      </c>
      <c r="I383">
        <f>IFERROR([1]!s_stm07_is($A383,"W72946623",TEXT($B$1,"yyyy/mm/dd"),1),"")</f>
        <v>2981154425.6300001</v>
      </c>
      <c r="J383">
        <f>IFERROR([1]!s_stm07_is($A383,"W30028333",TEXT($B$1,"yyyy/mm/dd"),1),"")</f>
        <v>2509717178.1399999</v>
      </c>
      <c r="K383">
        <f>IFERROR([1]!s_stm07_cs($A383,"W77130581",TEXT($B$1,"yyyy/mm/dd"),1),"")</f>
        <v>2309961219.29</v>
      </c>
      <c r="L383">
        <f>IFERROR([1]!s_stm07_cs($A383,"W77745895",TEXT($B$1,"yyyy/mm/dd"),1),"")</f>
        <v>972149732.95000005</v>
      </c>
      <c r="M383">
        <f>IFERROR([1]!S_FA_EPS_basic2($A383,$B$1,"Cur=CNY"),"")</f>
        <v>2.1011000000000002</v>
      </c>
      <c r="N383">
        <f>IFERROR([1]!s_fa_arturndays($A383,TEXT($B$1,"yyyy/mm/dd")),"")</f>
        <v>76.069699999999997</v>
      </c>
      <c r="O383" t="str">
        <f>IFERROR([1]!fa_apturndays($A383,TEXT($B$1,"yyyy/mm/dd")),"")</f>
        <v>Fetch...</v>
      </c>
      <c r="P383">
        <f>IFERROR([1]!s_fa_invturndays($A383,TEXT($B$1,"yyyy/mm/dd")),"")</f>
        <v>113.622</v>
      </c>
    </row>
    <row r="384" spans="1:16">
      <c r="A384" t="s">
        <v>397</v>
      </c>
      <c r="B384">
        <f>IFERROR([1]!s_stm07_is($A384,"W70156729",TEXT($B$1,"yyyy/mm/dd"),1),"")</f>
        <v>22149943604.25</v>
      </c>
      <c r="C384">
        <f>IFERROR([1]!s_stm07_is($A384,"W75682424",TEXT($B$1,"yyyy/mm/dd"),1),"")</f>
        <v>19862989887.900002</v>
      </c>
      <c r="D384">
        <f>IFERROR([1]!s_stm07_is($A384,"W76031679",TEXT($B$1,"yyyy/mm/dd"),1),"")</f>
        <v>122021076.93000001</v>
      </c>
      <c r="E384">
        <f>IFERROR([1]!s_stm07_is($A384,"W70752487",TEXT($B$1,"yyyy/mm/dd"),1),"")</f>
        <v>529508569.97000003</v>
      </c>
      <c r="F384">
        <f>IFERROR([1]!s_stm07_is_103($A384,TEXT($B$1,"yyyy/mm/dd"),1),"")</f>
        <v>1079610650.3399999</v>
      </c>
      <c r="G384">
        <f>IFERROR([1]!s_stm07_is_104($A384,TEXT($B$1,"yyyy/mm/dd"),1),"")</f>
        <v>282442571.11000001</v>
      </c>
      <c r="H384">
        <f>IFERROR([1]!s_stm07_is_105($A384,TEXT($B$1,"yyyy/mm/dd"),1),"")</f>
        <v>14607384.85</v>
      </c>
      <c r="I384">
        <f>IFERROR([1]!s_stm07_is($A384,"W72946623",TEXT($B$1,"yyyy/mm/dd"),1),"")</f>
        <v>123553627.20999999</v>
      </c>
      <c r="J384">
        <f>IFERROR([1]!s_stm07_is($A384,"W30028333",TEXT($B$1,"yyyy/mm/dd"),1),"")</f>
        <v>41634215.939999998</v>
      </c>
      <c r="K384">
        <f>IFERROR([1]!s_stm07_cs($A384,"W77130581",TEXT($B$1,"yyyy/mm/dd"),1),"")</f>
        <v>276184951.31999999</v>
      </c>
      <c r="L384">
        <f>IFERROR([1]!s_stm07_cs($A384,"W77745895",TEXT($B$1,"yyyy/mm/dd"),1),"")</f>
        <v>537576865.15999997</v>
      </c>
      <c r="M384">
        <f>IFERROR([1]!S_FA_EPS_basic2($A384,$B$1,"Cur=CNY"),"")</f>
        <v>1.26E-2</v>
      </c>
      <c r="N384">
        <f>IFERROR([1]!s_fa_arturndays($A384,TEXT($B$1,"yyyy/mm/dd")),"")</f>
        <v>125.51430000000001</v>
      </c>
      <c r="O384" t="str">
        <f>IFERROR([1]!fa_apturndays($A384,TEXT($B$1,"yyyy/mm/dd")),"")</f>
        <v>Fetch...</v>
      </c>
      <c r="P384">
        <f>IFERROR([1]!s_fa_invturndays($A384,TEXT($B$1,"yyyy/mm/dd")),"")</f>
        <v>59.027000000000001</v>
      </c>
    </row>
    <row r="385" spans="1:16">
      <c r="A385" t="s">
        <v>398</v>
      </c>
      <c r="B385">
        <f>IFERROR([1]!s_stm07_is($A385,"W70156729",TEXT($B$1,"yyyy/mm/dd"),1),"")</f>
        <v>2952270108.4299998</v>
      </c>
      <c r="C385">
        <f>IFERROR([1]!s_stm07_is($A385,"W75682424",TEXT($B$1,"yyyy/mm/dd"),1),"")</f>
        <v>2427987984.6900001</v>
      </c>
      <c r="D385">
        <f>IFERROR([1]!s_stm07_is($A385,"W76031679",TEXT($B$1,"yyyy/mm/dd"),1),"")</f>
        <v>40771904.409999996</v>
      </c>
      <c r="E385">
        <f>IFERROR([1]!s_stm07_is($A385,"W70752487",TEXT($B$1,"yyyy/mm/dd"),1),"")</f>
        <v>136718058.02000001</v>
      </c>
      <c r="F385">
        <f>IFERROR([1]!s_stm07_is_103($A385,TEXT($B$1,"yyyy/mm/dd"),1),"")</f>
        <v>115332501.18000001</v>
      </c>
      <c r="G385">
        <f>IFERROR([1]!s_stm07_is_104($A385,TEXT($B$1,"yyyy/mm/dd"),1),"")</f>
        <v>40307110.469999999</v>
      </c>
      <c r="H385">
        <f>IFERROR([1]!s_stm07_is_105($A385,TEXT($B$1,"yyyy/mm/dd"),1),"")</f>
        <v>29336123.760000002</v>
      </c>
      <c r="I385">
        <f>IFERROR([1]!s_stm07_is($A385,"W72946623",TEXT($B$1,"yyyy/mm/dd"),1),"")</f>
        <v>160475601.87</v>
      </c>
      <c r="J385">
        <f>IFERROR([1]!s_stm07_is($A385,"W30028333",TEXT($B$1,"yyyy/mm/dd"),1),"")</f>
        <v>165420013.21000001</v>
      </c>
      <c r="K385">
        <f>IFERROR([1]!s_stm07_cs($A385,"W77130581",TEXT($B$1,"yyyy/mm/dd"),1),"")</f>
        <v>561931036.76999998</v>
      </c>
      <c r="L385">
        <f>IFERROR([1]!s_stm07_cs($A385,"W77745895",TEXT($B$1,"yyyy/mm/dd"),1),"")</f>
        <v>312712473.31999999</v>
      </c>
      <c r="M385">
        <f>IFERROR([1]!S_FA_EPS_basic2($A385,$B$1,"Cur=CNY"),"")</f>
        <v>0.15</v>
      </c>
      <c r="N385">
        <f>IFERROR([1]!s_fa_arturndays($A385,TEXT($B$1,"yyyy/mm/dd")),"")</f>
        <v>7.4736000000000002</v>
      </c>
      <c r="O385" t="str">
        <f>IFERROR([1]!fa_apturndays($A385,TEXT($B$1,"yyyy/mm/dd")),"")</f>
        <v>Fetch...</v>
      </c>
      <c r="P385">
        <f>IFERROR([1]!s_fa_invturndays($A385,TEXT($B$1,"yyyy/mm/dd")),"")</f>
        <v>59.342300000000002</v>
      </c>
    </row>
    <row r="386" spans="1:16">
      <c r="A386" t="s">
        <v>399</v>
      </c>
      <c r="B386">
        <f>IFERROR([1]!s_stm07_is($A386,"W70156729",TEXT($B$1,"yyyy/mm/dd"),1),"")</f>
        <v>49128712950.940002</v>
      </c>
      <c r="C386">
        <f>IFERROR([1]!s_stm07_is($A386,"W75682424",TEXT($B$1,"yyyy/mm/dd"),1),"")</f>
        <v>50161114115.389999</v>
      </c>
      <c r="D386">
        <f>IFERROR([1]!s_stm07_is($A386,"W76031679",TEXT($B$1,"yyyy/mm/dd"),1),"")</f>
        <v>1040667707.66</v>
      </c>
      <c r="E386">
        <f>IFERROR([1]!s_stm07_is($A386,"W70752487",TEXT($B$1,"yyyy/mm/dd"),1),"")</f>
        <v>1875503621.71</v>
      </c>
      <c r="F386">
        <f>IFERROR([1]!s_stm07_is_103($A386,TEXT($B$1,"yyyy/mm/dd"),1),"")</f>
        <v>783978332.63999999</v>
      </c>
      <c r="G386">
        <f>IFERROR([1]!s_stm07_is_104($A386,TEXT($B$1,"yyyy/mm/dd"),1),"")</f>
        <v>1315795058.3399999</v>
      </c>
      <c r="H386">
        <f>IFERROR([1]!s_stm07_is_105($A386,TEXT($B$1,"yyyy/mm/dd"),1),"")</f>
        <v>497333595.68000001</v>
      </c>
      <c r="I386">
        <f>IFERROR([1]!s_stm07_is($A386,"W72946623",TEXT($B$1,"yyyy/mm/dd"),1),"")</f>
        <v>-5050948732.29</v>
      </c>
      <c r="J386">
        <f>IFERROR([1]!s_stm07_is($A386,"W30028333",TEXT($B$1,"yyyy/mm/dd"),1),"")</f>
        <v>-4608260132.2600002</v>
      </c>
      <c r="K386">
        <f>IFERROR([1]!s_stm07_cs($A386,"W77130581",TEXT($B$1,"yyyy/mm/dd"),1),"")</f>
        <v>4279976369.7600002</v>
      </c>
      <c r="L386">
        <f>IFERROR([1]!s_stm07_cs($A386,"W77745895",TEXT($B$1,"yyyy/mm/dd"),1),"")</f>
        <v>5044100797.7200003</v>
      </c>
      <c r="M386">
        <f>IFERROR([1]!S_FA_EPS_basic2($A386,$B$1,"Cur=CNY"),"")</f>
        <v>-1.41</v>
      </c>
      <c r="N386">
        <f>IFERROR([1]!s_fa_arturndays($A386,TEXT($B$1,"yyyy/mm/dd")),"")</f>
        <v>66.605000000000004</v>
      </c>
      <c r="O386" t="str">
        <f>IFERROR([1]!fa_apturndays($A386,TEXT($B$1,"yyyy/mm/dd")),"")</f>
        <v>Fetch...</v>
      </c>
      <c r="P386">
        <f>IFERROR([1]!s_fa_invturndays($A386,TEXT($B$1,"yyyy/mm/dd")),"")</f>
        <v>74.026899999999998</v>
      </c>
    </row>
    <row r="387" spans="1:16">
      <c r="A387" t="s">
        <v>400</v>
      </c>
      <c r="B387">
        <f>IFERROR([1]!s_stm07_is($A387,"W70156729",TEXT($B$1,"yyyy/mm/dd"),1),"")</f>
        <v>23081732746.32</v>
      </c>
      <c r="C387">
        <f>IFERROR([1]!s_stm07_is($A387,"W75682424",TEXT($B$1,"yyyy/mm/dd"),1),"")</f>
        <v>19452888162.310001</v>
      </c>
      <c r="D387">
        <f>IFERROR([1]!s_stm07_is($A387,"W76031679",TEXT($B$1,"yyyy/mm/dd"),1),"")</f>
        <v>171557772.16</v>
      </c>
      <c r="E387">
        <f>IFERROR([1]!s_stm07_is($A387,"W70752487",TEXT($B$1,"yyyy/mm/dd"),1),"")</f>
        <v>1185448472.45</v>
      </c>
      <c r="F387">
        <f>IFERROR([1]!s_stm07_is_103($A387,TEXT($B$1,"yyyy/mm/dd"),1),"")</f>
        <v>1042098112.04</v>
      </c>
      <c r="G387">
        <f>IFERROR([1]!s_stm07_is_104($A387,TEXT($B$1,"yyyy/mm/dd"),1),"")</f>
        <v>1474382912.96</v>
      </c>
      <c r="H387">
        <f>IFERROR([1]!s_stm07_is_105($A387,TEXT($B$1,"yyyy/mm/dd"),1),"")</f>
        <v>252084399.97999999</v>
      </c>
      <c r="I387">
        <f>IFERROR([1]!s_stm07_is($A387,"W72946623",TEXT($B$1,"yyyy/mm/dd"),1),"")</f>
        <v>1187762422.8900001</v>
      </c>
      <c r="J387">
        <f>IFERROR([1]!s_stm07_is($A387,"W30028333",TEXT($B$1,"yyyy/mm/dd"),1),"")</f>
        <v>1612980993.3399999</v>
      </c>
      <c r="K387">
        <f>IFERROR([1]!s_stm07_cs($A387,"W77130581",TEXT($B$1,"yyyy/mm/dd"),1),"")</f>
        <v>2944844627.1900001</v>
      </c>
      <c r="L387">
        <f>IFERROR([1]!s_stm07_cs($A387,"W77745895",TEXT($B$1,"yyyy/mm/dd"),1),"")</f>
        <v>7421739392.1800003</v>
      </c>
      <c r="M387">
        <f>IFERROR([1]!S_FA_EPS_basic2($A387,$B$1,"Cur=CNY"),"")</f>
        <v>0.8</v>
      </c>
      <c r="N387">
        <f>IFERROR([1]!s_fa_arturndays($A387,TEXT($B$1,"yyyy/mm/dd")),"")</f>
        <v>83.750100000000003</v>
      </c>
      <c r="O387" t="str">
        <f>IFERROR([1]!fa_apturndays($A387,TEXT($B$1,"yyyy/mm/dd")),"")</f>
        <v>Fetch...</v>
      </c>
      <c r="P387">
        <f>IFERROR([1]!s_fa_invturndays($A387,TEXT($B$1,"yyyy/mm/dd")),"")</f>
        <v>200</v>
      </c>
    </row>
    <row r="388" spans="1:16">
      <c r="A388" t="s">
        <v>401</v>
      </c>
      <c r="B388">
        <f>IFERROR([1]!s_stm07_is($A388,"W70156729",TEXT($B$1,"yyyy/mm/dd"),1),"")</f>
        <v>5877605940.8100004</v>
      </c>
      <c r="C388">
        <f>IFERROR([1]!s_stm07_is($A388,"W75682424",TEXT($B$1,"yyyy/mm/dd"),1),"")</f>
        <v>3036875253.6100001</v>
      </c>
      <c r="D388">
        <f>IFERROR([1]!s_stm07_is($A388,"W76031679",TEXT($B$1,"yyyy/mm/dd"),1),"")</f>
        <v>886222907.37</v>
      </c>
      <c r="E388">
        <f>IFERROR([1]!s_stm07_is($A388,"W70752487",TEXT($B$1,"yyyy/mm/dd"),1),"")</f>
        <v>461581849.23000002</v>
      </c>
      <c r="F388">
        <f>IFERROR([1]!s_stm07_is_103($A388,TEXT($B$1,"yyyy/mm/dd"),1),"")</f>
        <v>189074689.16</v>
      </c>
      <c r="G388">
        <f>IFERROR([1]!s_stm07_is_104($A388,TEXT($B$1,"yyyy/mm/dd"),1),"")</f>
        <v>26102877.52</v>
      </c>
      <c r="H388">
        <f>IFERROR([1]!s_stm07_is_105($A388,TEXT($B$1,"yyyy/mm/dd"),1),"")</f>
        <v>192457711.21000001</v>
      </c>
      <c r="I388">
        <f>IFERROR([1]!s_stm07_is($A388,"W72946623",TEXT($B$1,"yyyy/mm/dd"),1),"")</f>
        <v>1058512060.59</v>
      </c>
      <c r="J388">
        <f>IFERROR([1]!s_stm07_is($A388,"W30028333",TEXT($B$1,"yyyy/mm/dd"),1),"")</f>
        <v>903802727.79999995</v>
      </c>
      <c r="K388">
        <f>IFERROR([1]!s_stm07_cs($A388,"W77130581",TEXT($B$1,"yyyy/mm/dd"),1),"")</f>
        <v>1121407425.3</v>
      </c>
      <c r="L388">
        <f>IFERROR([1]!s_stm07_cs($A388,"W77745895",TEXT($B$1,"yyyy/mm/dd"),1),"")</f>
        <v>895989261.07000005</v>
      </c>
      <c r="M388">
        <f>IFERROR([1]!S_FA_EPS_basic2($A388,$B$1,"Cur=CNY"),"")</f>
        <v>0.4083</v>
      </c>
      <c r="N388">
        <f>IFERROR([1]!s_fa_arturndays($A388,TEXT($B$1,"yyyy/mm/dd")),"")</f>
        <v>1.5246</v>
      </c>
      <c r="O388" t="str">
        <f>IFERROR([1]!fa_apturndays($A388,TEXT($B$1,"yyyy/mm/dd")),"")</f>
        <v>Fetch...</v>
      </c>
      <c r="P388">
        <f>IFERROR([1]!s_fa_invturndays($A388,TEXT($B$1,"yyyy/mm/dd")),"")</f>
        <v>72.425899999999999</v>
      </c>
    </row>
    <row r="389" spans="1:16">
      <c r="A389" t="s">
        <v>402</v>
      </c>
      <c r="B389">
        <f>IFERROR([1]!s_stm07_is($A389,"W70156729",TEXT($B$1,"yyyy/mm/dd"),1),"")</f>
        <v>18945220585</v>
      </c>
      <c r="C389">
        <f>IFERROR([1]!s_stm07_is($A389,"W75682424",TEXT($B$1,"yyyy/mm/dd"),1),"")</f>
        <v>12224297224</v>
      </c>
      <c r="D389">
        <f>IFERROR([1]!s_stm07_is($A389,"W76031679",TEXT($B$1,"yyyy/mm/dd"),1),"")</f>
        <v>531026280</v>
      </c>
      <c r="E389">
        <f>IFERROR([1]!s_stm07_is($A389,"W70752487",TEXT($B$1,"yyyy/mm/dd"),1),"")</f>
        <v>420145424</v>
      </c>
      <c r="F389">
        <f>IFERROR([1]!s_stm07_is_103($A389,TEXT($B$1,"yyyy/mm/dd"),1),"")</f>
        <v>1140945544</v>
      </c>
      <c r="G389">
        <f>IFERROR([1]!s_stm07_is_104($A389,TEXT($B$1,"yyyy/mm/dd"),1),"")</f>
        <v>123648075</v>
      </c>
      <c r="H389">
        <f>IFERROR([1]!s_stm07_is_105($A389,TEXT($B$1,"yyyy/mm/dd"),1),"")</f>
        <v>200745944</v>
      </c>
      <c r="I389">
        <f>IFERROR([1]!s_stm07_is($A389,"W72946623",TEXT($B$1,"yyyy/mm/dd"),1),"")</f>
        <v>4398187220</v>
      </c>
      <c r="J389">
        <f>IFERROR([1]!s_stm07_is($A389,"W30028333",TEXT($B$1,"yyyy/mm/dd"),1),"")</f>
        <v>3822306272</v>
      </c>
      <c r="K389">
        <f>IFERROR([1]!s_stm07_cs($A389,"W77130581",TEXT($B$1,"yyyy/mm/dd"),1),"")</f>
        <v>3871967792</v>
      </c>
      <c r="L389">
        <f>IFERROR([1]!s_stm07_cs($A389,"W77745895",TEXT($B$1,"yyyy/mm/dd"),1),"")</f>
        <v>3198495759</v>
      </c>
      <c r="M389">
        <f>IFERROR([1]!S_FA_EPS_basic2($A389,$B$1,"Cur=CNY"),"")</f>
        <v>1.9875</v>
      </c>
      <c r="N389">
        <f>IFERROR([1]!s_fa_arturndays($A389,TEXT($B$1,"yyyy/mm/dd")),"")</f>
        <v>90.741799999999998</v>
      </c>
      <c r="O389" t="str">
        <f>IFERROR([1]!fa_apturndays($A389,TEXT($B$1,"yyyy/mm/dd")),"")</f>
        <v>Fetch...</v>
      </c>
      <c r="P389">
        <f>IFERROR([1]!s_fa_invturndays($A389,TEXT($B$1,"yyyy/mm/dd")),"")</f>
        <v>98.390199999999993</v>
      </c>
    </row>
    <row r="390" spans="1:16">
      <c r="A390" t="s">
        <v>403</v>
      </c>
      <c r="B390">
        <f>IFERROR([1]!s_stm07_is($A390,"W70156729",TEXT($B$1,"yyyy/mm/dd"),1),"")</f>
        <v>4388020621.3900003</v>
      </c>
      <c r="C390">
        <f>IFERROR([1]!s_stm07_is($A390,"W75682424",TEXT($B$1,"yyyy/mm/dd"),1),"")</f>
        <v>3346478051.29</v>
      </c>
      <c r="D390">
        <f>IFERROR([1]!s_stm07_is($A390,"W76031679",TEXT($B$1,"yyyy/mm/dd"),1),"")</f>
        <v>153189238.68000001</v>
      </c>
      <c r="E390">
        <f>IFERROR([1]!s_stm07_is($A390,"W70752487",TEXT($B$1,"yyyy/mm/dd"),1),"")</f>
        <v>345781164.38999999</v>
      </c>
      <c r="F390">
        <f>IFERROR([1]!s_stm07_is_103($A390,TEXT($B$1,"yyyy/mm/dd"),1),"")</f>
        <v>928260130.80999994</v>
      </c>
      <c r="G390">
        <f>IFERROR([1]!s_stm07_is_104($A390,TEXT($B$1,"yyyy/mm/dd"),1),"")</f>
        <v>74057210.510000005</v>
      </c>
      <c r="H390">
        <f>IFERROR([1]!s_stm07_is_105($A390,TEXT($B$1,"yyyy/mm/dd"),1),"")</f>
        <v>58822488.280000001</v>
      </c>
      <c r="I390">
        <f>IFERROR([1]!s_stm07_is($A390,"W72946623",TEXT($B$1,"yyyy/mm/dd"),1),"")</f>
        <v>-862530026.38999999</v>
      </c>
      <c r="J390">
        <f>IFERROR([1]!s_stm07_is($A390,"W30028333",TEXT($B$1,"yyyy/mm/dd"),1),"")</f>
        <v>-786367482.55999994</v>
      </c>
      <c r="K390">
        <f>IFERROR([1]!s_stm07_cs($A390,"W77130581",TEXT($B$1,"yyyy/mm/dd"),1),"")</f>
        <v>-644706900.53999996</v>
      </c>
      <c r="L390">
        <f>IFERROR([1]!s_stm07_cs($A390,"W77745895",TEXT($B$1,"yyyy/mm/dd"),1),"")</f>
        <v>776575590.37</v>
      </c>
      <c r="M390">
        <f>IFERROR([1]!S_FA_EPS_basic2($A390,$B$1,"Cur=CNY"),"")</f>
        <v>-0.32</v>
      </c>
      <c r="N390">
        <f>IFERROR([1]!s_fa_arturndays($A390,TEXT($B$1,"yyyy/mm/dd")),"")</f>
        <v>445.15890000000002</v>
      </c>
      <c r="O390" t="str">
        <f>IFERROR([1]!fa_apturndays($A390,TEXT($B$1,"yyyy/mm/dd")),"")</f>
        <v>Fetch...</v>
      </c>
      <c r="P390">
        <f>IFERROR([1]!s_fa_invturndays($A390,TEXT($B$1,"yyyy/mm/dd")),"")</f>
        <v>301.43180000000001</v>
      </c>
    </row>
    <row r="391" spans="1:16">
      <c r="A391" t="s">
        <v>404</v>
      </c>
      <c r="B391">
        <f>IFERROR([1]!s_stm07_is($A391,"W70156729",TEXT($B$1,"yyyy/mm/dd"),1),"")</f>
        <v>10346364563.27</v>
      </c>
      <c r="C391">
        <f>IFERROR([1]!s_stm07_is($A391,"W75682424",TEXT($B$1,"yyyy/mm/dd"),1),"")</f>
        <v>6262309199.7700005</v>
      </c>
      <c r="D391">
        <f>IFERROR([1]!s_stm07_is($A391,"W76031679",TEXT($B$1,"yyyy/mm/dd"),1),"")</f>
        <v>10172536.01</v>
      </c>
      <c r="E391">
        <f>IFERROR([1]!s_stm07_is($A391,"W70752487",TEXT($B$1,"yyyy/mm/dd"),1),"")</f>
        <v>633828575.87</v>
      </c>
      <c r="F391">
        <f>IFERROR([1]!s_stm07_is_103($A391,TEXT($B$1,"yyyy/mm/dd"),1),"")</f>
        <v>47593311.630000003</v>
      </c>
      <c r="G391">
        <f>IFERROR([1]!s_stm07_is_104($A391,TEXT($B$1,"yyyy/mm/dd"),1),"")</f>
        <v>622007266.45000005</v>
      </c>
      <c r="H391">
        <f>IFERROR([1]!s_stm07_is_105($A391,TEXT($B$1,"yyyy/mm/dd"),1),"")</f>
        <v>198023625.28</v>
      </c>
      <c r="I391">
        <f>IFERROR([1]!s_stm07_is($A391,"W72946623",TEXT($B$1,"yyyy/mm/dd"),1),"")</f>
        <v>3969414506.98</v>
      </c>
      <c r="J391">
        <f>IFERROR([1]!s_stm07_is($A391,"W30028333",TEXT($B$1,"yyyy/mm/dd"),1),"")</f>
        <v>462625452.36000001</v>
      </c>
      <c r="K391">
        <f>IFERROR([1]!s_stm07_cs($A391,"W77130581",TEXT($B$1,"yyyy/mm/dd"),1),"")</f>
        <v>2960503399.3499999</v>
      </c>
      <c r="L391">
        <f>IFERROR([1]!s_stm07_cs($A391,"W77745895",TEXT($B$1,"yyyy/mm/dd"),1),"")</f>
        <v>3603413451.0300002</v>
      </c>
      <c r="M391">
        <f>IFERROR([1]!S_FA_EPS_basic2($A391,$B$1,"Cur=CNY"),"")</f>
        <v>0.28000000000000003</v>
      </c>
      <c r="N391">
        <f>IFERROR([1]!s_fa_arturndays($A391,TEXT($B$1,"yyyy/mm/dd")),"")</f>
        <v>24.087800000000001</v>
      </c>
      <c r="O391" t="str">
        <f>IFERROR([1]!fa_apturndays($A391,TEXT($B$1,"yyyy/mm/dd")),"")</f>
        <v>Fetch...</v>
      </c>
      <c r="P391">
        <f>IFERROR([1]!s_fa_invturndays($A391,TEXT($B$1,"yyyy/mm/dd")),"")</f>
        <v>134.96789999999999</v>
      </c>
    </row>
    <row r="392" spans="1:16">
      <c r="A392" t="s">
        <v>405</v>
      </c>
      <c r="B392">
        <f>IFERROR([1]!s_stm07_is($A392,"W70156729",TEXT($B$1,"yyyy/mm/dd"),1),"")</f>
        <v>55586177412.269997</v>
      </c>
      <c r="C392">
        <f>IFERROR([1]!s_stm07_is($A392,"W75682424",TEXT($B$1,"yyyy/mm/dd"),1),"")</f>
        <v>52024268072.150002</v>
      </c>
      <c r="D392">
        <f>IFERROR([1]!s_stm07_is($A392,"W76031679",TEXT($B$1,"yyyy/mm/dd"),1),"")</f>
        <v>159116267.41999999</v>
      </c>
      <c r="E392">
        <f>IFERROR([1]!s_stm07_is($A392,"W70752487",TEXT($B$1,"yyyy/mm/dd"),1),"")</f>
        <v>1077789328.53</v>
      </c>
      <c r="F392">
        <f>IFERROR([1]!s_stm07_is_103($A392,TEXT($B$1,"yyyy/mm/dd"),1),"")</f>
        <v>188411505.47999999</v>
      </c>
      <c r="G392">
        <f>IFERROR([1]!s_stm07_is_104($A392,TEXT($B$1,"yyyy/mm/dd"),1),"")</f>
        <v>272682381.02999997</v>
      </c>
      <c r="H392">
        <f>IFERROR([1]!s_stm07_is_105($A392,TEXT($B$1,"yyyy/mm/dd"),1),"")</f>
        <v>28090322.670000002</v>
      </c>
      <c r="I392">
        <f>IFERROR([1]!s_stm07_is($A392,"W72946623",TEXT($B$1,"yyyy/mm/dd"),1),"")</f>
        <v>1702846054.4300001</v>
      </c>
      <c r="J392">
        <f>IFERROR([1]!s_stm07_is($A392,"W30028333",TEXT($B$1,"yyyy/mm/dd"),1),"")</f>
        <v>1368631017.22</v>
      </c>
      <c r="K392">
        <f>IFERROR([1]!s_stm07_cs($A392,"W77130581",TEXT($B$1,"yyyy/mm/dd"),1),"")</f>
        <v>3799080668.21</v>
      </c>
      <c r="L392">
        <f>IFERROR([1]!s_stm07_cs($A392,"W77745895",TEXT($B$1,"yyyy/mm/dd"),1),"")</f>
        <v>3152071407.9499998</v>
      </c>
      <c r="M392">
        <f>IFERROR([1]!S_FA_EPS_basic2($A392,$B$1,"Cur=CNY"),"")</f>
        <v>0.92</v>
      </c>
      <c r="N392">
        <f>IFERROR([1]!s_fa_arturndays($A392,TEXT($B$1,"yyyy/mm/dd")),"")</f>
        <v>8.1991999999999994</v>
      </c>
      <c r="O392" t="str">
        <f>IFERROR([1]!fa_apturndays($A392,TEXT($B$1,"yyyy/mm/dd")),"")</f>
        <v>Fetch...</v>
      </c>
      <c r="P392">
        <f>IFERROR([1]!s_fa_invturndays($A392,TEXT($B$1,"yyyy/mm/dd")),"")</f>
        <v>0.69189999999999996</v>
      </c>
    </row>
    <row r="393" spans="1:16">
      <c r="A393" t="s">
        <v>406</v>
      </c>
      <c r="B393">
        <f>IFERROR([1]!s_stm07_is($A393,"W70156729",TEXT($B$1,"yyyy/mm/dd"),1),"")</f>
        <v>9112171720.3899994</v>
      </c>
      <c r="C393">
        <f>IFERROR([1]!s_stm07_is($A393,"W75682424",TEXT($B$1,"yyyy/mm/dd"),1),"")</f>
        <v>6621248113.4499998</v>
      </c>
      <c r="D393">
        <f>IFERROR([1]!s_stm07_is($A393,"W76031679",TEXT($B$1,"yyyy/mm/dd"),1),"")</f>
        <v>99497775.530000001</v>
      </c>
      <c r="E393">
        <f>IFERROR([1]!s_stm07_is($A393,"W70752487",TEXT($B$1,"yyyy/mm/dd"),1),"")</f>
        <v>384864203.77999997</v>
      </c>
      <c r="F393">
        <f>IFERROR([1]!s_stm07_is_103($A393,TEXT($B$1,"yyyy/mm/dd"),1),"")</f>
        <v>490511600.35000002</v>
      </c>
      <c r="G393">
        <f>IFERROR([1]!s_stm07_is_104($A393,TEXT($B$1,"yyyy/mm/dd"),1),"")</f>
        <v>82002703.180000007</v>
      </c>
      <c r="H393">
        <f>IFERROR([1]!s_stm07_is_105($A393,TEXT($B$1,"yyyy/mm/dd"),1),"")</f>
        <v>29840401.210000001</v>
      </c>
      <c r="I393">
        <f>IFERROR([1]!s_stm07_is($A393,"W72946623",TEXT($B$1,"yyyy/mm/dd"),1),"")</f>
        <v>1504842402.71</v>
      </c>
      <c r="J393">
        <f>IFERROR([1]!s_stm07_is($A393,"W30028333",TEXT($B$1,"yyyy/mm/dd"),1),"")</f>
        <v>1261517918.3099999</v>
      </c>
      <c r="K393">
        <f>IFERROR([1]!s_stm07_cs($A393,"W77130581",TEXT($B$1,"yyyy/mm/dd"),1),"")</f>
        <v>2391305516.4499998</v>
      </c>
      <c r="L393">
        <f>IFERROR([1]!s_stm07_cs($A393,"W77745895",TEXT($B$1,"yyyy/mm/dd"),1),"")</f>
        <v>2069422100.6800001</v>
      </c>
      <c r="M393">
        <f>IFERROR([1]!S_FA_EPS_basic2($A393,$B$1,"Cur=CNY"),"")</f>
        <v>1.5</v>
      </c>
      <c r="N393">
        <f>IFERROR([1]!s_fa_arturndays($A393,TEXT($B$1,"yyyy/mm/dd")),"")</f>
        <v>105.1003</v>
      </c>
      <c r="O393" t="str">
        <f>IFERROR([1]!fa_apturndays($A393,TEXT($B$1,"yyyy/mm/dd")),"")</f>
        <v>Fetch...</v>
      </c>
      <c r="P393">
        <f>IFERROR([1]!s_fa_invturndays($A393,TEXT($B$1,"yyyy/mm/dd")),"")</f>
        <v>115.7259</v>
      </c>
    </row>
    <row r="394" spans="1:16">
      <c r="A394" t="s">
        <v>407</v>
      </c>
      <c r="B394">
        <f>IFERROR([1]!s_stm07_is($A394,"W70156729",TEXT($B$1,"yyyy/mm/dd"),1),"")</f>
        <v>332344443143.39001</v>
      </c>
      <c r="C394">
        <f>IFERROR([1]!s_stm07_is($A394,"W75682424",TEXT($B$1,"yyyy/mm/dd"),1),"")</f>
        <v>292755910976.71002</v>
      </c>
      <c r="D394">
        <f>IFERROR([1]!s_stm07_is($A394,"W76031679",TEXT($B$1,"yyyy/mm/dd"),1),"")</f>
        <v>2333996973.4899998</v>
      </c>
      <c r="E394">
        <f>IFERROR([1]!s_stm07_is($A394,"W70752487",TEXT($B$1,"yyyy/mm/dd"),1),"")</f>
        <v>10195494233.32</v>
      </c>
      <c r="F394">
        <f>IFERROR([1]!s_stm07_is_103($A394,TEXT($B$1,"yyyy/mm/dd"),1),"")</f>
        <v>11428041090.59</v>
      </c>
      <c r="G394">
        <f>IFERROR([1]!s_stm07_is_104($A394,TEXT($B$1,"yyyy/mm/dd"),1),"")</f>
        <v>1765110828.8199999</v>
      </c>
      <c r="H394">
        <f>IFERROR([1]!s_stm07_is_105($A394,TEXT($B$1,"yyyy/mm/dd"),1),"")</f>
        <v>997715551.57000005</v>
      </c>
      <c r="I394">
        <f>IFERROR([1]!s_stm07_is($A394,"W72946623",TEXT($B$1,"yyyy/mm/dd"),1),"")</f>
        <v>19549858322.389999</v>
      </c>
      <c r="J394">
        <f>IFERROR([1]!s_stm07_is($A394,"W30028333",TEXT($B$1,"yyyy/mm/dd"),1),"")</f>
        <v>16599769785.639999</v>
      </c>
      <c r="K394">
        <f>IFERROR([1]!s_stm07_cs($A394,"W77130581",TEXT($B$1,"yyyy/mm/dd"),1),"")</f>
        <v>17325329533.970001</v>
      </c>
      <c r="L394">
        <f>IFERROR([1]!s_stm07_cs($A394,"W77745895",TEXT($B$1,"yyyy/mm/dd"),1),"")</f>
        <v>17904337668.169998</v>
      </c>
      <c r="M394">
        <f>IFERROR([1]!S_FA_EPS_basic2($A394,$B$1,"Cur=CNY"),"")</f>
        <v>2.29</v>
      </c>
      <c r="N394">
        <f>IFERROR([1]!s_fa_arturndays($A394,TEXT($B$1,"yyyy/mm/dd")),"")</f>
        <v>43.8703</v>
      </c>
      <c r="O394" t="str">
        <f>IFERROR([1]!fa_apturndays($A394,TEXT($B$1,"yyyy/mm/dd")),"")</f>
        <v>Fetch...</v>
      </c>
      <c r="P394">
        <f>IFERROR([1]!s_fa_invturndays($A394,TEXT($B$1,"yyyy/mm/dd")),"")</f>
        <v>46.220199999999998</v>
      </c>
    </row>
    <row r="395" spans="1:16">
      <c r="A395" t="s">
        <v>408</v>
      </c>
      <c r="B395">
        <f>IFERROR([1]!s_stm07_is($A395,"W70156729",TEXT($B$1,"yyyy/mm/dd"),1),"")</f>
        <v>5484333025.9099998</v>
      </c>
      <c r="C395">
        <f>IFERROR([1]!s_stm07_is($A395,"W75682424",TEXT($B$1,"yyyy/mm/dd"),1),"")</f>
        <v>4161827792.1199999</v>
      </c>
      <c r="D395">
        <f>IFERROR([1]!s_stm07_is($A395,"W76031679",TEXT($B$1,"yyyy/mm/dd"),1),"")</f>
        <v>87388373.150000006</v>
      </c>
      <c r="E395">
        <f>IFERROR([1]!s_stm07_is($A395,"W70752487",TEXT($B$1,"yyyy/mm/dd"),1),"")</f>
        <v>181550912.65000001</v>
      </c>
      <c r="F395">
        <f>IFERROR([1]!s_stm07_is_103($A395,TEXT($B$1,"yyyy/mm/dd"),1),"")</f>
        <v>271332601.74000001</v>
      </c>
      <c r="G395">
        <f>IFERROR([1]!s_stm07_is_104($A395,TEXT($B$1,"yyyy/mm/dd"),1),"")</f>
        <v>10218429.630000001</v>
      </c>
      <c r="H395">
        <f>IFERROR([1]!s_stm07_is_105($A395,TEXT($B$1,"yyyy/mm/dd"),1),"")</f>
        <v>11431066.949999999</v>
      </c>
      <c r="I395">
        <f>IFERROR([1]!s_stm07_is($A395,"W72946623",TEXT($B$1,"yyyy/mm/dd"),1),"")</f>
        <v>781482427.11000001</v>
      </c>
      <c r="J395">
        <f>IFERROR([1]!s_stm07_is($A395,"W30028333",TEXT($B$1,"yyyy/mm/dd"),1),"")</f>
        <v>674594231.19000006</v>
      </c>
      <c r="K395">
        <f>IFERROR([1]!s_stm07_cs($A395,"W77130581",TEXT($B$1,"yyyy/mm/dd"),1),"")</f>
        <v>867500129.19000006</v>
      </c>
      <c r="L395">
        <f>IFERROR([1]!s_stm07_cs($A395,"W77745895",TEXT($B$1,"yyyy/mm/dd"),1),"")</f>
        <v>316128088.94999999</v>
      </c>
      <c r="M395">
        <f>IFERROR([1]!S_FA_EPS_basic2($A395,$B$1,"Cur=CNY"),"")</f>
        <v>0.79990000000000006</v>
      </c>
      <c r="N395">
        <f>IFERROR([1]!s_fa_arturndays($A395,TEXT($B$1,"yyyy/mm/dd")),"")</f>
        <v>113.5826</v>
      </c>
      <c r="O395" t="str">
        <f>IFERROR([1]!fa_apturndays($A395,TEXT($B$1,"yyyy/mm/dd")),"")</f>
        <v>Fetch...</v>
      </c>
      <c r="P395">
        <f>IFERROR([1]!s_fa_invturndays($A395,TEXT($B$1,"yyyy/mm/dd")),"")</f>
        <v>100.928</v>
      </c>
    </row>
    <row r="396" spans="1:16">
      <c r="A396" t="s">
        <v>409</v>
      </c>
      <c r="B396">
        <f>IFERROR([1]!s_stm07_is($A396,"W70156729",TEXT($B$1,"yyyy/mm/dd"),1),"")</f>
        <v>6173550246.46</v>
      </c>
      <c r="C396">
        <f>IFERROR([1]!s_stm07_is($A396,"W75682424",TEXT($B$1,"yyyy/mm/dd"),1),"")</f>
        <v>4248394987.9400001</v>
      </c>
      <c r="D396">
        <f>IFERROR([1]!s_stm07_is($A396,"W76031679",TEXT($B$1,"yyyy/mm/dd"),1),"")</f>
        <v>119825379.93000001</v>
      </c>
      <c r="E396">
        <f>IFERROR([1]!s_stm07_is($A396,"W70752487",TEXT($B$1,"yyyy/mm/dd"),1),"")</f>
        <v>349495239.95999998</v>
      </c>
      <c r="F396">
        <f>IFERROR([1]!s_stm07_is_103($A396,TEXT($B$1,"yyyy/mm/dd"),1),"")</f>
        <v>288177998.20999998</v>
      </c>
      <c r="G396">
        <f>IFERROR([1]!s_stm07_is_104($A396,TEXT($B$1,"yyyy/mm/dd"),1),"")</f>
        <v>32199988.940000001</v>
      </c>
      <c r="H396">
        <f>IFERROR([1]!s_stm07_is_105($A396,TEXT($B$1,"yyyy/mm/dd"),1),"")</f>
        <v>86054874.790000007</v>
      </c>
      <c r="I396">
        <f>IFERROR([1]!s_stm07_is($A396,"W72946623",TEXT($B$1,"yyyy/mm/dd"),1),"")</f>
        <v>1265819722.9300001</v>
      </c>
      <c r="J396">
        <f>IFERROR([1]!s_stm07_is($A396,"W30028333",TEXT($B$1,"yyyy/mm/dd"),1),"")</f>
        <v>1103297424.75</v>
      </c>
      <c r="K396">
        <f>IFERROR([1]!s_stm07_cs($A396,"W77130581",TEXT($B$1,"yyyy/mm/dd"),1),"")</f>
        <v>1227072296.3299999</v>
      </c>
      <c r="L396">
        <f>IFERROR([1]!s_stm07_cs($A396,"W77745895",TEXT($B$1,"yyyy/mm/dd"),1),"")</f>
        <v>2198798966.3699999</v>
      </c>
      <c r="M396">
        <f>IFERROR([1]!S_FA_EPS_basic2($A396,$B$1,"Cur=CNY"),"")</f>
        <v>1.73</v>
      </c>
      <c r="N396">
        <f>IFERROR([1]!s_fa_arturndays($A396,TEXT($B$1,"yyyy/mm/dd")),"")</f>
        <v>69.011799999999994</v>
      </c>
      <c r="O396" t="str">
        <f>IFERROR([1]!fa_apturndays($A396,TEXT($B$1,"yyyy/mm/dd")),"")</f>
        <v>Fetch...</v>
      </c>
      <c r="P396">
        <f>IFERROR([1]!s_fa_invturndays($A396,TEXT($B$1,"yyyy/mm/dd")),"")</f>
        <v>201.12860000000001</v>
      </c>
    </row>
    <row r="397" spans="1:16">
      <c r="A397" t="s">
        <v>410</v>
      </c>
      <c r="B397">
        <f>IFERROR([1]!s_stm07_is($A397,"W70156729",TEXT($B$1,"yyyy/mm/dd"),1),"")</f>
        <v>3829053444.4400001</v>
      </c>
      <c r="C397">
        <f>IFERROR([1]!s_stm07_is($A397,"W75682424",TEXT($B$1,"yyyy/mm/dd"),1),"")</f>
        <v>3256780596.6500001</v>
      </c>
      <c r="D397">
        <f>IFERROR([1]!s_stm07_is($A397,"W76031679",TEXT($B$1,"yyyy/mm/dd"),1),"")</f>
        <v>60837792.189999998</v>
      </c>
      <c r="E397">
        <f>IFERROR([1]!s_stm07_is($A397,"W70752487",TEXT($B$1,"yyyy/mm/dd"),1),"")</f>
        <v>137315100.38999999</v>
      </c>
      <c r="F397">
        <f>IFERROR([1]!s_stm07_is_103($A397,TEXT($B$1,"yyyy/mm/dd"),1),"")</f>
        <v>115777846.88</v>
      </c>
      <c r="G397">
        <f>IFERROR([1]!s_stm07_is_104($A397,TEXT($B$1,"yyyy/mm/dd"),1),"")</f>
        <v>84921602.349999994</v>
      </c>
      <c r="H397">
        <f>IFERROR([1]!s_stm07_is_105($A397,TEXT($B$1,"yyyy/mm/dd"),1),"")</f>
        <v>4129577.22</v>
      </c>
      <c r="I397">
        <f>IFERROR([1]!s_stm07_is($A397,"W72946623",TEXT($B$1,"yyyy/mm/dd"),1),"")</f>
        <v>115307494.62</v>
      </c>
      <c r="J397">
        <f>IFERROR([1]!s_stm07_is($A397,"W30028333",TEXT($B$1,"yyyy/mm/dd"),1),"")</f>
        <v>41563887.100000001</v>
      </c>
      <c r="K397">
        <f>IFERROR([1]!s_stm07_cs($A397,"W77130581",TEXT($B$1,"yyyy/mm/dd"),1),"")</f>
        <v>297125716.24000001</v>
      </c>
      <c r="L397">
        <f>IFERROR([1]!s_stm07_cs($A397,"W77745895",TEXT($B$1,"yyyy/mm/dd"),1),"")</f>
        <v>743246581.09000003</v>
      </c>
      <c r="M397">
        <f>IFERROR([1]!S_FA_EPS_basic2($A397,$B$1,"Cur=CNY"),"")</f>
        <v>4.5499999999999999E-2</v>
      </c>
      <c r="N397">
        <f>IFERROR([1]!s_fa_arturndays($A397,TEXT($B$1,"yyyy/mm/dd")),"")</f>
        <v>58.481400000000001</v>
      </c>
      <c r="O397" t="str">
        <f>IFERROR([1]!fa_apturndays($A397,TEXT($B$1,"yyyy/mm/dd")),"")</f>
        <v>Fetch...</v>
      </c>
      <c r="P397">
        <f>IFERROR([1]!s_fa_invturndays($A397,TEXT($B$1,"yyyy/mm/dd")),"")</f>
        <v>155.1189</v>
      </c>
    </row>
    <row r="398" spans="1:16">
      <c r="A398" t="s">
        <v>411</v>
      </c>
      <c r="B398">
        <f>IFERROR([1]!s_stm07_is($A398,"W70156729",TEXT($B$1,"yyyy/mm/dd"),1),"")</f>
        <v>5657912376.29</v>
      </c>
      <c r="C398">
        <f>IFERROR([1]!s_stm07_is($A398,"W75682424",TEXT($B$1,"yyyy/mm/dd"),1),"")</f>
        <v>4589856074.1800003</v>
      </c>
      <c r="D398">
        <f>IFERROR([1]!s_stm07_is($A398,"W76031679",TEXT($B$1,"yyyy/mm/dd"),1),"")</f>
        <v>329550547.60000002</v>
      </c>
      <c r="E398">
        <f>IFERROR([1]!s_stm07_is($A398,"W70752487",TEXT($B$1,"yyyy/mm/dd"),1),"")</f>
        <v>311321174.01999998</v>
      </c>
      <c r="F398">
        <f>IFERROR([1]!s_stm07_is_103($A398,TEXT($B$1,"yyyy/mm/dd"),1),"")</f>
        <v>152572511.19999999</v>
      </c>
      <c r="G398">
        <f>IFERROR([1]!s_stm07_is_104($A398,TEXT($B$1,"yyyy/mm/dd"),1),"")</f>
        <v>19883874.030000001</v>
      </c>
      <c r="H398">
        <f>IFERROR([1]!s_stm07_is_105($A398,TEXT($B$1,"yyyy/mm/dd"),1),"")</f>
        <v>50060428.240000002</v>
      </c>
      <c r="I398">
        <f>IFERROR([1]!s_stm07_is($A398,"W72946623",TEXT($B$1,"yyyy/mm/dd"),1),"")</f>
        <v>570204525.22000003</v>
      </c>
      <c r="J398">
        <f>IFERROR([1]!s_stm07_is($A398,"W30028333",TEXT($B$1,"yyyy/mm/dd"),1),"")</f>
        <v>465117168.57999998</v>
      </c>
      <c r="K398">
        <f>IFERROR([1]!s_stm07_cs($A398,"W77130581",TEXT($B$1,"yyyy/mm/dd"),1),"")</f>
        <v>467178716.74000001</v>
      </c>
      <c r="L398">
        <f>IFERROR([1]!s_stm07_cs($A398,"W77745895",TEXT($B$1,"yyyy/mm/dd"),1),"")</f>
        <v>317391902.87</v>
      </c>
      <c r="M398">
        <f>IFERROR([1]!S_FA_EPS_basic2($A398,$B$1,"Cur=CNY"),"")</f>
        <v>0.21</v>
      </c>
      <c r="N398">
        <f>IFERROR([1]!s_fa_arturndays($A398,TEXT($B$1,"yyyy/mm/dd")),"")</f>
        <v>124.1893</v>
      </c>
      <c r="O398" t="str">
        <f>IFERROR([1]!fa_apturndays($A398,TEXT($B$1,"yyyy/mm/dd")),"")</f>
        <v>Fetch...</v>
      </c>
      <c r="P398">
        <f>IFERROR([1]!s_fa_invturndays($A398,TEXT($B$1,"yyyy/mm/dd")),"")</f>
        <v>109.6057</v>
      </c>
    </row>
    <row r="399" spans="1:16">
      <c r="A399" t="s">
        <v>412</v>
      </c>
      <c r="B399">
        <f>IFERROR([1]!s_stm07_is($A399,"W70156729",TEXT($B$1,"yyyy/mm/dd"),1),"")</f>
        <v>308622318229.03003</v>
      </c>
      <c r="C399">
        <f>IFERROR([1]!s_stm07_is($A399,"W75682424",TEXT($B$1,"yyyy/mm/dd"),1),"")</f>
        <v>270923586738.95001</v>
      </c>
      <c r="D399">
        <f>IFERROR([1]!s_stm07_is($A399,"W76031679",TEXT($B$1,"yyyy/mm/dd"),1),"")</f>
        <v>192006678.56</v>
      </c>
      <c r="E399">
        <f>IFERROR([1]!s_stm07_is($A399,"W70752487",TEXT($B$1,"yyyy/mm/dd"),1),"")</f>
        <v>987716003.24000001</v>
      </c>
      <c r="F399">
        <f>IFERROR([1]!s_stm07_is_103($A399,TEXT($B$1,"yyyy/mm/dd"),1),"")</f>
        <v>4989246863.5100002</v>
      </c>
      <c r="G399">
        <f>IFERROR([1]!s_stm07_is_104($A399,TEXT($B$1,"yyyy/mm/dd"),1),"")</f>
        <v>5829240571.0699997</v>
      </c>
      <c r="H399">
        <f>IFERROR([1]!s_stm07_is_105($A399,TEXT($B$1,"yyyy/mm/dd"),1),"")</f>
        <v>410236488.43000001</v>
      </c>
      <c r="I399">
        <f>IFERROR([1]!s_stm07_is($A399,"W72946623",TEXT($B$1,"yyyy/mm/dd"),1),"")</f>
        <v>3290171934.0799999</v>
      </c>
      <c r="J399">
        <f>IFERROR([1]!s_stm07_is($A399,"W30028333",TEXT($B$1,"yyyy/mm/dd"),1),"")</f>
        <v>848314274.76999998</v>
      </c>
      <c r="K399">
        <f>IFERROR([1]!s_stm07_cs($A399,"W77130581",TEXT($B$1,"yyyy/mm/dd"),1),"")</f>
        <v>45406467418.610001</v>
      </c>
      <c r="L399">
        <f>IFERROR([1]!s_stm07_cs($A399,"W77745895",TEXT($B$1,"yyyy/mm/dd"),1),"")</f>
        <v>42681845985.260002</v>
      </c>
      <c r="M399">
        <f>IFERROR([1]!S_FA_EPS_basic2($A399,$B$1,"Cur=CNY"),"")</f>
        <v>0.09</v>
      </c>
      <c r="N399">
        <f>IFERROR([1]!s_fa_arturndays($A399,TEXT($B$1,"yyyy/mm/dd")),"")</f>
        <v>5.8273000000000001</v>
      </c>
      <c r="O399" t="str">
        <f>IFERROR([1]!fa_apturndays($A399,TEXT($B$1,"yyyy/mm/dd")),"")</f>
        <v>Fetch...</v>
      </c>
      <c r="P399">
        <f>IFERROR([1]!s_fa_invturndays($A399,TEXT($B$1,"yyyy/mm/dd")),"")</f>
        <v>51.918100000000003</v>
      </c>
    </row>
    <row r="400" spans="1:16">
      <c r="A400" t="s">
        <v>413</v>
      </c>
      <c r="B400">
        <f>IFERROR([1]!s_stm07_is($A400,"W70156729",TEXT($B$1,"yyyy/mm/dd"),1),"")</f>
        <v>8543171263.8999996</v>
      </c>
      <c r="C400">
        <f>IFERROR([1]!s_stm07_is($A400,"W75682424",TEXT($B$1,"yyyy/mm/dd"),1),"")</f>
        <v>6658248649.1400003</v>
      </c>
      <c r="D400">
        <f>IFERROR([1]!s_stm07_is($A400,"W76031679",TEXT($B$1,"yyyy/mm/dd"),1),"")</f>
        <v>71446346.760000005</v>
      </c>
      <c r="E400">
        <f>IFERROR([1]!s_stm07_is($A400,"W70752487",TEXT($B$1,"yyyy/mm/dd"),1),"")</f>
        <v>669157647.29999995</v>
      </c>
      <c r="F400">
        <f>IFERROR([1]!s_stm07_is_103($A400,TEXT($B$1,"yyyy/mm/dd"),1),"")</f>
        <v>46731948.979999997</v>
      </c>
      <c r="G400">
        <f>IFERROR([1]!s_stm07_is_104($A400,TEXT($B$1,"yyyy/mm/dd"),1),"")</f>
        <v>40098776.130000003</v>
      </c>
      <c r="H400">
        <f>IFERROR([1]!s_stm07_is_105($A400,TEXT($B$1,"yyyy/mm/dd"),1),"")</f>
        <v>41961555.310000002</v>
      </c>
      <c r="I400">
        <f>IFERROR([1]!s_stm07_is($A400,"W72946623",TEXT($B$1,"yyyy/mm/dd"),1),"")</f>
        <v>791778946.25</v>
      </c>
      <c r="J400">
        <f>IFERROR([1]!s_stm07_is($A400,"W30028333",TEXT($B$1,"yyyy/mm/dd"),1),"")</f>
        <v>632380161.87</v>
      </c>
      <c r="K400">
        <f>IFERROR([1]!s_stm07_cs($A400,"W77130581",TEXT($B$1,"yyyy/mm/dd"),1),"")</f>
        <v>-569778007.60000002</v>
      </c>
      <c r="L400">
        <f>IFERROR([1]!s_stm07_cs($A400,"W77745895",TEXT($B$1,"yyyy/mm/dd"),1),"")</f>
        <v>312748531.18000001</v>
      </c>
      <c r="M400">
        <f>IFERROR([1]!S_FA_EPS_basic2($A400,$B$1,"Cur=CNY"),"")</f>
        <v>0.55310000000000004</v>
      </c>
      <c r="N400">
        <f>IFERROR([1]!s_fa_arturndays($A400,TEXT($B$1,"yyyy/mm/dd")),"")</f>
        <v>47.713700000000003</v>
      </c>
      <c r="O400" t="str">
        <f>IFERROR([1]!fa_apturndays($A400,TEXT($B$1,"yyyy/mm/dd")),"")</f>
        <v>Fetch...</v>
      </c>
      <c r="P400">
        <f>IFERROR([1]!s_fa_invturndays($A400,TEXT($B$1,"yyyy/mm/dd")),"")</f>
        <v>98.352599999999995</v>
      </c>
    </row>
    <row r="401" spans="1:16">
      <c r="A401" t="s">
        <v>414</v>
      </c>
      <c r="B401">
        <f>IFERROR([1]!s_stm07_is($A401,"W70156729",TEXT($B$1,"yyyy/mm/dd"),1),"")</f>
        <v>10407123225.92</v>
      </c>
      <c r="C401">
        <f>IFERROR([1]!s_stm07_is($A401,"W75682424",TEXT($B$1,"yyyy/mm/dd"),1),"")</f>
        <v>8948826163.6299992</v>
      </c>
      <c r="D401">
        <f>IFERROR([1]!s_stm07_is($A401,"W76031679",TEXT($B$1,"yyyy/mm/dd"),1),"")</f>
        <v>204934616.22999999</v>
      </c>
      <c r="E401">
        <f>IFERROR([1]!s_stm07_is($A401,"W70752487",TEXT($B$1,"yyyy/mm/dd"),1),"")</f>
        <v>241001852.25999999</v>
      </c>
      <c r="F401">
        <f>IFERROR([1]!s_stm07_is_103($A401,TEXT($B$1,"yyyy/mm/dd"),1),"")</f>
        <v>527070147.98000002</v>
      </c>
      <c r="G401">
        <f>IFERROR([1]!s_stm07_is_104($A401,TEXT($B$1,"yyyy/mm/dd"),1),"")</f>
        <v>2568121.29</v>
      </c>
      <c r="H401">
        <f>IFERROR([1]!s_stm07_is_105($A401,TEXT($B$1,"yyyy/mm/dd"),1),"")</f>
        <v>18169850.27</v>
      </c>
      <c r="I401">
        <f>IFERROR([1]!s_stm07_is($A401,"W72946623",TEXT($B$1,"yyyy/mm/dd"),1),"")</f>
        <v>629847983.22000003</v>
      </c>
      <c r="J401">
        <f>IFERROR([1]!s_stm07_is($A401,"W30028333",TEXT($B$1,"yyyy/mm/dd"),1),"")</f>
        <v>553454032.24000001</v>
      </c>
      <c r="K401">
        <f>IFERROR([1]!s_stm07_cs($A401,"W77130581",TEXT($B$1,"yyyy/mm/dd"),1),"")</f>
        <v>622020184.87</v>
      </c>
      <c r="L401">
        <f>IFERROR([1]!s_stm07_cs($A401,"W77745895",TEXT($B$1,"yyyy/mm/dd"),1),"")</f>
        <v>157191654.66999999</v>
      </c>
      <c r="M401">
        <f>IFERROR([1]!S_FA_EPS_basic2($A401,$B$1,"Cur=CNY"),"")</f>
        <v>0.16639999999999999</v>
      </c>
      <c r="N401">
        <f>IFERROR([1]!s_fa_arturndays($A401,TEXT($B$1,"yyyy/mm/dd")),"")</f>
        <v>119.05159999999999</v>
      </c>
      <c r="O401" t="str">
        <f>IFERROR([1]!fa_apturndays($A401,TEXT($B$1,"yyyy/mm/dd")),"")</f>
        <v>Fetch...</v>
      </c>
      <c r="P401">
        <f>IFERROR([1]!s_fa_invturndays($A401,TEXT($B$1,"yyyy/mm/dd")),"")</f>
        <v>71.425700000000006</v>
      </c>
    </row>
    <row r="402" spans="1:16">
      <c r="A402" t="s">
        <v>415</v>
      </c>
      <c r="B402">
        <f>IFERROR([1]!s_stm07_is($A402,"W70156729",TEXT($B$1,"yyyy/mm/dd"),1),"")</f>
        <v>3350827358</v>
      </c>
      <c r="C402">
        <f>IFERROR([1]!s_stm07_is($A402,"W75682424",TEXT($B$1,"yyyy/mm/dd"),1),"")</f>
        <v>0</v>
      </c>
      <c r="D402">
        <f>IFERROR([1]!s_stm07_is($A402,"W76031679",TEXT($B$1,"yyyy/mm/dd"),1),"")</f>
        <v>0</v>
      </c>
      <c r="E402">
        <f>IFERROR([1]!s_stm07_is($A402,"W70752487",TEXT($B$1,"yyyy/mm/dd"),1),"")</f>
        <v>2180219965</v>
      </c>
      <c r="F402">
        <f>IFERROR([1]!s_stm07_is_103($A402,TEXT($B$1,"yyyy/mm/dd"),1),"")</f>
        <v>0</v>
      </c>
      <c r="G402">
        <f>IFERROR([1]!s_stm07_is_104($A402,TEXT($B$1,"yyyy/mm/dd"),1),"")</f>
        <v>0</v>
      </c>
      <c r="H402">
        <f>IFERROR([1]!s_stm07_is_105($A402,TEXT($B$1,"yyyy/mm/dd"),1),"")</f>
        <v>0</v>
      </c>
      <c r="I402">
        <f>IFERROR([1]!s_stm07_is($A402,"W72946623",TEXT($B$1,"yyyy/mm/dd"),1),"")</f>
        <v>1129603295</v>
      </c>
      <c r="J402">
        <f>IFERROR([1]!s_stm07_is($A402,"W30028333",TEXT($B$1,"yyyy/mm/dd"),1),"")</f>
        <v>924416247</v>
      </c>
      <c r="K402">
        <f>IFERROR([1]!s_stm07_cs($A402,"W77130581",TEXT($B$1,"yyyy/mm/dd"),1),"")</f>
        <v>20991993</v>
      </c>
      <c r="L402">
        <f>IFERROR([1]!s_stm07_cs($A402,"W77745895",TEXT($B$1,"yyyy/mm/dd"),1),"")</f>
        <v>137136708</v>
      </c>
      <c r="M402">
        <f>IFERROR([1]!S_FA_EPS_basic2($A402,$B$1,"Cur=CNY"),"")</f>
        <v>0.26</v>
      </c>
      <c r="N402">
        <f>IFERROR([1]!s_fa_arturndays($A402,TEXT($B$1,"yyyy/mm/dd")),"")</f>
        <v>0</v>
      </c>
      <c r="O402" t="str">
        <f>IFERROR([1]!fa_apturndays($A402,TEXT($B$1,"yyyy/mm/dd")),"")</f>
        <v>Fetch...</v>
      </c>
      <c r="P402">
        <f>IFERROR([1]!s_fa_invturndays($A402,TEXT($B$1,"yyyy/mm/dd")),"")</f>
        <v>0</v>
      </c>
    </row>
    <row r="403" spans="1:16">
      <c r="A403" t="s">
        <v>416</v>
      </c>
      <c r="B403">
        <f>IFERROR([1]!s_stm07_is($A403,"W70156729",TEXT($B$1,"yyyy/mm/dd"),1),"")</f>
        <v>15343258933.139999</v>
      </c>
      <c r="C403">
        <f>IFERROR([1]!s_stm07_is($A403,"W75682424",TEXT($B$1,"yyyy/mm/dd"),1),"")</f>
        <v>14986273525.4</v>
      </c>
      <c r="D403">
        <f>IFERROR([1]!s_stm07_is($A403,"W76031679",TEXT($B$1,"yyyy/mm/dd"),1),"")</f>
        <v>525984893.42000002</v>
      </c>
      <c r="E403">
        <f>IFERROR([1]!s_stm07_is($A403,"W70752487",TEXT($B$1,"yyyy/mm/dd"),1),"")</f>
        <v>483143056.60000002</v>
      </c>
      <c r="F403">
        <f>IFERROR([1]!s_stm07_is_103($A403,TEXT($B$1,"yyyy/mm/dd"),1),"")</f>
        <v>149519855.38999999</v>
      </c>
      <c r="G403">
        <f>IFERROR([1]!s_stm07_is_104($A403,TEXT($B$1,"yyyy/mm/dd"),1),"")</f>
        <v>309384854.56999999</v>
      </c>
      <c r="H403">
        <f>IFERROR([1]!s_stm07_is_105($A403,TEXT($B$1,"yyyy/mm/dd"),1),"")</f>
        <v>42465173.359999999</v>
      </c>
      <c r="I403">
        <f>IFERROR([1]!s_stm07_is($A403,"W72946623",TEXT($B$1,"yyyy/mm/dd"),1),"")</f>
        <v>-1191576643.1600001</v>
      </c>
      <c r="J403">
        <f>IFERROR([1]!s_stm07_is($A403,"W30028333",TEXT($B$1,"yyyy/mm/dd"),1),"")</f>
        <v>-1166069782.4100001</v>
      </c>
      <c r="K403">
        <f>IFERROR([1]!s_stm07_cs($A403,"W77130581",TEXT($B$1,"yyyy/mm/dd"),1),"")</f>
        <v>1281331747.0599999</v>
      </c>
      <c r="L403">
        <f>IFERROR([1]!s_stm07_cs($A403,"W77745895",TEXT($B$1,"yyyy/mm/dd"),1),"")</f>
        <v>103878225.04000001</v>
      </c>
      <c r="M403">
        <f>IFERROR([1]!S_FA_EPS_basic2($A403,$B$1,"Cur=CNY"),"")</f>
        <v>-0.19900000000000001</v>
      </c>
      <c r="N403">
        <f>IFERROR([1]!s_fa_arturndays($A403,TEXT($B$1,"yyyy/mm/dd")),"")</f>
        <v>57.835000000000001</v>
      </c>
      <c r="O403" t="str">
        <f>IFERROR([1]!fa_apturndays($A403,TEXT($B$1,"yyyy/mm/dd")),"")</f>
        <v>Fetch...</v>
      </c>
      <c r="P403">
        <f>IFERROR([1]!s_fa_invturndays($A403,TEXT($B$1,"yyyy/mm/dd")),"")</f>
        <v>27.8399</v>
      </c>
    </row>
    <row r="404" spans="1:16">
      <c r="A404" t="s">
        <v>417</v>
      </c>
      <c r="B404">
        <f>IFERROR([1]!s_stm07_is($A404,"W70156729",TEXT($B$1,"yyyy/mm/dd"),1),"")</f>
        <v>2431922780.1700001</v>
      </c>
      <c r="C404">
        <f>IFERROR([1]!s_stm07_is($A404,"W75682424",TEXT($B$1,"yyyy/mm/dd"),1),"")</f>
        <v>1176382059.3299999</v>
      </c>
      <c r="D404">
        <f>IFERROR([1]!s_stm07_is($A404,"W76031679",TEXT($B$1,"yyyy/mm/dd"),1),"")</f>
        <v>383438668.74000001</v>
      </c>
      <c r="E404">
        <f>IFERROR([1]!s_stm07_is($A404,"W70752487",TEXT($B$1,"yyyy/mm/dd"),1),"")</f>
        <v>83634483.849999994</v>
      </c>
      <c r="F404">
        <f>IFERROR([1]!s_stm07_is_103($A404,TEXT($B$1,"yyyy/mm/dd"),1),"")</f>
        <v>15355233.77</v>
      </c>
      <c r="G404">
        <f>IFERROR([1]!s_stm07_is_104($A404,TEXT($B$1,"yyyy/mm/dd"),1),"")</f>
        <v>56195.58</v>
      </c>
      <c r="H404">
        <f>IFERROR([1]!s_stm07_is_105($A404,TEXT($B$1,"yyyy/mm/dd"),1),"")</f>
        <v>90305534.790000007</v>
      </c>
      <c r="I404">
        <f>IFERROR([1]!s_stm07_is($A404,"W72946623",TEXT($B$1,"yyyy/mm/dd"),1),"")</f>
        <v>910980011.30999994</v>
      </c>
      <c r="J404">
        <f>IFERROR([1]!s_stm07_is($A404,"W30028333",TEXT($B$1,"yyyy/mm/dd"),1),"")</f>
        <v>768034038.98000002</v>
      </c>
      <c r="K404">
        <f>IFERROR([1]!s_stm07_cs($A404,"W77130581",TEXT($B$1,"yyyy/mm/dd"),1),"")</f>
        <v>657219112.63</v>
      </c>
      <c r="L404">
        <f>IFERROR([1]!s_stm07_cs($A404,"W77745895",TEXT($B$1,"yyyy/mm/dd"),1),"")</f>
        <v>412339337.48000002</v>
      </c>
      <c r="M404">
        <f>IFERROR([1]!S_FA_EPS_basic2($A404,$B$1,"Cur=CNY"),"")</f>
        <v>0.67</v>
      </c>
      <c r="N404">
        <f>IFERROR([1]!s_fa_arturndays($A404,TEXT($B$1,"yyyy/mm/dd")),"")</f>
        <v>2.7652000000000001</v>
      </c>
      <c r="O404" t="str">
        <f>IFERROR([1]!fa_apturndays($A404,TEXT($B$1,"yyyy/mm/dd")),"")</f>
        <v>Fetch...</v>
      </c>
      <c r="P404">
        <f>IFERROR([1]!s_fa_invturndays($A404,TEXT($B$1,"yyyy/mm/dd")),"")</f>
        <v>181.72640000000001</v>
      </c>
    </row>
    <row r="405" spans="1:16">
      <c r="A405" t="s">
        <v>418</v>
      </c>
      <c r="B405">
        <f>IFERROR([1]!s_stm07_is($A405,"W70156729",TEXT($B$1,"yyyy/mm/dd"),1),"")</f>
        <v>10116069396.200001</v>
      </c>
      <c r="C405">
        <f>IFERROR([1]!s_stm07_is($A405,"W75682424",TEXT($B$1,"yyyy/mm/dd"),1),"")</f>
        <v>5038637589.1899996</v>
      </c>
      <c r="D405">
        <f>IFERROR([1]!s_stm07_is($A405,"W76031679",TEXT($B$1,"yyyy/mm/dd"),1),"")</f>
        <v>2923421261.2399998</v>
      </c>
      <c r="E405">
        <f>IFERROR([1]!s_stm07_is($A405,"W70752487",TEXT($B$1,"yyyy/mm/dd"),1),"")</f>
        <v>515134293.63999999</v>
      </c>
      <c r="F405">
        <f>IFERROR([1]!s_stm07_is_103($A405,TEXT($B$1,"yyyy/mm/dd"),1),"")</f>
        <v>367949907.25999999</v>
      </c>
      <c r="G405">
        <f>IFERROR([1]!s_stm07_is_104($A405,TEXT($B$1,"yyyy/mm/dd"),1),"")</f>
        <v>4589922.0999999996</v>
      </c>
      <c r="H405">
        <f>IFERROR([1]!s_stm07_is_105($A405,TEXT($B$1,"yyyy/mm/dd"),1),"")</f>
        <v>149264427.90000001</v>
      </c>
      <c r="I405">
        <f>IFERROR([1]!s_stm07_is($A405,"W72946623",TEXT($B$1,"yyyy/mm/dd"),1),"")</f>
        <v>1429801613.21</v>
      </c>
      <c r="J405">
        <f>IFERROR([1]!s_stm07_is($A405,"W30028333",TEXT($B$1,"yyyy/mm/dd"),1),"")</f>
        <v>1255879806.22</v>
      </c>
      <c r="K405">
        <f>IFERROR([1]!s_stm07_cs($A405,"W77130581",TEXT($B$1,"yyyy/mm/dd"),1),"")</f>
        <v>1597826676.6800001</v>
      </c>
      <c r="L405">
        <f>IFERROR([1]!s_stm07_cs($A405,"W77745895",TEXT($B$1,"yyyy/mm/dd"),1),"")</f>
        <v>250223806.46000001</v>
      </c>
      <c r="M405">
        <f>IFERROR([1]!S_FA_EPS_basic2($A405,$B$1,"Cur=CNY"),"")</f>
        <v>1.33</v>
      </c>
      <c r="N405">
        <f>IFERROR([1]!s_fa_arturndays($A405,TEXT($B$1,"yyyy/mm/dd")),"")</f>
        <v>61.662799999999997</v>
      </c>
      <c r="O405" t="str">
        <f>IFERROR([1]!fa_apturndays($A405,TEXT($B$1,"yyyy/mm/dd")),"")</f>
        <v>Fetch...</v>
      </c>
      <c r="P405">
        <f>IFERROR([1]!s_fa_invturndays($A405,TEXT($B$1,"yyyy/mm/dd")),"")</f>
        <v>91.953999999999994</v>
      </c>
    </row>
    <row r="406" spans="1:16">
      <c r="A406" t="s">
        <v>419</v>
      </c>
      <c r="B406">
        <f>IFERROR([1]!s_stm07_is($A406,"W70156729",TEXT($B$1,"yyyy/mm/dd"),1),"")</f>
        <v>8779846944.4599991</v>
      </c>
      <c r="C406">
        <f>IFERROR([1]!s_stm07_is($A406,"W75682424",TEXT($B$1,"yyyy/mm/dd"),1),"")</f>
        <v>5794941236.04</v>
      </c>
      <c r="D406">
        <f>IFERROR([1]!s_stm07_is($A406,"W76031679",TEXT($B$1,"yyyy/mm/dd"),1),"")</f>
        <v>1883172770.47</v>
      </c>
      <c r="E406">
        <f>IFERROR([1]!s_stm07_is($A406,"W70752487",TEXT($B$1,"yyyy/mm/dd"),1),"")</f>
        <v>416812908.57999998</v>
      </c>
      <c r="F406">
        <f>IFERROR([1]!s_stm07_is_103($A406,TEXT($B$1,"yyyy/mm/dd"),1),"")</f>
        <v>158576721.24000001</v>
      </c>
      <c r="G406">
        <f>IFERROR([1]!s_stm07_is_104($A406,TEXT($B$1,"yyyy/mm/dd"),1),"")</f>
        <v>35097262.049999997</v>
      </c>
      <c r="H406">
        <f>IFERROR([1]!s_stm07_is_105($A406,TEXT($B$1,"yyyy/mm/dd"),1),"")</f>
        <v>31977540.649999999</v>
      </c>
      <c r="I406">
        <f>IFERROR([1]!s_stm07_is($A406,"W72946623",TEXT($B$1,"yyyy/mm/dd"),1),"")</f>
        <v>429862481.81999999</v>
      </c>
      <c r="J406">
        <f>IFERROR([1]!s_stm07_is($A406,"W30028333",TEXT($B$1,"yyyy/mm/dd"),1),"")</f>
        <v>318606854.67000002</v>
      </c>
      <c r="K406">
        <f>IFERROR([1]!s_stm07_cs($A406,"W77130581",TEXT($B$1,"yyyy/mm/dd"),1),"")</f>
        <v>1339967777.6300001</v>
      </c>
      <c r="L406">
        <f>IFERROR([1]!s_stm07_cs($A406,"W77745895",TEXT($B$1,"yyyy/mm/dd"),1),"")</f>
        <v>285716549.13999999</v>
      </c>
      <c r="M406">
        <f>IFERROR([1]!S_FA_EPS_basic2($A406,$B$1,"Cur=CNY"),"")</f>
        <v>0.25</v>
      </c>
      <c r="N406">
        <f>IFERROR([1]!s_fa_arturndays($A406,TEXT($B$1,"yyyy/mm/dd")),"")</f>
        <v>39.762300000000003</v>
      </c>
      <c r="O406" t="str">
        <f>IFERROR([1]!fa_apturndays($A406,TEXT($B$1,"yyyy/mm/dd")),"")</f>
        <v>Fetch...</v>
      </c>
      <c r="P406">
        <f>IFERROR([1]!s_fa_invturndays($A406,TEXT($B$1,"yyyy/mm/dd")),"")</f>
        <v>109.44580000000001</v>
      </c>
    </row>
    <row r="407" spans="1:16">
      <c r="A407" t="s">
        <v>420</v>
      </c>
      <c r="B407">
        <f>IFERROR([1]!s_stm07_is($A407,"W70156729",TEXT($B$1,"yyyy/mm/dd"),1),"")</f>
        <v>2275746792.4699998</v>
      </c>
      <c r="C407">
        <f>IFERROR([1]!s_stm07_is($A407,"W75682424",TEXT($B$1,"yyyy/mm/dd"),1),"")</f>
        <v>1716480031.3800001</v>
      </c>
      <c r="D407">
        <f>IFERROR([1]!s_stm07_is($A407,"W76031679",TEXT($B$1,"yyyy/mm/dd"),1),"")</f>
        <v>27738926.649999999</v>
      </c>
      <c r="E407">
        <f>IFERROR([1]!s_stm07_is($A407,"W70752487",TEXT($B$1,"yyyy/mm/dd"),1),"")</f>
        <v>145534843.16999999</v>
      </c>
      <c r="F407">
        <f>IFERROR([1]!s_stm07_is_103($A407,TEXT($B$1,"yyyy/mm/dd"),1),"")</f>
        <v>61335397.25</v>
      </c>
      <c r="G407">
        <f>IFERROR([1]!s_stm07_is_104($A407,TEXT($B$1,"yyyy/mm/dd"),1),"")</f>
        <v>4018747.56</v>
      </c>
      <c r="H407">
        <f>IFERROR([1]!s_stm07_is_105($A407,TEXT($B$1,"yyyy/mm/dd"),1),"")</f>
        <v>684714.04</v>
      </c>
      <c r="I407">
        <f>IFERROR([1]!s_stm07_is($A407,"W72946623",TEXT($B$1,"yyyy/mm/dd"),1),"")</f>
        <v>233489996.50999999</v>
      </c>
      <c r="J407">
        <f>IFERROR([1]!s_stm07_is($A407,"W30028333",TEXT($B$1,"yyyy/mm/dd"),1),"")</f>
        <v>184177272.38999999</v>
      </c>
      <c r="K407">
        <f>IFERROR([1]!s_stm07_cs($A407,"W77130581",TEXT($B$1,"yyyy/mm/dd"),1),"")</f>
        <v>359622392.88</v>
      </c>
      <c r="L407">
        <f>IFERROR([1]!s_stm07_cs($A407,"W77745895",TEXT($B$1,"yyyy/mm/dd"),1),"")</f>
        <v>37477651.149999999</v>
      </c>
      <c r="M407">
        <f>IFERROR([1]!S_FA_EPS_basic2($A407,$B$1,"Cur=CNY"),"")</f>
        <v>0.13</v>
      </c>
      <c r="N407">
        <f>IFERROR([1]!s_fa_arturndays($A407,TEXT($B$1,"yyyy/mm/dd")),"")</f>
        <v>144.5609</v>
      </c>
      <c r="O407" t="str">
        <f>IFERROR([1]!fa_apturndays($A407,TEXT($B$1,"yyyy/mm/dd")),"")</f>
        <v>Fetch...</v>
      </c>
      <c r="P407">
        <f>IFERROR([1]!s_fa_invturndays($A407,TEXT($B$1,"yyyy/mm/dd")),"")</f>
        <v>85.879900000000006</v>
      </c>
    </row>
    <row r="408" spans="1:16">
      <c r="A408" t="s">
        <v>421</v>
      </c>
      <c r="B408">
        <f>IFERROR([1]!s_stm07_is($A408,"W70156729",TEXT($B$1,"yyyy/mm/dd"),1),"")</f>
        <v>5324977767.3599997</v>
      </c>
      <c r="C408">
        <f>IFERROR([1]!s_stm07_is($A408,"W75682424",TEXT($B$1,"yyyy/mm/dd"),1),"")</f>
        <v>1020262276.11</v>
      </c>
      <c r="D408">
        <f>IFERROR([1]!s_stm07_is($A408,"W76031679",TEXT($B$1,"yyyy/mm/dd"),1),"")</f>
        <v>1676081094.1199999</v>
      </c>
      <c r="E408">
        <f>IFERROR([1]!s_stm07_is($A408,"W70752487",TEXT($B$1,"yyyy/mm/dd"),1),"")</f>
        <v>185672886.55000001</v>
      </c>
      <c r="F408">
        <f>IFERROR([1]!s_stm07_is_103($A408,TEXT($B$1,"yyyy/mm/dd"),1),"")</f>
        <v>595108685.97000003</v>
      </c>
      <c r="G408">
        <f>IFERROR([1]!s_stm07_is_104($A408,TEXT($B$1,"yyyy/mm/dd"),1),"")</f>
        <v>4524388.7</v>
      </c>
      <c r="H408">
        <f>IFERROR([1]!s_stm07_is_105($A408,TEXT($B$1,"yyyy/mm/dd"),1),"")</f>
        <v>52040927.890000001</v>
      </c>
      <c r="I408">
        <f>IFERROR([1]!s_stm07_is($A408,"W72946623",TEXT($B$1,"yyyy/mm/dd"),1),"")</f>
        <v>1980743094.79</v>
      </c>
      <c r="J408">
        <f>IFERROR([1]!s_stm07_is($A408,"W30028333",TEXT($B$1,"yyyy/mm/dd"),1),"")</f>
        <v>1903626612.4000001</v>
      </c>
      <c r="K408">
        <f>IFERROR([1]!s_stm07_cs($A408,"W77130581",TEXT($B$1,"yyyy/mm/dd"),1),"")</f>
        <v>2262661914.8800001</v>
      </c>
      <c r="L408">
        <f>IFERROR([1]!s_stm07_cs($A408,"W77745895",TEXT($B$1,"yyyy/mm/dd"),1),"")</f>
        <v>132726541.59999999</v>
      </c>
      <c r="M408">
        <f>IFERROR([1]!S_FA_EPS_basic2($A408,$B$1,"Cur=CNY"),"")</f>
        <v>0.89</v>
      </c>
      <c r="N408">
        <f>IFERROR([1]!s_fa_arturndays($A408,TEXT($B$1,"yyyy/mm/dd")),"")</f>
        <v>64.737700000000004</v>
      </c>
      <c r="O408" t="str">
        <f>IFERROR([1]!fa_apturndays($A408,TEXT($B$1,"yyyy/mm/dd")),"")</f>
        <v>Fetch...</v>
      </c>
      <c r="P408">
        <f>IFERROR([1]!s_fa_invturndays($A408,TEXT($B$1,"yyyy/mm/dd")),"")</f>
        <v>12.367100000000001</v>
      </c>
    </row>
    <row r="409" spans="1:16">
      <c r="A409" t="s">
        <v>422</v>
      </c>
      <c r="B409">
        <f>IFERROR([1]!s_stm07_is($A409,"W70156729",TEXT($B$1,"yyyy/mm/dd"),1),"")</f>
        <v>5270259670.6199999</v>
      </c>
      <c r="C409">
        <f>IFERROR([1]!s_stm07_is($A409,"W75682424",TEXT($B$1,"yyyy/mm/dd"),1),"")</f>
        <v>3742716506.27</v>
      </c>
      <c r="D409">
        <f>IFERROR([1]!s_stm07_is($A409,"W76031679",TEXT($B$1,"yyyy/mm/dd"),1),"")</f>
        <v>356644951.48000002</v>
      </c>
      <c r="E409">
        <f>IFERROR([1]!s_stm07_is($A409,"W70752487",TEXT($B$1,"yyyy/mm/dd"),1),"")</f>
        <v>136475931</v>
      </c>
      <c r="F409">
        <f>IFERROR([1]!s_stm07_is_103($A409,TEXT($B$1,"yyyy/mm/dd"),1),"")</f>
        <v>294213568.04000002</v>
      </c>
      <c r="G409">
        <f>IFERROR([1]!s_stm07_is_104($A409,TEXT($B$1,"yyyy/mm/dd"),1),"")</f>
        <v>3218842.34</v>
      </c>
      <c r="H409">
        <f>IFERROR([1]!s_stm07_is_105($A409,TEXT($B$1,"yyyy/mm/dd"),1),"")</f>
        <v>49696983.020000003</v>
      </c>
      <c r="I409">
        <f>IFERROR([1]!s_stm07_is($A409,"W72946623",TEXT($B$1,"yyyy/mm/dd"),1),"")</f>
        <v>723284102.88</v>
      </c>
      <c r="J409">
        <f>IFERROR([1]!s_stm07_is($A409,"W30028333",TEXT($B$1,"yyyy/mm/dd"),1),"")</f>
        <v>610887824.38999999</v>
      </c>
      <c r="K409">
        <f>IFERROR([1]!s_stm07_cs($A409,"W77130581",TEXT($B$1,"yyyy/mm/dd"),1),"")</f>
        <v>911459286.55999994</v>
      </c>
      <c r="L409">
        <f>IFERROR([1]!s_stm07_cs($A409,"W77745895",TEXT($B$1,"yyyy/mm/dd"),1),"")</f>
        <v>191380220.44</v>
      </c>
      <c r="M409">
        <f>IFERROR([1]!S_FA_EPS_basic2($A409,$B$1,"Cur=CNY"),"")</f>
        <v>1.05</v>
      </c>
      <c r="N409">
        <f>IFERROR([1]!s_fa_arturndays($A409,TEXT($B$1,"yyyy/mm/dd")),"")</f>
        <v>105.5038</v>
      </c>
      <c r="O409" t="str">
        <f>IFERROR([1]!fa_apturndays($A409,TEXT($B$1,"yyyy/mm/dd")),"")</f>
        <v>Fetch...</v>
      </c>
      <c r="P409">
        <f>IFERROR([1]!s_fa_invturndays($A409,TEXT($B$1,"yyyy/mm/dd")),"")</f>
        <v>97.611199999999997</v>
      </c>
    </row>
    <row r="410" spans="1:16">
      <c r="A410" t="s">
        <v>423</v>
      </c>
      <c r="B410">
        <f>IFERROR([1]!s_stm07_is($A410,"W70156729",TEXT($B$1,"yyyy/mm/dd"),1),"")</f>
        <v>5387720042.0299997</v>
      </c>
      <c r="C410">
        <f>IFERROR([1]!s_stm07_is($A410,"W75682424",TEXT($B$1,"yyyy/mm/dd"),1),"")</f>
        <v>4367378920.5600004</v>
      </c>
      <c r="D410">
        <f>IFERROR([1]!s_stm07_is($A410,"W76031679",TEXT($B$1,"yyyy/mm/dd"),1),"")</f>
        <v>17791440.309999999</v>
      </c>
      <c r="E410">
        <f>IFERROR([1]!s_stm07_is($A410,"W70752487",TEXT($B$1,"yyyy/mm/dd"),1),"")</f>
        <v>426221233.69999999</v>
      </c>
      <c r="F410">
        <f>IFERROR([1]!s_stm07_is_103($A410,TEXT($B$1,"yyyy/mm/dd"),1),"")</f>
        <v>50267774.060000002</v>
      </c>
      <c r="G410">
        <f>IFERROR([1]!s_stm07_is_104($A410,TEXT($B$1,"yyyy/mm/dd"),1),"")</f>
        <v>319517705.06</v>
      </c>
      <c r="H410">
        <f>IFERROR([1]!s_stm07_is_105($A410,TEXT($B$1,"yyyy/mm/dd"),1),"")</f>
        <v>3184357.06</v>
      </c>
      <c r="I410">
        <f>IFERROR([1]!s_stm07_is($A410,"W72946623",TEXT($B$1,"yyyy/mm/dd"),1),"")</f>
        <v>-236006819.03999999</v>
      </c>
      <c r="J410">
        <f>IFERROR([1]!s_stm07_is($A410,"W30028333",TEXT($B$1,"yyyy/mm/dd"),1),"")</f>
        <v>-235527952.09</v>
      </c>
      <c r="K410">
        <f>IFERROR([1]!s_stm07_cs($A410,"W77130581",TEXT($B$1,"yyyy/mm/dd"),1),"")</f>
        <v>837422408.28999996</v>
      </c>
      <c r="L410">
        <f>IFERROR([1]!s_stm07_cs($A410,"W77745895",TEXT($B$1,"yyyy/mm/dd"),1),"")</f>
        <v>2667426030.8600001</v>
      </c>
      <c r="M410">
        <f>IFERROR([1]!S_FA_EPS_basic2($A410,$B$1,"Cur=CNY"),"")</f>
        <v>-0.13109999999999999</v>
      </c>
      <c r="N410">
        <f>IFERROR([1]!s_fa_arturndays($A410,TEXT($B$1,"yyyy/mm/dd")),"")</f>
        <v>310.82709999999997</v>
      </c>
      <c r="O410" t="str">
        <f>IFERROR([1]!fa_apturndays($A410,TEXT($B$1,"yyyy/mm/dd")),"")</f>
        <v>Fetch...</v>
      </c>
      <c r="P410">
        <f>IFERROR([1]!s_fa_invturndays($A410,TEXT($B$1,"yyyy/mm/dd")),"")</f>
        <v>188.6199</v>
      </c>
    </row>
    <row r="411" spans="1:16">
      <c r="A411" t="s">
        <v>424</v>
      </c>
      <c r="B411">
        <f>IFERROR([1]!s_stm07_is($A411,"W70156729",TEXT($B$1,"yyyy/mm/dd"),1),"")</f>
        <v>29502154897.93</v>
      </c>
      <c r="C411">
        <f>IFERROR([1]!s_stm07_is($A411,"W75682424",TEXT($B$1,"yyyy/mm/dd"),1),"")</f>
        <v>22303087948.400002</v>
      </c>
      <c r="D411">
        <f>IFERROR([1]!s_stm07_is($A411,"W76031679",TEXT($B$1,"yyyy/mm/dd"),1),"")</f>
        <v>21928276.949999999</v>
      </c>
      <c r="E411">
        <f>IFERROR([1]!s_stm07_is($A411,"W70752487",TEXT($B$1,"yyyy/mm/dd"),1),"")</f>
        <v>445329036.91000003</v>
      </c>
      <c r="F411">
        <f>IFERROR([1]!s_stm07_is_103($A411,TEXT($B$1,"yyyy/mm/dd"),1),"")</f>
        <v>254804688.61000001</v>
      </c>
      <c r="G411">
        <f>IFERROR([1]!s_stm07_is_104($A411,TEXT($B$1,"yyyy/mm/dd"),1),"")</f>
        <v>497096877.37</v>
      </c>
      <c r="H411">
        <f>IFERROR([1]!s_stm07_is_105($A411,TEXT($B$1,"yyyy/mm/dd"),1),"")</f>
        <v>74098439.069999993</v>
      </c>
      <c r="I411">
        <f>IFERROR([1]!s_stm07_is($A411,"W72946623",TEXT($B$1,"yyyy/mm/dd"),1),"")</f>
        <v>5592642283.0900002</v>
      </c>
      <c r="J411">
        <f>IFERROR([1]!s_stm07_is($A411,"W30028333",TEXT($B$1,"yyyy/mm/dd"),1),"")</f>
        <v>4817847502.1199999</v>
      </c>
      <c r="K411">
        <f>IFERROR([1]!s_stm07_cs($A411,"W77130581",TEXT($B$1,"yyyy/mm/dd"),1),"")</f>
        <v>8052843035.1400003</v>
      </c>
      <c r="L411">
        <f>IFERROR([1]!s_stm07_cs($A411,"W77745895",TEXT($B$1,"yyyy/mm/dd"),1),"")</f>
        <v>1533879589.01</v>
      </c>
      <c r="M411">
        <f>IFERROR([1]!S_FA_EPS_basic2($A411,$B$1,"Cur=CNY"),"")</f>
        <v>1.05</v>
      </c>
      <c r="N411">
        <f>IFERROR([1]!s_fa_arturndays($A411,TEXT($B$1,"yyyy/mm/dd")),"")</f>
        <v>4.6611000000000002</v>
      </c>
      <c r="O411" t="str">
        <f>IFERROR([1]!fa_apturndays($A411,TEXT($B$1,"yyyy/mm/dd")),"")</f>
        <v>Fetch...</v>
      </c>
      <c r="P411">
        <f>IFERROR([1]!s_fa_invturndays($A411,TEXT($B$1,"yyyy/mm/dd")),"")</f>
        <v>129.22219999999999</v>
      </c>
    </row>
    <row r="412" spans="1:16">
      <c r="A412" t="s">
        <v>425</v>
      </c>
      <c r="B412">
        <f>IFERROR([1]!s_stm07_is($A412,"W70156729",TEXT($B$1,"yyyy/mm/dd"),1),"")</f>
        <v>6241290689.5299997</v>
      </c>
      <c r="C412">
        <f>IFERROR([1]!s_stm07_is($A412,"W75682424",TEXT($B$1,"yyyy/mm/dd"),1),"")</f>
        <v>5054448829.7399998</v>
      </c>
      <c r="D412">
        <f>IFERROR([1]!s_stm07_is($A412,"W76031679",TEXT($B$1,"yyyy/mm/dd"),1),"")</f>
        <v>105387510.89</v>
      </c>
      <c r="E412">
        <f>IFERROR([1]!s_stm07_is($A412,"W70752487",TEXT($B$1,"yyyy/mm/dd"),1),"")</f>
        <v>301143455.24000001</v>
      </c>
      <c r="F412">
        <f>IFERROR([1]!s_stm07_is_103($A412,TEXT($B$1,"yyyy/mm/dd"),1),"")</f>
        <v>362464620.20999998</v>
      </c>
      <c r="G412">
        <f>IFERROR([1]!s_stm07_is_104($A412,TEXT($B$1,"yyyy/mm/dd"),1),"")</f>
        <v>50747167.590000004</v>
      </c>
      <c r="H412">
        <f>IFERROR([1]!s_stm07_is_105($A412,TEXT($B$1,"yyyy/mm/dd"),1),"")</f>
        <v>34841656.460000001</v>
      </c>
      <c r="I412">
        <f>IFERROR([1]!s_stm07_is($A412,"W72946623",TEXT($B$1,"yyyy/mm/dd"),1),"")</f>
        <v>616529630.72000003</v>
      </c>
      <c r="J412">
        <f>IFERROR([1]!s_stm07_is($A412,"W30028333",TEXT($B$1,"yyyy/mm/dd"),1),"")</f>
        <v>436577648.33999997</v>
      </c>
      <c r="K412">
        <f>IFERROR([1]!s_stm07_cs($A412,"W77130581",TEXT($B$1,"yyyy/mm/dd"),1),"")</f>
        <v>762152849.65999997</v>
      </c>
      <c r="L412">
        <f>IFERROR([1]!s_stm07_cs($A412,"W77745895",TEXT($B$1,"yyyy/mm/dd"),1),"")</f>
        <v>143450052.30000001</v>
      </c>
      <c r="M412">
        <f>IFERROR([1]!S_FA_EPS_basic2($A412,$B$1,"Cur=CNY"),"")</f>
        <v>0.56999999999999995</v>
      </c>
      <c r="N412">
        <f>IFERROR([1]!s_fa_arturndays($A412,TEXT($B$1,"yyyy/mm/dd")),"")</f>
        <v>93.796400000000006</v>
      </c>
      <c r="O412" t="str">
        <f>IFERROR([1]!fa_apturndays($A412,TEXT($B$1,"yyyy/mm/dd")),"")</f>
        <v>Fetch...</v>
      </c>
      <c r="P412">
        <f>IFERROR([1]!s_fa_invturndays($A412,TEXT($B$1,"yyyy/mm/dd")),"")</f>
        <v>246.25489999999999</v>
      </c>
    </row>
    <row r="413" spans="1:16">
      <c r="A413" t="s">
        <v>426</v>
      </c>
      <c r="B413">
        <f>IFERROR([1]!s_stm07_is($A413,"W70156729",TEXT($B$1,"yyyy/mm/dd"),1),"")</f>
        <v>4544996217.29</v>
      </c>
      <c r="C413">
        <f>IFERROR([1]!s_stm07_is($A413,"W75682424",TEXT($B$1,"yyyy/mm/dd"),1),"")</f>
        <v>3455991856.5599999</v>
      </c>
      <c r="D413">
        <f>IFERROR([1]!s_stm07_is($A413,"W76031679",TEXT($B$1,"yyyy/mm/dd"),1),"")</f>
        <v>87901443.200000003</v>
      </c>
      <c r="E413">
        <f>IFERROR([1]!s_stm07_is($A413,"W70752487",TEXT($B$1,"yyyy/mm/dd"),1),"")</f>
        <v>333545249.69</v>
      </c>
      <c r="F413">
        <f>IFERROR([1]!s_stm07_is_103($A413,TEXT($B$1,"yyyy/mm/dd"),1),"")</f>
        <v>298875357.5</v>
      </c>
      <c r="G413">
        <f>IFERROR([1]!s_stm07_is_104($A413,TEXT($B$1,"yyyy/mm/dd"),1),"")</f>
        <v>9178909.2899999991</v>
      </c>
      <c r="H413">
        <f>IFERROR([1]!s_stm07_is_105($A413,TEXT($B$1,"yyyy/mm/dd"),1),"")</f>
        <v>8563129.4800000004</v>
      </c>
      <c r="I413">
        <f>IFERROR([1]!s_stm07_is($A413,"W72946623",TEXT($B$1,"yyyy/mm/dd"),1),"")</f>
        <v>348559438.75999999</v>
      </c>
      <c r="J413">
        <f>IFERROR([1]!s_stm07_is($A413,"W30028333",TEXT($B$1,"yyyy/mm/dd"),1),"")</f>
        <v>316923175.24000001</v>
      </c>
      <c r="K413">
        <f>IFERROR([1]!s_stm07_cs($A413,"W77130581",TEXT($B$1,"yyyy/mm/dd"),1),"")</f>
        <v>374370281.06</v>
      </c>
      <c r="L413">
        <f>IFERROR([1]!s_stm07_cs($A413,"W77745895",TEXT($B$1,"yyyy/mm/dd"),1),"")</f>
        <v>415006167.38</v>
      </c>
      <c r="M413">
        <f>IFERROR([1]!S_FA_EPS_basic2($A413,$B$1,"Cur=CNY"),"")</f>
        <v>0.5514</v>
      </c>
      <c r="N413">
        <f>IFERROR([1]!s_fa_arturndays($A413,TEXT($B$1,"yyyy/mm/dd")),"")</f>
        <v>89.849500000000006</v>
      </c>
      <c r="O413" t="str">
        <f>IFERROR([1]!fa_apturndays($A413,TEXT($B$1,"yyyy/mm/dd")),"")</f>
        <v>Fetch...</v>
      </c>
      <c r="P413">
        <f>IFERROR([1]!s_fa_invturndays($A413,TEXT($B$1,"yyyy/mm/dd")),"")</f>
        <v>90.744100000000003</v>
      </c>
    </row>
    <row r="414" spans="1:16">
      <c r="A414" t="s">
        <v>427</v>
      </c>
      <c r="B414">
        <f>IFERROR([1]!s_stm07_is($A414,"W70156729",TEXT($B$1,"yyyy/mm/dd"),1),"")</f>
        <v>6885061234.4499998</v>
      </c>
      <c r="C414">
        <f>IFERROR([1]!s_stm07_is($A414,"W75682424",TEXT($B$1,"yyyy/mm/dd"),1),"")</f>
        <v>5804538378.4399996</v>
      </c>
      <c r="D414">
        <f>IFERROR([1]!s_stm07_is($A414,"W76031679",TEXT($B$1,"yyyy/mm/dd"),1),"")</f>
        <v>60369533.909999996</v>
      </c>
      <c r="E414">
        <f>IFERROR([1]!s_stm07_is($A414,"W70752487",TEXT($B$1,"yyyy/mm/dd"),1),"")</f>
        <v>375697002.64999998</v>
      </c>
      <c r="F414">
        <f>IFERROR([1]!s_stm07_is_103($A414,TEXT($B$1,"yyyy/mm/dd"),1),"")</f>
        <v>236702447.37</v>
      </c>
      <c r="G414">
        <f>IFERROR([1]!s_stm07_is_104($A414,TEXT($B$1,"yyyy/mm/dd"),1),"")</f>
        <v>43515742.899999999</v>
      </c>
      <c r="H414">
        <f>IFERROR([1]!s_stm07_is_105($A414,TEXT($B$1,"yyyy/mm/dd"),1),"")</f>
        <v>12923145.939999999</v>
      </c>
      <c r="I414">
        <f>IFERROR([1]!s_stm07_is($A414,"W72946623",TEXT($B$1,"yyyy/mm/dd"),1),"")</f>
        <v>357078542.30000001</v>
      </c>
      <c r="J414">
        <f>IFERROR([1]!s_stm07_is($A414,"W30028333",TEXT($B$1,"yyyy/mm/dd"),1),"")</f>
        <v>300427516.57999998</v>
      </c>
      <c r="K414">
        <f>IFERROR([1]!s_stm07_cs($A414,"W77130581",TEXT($B$1,"yyyy/mm/dd"),1),"")</f>
        <v>652185494.92999995</v>
      </c>
      <c r="L414">
        <f>IFERROR([1]!s_stm07_cs($A414,"W77745895",TEXT($B$1,"yyyy/mm/dd"),1),"")</f>
        <v>169133180.03</v>
      </c>
      <c r="M414">
        <f>IFERROR([1]!S_FA_EPS_basic2($A414,$B$1,"Cur=CNY"),"")</f>
        <v>0.27739999999999998</v>
      </c>
      <c r="N414">
        <f>IFERROR([1]!s_fa_arturndays($A414,TEXT($B$1,"yyyy/mm/dd")),"")</f>
        <v>67.882300000000001</v>
      </c>
      <c r="O414" t="str">
        <f>IFERROR([1]!fa_apturndays($A414,TEXT($B$1,"yyyy/mm/dd")),"")</f>
        <v>Fetch...</v>
      </c>
      <c r="P414">
        <f>IFERROR([1]!s_fa_invturndays($A414,TEXT($B$1,"yyyy/mm/dd")),"")</f>
        <v>54.475299999999997</v>
      </c>
    </row>
    <row r="415" spans="1:16">
      <c r="A415" t="s">
        <v>428</v>
      </c>
      <c r="B415">
        <f>IFERROR([1]!s_stm07_is($A415,"W70156729",TEXT($B$1,"yyyy/mm/dd"),1),"")</f>
        <v>21399878912.799999</v>
      </c>
      <c r="C415">
        <f>IFERROR([1]!s_stm07_is($A415,"W75682424",TEXT($B$1,"yyyy/mm/dd"),1),"")</f>
        <v>18865511470.5</v>
      </c>
      <c r="D415">
        <f>IFERROR([1]!s_stm07_is($A415,"W76031679",TEXT($B$1,"yyyy/mm/dd"),1),"")</f>
        <v>328244518.00999999</v>
      </c>
      <c r="E415">
        <f>IFERROR([1]!s_stm07_is($A415,"W70752487",TEXT($B$1,"yyyy/mm/dd"),1),"")</f>
        <v>647474776.04999995</v>
      </c>
      <c r="F415">
        <f>IFERROR([1]!s_stm07_is_103($A415,TEXT($B$1,"yyyy/mm/dd"),1),"")</f>
        <v>355699054.70999998</v>
      </c>
      <c r="G415">
        <f>IFERROR([1]!s_stm07_is_104($A415,TEXT($B$1,"yyyy/mm/dd"),1),"")</f>
        <v>204407370.05000001</v>
      </c>
      <c r="H415">
        <f>IFERROR([1]!s_stm07_is_105($A415,TEXT($B$1,"yyyy/mm/dd"),1),"")</f>
        <v>32281751.620000001</v>
      </c>
      <c r="I415">
        <f>IFERROR([1]!s_stm07_is($A415,"W72946623",TEXT($B$1,"yyyy/mm/dd"),1),"")</f>
        <v>956095292.32000005</v>
      </c>
      <c r="J415">
        <f>IFERROR([1]!s_stm07_is($A415,"W30028333",TEXT($B$1,"yyyy/mm/dd"),1),"")</f>
        <v>827079355.88999999</v>
      </c>
      <c r="K415">
        <f>IFERROR([1]!s_stm07_cs($A415,"W77130581",TEXT($B$1,"yyyy/mm/dd"),1),"")</f>
        <v>1256667830.1099999</v>
      </c>
      <c r="L415">
        <f>IFERROR([1]!s_stm07_cs($A415,"W77745895",TEXT($B$1,"yyyy/mm/dd"),1),"")</f>
        <v>2355715793.5599999</v>
      </c>
      <c r="M415">
        <f>IFERROR([1]!S_FA_EPS_basic2($A415,$B$1,"Cur=CNY"),"")</f>
        <v>0.69</v>
      </c>
      <c r="N415">
        <f>IFERROR([1]!s_fa_arturndays($A415,TEXT($B$1,"yyyy/mm/dd")),"")</f>
        <v>7.2885</v>
      </c>
      <c r="O415" t="str">
        <f>IFERROR([1]!fa_apturndays($A415,TEXT($B$1,"yyyy/mm/dd")),"")</f>
        <v>Fetch...</v>
      </c>
      <c r="P415">
        <f>IFERROR([1]!s_fa_invturndays($A415,TEXT($B$1,"yyyy/mm/dd")),"")</f>
        <v>68.849400000000003</v>
      </c>
    </row>
    <row r="416" spans="1:16">
      <c r="A416" t="s">
        <v>429</v>
      </c>
      <c r="B416">
        <f>IFERROR([1]!s_stm07_is($A416,"W70156729",TEXT($B$1,"yyyy/mm/dd"),1),"")</f>
        <v>22068312409.220001</v>
      </c>
      <c r="C416">
        <f>IFERROR([1]!s_stm07_is($A416,"W75682424",TEXT($B$1,"yyyy/mm/dd"),1),"")</f>
        <v>19894475532.560001</v>
      </c>
      <c r="D416">
        <f>IFERROR([1]!s_stm07_is($A416,"W76031679",TEXT($B$1,"yyyy/mm/dd"),1),"")</f>
        <v>148590715.13</v>
      </c>
      <c r="E416">
        <f>IFERROR([1]!s_stm07_is($A416,"W70752487",TEXT($B$1,"yyyy/mm/dd"),1),"")</f>
        <v>355266714.56999999</v>
      </c>
      <c r="F416">
        <f>IFERROR([1]!s_stm07_is_103($A416,TEXT($B$1,"yyyy/mm/dd"),1),"")</f>
        <v>578115352.96000004</v>
      </c>
      <c r="G416">
        <f>IFERROR([1]!s_stm07_is_104($A416,TEXT($B$1,"yyyy/mm/dd"),1),"")</f>
        <v>340546754.38</v>
      </c>
      <c r="H416">
        <f>IFERROR([1]!s_stm07_is_105($A416,TEXT($B$1,"yyyy/mm/dd"),1),"")</f>
        <v>16599106.140000001</v>
      </c>
      <c r="I416">
        <f>IFERROR([1]!s_stm07_is($A416,"W72946623",TEXT($B$1,"yyyy/mm/dd"),1),"")</f>
        <v>789261342</v>
      </c>
      <c r="J416">
        <f>IFERROR([1]!s_stm07_is($A416,"W30028333",TEXT($B$1,"yyyy/mm/dd"),1),"")</f>
        <v>631172029.58000004</v>
      </c>
      <c r="K416">
        <f>IFERROR([1]!s_stm07_cs($A416,"W77130581",TEXT($B$1,"yyyy/mm/dd"),1),"")</f>
        <v>1365746505.3199999</v>
      </c>
      <c r="L416">
        <f>IFERROR([1]!s_stm07_cs($A416,"W77745895",TEXT($B$1,"yyyy/mm/dd"),1),"")</f>
        <v>1285034016.2</v>
      </c>
      <c r="M416">
        <f>IFERROR([1]!S_FA_EPS_basic2($A416,$B$1,"Cur=CNY"),"")</f>
        <v>0.92</v>
      </c>
      <c r="N416">
        <f>IFERROR([1]!s_fa_arturndays($A416,TEXT($B$1,"yyyy/mm/dd")),"")</f>
        <v>52.992600000000003</v>
      </c>
      <c r="O416" t="str">
        <f>IFERROR([1]!fa_apturndays($A416,TEXT($B$1,"yyyy/mm/dd")),"")</f>
        <v>Fetch...</v>
      </c>
      <c r="P416">
        <f>IFERROR([1]!s_fa_invturndays($A416,TEXT($B$1,"yyyy/mm/dd")),"")</f>
        <v>184.08670000000001</v>
      </c>
    </row>
    <row r="417" spans="1:16">
      <c r="A417" t="s">
        <v>430</v>
      </c>
      <c r="B417">
        <f>IFERROR([1]!s_stm07_is($A417,"W70156729",TEXT($B$1,"yyyy/mm/dd"),1),"")</f>
        <v>7228869620.54</v>
      </c>
      <c r="C417">
        <f>IFERROR([1]!s_stm07_is($A417,"W75682424",TEXT($B$1,"yyyy/mm/dd"),1),"")</f>
        <v>5389753808.9399996</v>
      </c>
      <c r="D417">
        <f>IFERROR([1]!s_stm07_is($A417,"W76031679",TEXT($B$1,"yyyy/mm/dd"),1),"")</f>
        <v>891900811.72000003</v>
      </c>
      <c r="E417">
        <f>IFERROR([1]!s_stm07_is($A417,"W70752487",TEXT($B$1,"yyyy/mm/dd"),1),"")</f>
        <v>242479987.31999999</v>
      </c>
      <c r="F417">
        <f>IFERROR([1]!s_stm07_is_103($A417,TEXT($B$1,"yyyy/mm/dd"),1),"")</f>
        <v>306572942.13</v>
      </c>
      <c r="G417">
        <f>IFERROR([1]!s_stm07_is_104($A417,TEXT($B$1,"yyyy/mm/dd"),1),"")</f>
        <v>5532395.2800000003</v>
      </c>
      <c r="H417">
        <f>IFERROR([1]!s_stm07_is_105($A417,TEXT($B$1,"yyyy/mm/dd"),1),"")</f>
        <v>14309198.85</v>
      </c>
      <c r="I417">
        <f>IFERROR([1]!s_stm07_is($A417,"W72946623",TEXT($B$1,"yyyy/mm/dd"),1),"")</f>
        <v>282808112.13999999</v>
      </c>
      <c r="J417">
        <f>IFERROR([1]!s_stm07_is($A417,"W30028333",TEXT($B$1,"yyyy/mm/dd"),1),"")</f>
        <v>215663660.40000001</v>
      </c>
      <c r="K417">
        <f>IFERROR([1]!s_stm07_cs($A417,"W77130581",TEXT($B$1,"yyyy/mm/dd"),1),"")</f>
        <v>286028779.31</v>
      </c>
      <c r="L417">
        <f>IFERROR([1]!s_stm07_cs($A417,"W77745895",TEXT($B$1,"yyyy/mm/dd"),1),"")</f>
        <v>377802269.48000002</v>
      </c>
      <c r="M417">
        <f>IFERROR([1]!S_FA_EPS_basic2($A417,$B$1,"Cur=CNY"),"")</f>
        <v>0.28999999999999998</v>
      </c>
      <c r="N417">
        <f>IFERROR([1]!s_fa_arturndays($A417,TEXT($B$1,"yyyy/mm/dd")),"")</f>
        <v>55.951900000000002</v>
      </c>
      <c r="O417" t="str">
        <f>IFERROR([1]!fa_apturndays($A417,TEXT($B$1,"yyyy/mm/dd")),"")</f>
        <v>Fetch...</v>
      </c>
      <c r="P417">
        <f>IFERROR([1]!s_fa_invturndays($A417,TEXT($B$1,"yyyy/mm/dd")),"")</f>
        <v>70.148099999999999</v>
      </c>
    </row>
    <row r="418" spans="1:16">
      <c r="A418" t="s">
        <v>431</v>
      </c>
      <c r="B418">
        <f>IFERROR([1]!s_stm07_is($A418,"W70156729",TEXT($B$1,"yyyy/mm/dd"),1),"")</f>
        <v>4885341473.1400003</v>
      </c>
      <c r="C418">
        <f>IFERROR([1]!s_stm07_is($A418,"W75682424",TEXT($B$1,"yyyy/mm/dd"),1),"")</f>
        <v>4132834088.48</v>
      </c>
      <c r="D418">
        <f>IFERROR([1]!s_stm07_is($A418,"W76031679",TEXT($B$1,"yyyy/mm/dd"),1),"")</f>
        <v>188117330.56999999</v>
      </c>
      <c r="E418">
        <f>IFERROR([1]!s_stm07_is($A418,"W70752487",TEXT($B$1,"yyyy/mm/dd"),1),"")</f>
        <v>218214897.41999999</v>
      </c>
      <c r="F418">
        <f>IFERROR([1]!s_stm07_is_103($A418,TEXT($B$1,"yyyy/mm/dd"),1),"")</f>
        <v>202750143.34</v>
      </c>
      <c r="G418">
        <f>IFERROR([1]!s_stm07_is_104($A418,TEXT($B$1,"yyyy/mm/dd"),1),"")</f>
        <v>19749262.300000001</v>
      </c>
      <c r="H418">
        <f>IFERROR([1]!s_stm07_is_105($A418,TEXT($B$1,"yyyy/mm/dd"),1),"")</f>
        <v>18507761.5</v>
      </c>
      <c r="I418">
        <f>IFERROR([1]!s_stm07_is($A418,"W72946623",TEXT($B$1,"yyyy/mm/dd"),1),"")</f>
        <v>22456517.059999999</v>
      </c>
      <c r="J418">
        <f>IFERROR([1]!s_stm07_is($A418,"W30028333",TEXT($B$1,"yyyy/mm/dd"),1),"")</f>
        <v>25114072.050000001</v>
      </c>
      <c r="K418">
        <f>IFERROR([1]!s_stm07_cs($A418,"W77130581",TEXT($B$1,"yyyy/mm/dd"),1),"")</f>
        <v>277989160.95999998</v>
      </c>
      <c r="L418">
        <f>IFERROR([1]!s_stm07_cs($A418,"W77745895",TEXT($B$1,"yyyy/mm/dd"),1),"")</f>
        <v>285679927.55000001</v>
      </c>
      <c r="M418">
        <f>IFERROR([1]!S_FA_EPS_basic2($A418,$B$1,"Cur=CNY"),"")</f>
        <v>3.6900000000000002E-2</v>
      </c>
      <c r="N418">
        <f>IFERROR([1]!s_fa_arturndays($A418,TEXT($B$1,"yyyy/mm/dd")),"")</f>
        <v>256.59300000000002</v>
      </c>
      <c r="O418" t="str">
        <f>IFERROR([1]!fa_apturndays($A418,TEXT($B$1,"yyyy/mm/dd")),"")</f>
        <v>Fetch...</v>
      </c>
      <c r="P418">
        <f>IFERROR([1]!s_fa_invturndays($A418,TEXT($B$1,"yyyy/mm/dd")),"")</f>
        <v>125.7642</v>
      </c>
    </row>
    <row r="419" spans="1:16">
      <c r="A419" t="s">
        <v>432</v>
      </c>
      <c r="B419">
        <f>IFERROR([1]!s_stm07_is($A419,"W70156729",TEXT($B$1,"yyyy/mm/dd"),1),"")</f>
        <v>4879014100.0699997</v>
      </c>
      <c r="C419">
        <f>IFERROR([1]!s_stm07_is($A419,"W75682424",TEXT($B$1,"yyyy/mm/dd"),1),"")</f>
        <v>2911254736.3400002</v>
      </c>
      <c r="D419">
        <f>IFERROR([1]!s_stm07_is($A419,"W76031679",TEXT($B$1,"yyyy/mm/dd"),1),"")</f>
        <v>35307201.469999999</v>
      </c>
      <c r="E419">
        <f>IFERROR([1]!s_stm07_is($A419,"W70752487",TEXT($B$1,"yyyy/mm/dd"),1),"")</f>
        <v>141901937.43000001</v>
      </c>
      <c r="F419">
        <f>IFERROR([1]!s_stm07_is_103($A419,TEXT($B$1,"yyyy/mm/dd"),1),"")</f>
        <v>56440699.07</v>
      </c>
      <c r="G419">
        <f>IFERROR([1]!s_stm07_is_104($A419,TEXT($B$1,"yyyy/mm/dd"),1),"")</f>
        <v>50703374.810000002</v>
      </c>
      <c r="H419">
        <f>IFERROR([1]!s_stm07_is_105($A419,TEXT($B$1,"yyyy/mm/dd"),1),"")</f>
        <v>49398759.399999999</v>
      </c>
      <c r="I419">
        <f>IFERROR([1]!s_stm07_is($A419,"W72946623",TEXT($B$1,"yyyy/mm/dd"),1),"")</f>
        <v>1450823141.73</v>
      </c>
      <c r="J419">
        <f>IFERROR([1]!s_stm07_is($A419,"W30028333",TEXT($B$1,"yyyy/mm/dd"),1),"")</f>
        <v>1206247307.03</v>
      </c>
      <c r="K419">
        <f>IFERROR([1]!s_stm07_cs($A419,"W77130581",TEXT($B$1,"yyyy/mm/dd"),1),"")</f>
        <v>2387624790.8499999</v>
      </c>
      <c r="L419">
        <f>IFERROR([1]!s_stm07_cs($A419,"W77745895",TEXT($B$1,"yyyy/mm/dd"),1),"")</f>
        <v>265076577.97999999</v>
      </c>
      <c r="M419">
        <f>IFERROR([1]!S_FA_EPS_basic2($A419,$B$1,"Cur=CNY"),"")</f>
        <v>0.96960000000000002</v>
      </c>
      <c r="N419">
        <f>IFERROR([1]!s_fa_arturndays($A419,TEXT($B$1,"yyyy/mm/dd")),"")</f>
        <v>34.346600000000002</v>
      </c>
      <c r="O419" t="str">
        <f>IFERROR([1]!fa_apturndays($A419,TEXT($B$1,"yyyy/mm/dd")),"")</f>
        <v>Fetch...</v>
      </c>
      <c r="P419">
        <f>IFERROR([1]!s_fa_invturndays($A419,TEXT($B$1,"yyyy/mm/dd")),"")</f>
        <v>105.3556</v>
      </c>
    </row>
    <row r="420" spans="1:16">
      <c r="A420" t="s">
        <v>433</v>
      </c>
      <c r="B420">
        <f>IFERROR([1]!s_stm07_is($A420,"W70156729",TEXT($B$1,"yyyy/mm/dd"),1),"")</f>
        <v>1571276512.22</v>
      </c>
      <c r="C420">
        <f>IFERROR([1]!s_stm07_is($A420,"W75682424",TEXT($B$1,"yyyy/mm/dd"),1),"")</f>
        <v>654347578.17999995</v>
      </c>
      <c r="D420">
        <f>IFERROR([1]!s_stm07_is($A420,"W76031679",TEXT($B$1,"yyyy/mm/dd"),1),"")</f>
        <v>317819774.94</v>
      </c>
      <c r="E420">
        <f>IFERROR([1]!s_stm07_is($A420,"W70752487",TEXT($B$1,"yyyy/mm/dd"),1),"")</f>
        <v>150635247.63</v>
      </c>
      <c r="F420">
        <f>IFERROR([1]!s_stm07_is_103($A420,TEXT($B$1,"yyyy/mm/dd"),1),"")</f>
        <v>110662137.29000001</v>
      </c>
      <c r="G420">
        <f>IFERROR([1]!s_stm07_is_104($A420,TEXT($B$1,"yyyy/mm/dd"),1),"")</f>
        <v>459106.24</v>
      </c>
      <c r="H420">
        <f>IFERROR([1]!s_stm07_is_105($A420,TEXT($B$1,"yyyy/mm/dd"),1),"")</f>
        <v>9978504.6799999997</v>
      </c>
      <c r="I420">
        <f>IFERROR([1]!s_stm07_is($A420,"W72946623",TEXT($B$1,"yyyy/mm/dd"),1),"")</f>
        <v>450181945.86000001</v>
      </c>
      <c r="J420">
        <f>IFERROR([1]!s_stm07_is($A420,"W30028333",TEXT($B$1,"yyyy/mm/dd"),1),"")</f>
        <v>398795539.58999997</v>
      </c>
      <c r="K420">
        <f>IFERROR([1]!s_stm07_cs($A420,"W77130581",TEXT($B$1,"yyyy/mm/dd"),1),"")</f>
        <v>361361453.12</v>
      </c>
      <c r="L420">
        <f>IFERROR([1]!s_stm07_cs($A420,"W77745895",TEXT($B$1,"yyyy/mm/dd"),1),"")</f>
        <v>141604595.59</v>
      </c>
      <c r="M420">
        <f>IFERROR([1]!S_FA_EPS_basic2($A420,$B$1,"Cur=CNY"),"")</f>
        <v>0.32</v>
      </c>
      <c r="N420">
        <f>IFERROR([1]!s_fa_arturndays($A420,TEXT($B$1,"yyyy/mm/dd")),"")</f>
        <v>58.6205</v>
      </c>
      <c r="O420" t="str">
        <f>IFERROR([1]!fa_apturndays($A420,TEXT($B$1,"yyyy/mm/dd")),"")</f>
        <v>Fetch...</v>
      </c>
      <c r="P420">
        <f>IFERROR([1]!s_fa_invturndays($A420,TEXT($B$1,"yyyy/mm/dd")),"")</f>
        <v>219.86080000000001</v>
      </c>
    </row>
    <row r="421" spans="1:16">
      <c r="A421" t="s">
        <v>434</v>
      </c>
      <c r="B421">
        <f>IFERROR([1]!s_stm07_is($A421,"W70156729",TEXT($B$1,"yyyy/mm/dd"),1),"")</f>
        <v>6573688586.4799995</v>
      </c>
      <c r="C421">
        <f>IFERROR([1]!s_stm07_is($A421,"W75682424",TEXT($B$1,"yyyy/mm/dd"),1),"")</f>
        <v>5034675408.3699999</v>
      </c>
      <c r="D421">
        <f>IFERROR([1]!s_stm07_is($A421,"W76031679",TEXT($B$1,"yyyy/mm/dd"),1),"")</f>
        <v>737760546.77999997</v>
      </c>
      <c r="E421">
        <f>IFERROR([1]!s_stm07_is($A421,"W70752487",TEXT($B$1,"yyyy/mm/dd"),1),"")</f>
        <v>315369208.08999997</v>
      </c>
      <c r="F421">
        <f>IFERROR([1]!s_stm07_is_103($A421,TEXT($B$1,"yyyy/mm/dd"),1),"")</f>
        <v>77179896.459999993</v>
      </c>
      <c r="G421">
        <f>IFERROR([1]!s_stm07_is_104($A421,TEXT($B$1,"yyyy/mm/dd"),1),"")</f>
        <v>173984943.02000001</v>
      </c>
      <c r="H421">
        <f>IFERROR([1]!s_stm07_is_105($A421,TEXT($B$1,"yyyy/mm/dd"),1),"")</f>
        <v>114397612.61</v>
      </c>
      <c r="I421">
        <f>IFERROR([1]!s_stm07_is($A421,"W72946623",TEXT($B$1,"yyyy/mm/dd"),1),"")</f>
        <v>392490189.51999998</v>
      </c>
      <c r="J421">
        <f>IFERROR([1]!s_stm07_is($A421,"W30028333",TEXT($B$1,"yyyy/mm/dd"),1),"")</f>
        <v>318446143.95999998</v>
      </c>
      <c r="K421">
        <f>IFERROR([1]!s_stm07_cs($A421,"W77130581",TEXT($B$1,"yyyy/mm/dd"),1),"")</f>
        <v>70447310.359999999</v>
      </c>
      <c r="L421">
        <f>IFERROR([1]!s_stm07_cs($A421,"W77745895",TEXT($B$1,"yyyy/mm/dd"),1),"")</f>
        <v>96860883.629999995</v>
      </c>
      <c r="M421">
        <f>IFERROR([1]!S_FA_EPS_basic2($A421,$B$1,"Cur=CNY"),"")</f>
        <v>0.628</v>
      </c>
      <c r="N421">
        <f>IFERROR([1]!s_fa_arturndays($A421,TEXT($B$1,"yyyy/mm/dd")),"")</f>
        <v>20.3414</v>
      </c>
      <c r="O421" t="str">
        <f>IFERROR([1]!fa_apturndays($A421,TEXT($B$1,"yyyy/mm/dd")),"")</f>
        <v>Fetch...</v>
      </c>
      <c r="P421">
        <f>IFERROR([1]!s_fa_invturndays($A421,TEXT($B$1,"yyyy/mm/dd")),"")</f>
        <v>124.3652</v>
      </c>
    </row>
    <row r="422" spans="1:16">
      <c r="A422" t="s">
        <v>435</v>
      </c>
      <c r="B422">
        <f>IFERROR([1]!s_stm07_is($A422,"W70156729",TEXT($B$1,"yyyy/mm/dd"),1),"")</f>
        <v>5047387122.1999998</v>
      </c>
      <c r="C422">
        <f>IFERROR([1]!s_stm07_is($A422,"W75682424",TEXT($B$1,"yyyy/mm/dd"),1),"")</f>
        <v>452584044.11000001</v>
      </c>
      <c r="D422">
        <f>IFERROR([1]!s_stm07_is($A422,"W76031679",TEXT($B$1,"yyyy/mm/dd"),1),"")</f>
        <v>1711319273.7</v>
      </c>
      <c r="E422">
        <f>IFERROR([1]!s_stm07_is($A422,"W70752487",TEXT($B$1,"yyyy/mm/dd"),1),"")</f>
        <v>238008902.74000001</v>
      </c>
      <c r="F422">
        <f>IFERROR([1]!s_stm07_is_103($A422,TEXT($B$1,"yyyy/mm/dd"),1),"")</f>
        <v>842470038.30999994</v>
      </c>
      <c r="G422">
        <f>IFERROR([1]!s_stm07_is_104($A422,TEXT($B$1,"yyyy/mm/dd"),1),"")</f>
        <v>22004769.219999999</v>
      </c>
      <c r="H422">
        <f>IFERROR([1]!s_stm07_is_105($A422,TEXT($B$1,"yyyy/mm/dd"),1),"")</f>
        <v>12479270.060000001</v>
      </c>
      <c r="I422">
        <f>IFERROR([1]!s_stm07_is($A422,"W72946623",TEXT($B$1,"yyyy/mm/dd"),1),"")</f>
        <v>1992122764.8499999</v>
      </c>
      <c r="J422">
        <f>IFERROR([1]!s_stm07_is($A422,"W30028333",TEXT($B$1,"yyyy/mm/dd"),1),"")</f>
        <v>1754514184.3699999</v>
      </c>
      <c r="K422">
        <f>IFERROR([1]!s_stm07_cs($A422,"W77130581",TEXT($B$1,"yyyy/mm/dd"),1),"")</f>
        <v>2985105474.4099998</v>
      </c>
      <c r="L422">
        <f>IFERROR([1]!s_stm07_cs($A422,"W77745895",TEXT($B$1,"yyyy/mm/dd"),1),"")</f>
        <v>110742298.83</v>
      </c>
      <c r="M422">
        <f>IFERROR([1]!S_FA_EPS_basic2($A422,$B$1,"Cur=CNY"),"")</f>
        <v>0.94</v>
      </c>
      <c r="N422">
        <f>IFERROR([1]!s_fa_arturndays($A422,TEXT($B$1,"yyyy/mm/dd")),"")</f>
        <v>12.508699999999999</v>
      </c>
      <c r="O422" t="str">
        <f>IFERROR([1]!fa_apturndays($A422,TEXT($B$1,"yyyy/mm/dd")),"")</f>
        <v>Fetch...</v>
      </c>
      <c r="P422">
        <f>IFERROR([1]!s_fa_invturndays($A422,TEXT($B$1,"yyyy/mm/dd")),"")</f>
        <v>0</v>
      </c>
    </row>
    <row r="423" spans="1:16">
      <c r="A423" t="s">
        <v>436</v>
      </c>
      <c r="B423">
        <f>IFERROR([1]!s_stm07_is($A423,"W70156729",TEXT($B$1,"yyyy/mm/dd"),1),"")</f>
        <v>15089844116.68</v>
      </c>
      <c r="C423">
        <f>IFERROR([1]!s_stm07_is($A423,"W75682424",TEXT($B$1,"yyyy/mm/dd"),1),"")</f>
        <v>8283895291.3800001</v>
      </c>
      <c r="D423">
        <f>IFERROR([1]!s_stm07_is($A423,"W76031679",TEXT($B$1,"yyyy/mm/dd"),1),"")</f>
        <v>4234548360.6999998</v>
      </c>
      <c r="E423">
        <f>IFERROR([1]!s_stm07_is($A423,"W70752487",TEXT($B$1,"yyyy/mm/dd"),1),"")</f>
        <v>603565032.37</v>
      </c>
      <c r="F423">
        <f>IFERROR([1]!s_stm07_is_103($A423,TEXT($B$1,"yyyy/mm/dd"),1),"")</f>
        <v>302056784.45999998</v>
      </c>
      <c r="G423">
        <f>IFERROR([1]!s_stm07_is_104($A423,TEXT($B$1,"yyyy/mm/dd"),1),"")</f>
        <v>29182624.77</v>
      </c>
      <c r="H423">
        <f>IFERROR([1]!s_stm07_is_105($A423,TEXT($B$1,"yyyy/mm/dd"),1),"")</f>
        <v>161827185.00999999</v>
      </c>
      <c r="I423">
        <f>IFERROR([1]!s_stm07_is($A423,"W72946623",TEXT($B$1,"yyyy/mm/dd"),1),"")</f>
        <v>1246222876.25</v>
      </c>
      <c r="J423">
        <f>IFERROR([1]!s_stm07_is($A423,"W30028333",TEXT($B$1,"yyyy/mm/dd"),1),"")</f>
        <v>892415746.62</v>
      </c>
      <c r="K423">
        <f>IFERROR([1]!s_stm07_cs($A423,"W77130581",TEXT($B$1,"yyyy/mm/dd"),1),"")</f>
        <v>1729689105.8499999</v>
      </c>
      <c r="L423">
        <f>IFERROR([1]!s_stm07_cs($A423,"W77745895",TEXT($B$1,"yyyy/mm/dd"),1),"")</f>
        <v>613809179.45000005</v>
      </c>
      <c r="M423">
        <f>IFERROR([1]!S_FA_EPS_basic2($A423,$B$1,"Cur=CNY"),"")</f>
        <v>0.33</v>
      </c>
      <c r="N423">
        <f>IFERROR([1]!s_fa_arturndays($A423,TEXT($B$1,"yyyy/mm/dd")),"")</f>
        <v>36.907600000000002</v>
      </c>
      <c r="O423" t="str">
        <f>IFERROR([1]!fa_apturndays($A423,TEXT($B$1,"yyyy/mm/dd")),"")</f>
        <v>Fetch...</v>
      </c>
      <c r="P423">
        <f>IFERROR([1]!s_fa_invturndays($A423,TEXT($B$1,"yyyy/mm/dd")),"")</f>
        <v>144.7062</v>
      </c>
    </row>
    <row r="424" spans="1:16">
      <c r="A424" t="s">
        <v>437</v>
      </c>
      <c r="B424">
        <f>IFERROR([1]!s_stm07_is($A424,"W70156729",TEXT($B$1,"yyyy/mm/dd"),1),"")</f>
        <v>2943699384.6300001</v>
      </c>
      <c r="C424">
        <f>IFERROR([1]!s_stm07_is($A424,"W75682424",TEXT($B$1,"yyyy/mm/dd"),1),"")</f>
        <v>907324835.17999995</v>
      </c>
      <c r="D424">
        <f>IFERROR([1]!s_stm07_is($A424,"W76031679",TEXT($B$1,"yyyy/mm/dd"),1),"")</f>
        <v>728354947.04999995</v>
      </c>
      <c r="E424">
        <f>IFERROR([1]!s_stm07_is($A424,"W70752487",TEXT($B$1,"yyyy/mm/dd"),1),"")</f>
        <v>237548300.63999999</v>
      </c>
      <c r="F424">
        <f>IFERROR([1]!s_stm07_is_103($A424,TEXT($B$1,"yyyy/mm/dd"),1),"")</f>
        <v>98374942.879999995</v>
      </c>
      <c r="G424">
        <f>IFERROR([1]!s_stm07_is_104($A424,TEXT($B$1,"yyyy/mm/dd"),1),"")</f>
        <v>65953353.289999999</v>
      </c>
      <c r="H424">
        <f>IFERROR([1]!s_stm07_is_105($A424,TEXT($B$1,"yyyy/mm/dd"),1),"")</f>
        <v>45645985.32</v>
      </c>
      <c r="I424">
        <f>IFERROR([1]!s_stm07_is($A424,"W72946623",TEXT($B$1,"yyyy/mm/dd"),1),"")</f>
        <v>811302596.59000003</v>
      </c>
      <c r="J424">
        <f>IFERROR([1]!s_stm07_is($A424,"W30028333",TEXT($B$1,"yyyy/mm/dd"),1),"")</f>
        <v>637424764.87</v>
      </c>
      <c r="K424">
        <f>IFERROR([1]!s_stm07_cs($A424,"W77130581",TEXT($B$1,"yyyy/mm/dd"),1),"")</f>
        <v>880264008.36000001</v>
      </c>
      <c r="L424">
        <f>IFERROR([1]!s_stm07_cs($A424,"W77745895",TEXT($B$1,"yyyy/mm/dd"),1),"")</f>
        <v>433763521.88999999</v>
      </c>
      <c r="M424">
        <f>IFERROR([1]!S_FA_EPS_basic2($A424,$B$1,"Cur=CNY"),"")</f>
        <v>0.62</v>
      </c>
      <c r="N424">
        <f>IFERROR([1]!s_fa_arturndays($A424,TEXT($B$1,"yyyy/mm/dd")),"")</f>
        <v>21.469100000000001</v>
      </c>
      <c r="O424" t="str">
        <f>IFERROR([1]!fa_apturndays($A424,TEXT($B$1,"yyyy/mm/dd")),"")</f>
        <v>Fetch...</v>
      </c>
      <c r="P424">
        <f>IFERROR([1]!s_fa_invturndays($A424,TEXT($B$1,"yyyy/mm/dd")),"")</f>
        <v>479.80810000000002</v>
      </c>
    </row>
    <row r="425" spans="1:16">
      <c r="A425" t="s">
        <v>438</v>
      </c>
      <c r="B425">
        <f>IFERROR([1]!s_stm07_is($A425,"W70156729",TEXT($B$1,"yyyy/mm/dd"),1),"")</f>
        <v>9366950303.3899994</v>
      </c>
      <c r="C425">
        <f>IFERROR([1]!s_stm07_is($A425,"W75682424",TEXT($B$1,"yyyy/mm/dd"),1),"")</f>
        <v>6023391202.5500002</v>
      </c>
      <c r="D425">
        <f>IFERROR([1]!s_stm07_is($A425,"W76031679",TEXT($B$1,"yyyy/mm/dd"),1),"")</f>
        <v>921304316.76999998</v>
      </c>
      <c r="E425">
        <f>IFERROR([1]!s_stm07_is($A425,"W70752487",TEXT($B$1,"yyyy/mm/dd"),1),"")</f>
        <v>763864243.76999998</v>
      </c>
      <c r="F425">
        <f>IFERROR([1]!s_stm07_is_103($A425,TEXT($B$1,"yyyy/mm/dd"),1),"")</f>
        <v>254923739.91999999</v>
      </c>
      <c r="G425">
        <f>IFERROR([1]!s_stm07_is_104($A425,TEXT($B$1,"yyyy/mm/dd"),1),"")</f>
        <v>43654795.140000001</v>
      </c>
      <c r="H425">
        <f>IFERROR([1]!s_stm07_is_105($A425,TEXT($B$1,"yyyy/mm/dd"),1),"")</f>
        <v>48424398.189999998</v>
      </c>
      <c r="I425">
        <f>IFERROR([1]!s_stm07_is($A425,"W72946623",TEXT($B$1,"yyyy/mm/dd"),1),"")</f>
        <v>1146724274.0599999</v>
      </c>
      <c r="J425">
        <f>IFERROR([1]!s_stm07_is($A425,"W30028333",TEXT($B$1,"yyyy/mm/dd"),1),"")</f>
        <v>901282343.53999996</v>
      </c>
      <c r="K425">
        <f>IFERROR([1]!s_stm07_cs($A425,"W77130581",TEXT($B$1,"yyyy/mm/dd"),1),"")</f>
        <v>-321026192.62</v>
      </c>
      <c r="L425">
        <f>IFERROR([1]!s_stm07_cs($A425,"W77745895",TEXT($B$1,"yyyy/mm/dd"),1),"")</f>
        <v>256766103.09999999</v>
      </c>
      <c r="M425">
        <f>IFERROR([1]!S_FA_EPS_basic2($A425,$B$1,"Cur=CNY"),"")</f>
        <v>0.94</v>
      </c>
      <c r="N425">
        <f>IFERROR([1]!s_fa_arturndays($A425,TEXT($B$1,"yyyy/mm/dd")),"")</f>
        <v>48.838099999999997</v>
      </c>
      <c r="O425" t="str">
        <f>IFERROR([1]!fa_apturndays($A425,TEXT($B$1,"yyyy/mm/dd")),"")</f>
        <v>Fetch...</v>
      </c>
      <c r="P425">
        <f>IFERROR([1]!s_fa_invturndays($A425,TEXT($B$1,"yyyy/mm/dd")),"")</f>
        <v>32.1113</v>
      </c>
    </row>
    <row r="426" spans="1:16">
      <c r="A426" t="s">
        <v>439</v>
      </c>
      <c r="B426">
        <f>IFERROR([1]!s_stm07_is($A426,"W70156729",TEXT($B$1,"yyyy/mm/dd"),1),"")</f>
        <v>6009002216.0600004</v>
      </c>
      <c r="C426">
        <f>IFERROR([1]!s_stm07_is($A426,"W75682424",TEXT($B$1,"yyyy/mm/dd"),1),"")</f>
        <v>2913232208.0599999</v>
      </c>
      <c r="D426">
        <f>IFERROR([1]!s_stm07_is($A426,"W76031679",TEXT($B$1,"yyyy/mm/dd"),1),"")</f>
        <v>958158683.45000005</v>
      </c>
      <c r="E426">
        <f>IFERROR([1]!s_stm07_is($A426,"W70752487",TEXT($B$1,"yyyy/mm/dd"),1),"")</f>
        <v>667166153.38999999</v>
      </c>
      <c r="F426">
        <f>IFERROR([1]!s_stm07_is_103($A426,TEXT($B$1,"yyyy/mm/dd"),1),"")</f>
        <v>1098560959.5999999</v>
      </c>
      <c r="G426">
        <f>IFERROR([1]!s_stm07_is_104($A426,TEXT($B$1,"yyyy/mm/dd"),1),"")</f>
        <v>71428338.739999995</v>
      </c>
      <c r="H426">
        <f>IFERROR([1]!s_stm07_is_105($A426,TEXT($B$1,"yyyy/mm/dd"),1),"")</f>
        <v>38935510.969999999</v>
      </c>
      <c r="I426">
        <f>IFERROR([1]!s_stm07_is($A426,"W72946623",TEXT($B$1,"yyyy/mm/dd"),1),"")</f>
        <v>-252944569.52000001</v>
      </c>
      <c r="J426">
        <f>IFERROR([1]!s_stm07_is($A426,"W30028333",TEXT($B$1,"yyyy/mm/dd"),1),"")</f>
        <v>-257804083.47</v>
      </c>
      <c r="K426">
        <f>IFERROR([1]!s_stm07_cs($A426,"W77130581",TEXT($B$1,"yyyy/mm/dd"),1),"")</f>
        <v>119319695.90000001</v>
      </c>
      <c r="L426">
        <f>IFERROR([1]!s_stm07_cs($A426,"W77745895",TEXT($B$1,"yyyy/mm/dd"),1),"")</f>
        <v>460097429.75999999</v>
      </c>
      <c r="M426">
        <f>IFERROR([1]!S_FA_EPS_basic2($A426,$B$1,"Cur=CNY"),"")</f>
        <v>-0.14180000000000001</v>
      </c>
      <c r="N426">
        <f>IFERROR([1]!s_fa_arturndays($A426,TEXT($B$1,"yyyy/mm/dd")),"")</f>
        <v>146.29390000000001</v>
      </c>
      <c r="O426" t="str">
        <f>IFERROR([1]!fa_apturndays($A426,TEXT($B$1,"yyyy/mm/dd")),"")</f>
        <v>Fetch...</v>
      </c>
      <c r="P426">
        <f>IFERROR([1]!s_fa_invturndays($A426,TEXT($B$1,"yyyy/mm/dd")),"")</f>
        <v>204.51060000000001</v>
      </c>
    </row>
    <row r="427" spans="1:16">
      <c r="A427" t="s">
        <v>440</v>
      </c>
      <c r="B427">
        <f>IFERROR([1]!s_stm07_is($A427,"W70156729",TEXT($B$1,"yyyy/mm/dd"),1),"")</f>
        <v>12283462958.709999</v>
      </c>
      <c r="C427">
        <f>IFERROR([1]!s_stm07_is($A427,"W75682424",TEXT($B$1,"yyyy/mm/dd"),1),"")</f>
        <v>10054052784.5</v>
      </c>
      <c r="D427">
        <f>IFERROR([1]!s_stm07_is($A427,"W76031679",TEXT($B$1,"yyyy/mm/dd"),1),"")</f>
        <v>403937341.43000001</v>
      </c>
      <c r="E427">
        <f>IFERROR([1]!s_stm07_is($A427,"W70752487",TEXT($B$1,"yyyy/mm/dd"),1),"")</f>
        <v>345679782.83999997</v>
      </c>
      <c r="F427">
        <f>IFERROR([1]!s_stm07_is_103($A427,TEXT($B$1,"yyyy/mm/dd"),1),"")</f>
        <v>489944313.74000001</v>
      </c>
      <c r="G427">
        <f>IFERROR([1]!s_stm07_is_104($A427,TEXT($B$1,"yyyy/mm/dd"),1),"")</f>
        <v>50482821.939999998</v>
      </c>
      <c r="H427">
        <f>IFERROR([1]!s_stm07_is_105($A427,TEXT($B$1,"yyyy/mm/dd"),1),"")</f>
        <v>29890438.579999998</v>
      </c>
      <c r="I427">
        <f>IFERROR([1]!s_stm07_is($A427,"W72946623",TEXT($B$1,"yyyy/mm/dd"),1),"")</f>
        <v>1259506012.7</v>
      </c>
      <c r="J427">
        <f>IFERROR([1]!s_stm07_is($A427,"W30028333",TEXT($B$1,"yyyy/mm/dd"),1),"")</f>
        <v>1033164388.09</v>
      </c>
      <c r="K427">
        <f>IFERROR([1]!s_stm07_cs($A427,"W77130581",TEXT($B$1,"yyyy/mm/dd"),1),"")</f>
        <v>1240810183.8099999</v>
      </c>
      <c r="L427">
        <f>IFERROR([1]!s_stm07_cs($A427,"W77745895",TEXT($B$1,"yyyy/mm/dd"),1),"")</f>
        <v>646546927.75999999</v>
      </c>
      <c r="M427">
        <f>IFERROR([1]!S_FA_EPS_basic2($A427,$B$1,"Cur=CNY"),"")</f>
        <v>0.89690000000000003</v>
      </c>
      <c r="N427">
        <f>IFERROR([1]!s_fa_arturndays($A427,TEXT($B$1,"yyyy/mm/dd")),"")</f>
        <v>0.31900000000000001</v>
      </c>
      <c r="O427" t="str">
        <f>IFERROR([1]!fa_apturndays($A427,TEXT($B$1,"yyyy/mm/dd")),"")</f>
        <v>Fetch...</v>
      </c>
      <c r="P427">
        <f>IFERROR([1]!s_fa_invturndays($A427,TEXT($B$1,"yyyy/mm/dd")),"")</f>
        <v>78.419399999999996</v>
      </c>
    </row>
    <row r="428" spans="1:16">
      <c r="A428" t="s">
        <v>441</v>
      </c>
      <c r="B428">
        <f>IFERROR([1]!s_stm07_is($A428,"W70156729",TEXT($B$1,"yyyy/mm/dd"),1),"")</f>
        <v>803964958000</v>
      </c>
      <c r="C428">
        <f>IFERROR([1]!s_stm07_is($A428,"W75682424",TEXT($B$1,"yyyy/mm/dd"),1),"")</f>
        <v>661305161000</v>
      </c>
      <c r="D428">
        <f>IFERROR([1]!s_stm07_is($A428,"W76031679",TEXT($B$1,"yyyy/mm/dd"),1),"")</f>
        <v>26184568000</v>
      </c>
      <c r="E428">
        <f>IFERROR([1]!s_stm07_is($A428,"W70752487",TEXT($B$1,"yyyy/mm/dd"),1),"")</f>
        <v>20199944000</v>
      </c>
      <c r="F428">
        <f>IFERROR([1]!s_stm07_is_103($A428,TEXT($B$1,"yyyy/mm/dd"),1),"")</f>
        <v>57978105000</v>
      </c>
      <c r="G428">
        <f>IFERROR([1]!s_stm07_is_104($A428,TEXT($B$1,"yyyy/mm/dd"),1),"")</f>
        <v>2551657000</v>
      </c>
      <c r="H428">
        <f>IFERROR([1]!s_stm07_is_105($A428,TEXT($B$1,"yyyy/mm/dd"),1),"")</f>
        <v>2436953000</v>
      </c>
      <c r="I428">
        <f>IFERROR([1]!s_stm07_is($A428,"W72946623",TEXT($B$1,"yyyy/mm/dd"),1),"")</f>
        <v>39753049000</v>
      </c>
      <c r="J428">
        <f>IFERROR([1]!s_stm07_is($A428,"W30028333",TEXT($B$1,"yyyy/mm/dd"),1),"")</f>
        <v>32619022000</v>
      </c>
      <c r="K428">
        <f>IFERROR([1]!s_stm07_cs($A428,"W77130581",TEXT($B$1,"yyyy/mm/dd"),1),"")</f>
        <v>59135544000</v>
      </c>
      <c r="L428">
        <f>IFERROR([1]!s_stm07_cs($A428,"W77745895",TEXT($B$1,"yyyy/mm/dd"),1),"")</f>
        <v>156807853000</v>
      </c>
      <c r="M428">
        <f>IFERROR([1]!S_FA_EPS_basic2($A428,$B$1,"Cur=CNY"),"")</f>
        <v>3.58</v>
      </c>
      <c r="N428">
        <f>IFERROR([1]!s_fa_arturndays($A428,TEXT($B$1,"yyyy/mm/dd")),"")</f>
        <v>22.2332</v>
      </c>
      <c r="O428" t="str">
        <f>IFERROR([1]!fa_apturndays($A428,TEXT($B$1,"yyyy/mm/dd")),"")</f>
        <v>Fetch...</v>
      </c>
      <c r="P428">
        <f>IFERROR([1]!s_fa_invturndays($A428,TEXT($B$1,"yyyy/mm/dd")),"")</f>
        <v>69.961299999999994</v>
      </c>
    </row>
    <row r="429" spans="1:16">
      <c r="A429" t="s">
        <v>442</v>
      </c>
      <c r="B429">
        <f>IFERROR([1]!s_stm07_is($A429,"W70156729",TEXT($B$1,"yyyy/mm/dd"),1),"")</f>
        <v>11078445744.049999</v>
      </c>
      <c r="C429">
        <f>IFERROR([1]!s_stm07_is($A429,"W75682424",TEXT($B$1,"yyyy/mm/dd"),1),"")</f>
        <v>7360557264.1199999</v>
      </c>
      <c r="D429">
        <f>IFERROR([1]!s_stm07_is($A429,"W76031679",TEXT($B$1,"yyyy/mm/dd"),1),"")</f>
        <v>86248853.569999993</v>
      </c>
      <c r="E429">
        <f>IFERROR([1]!s_stm07_is($A429,"W70752487",TEXT($B$1,"yyyy/mm/dd"),1),"")</f>
        <v>284809641.23000002</v>
      </c>
      <c r="F429">
        <f>IFERROR([1]!s_stm07_is_103($A429,TEXT($B$1,"yyyy/mm/dd"),1),"")</f>
        <v>655707134.38999999</v>
      </c>
      <c r="G429">
        <f>IFERROR([1]!s_stm07_is_104($A429,TEXT($B$1,"yyyy/mm/dd"),1),"")</f>
        <v>3047007.92</v>
      </c>
      <c r="H429">
        <f>IFERROR([1]!s_stm07_is_105($A429,TEXT($B$1,"yyyy/mm/dd"),1),"")</f>
        <v>17091689.850000001</v>
      </c>
      <c r="I429">
        <f>IFERROR([1]!s_stm07_is($A429,"W72946623",TEXT($B$1,"yyyy/mm/dd"),1),"")</f>
        <v>2737531711.5100002</v>
      </c>
      <c r="J429">
        <f>IFERROR([1]!s_stm07_is($A429,"W30028333",TEXT($B$1,"yyyy/mm/dd"),1),"")</f>
        <v>2393328872.6999998</v>
      </c>
      <c r="K429">
        <f>IFERROR([1]!s_stm07_cs($A429,"W77130581",TEXT($B$1,"yyyy/mm/dd"),1),"")</f>
        <v>1033723042.98</v>
      </c>
      <c r="L429">
        <f>IFERROR([1]!s_stm07_cs($A429,"W77745895",TEXT($B$1,"yyyy/mm/dd"),1),"")</f>
        <v>912500248.82000005</v>
      </c>
      <c r="M429">
        <f>IFERROR([1]!S_FA_EPS_basic2($A429,$B$1,"Cur=CNY"),"")</f>
        <v>3.0005000000000002</v>
      </c>
      <c r="N429">
        <f>IFERROR([1]!s_fa_arturndays($A429,TEXT($B$1,"yyyy/mm/dd")),"")</f>
        <v>100.2841</v>
      </c>
      <c r="O429" t="str">
        <f>IFERROR([1]!fa_apturndays($A429,TEXT($B$1,"yyyy/mm/dd")),"")</f>
        <v>Fetch...</v>
      </c>
      <c r="P429">
        <f>IFERROR([1]!s_fa_invturndays($A429,TEXT($B$1,"yyyy/mm/dd")),"")</f>
        <v>126.4622</v>
      </c>
    </row>
    <row r="430" spans="1:16">
      <c r="A430" t="s">
        <v>443</v>
      </c>
      <c r="B430">
        <f>IFERROR([1]!s_stm07_is($A430,"W70156729",TEXT($B$1,"yyyy/mm/dd"),1),"")</f>
        <v>4911080440.7700005</v>
      </c>
      <c r="C430">
        <f>IFERROR([1]!s_stm07_is($A430,"W75682424",TEXT($B$1,"yyyy/mm/dd"),1),"")</f>
        <v>4060666123.2199998</v>
      </c>
      <c r="D430">
        <f>IFERROR([1]!s_stm07_is($A430,"W76031679",TEXT($B$1,"yyyy/mm/dd"),1),"")</f>
        <v>43289097.850000001</v>
      </c>
      <c r="E430">
        <f>IFERROR([1]!s_stm07_is($A430,"W70752487",TEXT($B$1,"yyyy/mm/dd"),1),"")</f>
        <v>183031851.99000001</v>
      </c>
      <c r="F430">
        <f>IFERROR([1]!s_stm07_is_103($A430,TEXT($B$1,"yyyy/mm/dd"),1),"")</f>
        <v>233053741.31999999</v>
      </c>
      <c r="G430">
        <f>IFERROR([1]!s_stm07_is_104($A430,TEXT($B$1,"yyyy/mm/dd"),1),"")</f>
        <v>29451990.719999999</v>
      </c>
      <c r="H430">
        <f>IFERROR([1]!s_stm07_is_105($A430,TEXT($B$1,"yyyy/mm/dd"),1),"")</f>
        <v>61861327.299999997</v>
      </c>
      <c r="I430">
        <f>IFERROR([1]!s_stm07_is($A430,"W72946623",TEXT($B$1,"yyyy/mm/dd"),1),"")</f>
        <v>402883389.69</v>
      </c>
      <c r="J430">
        <f>IFERROR([1]!s_stm07_is($A430,"W30028333",TEXT($B$1,"yyyy/mm/dd"),1),"")</f>
        <v>347060858.51999998</v>
      </c>
      <c r="K430">
        <f>IFERROR([1]!s_stm07_cs($A430,"W77130581",TEXT($B$1,"yyyy/mm/dd"),1),"")</f>
        <v>561173893.34000003</v>
      </c>
      <c r="L430">
        <f>IFERROR([1]!s_stm07_cs($A430,"W77745895",TEXT($B$1,"yyyy/mm/dd"),1),"")</f>
        <v>973697264.35000002</v>
      </c>
      <c r="M430">
        <f>IFERROR([1]!S_FA_EPS_basic2($A430,$B$1,"Cur=CNY"),"")</f>
        <v>0.63</v>
      </c>
      <c r="N430">
        <f>IFERROR([1]!s_fa_arturndays($A430,TEXT($B$1,"yyyy/mm/dd")),"")</f>
        <v>42.540599999999998</v>
      </c>
      <c r="O430" t="str">
        <f>IFERROR([1]!fa_apturndays($A430,TEXT($B$1,"yyyy/mm/dd")),"")</f>
        <v>Fetch...</v>
      </c>
      <c r="P430">
        <f>IFERROR([1]!s_fa_invturndays($A430,TEXT($B$1,"yyyy/mm/dd")),"")</f>
        <v>63.284500000000001</v>
      </c>
    </row>
    <row r="431" spans="1:16">
      <c r="A431" t="s">
        <v>444</v>
      </c>
      <c r="B431">
        <f>IFERROR([1]!s_stm07_is($A431,"W70156729",TEXT($B$1,"yyyy/mm/dd"),1),"")</f>
        <v>51428944353.940002</v>
      </c>
      <c r="C431">
        <f>IFERROR([1]!s_stm07_is($A431,"W75682424",TEXT($B$1,"yyyy/mm/dd"),1),"")</f>
        <v>43301912696.089996</v>
      </c>
      <c r="D431">
        <f>IFERROR([1]!s_stm07_is($A431,"W76031679",TEXT($B$1,"yyyy/mm/dd"),1),"")</f>
        <v>398580761.93000001</v>
      </c>
      <c r="E431">
        <f>IFERROR([1]!s_stm07_is($A431,"W70752487",TEXT($B$1,"yyyy/mm/dd"),1),"")</f>
        <v>1870435959.01</v>
      </c>
      <c r="F431">
        <f>IFERROR([1]!s_stm07_is_103($A431,TEXT($B$1,"yyyy/mm/dd"),1),"")</f>
        <v>2381586703.8699999</v>
      </c>
      <c r="G431">
        <f>IFERROR([1]!s_stm07_is_104($A431,TEXT($B$1,"yyyy/mm/dd"),1),"")</f>
        <v>380263666.17000002</v>
      </c>
      <c r="H431">
        <f>IFERROR([1]!s_stm07_is_105($A431,TEXT($B$1,"yyyy/mm/dd"),1),"")</f>
        <v>79301858.120000005</v>
      </c>
      <c r="I431">
        <f>IFERROR([1]!s_stm07_is($A431,"W72946623",TEXT($B$1,"yyyy/mm/dd"),1),"")</f>
        <v>2733377352.0700002</v>
      </c>
      <c r="J431">
        <f>IFERROR([1]!s_stm07_is($A431,"W30028333",TEXT($B$1,"yyyy/mm/dd"),1),"")</f>
        <v>2287723584.2800002</v>
      </c>
      <c r="K431">
        <f>IFERROR([1]!s_stm07_cs($A431,"W77130581",TEXT($B$1,"yyyy/mm/dd"),1),"")</f>
        <v>4432801652.6499996</v>
      </c>
      <c r="L431">
        <f>IFERROR([1]!s_stm07_cs($A431,"W77745895",TEXT($B$1,"yyyy/mm/dd"),1),"")</f>
        <v>4833120571.4499998</v>
      </c>
      <c r="M431">
        <f>IFERROR([1]!S_FA_EPS_basic2($A431,$B$1,"Cur=CNY"),"")</f>
        <v>0.33</v>
      </c>
      <c r="N431">
        <f>IFERROR([1]!s_fa_arturndays($A431,TEXT($B$1,"yyyy/mm/dd")),"")</f>
        <v>88.194199999999995</v>
      </c>
      <c r="O431" t="str">
        <f>IFERROR([1]!fa_apturndays($A431,TEXT($B$1,"yyyy/mm/dd")),"")</f>
        <v>Fetch...</v>
      </c>
      <c r="P431">
        <f>IFERROR([1]!s_fa_invturndays($A431,TEXT($B$1,"yyyy/mm/dd")),"")</f>
        <v>54.228299999999997</v>
      </c>
    </row>
    <row r="432" spans="1:16">
      <c r="A432" t="s">
        <v>445</v>
      </c>
      <c r="B432">
        <f>IFERROR([1]!s_stm07_is($A432,"W70156729",TEXT($B$1,"yyyy/mm/dd"),1),"")</f>
        <v>25987541896.57</v>
      </c>
      <c r="C432">
        <f>IFERROR([1]!s_stm07_is($A432,"W75682424",TEXT($B$1,"yyyy/mm/dd"),1),"")</f>
        <v>20501861849.09</v>
      </c>
      <c r="D432">
        <f>IFERROR([1]!s_stm07_is($A432,"W76031679",TEXT($B$1,"yyyy/mm/dd"),1),"")</f>
        <v>383058036</v>
      </c>
      <c r="E432">
        <f>IFERROR([1]!s_stm07_is($A432,"W70752487",TEXT($B$1,"yyyy/mm/dd"),1),"")</f>
        <v>1334252186.8699999</v>
      </c>
      <c r="F432">
        <f>IFERROR([1]!s_stm07_is_103($A432,TEXT($B$1,"yyyy/mm/dd"),1),"")</f>
        <v>1134006204.3</v>
      </c>
      <c r="G432">
        <f>IFERROR([1]!s_stm07_is_104($A432,TEXT($B$1,"yyyy/mm/dd"),1),"")</f>
        <v>574159494.27999997</v>
      </c>
      <c r="H432">
        <f>IFERROR([1]!s_stm07_is_105($A432,TEXT($B$1,"yyyy/mm/dd"),1),"")</f>
        <v>154337750.31</v>
      </c>
      <c r="I432">
        <f>IFERROR([1]!s_stm07_is($A432,"W72946623",TEXT($B$1,"yyyy/mm/dd"),1),"")</f>
        <v>1577984393.6300001</v>
      </c>
      <c r="J432">
        <f>IFERROR([1]!s_stm07_is($A432,"W30028333",TEXT($B$1,"yyyy/mm/dd"),1),"")</f>
        <v>1244565890.8800001</v>
      </c>
      <c r="K432">
        <f>IFERROR([1]!s_stm07_cs($A432,"W77130581",TEXT($B$1,"yyyy/mm/dd"),1),"")</f>
        <v>3966009505.1199999</v>
      </c>
      <c r="L432">
        <f>IFERROR([1]!s_stm07_cs($A432,"W77745895",TEXT($B$1,"yyyy/mm/dd"),1),"")</f>
        <v>1903231022.0899999</v>
      </c>
      <c r="M432">
        <f>IFERROR([1]!S_FA_EPS_basic2($A432,$B$1,"Cur=CNY"),"")</f>
        <v>0.52</v>
      </c>
      <c r="N432">
        <f>IFERROR([1]!s_fa_arturndays($A432,TEXT($B$1,"yyyy/mm/dd")),"")</f>
        <v>48.185000000000002</v>
      </c>
      <c r="O432" t="str">
        <f>IFERROR([1]!fa_apturndays($A432,TEXT($B$1,"yyyy/mm/dd")),"")</f>
        <v>Fetch...</v>
      </c>
      <c r="P432">
        <f>IFERROR([1]!s_fa_invturndays($A432,TEXT($B$1,"yyyy/mm/dd")),"")</f>
        <v>130.67150000000001</v>
      </c>
    </row>
    <row r="433" spans="1:16">
      <c r="A433" t="s">
        <v>446</v>
      </c>
      <c r="B433">
        <f>IFERROR([1]!s_stm07_is($A433,"W70156729",TEXT($B$1,"yyyy/mm/dd"),1),"")</f>
        <v>7830737438.7399998</v>
      </c>
      <c r="C433">
        <f>IFERROR([1]!s_stm07_is($A433,"W75682424",TEXT($B$1,"yyyy/mm/dd"),1),"")</f>
        <v>2797410173.75</v>
      </c>
      <c r="D433">
        <f>IFERROR([1]!s_stm07_is($A433,"W76031679",TEXT($B$1,"yyyy/mm/dd"),1),"")</f>
        <v>1964277744.97</v>
      </c>
      <c r="E433">
        <f>IFERROR([1]!s_stm07_is($A433,"W70752487",TEXT($B$1,"yyyy/mm/dd"),1),"")</f>
        <v>535049702.01999998</v>
      </c>
      <c r="F433">
        <f>IFERROR([1]!s_stm07_is_103($A433,TEXT($B$1,"yyyy/mm/dd"),1),"")</f>
        <v>718253979.75</v>
      </c>
      <c r="G433">
        <f>IFERROR([1]!s_stm07_is_104($A433,TEXT($B$1,"yyyy/mm/dd"),1),"")</f>
        <v>1063403.55</v>
      </c>
      <c r="H433">
        <f>IFERROR([1]!s_stm07_is_105($A433,TEXT($B$1,"yyyy/mm/dd"),1),"")</f>
        <v>6514643.4699999997</v>
      </c>
      <c r="I433">
        <f>IFERROR([1]!s_stm07_is($A433,"W72946623",TEXT($B$1,"yyyy/mm/dd"),1),"")</f>
        <v>1591610902.0799999</v>
      </c>
      <c r="J433">
        <f>IFERROR([1]!s_stm07_is($A433,"W30028333",TEXT($B$1,"yyyy/mm/dd"),1),"")</f>
        <v>1286478662.6700001</v>
      </c>
      <c r="K433">
        <f>IFERROR([1]!s_stm07_cs($A433,"W77130581",TEXT($B$1,"yyyy/mm/dd"),1),"")</f>
        <v>1776508378.47</v>
      </c>
      <c r="L433">
        <f>IFERROR([1]!s_stm07_cs($A433,"W77745895",TEXT($B$1,"yyyy/mm/dd"),1),"")</f>
        <v>245617151.13999999</v>
      </c>
      <c r="M433">
        <f>IFERROR([1]!S_FA_EPS_basic2($A433,$B$1,"Cur=CNY"),"")</f>
        <v>0.77</v>
      </c>
      <c r="N433">
        <f>IFERROR([1]!s_fa_arturndays($A433,TEXT($B$1,"yyyy/mm/dd")),"")</f>
        <v>56.414000000000001</v>
      </c>
      <c r="O433" t="str">
        <f>IFERROR([1]!fa_apturndays($A433,TEXT($B$1,"yyyy/mm/dd")),"")</f>
        <v>Fetch...</v>
      </c>
      <c r="P433">
        <f>IFERROR([1]!s_fa_invturndays($A433,TEXT($B$1,"yyyy/mm/dd")),"")</f>
        <v>208.15260000000001</v>
      </c>
    </row>
    <row r="434" spans="1:16">
      <c r="A434" t="s">
        <v>447</v>
      </c>
      <c r="B434">
        <f>IFERROR([1]!s_stm07_is($A434,"W70156729",TEXT($B$1,"yyyy/mm/dd"),1),"")</f>
        <v>2688948513.6500001</v>
      </c>
      <c r="C434">
        <f>IFERROR([1]!s_stm07_is($A434,"W75682424",TEXT($B$1,"yyyy/mm/dd"),1),"")</f>
        <v>1518166687.4300001</v>
      </c>
      <c r="D434">
        <f>IFERROR([1]!s_stm07_is($A434,"W76031679",TEXT($B$1,"yyyy/mm/dd"),1),"")</f>
        <v>162661334.97999999</v>
      </c>
      <c r="E434">
        <f>IFERROR([1]!s_stm07_is($A434,"W70752487",TEXT($B$1,"yyyy/mm/dd"),1),"")</f>
        <v>247783562.58000001</v>
      </c>
      <c r="F434">
        <f>IFERROR([1]!s_stm07_is_103($A434,TEXT($B$1,"yyyy/mm/dd"),1),"")</f>
        <v>160777661</v>
      </c>
      <c r="G434">
        <f>IFERROR([1]!s_stm07_is_104($A434,TEXT($B$1,"yyyy/mm/dd"),1),"")</f>
        <v>35563766.969999999</v>
      </c>
      <c r="H434">
        <f>IFERROR([1]!s_stm07_is_105($A434,TEXT($B$1,"yyyy/mm/dd"),1),"")</f>
        <v>6380590.0599999996</v>
      </c>
      <c r="I434">
        <f>IFERROR([1]!s_stm07_is($A434,"W72946623",TEXT($B$1,"yyyy/mm/dd"),1),"")</f>
        <v>570596464.70000005</v>
      </c>
      <c r="J434">
        <f>IFERROR([1]!s_stm07_is($A434,"W30028333",TEXT($B$1,"yyyy/mm/dd"),1),"")</f>
        <v>467130452.89999998</v>
      </c>
      <c r="K434">
        <f>IFERROR([1]!s_stm07_cs($A434,"W77130581",TEXT($B$1,"yyyy/mm/dd"),1),"")</f>
        <v>494742610.64999998</v>
      </c>
      <c r="L434">
        <f>IFERROR([1]!s_stm07_cs($A434,"W77745895",TEXT($B$1,"yyyy/mm/dd"),1),"")</f>
        <v>186292069.58000001</v>
      </c>
      <c r="M434">
        <f>IFERROR([1]!S_FA_EPS_basic2($A434,$B$1,"Cur=CNY"),"")</f>
        <v>1.1220000000000001</v>
      </c>
      <c r="N434">
        <f>IFERROR([1]!s_fa_arturndays($A434,TEXT($B$1,"yyyy/mm/dd")),"")</f>
        <v>56.616199999999999</v>
      </c>
      <c r="O434" t="str">
        <f>IFERROR([1]!fa_apturndays($A434,TEXT($B$1,"yyyy/mm/dd")),"")</f>
        <v>Fetch...</v>
      </c>
      <c r="P434">
        <f>IFERROR([1]!s_fa_invturndays($A434,TEXT($B$1,"yyyy/mm/dd")),"")</f>
        <v>110.79989999999999</v>
      </c>
    </row>
    <row r="435" spans="1:16">
      <c r="A435" t="s">
        <v>448</v>
      </c>
      <c r="B435">
        <f>IFERROR([1]!s_stm07_is($A435,"W70156729",TEXT($B$1,"yyyy/mm/dd"),1),"")</f>
        <v>2236931867.0799999</v>
      </c>
      <c r="C435">
        <f>IFERROR([1]!s_stm07_is($A435,"W75682424",TEXT($B$1,"yyyy/mm/dd"),1),"")</f>
        <v>901487964.83000004</v>
      </c>
      <c r="D435">
        <f>IFERROR([1]!s_stm07_is($A435,"W76031679",TEXT($B$1,"yyyy/mm/dd"),1),"")</f>
        <v>493638143.97000003</v>
      </c>
      <c r="E435">
        <f>IFERROR([1]!s_stm07_is($A435,"W70752487",TEXT($B$1,"yyyy/mm/dd"),1),"")</f>
        <v>336083367.44</v>
      </c>
      <c r="F435">
        <f>IFERROR([1]!s_stm07_is_103($A435,TEXT($B$1,"yyyy/mm/dd"),1),"")</f>
        <v>181990892.58000001</v>
      </c>
      <c r="G435">
        <f>IFERROR([1]!s_stm07_is_104($A435,TEXT($B$1,"yyyy/mm/dd"),1),"")</f>
        <v>132246868.7</v>
      </c>
      <c r="H435">
        <f>IFERROR([1]!s_stm07_is_105($A435,TEXT($B$1,"yyyy/mm/dd"),1),"")</f>
        <v>182296.55</v>
      </c>
      <c r="I435">
        <f>IFERROR([1]!s_stm07_is($A435,"W72946623",TEXT($B$1,"yyyy/mm/dd"),1),"")</f>
        <v>93051954.349999994</v>
      </c>
      <c r="J435">
        <f>IFERROR([1]!s_stm07_is($A435,"W30028333",TEXT($B$1,"yyyy/mm/dd"),1),"")</f>
        <v>48891366.060000002</v>
      </c>
      <c r="K435">
        <f>IFERROR([1]!s_stm07_cs($A435,"W77130581",TEXT($B$1,"yyyy/mm/dd"),1),"")</f>
        <v>422591382.72000003</v>
      </c>
      <c r="L435">
        <f>IFERROR([1]!s_stm07_cs($A435,"W77745895",TEXT($B$1,"yyyy/mm/dd"),1),"")</f>
        <v>42127800</v>
      </c>
      <c r="M435">
        <f>IFERROR([1]!S_FA_EPS_basic2($A435,$B$1,"Cur=CNY"),"")</f>
        <v>0.01</v>
      </c>
      <c r="N435">
        <f>IFERROR([1]!s_fa_arturndays($A435,TEXT($B$1,"yyyy/mm/dd")),"")</f>
        <v>3.3988</v>
      </c>
      <c r="O435" t="str">
        <f>IFERROR([1]!fa_apturndays($A435,TEXT($B$1,"yyyy/mm/dd")),"")</f>
        <v>Fetch...</v>
      </c>
      <c r="P435">
        <f>IFERROR([1]!s_fa_invturndays($A435,TEXT($B$1,"yyyy/mm/dd")),"")</f>
        <v>0</v>
      </c>
    </row>
    <row r="436" spans="1:16">
      <c r="A436" t="s">
        <v>449</v>
      </c>
      <c r="B436">
        <f>IFERROR([1]!s_stm07_is($A436,"W70156729",TEXT($B$1,"yyyy/mm/dd"),1),"")</f>
        <v>35531209751.470001</v>
      </c>
      <c r="C436">
        <f>IFERROR([1]!s_stm07_is($A436,"W75682424",TEXT($B$1,"yyyy/mm/dd"),1),"")</f>
        <v>29893743585.110001</v>
      </c>
      <c r="D436">
        <f>IFERROR([1]!s_stm07_is($A436,"W76031679",TEXT($B$1,"yyyy/mm/dd"),1),"")</f>
        <v>39666198.109999999</v>
      </c>
      <c r="E436">
        <f>IFERROR([1]!s_stm07_is($A436,"W70752487",TEXT($B$1,"yyyy/mm/dd"),1),"")</f>
        <v>1112297951.5899999</v>
      </c>
      <c r="F436">
        <f>IFERROR([1]!s_stm07_is_103($A436,TEXT($B$1,"yyyy/mm/dd"),1),"")</f>
        <v>72018150.329999998</v>
      </c>
      <c r="G436">
        <f>IFERROR([1]!s_stm07_is_104($A436,TEXT($B$1,"yyyy/mm/dd"),1),"")</f>
        <v>839125638.62</v>
      </c>
      <c r="H436">
        <f>IFERROR([1]!s_stm07_is_105($A436,TEXT($B$1,"yyyy/mm/dd"),1),"")</f>
        <v>69764083.239999995</v>
      </c>
      <c r="I436">
        <f>IFERROR([1]!s_stm07_is($A436,"W72946623",TEXT($B$1,"yyyy/mm/dd"),1),"")</f>
        <v>5499541495.1700001</v>
      </c>
      <c r="J436">
        <f>IFERROR([1]!s_stm07_is($A436,"W30028333",TEXT($B$1,"yyyy/mm/dd"),1),"")</f>
        <v>3465097717.5599999</v>
      </c>
      <c r="K436">
        <f>IFERROR([1]!s_stm07_cs($A436,"W77130581",TEXT($B$1,"yyyy/mm/dd"),1),"")</f>
        <v>6423245683.9499998</v>
      </c>
      <c r="L436">
        <f>IFERROR([1]!s_stm07_cs($A436,"W77745895",TEXT($B$1,"yyyy/mm/dd"),1),"")</f>
        <v>6744904666.0799999</v>
      </c>
      <c r="M436">
        <f>IFERROR([1]!S_FA_EPS_basic2($A436,$B$1,"Cur=CNY"),"")</f>
        <v>0.91720000000000002</v>
      </c>
      <c r="N436">
        <f>IFERROR([1]!s_fa_arturndays($A436,TEXT($B$1,"yyyy/mm/dd")),"")</f>
        <v>36.781199999999998</v>
      </c>
      <c r="O436" t="str">
        <f>IFERROR([1]!fa_apturndays($A436,TEXT($B$1,"yyyy/mm/dd")),"")</f>
        <v>Fetch...</v>
      </c>
      <c r="P436">
        <f>IFERROR([1]!s_fa_invturndays($A436,TEXT($B$1,"yyyy/mm/dd")),"")</f>
        <v>26.598500000000001</v>
      </c>
    </row>
    <row r="437" spans="1:16">
      <c r="A437" t="s">
        <v>450</v>
      </c>
      <c r="B437">
        <f>IFERROR([1]!s_stm07_is($A437,"W70156729",TEXT($B$1,"yyyy/mm/dd"),1),"")</f>
        <v>5228536554.75</v>
      </c>
      <c r="C437">
        <f>IFERROR([1]!s_stm07_is($A437,"W75682424",TEXT($B$1,"yyyy/mm/dd"),1),"")</f>
        <v>3797940497.4200001</v>
      </c>
      <c r="D437">
        <f>IFERROR([1]!s_stm07_is($A437,"W76031679",TEXT($B$1,"yyyy/mm/dd"),1),"")</f>
        <v>179857242.47999999</v>
      </c>
      <c r="E437">
        <f>IFERROR([1]!s_stm07_is($A437,"W70752487",TEXT($B$1,"yyyy/mm/dd"),1),"")</f>
        <v>390410185.18000001</v>
      </c>
      <c r="F437">
        <f>IFERROR([1]!s_stm07_is_103($A437,TEXT($B$1,"yyyy/mm/dd"),1),"")</f>
        <v>98382572.859999999</v>
      </c>
      <c r="G437">
        <f>IFERROR([1]!s_stm07_is_104($A437,TEXT($B$1,"yyyy/mm/dd"),1),"")</f>
        <v>12261047.1</v>
      </c>
      <c r="H437">
        <f>IFERROR([1]!s_stm07_is_105($A437,TEXT($B$1,"yyyy/mm/dd"),1),"")</f>
        <v>55024311.030000001</v>
      </c>
      <c r="I437">
        <f>IFERROR([1]!s_stm07_is($A437,"W72946623",TEXT($B$1,"yyyy/mm/dd"),1),"")</f>
        <v>956595047.09000003</v>
      </c>
      <c r="J437">
        <f>IFERROR([1]!s_stm07_is($A437,"W30028333",TEXT($B$1,"yyyy/mm/dd"),1),"")</f>
        <v>725259219.97000003</v>
      </c>
      <c r="K437">
        <f>IFERROR([1]!s_stm07_cs($A437,"W77130581",TEXT($B$1,"yyyy/mm/dd"),1),"")</f>
        <v>874214350.60000002</v>
      </c>
      <c r="L437">
        <f>IFERROR([1]!s_stm07_cs($A437,"W77745895",TEXT($B$1,"yyyy/mm/dd"),1),"")</f>
        <v>210084056.13999999</v>
      </c>
      <c r="M437">
        <f>IFERROR([1]!S_FA_EPS_basic2($A437,$B$1,"Cur=CNY"),"")</f>
        <v>0.61</v>
      </c>
      <c r="N437">
        <f>IFERROR([1]!s_fa_arturndays($A437,TEXT($B$1,"yyyy/mm/dd")),"")</f>
        <v>58.451999999999998</v>
      </c>
      <c r="O437" t="str">
        <f>IFERROR([1]!fa_apturndays($A437,TEXT($B$1,"yyyy/mm/dd")),"")</f>
        <v>Fetch...</v>
      </c>
      <c r="P437">
        <f>IFERROR([1]!s_fa_invturndays($A437,TEXT($B$1,"yyyy/mm/dd")),"")</f>
        <v>107.4851</v>
      </c>
    </row>
    <row r="438" spans="1:16">
      <c r="A438" t="s">
        <v>451</v>
      </c>
      <c r="B438">
        <f>IFERROR([1]!s_stm07_is($A438,"W70156729",TEXT($B$1,"yyyy/mm/dd"),1),"")</f>
        <v>6002717304.75</v>
      </c>
      <c r="C438">
        <f>IFERROR([1]!s_stm07_is($A438,"W75682424",TEXT($B$1,"yyyy/mm/dd"),1),"")</f>
        <v>2422338161.9699998</v>
      </c>
      <c r="D438">
        <f>IFERROR([1]!s_stm07_is($A438,"W76031679",TEXT($B$1,"yyyy/mm/dd"),1),"")</f>
        <v>2436748933.4699998</v>
      </c>
      <c r="E438">
        <f>IFERROR([1]!s_stm07_is($A438,"W70752487",TEXT($B$1,"yyyy/mm/dd"),1),"")</f>
        <v>502568257.22000003</v>
      </c>
      <c r="F438">
        <f>IFERROR([1]!s_stm07_is_103($A438,TEXT($B$1,"yyyy/mm/dd"),1),"")</f>
        <v>103101902.67</v>
      </c>
      <c r="G438">
        <f>IFERROR([1]!s_stm07_is_104($A438,TEXT($B$1,"yyyy/mm/dd"),1),"")</f>
        <v>82705333.75</v>
      </c>
      <c r="H438">
        <f>IFERROR([1]!s_stm07_is_105($A438,TEXT($B$1,"yyyy/mm/dd"),1),"")</f>
        <v>6092104.8200000003</v>
      </c>
      <c r="I438">
        <f>IFERROR([1]!s_stm07_is($A438,"W72946623",TEXT($B$1,"yyyy/mm/dd"),1),"")</f>
        <v>1278285060.9200001</v>
      </c>
      <c r="J438">
        <f>IFERROR([1]!s_stm07_is($A438,"W30028333",TEXT($B$1,"yyyy/mm/dd"),1),"")</f>
        <v>999285328.14999998</v>
      </c>
      <c r="K438">
        <f>IFERROR([1]!s_stm07_cs($A438,"W77130581",TEXT($B$1,"yyyy/mm/dd"),1),"")</f>
        <v>445196403.92000002</v>
      </c>
      <c r="L438">
        <f>IFERROR([1]!s_stm07_cs($A438,"W77745895",TEXT($B$1,"yyyy/mm/dd"),1),"")</f>
        <v>105421443.56</v>
      </c>
      <c r="M438">
        <f>IFERROR([1]!S_FA_EPS_basic2($A438,$B$1,"Cur=CNY"),"")</f>
        <v>2.2585999999999999</v>
      </c>
      <c r="N438">
        <f>IFERROR([1]!s_fa_arturndays($A438,TEXT($B$1,"yyyy/mm/dd")),"")</f>
        <v>9.6199999999999992</v>
      </c>
      <c r="O438" t="str">
        <f>IFERROR([1]!fa_apturndays($A438,TEXT($B$1,"yyyy/mm/dd")),"")</f>
        <v>Fetch...</v>
      </c>
      <c r="P438">
        <f>IFERROR([1]!s_fa_invturndays($A438,TEXT($B$1,"yyyy/mm/dd")),"")</f>
        <v>177.78659999999999</v>
      </c>
    </row>
    <row r="439" spans="1:16">
      <c r="A439" t="s">
        <v>452</v>
      </c>
      <c r="B439">
        <f>IFERROR([1]!s_stm07_is($A439,"W70156729",TEXT($B$1,"yyyy/mm/dd"),1),"")</f>
        <v>3672114672.3200002</v>
      </c>
      <c r="C439">
        <f>IFERROR([1]!s_stm07_is($A439,"W75682424",TEXT($B$1,"yyyy/mm/dd"),1),"")</f>
        <v>2867174970.3699999</v>
      </c>
      <c r="D439">
        <f>IFERROR([1]!s_stm07_is($A439,"W76031679",TEXT($B$1,"yyyy/mm/dd"),1),"")</f>
        <v>21839756.350000001</v>
      </c>
      <c r="E439">
        <f>IFERROR([1]!s_stm07_is($A439,"W70752487",TEXT($B$1,"yyyy/mm/dd"),1),"")</f>
        <v>204278852.84</v>
      </c>
      <c r="F439">
        <f>IFERROR([1]!s_stm07_is_103($A439,TEXT($B$1,"yyyy/mm/dd"),1),"")</f>
        <v>100796743.06999999</v>
      </c>
      <c r="G439">
        <f>IFERROR([1]!s_stm07_is_104($A439,TEXT($B$1,"yyyy/mm/dd"),1),"")</f>
        <v>135819855.16999999</v>
      </c>
      <c r="H439">
        <f>IFERROR([1]!s_stm07_is_105($A439,TEXT($B$1,"yyyy/mm/dd"),1),"")</f>
        <v>5943990.4100000001</v>
      </c>
      <c r="I439">
        <f>IFERROR([1]!s_stm07_is($A439,"W72946623",TEXT($B$1,"yyyy/mm/dd"),1),"")</f>
        <v>238430605.78999999</v>
      </c>
      <c r="J439">
        <f>IFERROR([1]!s_stm07_is($A439,"W30028333",TEXT($B$1,"yyyy/mm/dd"),1),"")</f>
        <v>212032204.24000001</v>
      </c>
      <c r="K439">
        <f>IFERROR([1]!s_stm07_cs($A439,"W77130581",TEXT($B$1,"yyyy/mm/dd"),1),"")</f>
        <v>220572505.28999999</v>
      </c>
      <c r="L439">
        <f>IFERROR([1]!s_stm07_cs($A439,"W77745895",TEXT($B$1,"yyyy/mm/dd"),1),"")</f>
        <v>69966602.010000005</v>
      </c>
      <c r="M439">
        <f>IFERROR([1]!S_FA_EPS_basic2($A439,$B$1,"Cur=CNY"),"")</f>
        <v>0.1105</v>
      </c>
      <c r="N439">
        <f>IFERROR([1]!s_fa_arturndays($A439,TEXT($B$1,"yyyy/mm/dd")),"")</f>
        <v>237.1542</v>
      </c>
      <c r="O439" t="str">
        <f>IFERROR([1]!fa_apturndays($A439,TEXT($B$1,"yyyy/mm/dd")),"")</f>
        <v>Fetch...</v>
      </c>
      <c r="P439">
        <f>IFERROR([1]!s_fa_invturndays($A439,TEXT($B$1,"yyyy/mm/dd")),"")</f>
        <v>47.9495</v>
      </c>
    </row>
    <row r="440" spans="1:16">
      <c r="A440" t="s">
        <v>453</v>
      </c>
      <c r="B440">
        <f>IFERROR([1]!s_stm07_is($A440,"W70156729",TEXT($B$1,"yyyy/mm/dd"),1),"")</f>
        <v>6659558521.6400003</v>
      </c>
      <c r="C440">
        <f>IFERROR([1]!s_stm07_is($A440,"W75682424",TEXT($B$1,"yyyy/mm/dd"),1),"")</f>
        <v>2645423354.0500002</v>
      </c>
      <c r="D440">
        <f>IFERROR([1]!s_stm07_is($A440,"W76031679",TEXT($B$1,"yyyy/mm/dd"),1),"")</f>
        <v>665042344.97000003</v>
      </c>
      <c r="E440">
        <f>IFERROR([1]!s_stm07_is($A440,"W70752487",TEXT($B$1,"yyyy/mm/dd"),1),"")</f>
        <v>679597983.51999998</v>
      </c>
      <c r="F440">
        <f>IFERROR([1]!s_stm07_is_103($A440,TEXT($B$1,"yyyy/mm/dd"),1),"")</f>
        <v>1624746291.9000001</v>
      </c>
      <c r="G440">
        <f>IFERROR([1]!s_stm07_is_104($A440,TEXT($B$1,"yyyy/mm/dd"),1),"")</f>
        <v>24178490.77</v>
      </c>
      <c r="H440">
        <f>IFERROR([1]!s_stm07_is_105($A440,TEXT($B$1,"yyyy/mm/dd"),1),"")</f>
        <v>95119154.170000002</v>
      </c>
      <c r="I440">
        <f>IFERROR([1]!s_stm07_is($A440,"W72946623",TEXT($B$1,"yyyy/mm/dd"),1),"")</f>
        <v>979893781.12</v>
      </c>
      <c r="J440">
        <f>IFERROR([1]!s_stm07_is($A440,"W30028333",TEXT($B$1,"yyyy/mm/dd"),1),"")</f>
        <v>730859018.91999996</v>
      </c>
      <c r="K440">
        <f>IFERROR([1]!s_stm07_cs($A440,"W77130581",TEXT($B$1,"yyyy/mm/dd"),1),"")</f>
        <v>1092917358.25</v>
      </c>
      <c r="L440">
        <f>IFERROR([1]!s_stm07_cs($A440,"W77745895",TEXT($B$1,"yyyy/mm/dd"),1),"")</f>
        <v>293604261.26999998</v>
      </c>
      <c r="M440">
        <f>IFERROR([1]!S_FA_EPS_basic2($A440,$B$1,"Cur=CNY"),"")</f>
        <v>0.39</v>
      </c>
      <c r="N440">
        <f>IFERROR([1]!s_fa_arturndays($A440,TEXT($B$1,"yyyy/mm/dd")),"")</f>
        <v>31.673400000000001</v>
      </c>
      <c r="O440" t="str">
        <f>IFERROR([1]!fa_apturndays($A440,TEXT($B$1,"yyyy/mm/dd")),"")</f>
        <v>Fetch...</v>
      </c>
      <c r="P440">
        <f>IFERROR([1]!s_fa_invturndays($A440,TEXT($B$1,"yyyy/mm/dd")),"")</f>
        <v>202.2927</v>
      </c>
    </row>
    <row r="441" spans="1:16">
      <c r="A441" t="s">
        <v>454</v>
      </c>
      <c r="B441">
        <f>IFERROR([1]!s_stm07_is($A441,"W70156729",TEXT($B$1,"yyyy/mm/dd"),1),"")</f>
        <v>2045720515.9200001</v>
      </c>
      <c r="C441">
        <f>IFERROR([1]!s_stm07_is($A441,"W75682424",TEXT($B$1,"yyyy/mm/dd"),1),"")</f>
        <v>1043943347.46</v>
      </c>
      <c r="D441">
        <f>IFERROR([1]!s_stm07_is($A441,"W76031679",TEXT($B$1,"yyyy/mm/dd"),1),"")</f>
        <v>7971313.1399999997</v>
      </c>
      <c r="E441">
        <f>IFERROR([1]!s_stm07_is($A441,"W70752487",TEXT($B$1,"yyyy/mm/dd"),1),"")</f>
        <v>132672369.5</v>
      </c>
      <c r="F441">
        <f>IFERROR([1]!s_stm07_is_103($A441,TEXT($B$1,"yyyy/mm/dd"),1),"")</f>
        <v>135312076.36000001</v>
      </c>
      <c r="G441">
        <f>IFERROR([1]!s_stm07_is_104($A441,TEXT($B$1,"yyyy/mm/dd"),1),"")</f>
        <v>0</v>
      </c>
      <c r="H441">
        <f>IFERROR([1]!s_stm07_is_105($A441,TEXT($B$1,"yyyy/mm/dd"),1),"")</f>
        <v>109971229.92</v>
      </c>
      <c r="I441">
        <f>IFERROR([1]!s_stm07_is($A441,"W72946623",TEXT($B$1,"yyyy/mm/dd"),1),"")</f>
        <v>810396097.88999999</v>
      </c>
      <c r="J441">
        <f>IFERROR([1]!s_stm07_is($A441,"W30028333",TEXT($B$1,"yyyy/mm/dd"),1),"")</f>
        <v>686946947.26999998</v>
      </c>
      <c r="K441">
        <f>IFERROR([1]!s_stm07_cs($A441,"W77130581",TEXT($B$1,"yyyy/mm/dd"),1),"")</f>
        <v>808381289.60000002</v>
      </c>
      <c r="L441">
        <f>IFERROR([1]!s_stm07_cs($A441,"W77745895",TEXT($B$1,"yyyy/mm/dd"),1),"")</f>
        <v>648785837.52999997</v>
      </c>
      <c r="M441">
        <f>IFERROR([1]!S_FA_EPS_basic2($A441,$B$1,"Cur=CNY"),"")</f>
        <v>0.32</v>
      </c>
      <c r="N441">
        <f>IFERROR([1]!s_fa_arturndays($A441,TEXT($B$1,"yyyy/mm/dd")),"")</f>
        <v>383.7953</v>
      </c>
      <c r="O441" t="str">
        <f>IFERROR([1]!fa_apturndays($A441,TEXT($B$1,"yyyy/mm/dd")),"")</f>
        <v>Fetch...</v>
      </c>
      <c r="P441">
        <f>IFERROR([1]!s_fa_invturndays($A441,TEXT($B$1,"yyyy/mm/dd")),"")</f>
        <v>156.07390000000001</v>
      </c>
    </row>
    <row r="442" spans="1:16">
      <c r="A442" t="s">
        <v>455</v>
      </c>
      <c r="B442">
        <f>IFERROR([1]!s_stm07_is($A442,"W70156729",TEXT($B$1,"yyyy/mm/dd"),1),"")</f>
        <v>3365369208.0999999</v>
      </c>
      <c r="C442">
        <f>IFERROR([1]!s_stm07_is($A442,"W75682424",TEXT($B$1,"yyyy/mm/dd"),1),"")</f>
        <v>2041067502.8</v>
      </c>
      <c r="D442">
        <f>IFERROR([1]!s_stm07_is($A442,"W76031679",TEXT($B$1,"yyyy/mm/dd"),1),"")</f>
        <v>332136857.13</v>
      </c>
      <c r="E442">
        <f>IFERROR([1]!s_stm07_is($A442,"W70752487",TEXT($B$1,"yyyy/mm/dd"),1),"")</f>
        <v>381781292.63999999</v>
      </c>
      <c r="F442">
        <f>IFERROR([1]!s_stm07_is_103($A442,TEXT($B$1,"yyyy/mm/dd"),1),"")</f>
        <v>75615162.25</v>
      </c>
      <c r="G442">
        <f>IFERROR([1]!s_stm07_is_104($A442,TEXT($B$1,"yyyy/mm/dd"),1),"")</f>
        <v>60067245.189999998</v>
      </c>
      <c r="H442">
        <f>IFERROR([1]!s_stm07_is_105($A442,TEXT($B$1,"yyyy/mm/dd"),1),"")</f>
        <v>58940028.219999999</v>
      </c>
      <c r="I442">
        <f>IFERROR([1]!s_stm07_is($A442,"W72946623",TEXT($B$1,"yyyy/mm/dd"),1),"")</f>
        <v>377734682.17000002</v>
      </c>
      <c r="J442">
        <f>IFERROR([1]!s_stm07_is($A442,"W30028333",TEXT($B$1,"yyyy/mm/dd"),1),"")</f>
        <v>339907380.11000001</v>
      </c>
      <c r="K442">
        <f>IFERROR([1]!s_stm07_cs($A442,"W77130581",TEXT($B$1,"yyyy/mm/dd"),1),"")</f>
        <v>556006430.44000006</v>
      </c>
      <c r="L442">
        <f>IFERROR([1]!s_stm07_cs($A442,"W77745895",TEXT($B$1,"yyyy/mm/dd"),1),"")</f>
        <v>229550837.59</v>
      </c>
      <c r="M442">
        <f>IFERROR([1]!S_FA_EPS_basic2($A442,$B$1,"Cur=CNY"),"")</f>
        <v>0.56000000000000005</v>
      </c>
      <c r="N442">
        <f>IFERROR([1]!s_fa_arturndays($A442,TEXT($B$1,"yyyy/mm/dd")),"")</f>
        <v>41.571899999999999</v>
      </c>
      <c r="O442" t="str">
        <f>IFERROR([1]!fa_apturndays($A442,TEXT($B$1,"yyyy/mm/dd")),"")</f>
        <v>Fetch...</v>
      </c>
      <c r="P442">
        <f>IFERROR([1]!s_fa_invturndays($A442,TEXT($B$1,"yyyy/mm/dd")),"")</f>
        <v>152.756</v>
      </c>
    </row>
    <row r="443" spans="1:16">
      <c r="A443" t="s">
        <v>456</v>
      </c>
      <c r="B443">
        <f>IFERROR([1]!s_stm07_is($A443,"W70156729",TEXT($B$1,"yyyy/mm/dd"),1),"")</f>
        <v>4749004330.8500004</v>
      </c>
      <c r="C443">
        <f>IFERROR([1]!s_stm07_is($A443,"W75682424",TEXT($B$1,"yyyy/mm/dd"),1),"")</f>
        <v>3781620846.5999999</v>
      </c>
      <c r="D443">
        <f>IFERROR([1]!s_stm07_is($A443,"W76031679",TEXT($B$1,"yyyy/mm/dd"),1),"")</f>
        <v>72011888.409999996</v>
      </c>
      <c r="E443">
        <f>IFERROR([1]!s_stm07_is($A443,"W70752487",TEXT($B$1,"yyyy/mm/dd"),1),"")</f>
        <v>371438908.98000002</v>
      </c>
      <c r="F443">
        <f>IFERROR([1]!s_stm07_is_103($A443,TEXT($B$1,"yyyy/mm/dd"),1),"")</f>
        <v>391010835.16000003</v>
      </c>
      <c r="G443">
        <f>IFERROR([1]!s_stm07_is_104($A443,TEXT($B$1,"yyyy/mm/dd"),1),"")</f>
        <v>20339596.16</v>
      </c>
      <c r="H443">
        <f>IFERROR([1]!s_stm07_is_105($A443,TEXT($B$1,"yyyy/mm/dd"),1),"")</f>
        <v>14103278.960000001</v>
      </c>
      <c r="I443">
        <f>IFERROR([1]!s_stm07_is($A443,"W72946623",TEXT($B$1,"yyyy/mm/dd"),1),"")</f>
        <v>101674778.26000001</v>
      </c>
      <c r="J443">
        <f>IFERROR([1]!s_stm07_is($A443,"W30028333",TEXT($B$1,"yyyy/mm/dd"),1),"")</f>
        <v>111212669.41</v>
      </c>
      <c r="K443">
        <f>IFERROR([1]!s_stm07_cs($A443,"W77130581",TEXT($B$1,"yyyy/mm/dd"),1),"")</f>
        <v>745371616.45000005</v>
      </c>
      <c r="L443">
        <f>IFERROR([1]!s_stm07_cs($A443,"W77745895",TEXT($B$1,"yyyy/mm/dd"),1),"")</f>
        <v>374040024.91000003</v>
      </c>
      <c r="M443">
        <f>IFERROR([1]!S_FA_EPS_basic2($A443,$B$1,"Cur=CNY"),"")</f>
        <v>0.17</v>
      </c>
      <c r="N443">
        <f>IFERROR([1]!s_fa_arturndays($A443,TEXT($B$1,"yyyy/mm/dd")),"")</f>
        <v>101.99460000000001</v>
      </c>
      <c r="O443" t="str">
        <f>IFERROR([1]!fa_apturndays($A443,TEXT($B$1,"yyyy/mm/dd")),"")</f>
        <v>Fetch...</v>
      </c>
      <c r="P443">
        <f>IFERROR([1]!s_fa_invturndays($A443,TEXT($B$1,"yyyy/mm/dd")),"")</f>
        <v>55.332700000000003</v>
      </c>
    </row>
    <row r="444" spans="1:16">
      <c r="A444" t="s">
        <v>457</v>
      </c>
      <c r="B444">
        <f>IFERROR([1]!s_stm07_is($A444,"W70156729",TEXT($B$1,"yyyy/mm/dd"),1),"")</f>
        <v>3716627622.02</v>
      </c>
      <c r="C444">
        <f>IFERROR([1]!s_stm07_is($A444,"W75682424",TEXT($B$1,"yyyy/mm/dd"),1),"")</f>
        <v>2246310468.7600002</v>
      </c>
      <c r="D444">
        <f>IFERROR([1]!s_stm07_is($A444,"W76031679",TEXT($B$1,"yyyy/mm/dd"),1),"")</f>
        <v>119700928.31</v>
      </c>
      <c r="E444">
        <f>IFERROR([1]!s_stm07_is($A444,"W70752487",TEXT($B$1,"yyyy/mm/dd"),1),"")</f>
        <v>367775187.75999999</v>
      </c>
      <c r="F444">
        <f>IFERROR([1]!s_stm07_is_103($A444,TEXT($B$1,"yyyy/mm/dd"),1),"")</f>
        <v>438553917.13999999</v>
      </c>
      <c r="G444">
        <f>IFERROR([1]!s_stm07_is_104($A444,TEXT($B$1,"yyyy/mm/dd"),1),"")</f>
        <v>21065552.870000001</v>
      </c>
      <c r="H444">
        <f>IFERROR([1]!s_stm07_is_105($A444,TEXT($B$1,"yyyy/mm/dd"),1),"")</f>
        <v>19245705.510000002</v>
      </c>
      <c r="I444">
        <f>IFERROR([1]!s_stm07_is($A444,"W72946623",TEXT($B$1,"yyyy/mm/dd"),1),"")</f>
        <v>394505727.24000001</v>
      </c>
      <c r="J444">
        <f>IFERROR([1]!s_stm07_is($A444,"W30028333",TEXT($B$1,"yyyy/mm/dd"),1),"")</f>
        <v>284480463.88999999</v>
      </c>
      <c r="K444">
        <f>IFERROR([1]!s_stm07_cs($A444,"W77130581",TEXT($B$1,"yyyy/mm/dd"),1),"")</f>
        <v>1089888714.8599999</v>
      </c>
      <c r="L444">
        <f>IFERROR([1]!s_stm07_cs($A444,"W77745895",TEXT($B$1,"yyyy/mm/dd"),1),"")</f>
        <v>693516162.07000005</v>
      </c>
      <c r="M444">
        <f>IFERROR([1]!S_FA_EPS_basic2($A444,$B$1,"Cur=CNY"),"")</f>
        <v>0.31</v>
      </c>
      <c r="N444">
        <f>IFERROR([1]!s_fa_arturndays($A444,TEXT($B$1,"yyyy/mm/dd")),"")</f>
        <v>52.414000000000001</v>
      </c>
      <c r="O444" t="str">
        <f>IFERROR([1]!fa_apturndays($A444,TEXT($B$1,"yyyy/mm/dd")),"")</f>
        <v>Fetch...</v>
      </c>
      <c r="P444">
        <f>IFERROR([1]!s_fa_invturndays($A444,TEXT($B$1,"yyyy/mm/dd")),"")</f>
        <v>283.97890000000001</v>
      </c>
    </row>
    <row r="445" spans="1:16">
      <c r="A445" t="s">
        <v>458</v>
      </c>
      <c r="B445">
        <f>IFERROR([1]!s_stm07_is($A445,"W70156729",TEXT($B$1,"yyyy/mm/dd"),1),"")</f>
        <v>46067886132.18</v>
      </c>
      <c r="C445">
        <f>IFERROR([1]!s_stm07_is($A445,"W75682424",TEXT($B$1,"yyyy/mm/dd"),1),"")</f>
        <v>35787928871.489998</v>
      </c>
      <c r="D445">
        <f>IFERROR([1]!s_stm07_is($A445,"W76031679",TEXT($B$1,"yyyy/mm/dd"),1),"")</f>
        <v>128023990.45999999</v>
      </c>
      <c r="E445">
        <f>IFERROR([1]!s_stm07_is($A445,"W70752487",TEXT($B$1,"yyyy/mm/dd"),1),"")</f>
        <v>522502341.04000002</v>
      </c>
      <c r="F445">
        <f>IFERROR([1]!s_stm07_is_103($A445,TEXT($B$1,"yyyy/mm/dd"),1),"")</f>
        <v>1655948797.3199999</v>
      </c>
      <c r="G445">
        <f>IFERROR([1]!s_stm07_is_104($A445,TEXT($B$1,"yyyy/mm/dd"),1),"")</f>
        <v>963511337.84000003</v>
      </c>
      <c r="H445">
        <f>IFERROR([1]!s_stm07_is_105($A445,TEXT($B$1,"yyyy/mm/dd"),1),"")</f>
        <v>227302601.16</v>
      </c>
      <c r="I445">
        <f>IFERROR([1]!s_stm07_is($A445,"W72946623",TEXT($B$1,"yyyy/mm/dd"),1),"")</f>
        <v>6065961948.0600004</v>
      </c>
      <c r="J445">
        <f>IFERROR([1]!s_stm07_is($A445,"W30028333",TEXT($B$1,"yyyy/mm/dd"),1),"")</f>
        <v>5310687058.7600002</v>
      </c>
      <c r="K445">
        <f>IFERROR([1]!s_stm07_cs($A445,"W77130581",TEXT($B$1,"yyyy/mm/dd"),1),"")</f>
        <v>9606885402.7600002</v>
      </c>
      <c r="L445">
        <f>IFERROR([1]!s_stm07_cs($A445,"W77745895",TEXT($B$1,"yyyy/mm/dd"),1),"")</f>
        <v>2659649731.1199999</v>
      </c>
      <c r="M445">
        <f>IFERROR([1]!S_FA_EPS_basic2($A445,$B$1,"Cur=CNY"),"")</f>
        <v>1.58</v>
      </c>
      <c r="N445">
        <f>IFERROR([1]!s_fa_arturndays($A445,TEXT($B$1,"yyyy/mm/dd")),"")</f>
        <v>5.8220000000000001</v>
      </c>
      <c r="O445" t="str">
        <f>IFERROR([1]!fa_apturndays($A445,TEXT($B$1,"yyyy/mm/dd")),"")</f>
        <v>Fetch...</v>
      </c>
      <c r="P445">
        <f>IFERROR([1]!s_fa_invturndays($A445,TEXT($B$1,"yyyy/mm/dd")),"")</f>
        <v>48.2697</v>
      </c>
    </row>
    <row r="446" spans="1:16">
      <c r="A446" t="s">
        <v>459</v>
      </c>
      <c r="B446">
        <f>IFERROR([1]!s_stm07_is($A446,"W70156729",TEXT($B$1,"yyyy/mm/dd"),1),"")</f>
        <v>6678437406.2299995</v>
      </c>
      <c r="C446">
        <f>IFERROR([1]!s_stm07_is($A446,"W75682424",TEXT($B$1,"yyyy/mm/dd"),1),"")</f>
        <v>5186594950.21</v>
      </c>
      <c r="D446">
        <f>IFERROR([1]!s_stm07_is($A446,"W76031679",TEXT($B$1,"yyyy/mm/dd"),1),"")</f>
        <v>211737354.18000001</v>
      </c>
      <c r="E446">
        <f>IFERROR([1]!s_stm07_is($A446,"W70752487",TEXT($B$1,"yyyy/mm/dd"),1),"")</f>
        <v>759051507.45000005</v>
      </c>
      <c r="F446">
        <f>IFERROR([1]!s_stm07_is_103($A446,TEXT($B$1,"yyyy/mm/dd"),1),"")</f>
        <v>292730965.88</v>
      </c>
      <c r="G446">
        <f>IFERROR([1]!s_stm07_is_104($A446,TEXT($B$1,"yyyy/mm/dd"),1),"")</f>
        <v>8997365.5</v>
      </c>
      <c r="H446">
        <f>IFERROR([1]!s_stm07_is_105($A446,TEXT($B$1,"yyyy/mm/dd"),1),"")</f>
        <v>23019390.48</v>
      </c>
      <c r="I446">
        <f>IFERROR([1]!s_stm07_is($A446,"W72946623",TEXT($B$1,"yyyy/mm/dd"),1),"")</f>
        <v>138103840.59</v>
      </c>
      <c r="J446">
        <f>IFERROR([1]!s_stm07_is($A446,"W30028333",TEXT($B$1,"yyyy/mm/dd"),1),"")</f>
        <v>104140052.44</v>
      </c>
      <c r="K446">
        <f>IFERROR([1]!s_stm07_cs($A446,"W77130581",TEXT($B$1,"yyyy/mm/dd"),1),"")</f>
        <v>303192697.27999997</v>
      </c>
      <c r="L446">
        <f>IFERROR([1]!s_stm07_cs($A446,"W77745895",TEXT($B$1,"yyyy/mm/dd"),1),"")</f>
        <v>27971538.140000001</v>
      </c>
      <c r="M446">
        <f>IFERROR([1]!S_FA_EPS_basic2($A446,$B$1,"Cur=CNY"),"")</f>
        <v>0.18</v>
      </c>
      <c r="N446">
        <f>IFERROR([1]!s_fa_arturndays($A446,TEXT($B$1,"yyyy/mm/dd")),"")</f>
        <v>100.6092</v>
      </c>
      <c r="O446" t="str">
        <f>IFERROR([1]!fa_apturndays($A446,TEXT($B$1,"yyyy/mm/dd")),"")</f>
        <v>Fetch...</v>
      </c>
      <c r="P446">
        <f>IFERROR([1]!s_fa_invturndays($A446,TEXT($B$1,"yyyy/mm/dd")),"")</f>
        <v>9.5520999999999994</v>
      </c>
    </row>
    <row r="447" spans="1:16">
      <c r="A447" t="s">
        <v>460</v>
      </c>
      <c r="B447">
        <f>IFERROR([1]!s_stm07_is($A447,"W70156729",TEXT($B$1,"yyyy/mm/dd"),1),"")</f>
        <v>728610083.75</v>
      </c>
      <c r="C447">
        <f>IFERROR([1]!s_stm07_is($A447,"W75682424",TEXT($B$1,"yyyy/mm/dd"),1),"")</f>
        <v>461593356.31999999</v>
      </c>
      <c r="D447">
        <f>IFERROR([1]!s_stm07_is($A447,"W76031679",TEXT($B$1,"yyyy/mm/dd"),1),"")</f>
        <v>77221949.769999996</v>
      </c>
      <c r="E447">
        <f>IFERROR([1]!s_stm07_is($A447,"W70752487",TEXT($B$1,"yyyy/mm/dd"),1),"")</f>
        <v>110445975.56</v>
      </c>
      <c r="F447">
        <f>IFERROR([1]!s_stm07_is_103($A447,TEXT($B$1,"yyyy/mm/dd"),1),"")</f>
        <v>45507988.289999999</v>
      </c>
      <c r="G447">
        <f>IFERROR([1]!s_stm07_is_104($A447,TEXT($B$1,"yyyy/mm/dd"),1),"")</f>
        <v>465755.52</v>
      </c>
      <c r="H447">
        <f>IFERROR([1]!s_stm07_is_105($A447,TEXT($B$1,"yyyy/mm/dd"),1),"")</f>
        <v>41950787.579999998</v>
      </c>
      <c r="I447">
        <f>IFERROR([1]!s_stm07_is($A447,"W72946623",TEXT($B$1,"yyyy/mm/dd"),1),"")</f>
        <v>65993083.899999999</v>
      </c>
      <c r="J447">
        <f>IFERROR([1]!s_stm07_is($A447,"W30028333",TEXT($B$1,"yyyy/mm/dd"),1),"")</f>
        <v>56045226.840000004</v>
      </c>
      <c r="K447">
        <f>IFERROR([1]!s_stm07_cs($A447,"W77130581",TEXT($B$1,"yyyy/mm/dd"),1),"")</f>
        <v>154267887.65000001</v>
      </c>
      <c r="L447">
        <f>IFERROR([1]!s_stm07_cs($A447,"W77745895",TEXT($B$1,"yyyy/mm/dd"),1),"")</f>
        <v>34936563.950000003</v>
      </c>
      <c r="M447">
        <f>IFERROR([1]!S_FA_EPS_basic2($A447,$B$1,"Cur=CNY"),"")</f>
        <v>5.4199999999999998E-2</v>
      </c>
      <c r="N447">
        <f>IFERROR([1]!s_fa_arturndays($A447,TEXT($B$1,"yyyy/mm/dd")),"")</f>
        <v>123.7837</v>
      </c>
      <c r="O447" t="str">
        <f>IFERROR([1]!fa_apturndays($A447,TEXT($B$1,"yyyy/mm/dd")),"")</f>
        <v>Fetch...</v>
      </c>
      <c r="P447">
        <f>IFERROR([1]!s_fa_invturndays($A447,TEXT($B$1,"yyyy/mm/dd")),"")</f>
        <v>334.35500000000002</v>
      </c>
    </row>
    <row r="448" spans="1:16">
      <c r="A448" t="s">
        <v>461</v>
      </c>
      <c r="B448">
        <f>IFERROR([1]!s_stm07_is($A448,"W70156729",TEXT($B$1,"yyyy/mm/dd"),1),"")</f>
        <v>5560544403.8400002</v>
      </c>
      <c r="C448">
        <f>IFERROR([1]!s_stm07_is($A448,"W75682424",TEXT($B$1,"yyyy/mm/dd"),1),"")</f>
        <v>5008551476.4300003</v>
      </c>
      <c r="D448">
        <f>IFERROR([1]!s_stm07_is($A448,"W76031679",TEXT($B$1,"yyyy/mm/dd"),1),"")</f>
        <v>111868408.23</v>
      </c>
      <c r="E448">
        <f>IFERROR([1]!s_stm07_is($A448,"W70752487",TEXT($B$1,"yyyy/mm/dd"),1),"")</f>
        <v>171503168.00999999</v>
      </c>
      <c r="F448">
        <f>IFERROR([1]!s_stm07_is_103($A448,TEXT($B$1,"yyyy/mm/dd"),1),"")</f>
        <v>156660190.11000001</v>
      </c>
      <c r="G448">
        <f>IFERROR([1]!s_stm07_is_104($A448,TEXT($B$1,"yyyy/mm/dd"),1),"")</f>
        <v>60493224.399999999</v>
      </c>
      <c r="H448">
        <f>IFERROR([1]!s_stm07_is_105($A448,TEXT($B$1,"yyyy/mm/dd"),1),"")</f>
        <v>1793307.9</v>
      </c>
      <c r="I448">
        <f>IFERROR([1]!s_stm07_is($A448,"W72946623",TEXT($B$1,"yyyy/mm/dd"),1),"")</f>
        <v>14231336.560000001</v>
      </c>
      <c r="J448">
        <f>IFERROR([1]!s_stm07_is($A448,"W30028333",TEXT($B$1,"yyyy/mm/dd"),1),"")</f>
        <v>32115948.989999998</v>
      </c>
      <c r="K448">
        <f>IFERROR([1]!s_stm07_cs($A448,"W77130581",TEXT($B$1,"yyyy/mm/dd"),1),"")</f>
        <v>172704477.84999999</v>
      </c>
      <c r="L448">
        <f>IFERROR([1]!s_stm07_cs($A448,"W77745895",TEXT($B$1,"yyyy/mm/dd"),1),"")</f>
        <v>83018727.790000007</v>
      </c>
      <c r="M448">
        <f>IFERROR([1]!S_FA_EPS_basic2($A448,$B$1,"Cur=CNY"),"")</f>
        <v>0.04</v>
      </c>
      <c r="N448">
        <f>IFERROR([1]!s_fa_arturndays($A448,TEXT($B$1,"yyyy/mm/dd")),"")</f>
        <v>100.3428</v>
      </c>
      <c r="O448" t="str">
        <f>IFERROR([1]!fa_apturndays($A448,TEXT($B$1,"yyyy/mm/dd")),"")</f>
        <v>Fetch...</v>
      </c>
      <c r="P448">
        <f>IFERROR([1]!s_fa_invturndays($A448,TEXT($B$1,"yyyy/mm/dd")),"")</f>
        <v>48.484200000000001</v>
      </c>
    </row>
    <row r="449" spans="1:16">
      <c r="A449" t="s">
        <v>462</v>
      </c>
      <c r="B449">
        <f>IFERROR([1]!s_stm07_is($A449,"W70156729",TEXT($B$1,"yyyy/mm/dd"),1),"")</f>
        <v>18530993941.450001</v>
      </c>
      <c r="C449">
        <f>IFERROR([1]!s_stm07_is($A449,"W75682424",TEXT($B$1,"yyyy/mm/dd"),1),"")</f>
        <v>13855937941.059999</v>
      </c>
      <c r="D449">
        <f>IFERROR([1]!s_stm07_is($A449,"W76031679",TEXT($B$1,"yyyy/mm/dd"),1),"")</f>
        <v>689274044.75</v>
      </c>
      <c r="E449">
        <f>IFERROR([1]!s_stm07_is($A449,"W70752487",TEXT($B$1,"yyyy/mm/dd"),1),"")</f>
        <v>710858361.63999999</v>
      </c>
      <c r="F449">
        <f>IFERROR([1]!s_stm07_is_103($A449,TEXT($B$1,"yyyy/mm/dd"),1),"")</f>
        <v>680297950.13</v>
      </c>
      <c r="G449">
        <f>IFERROR([1]!s_stm07_is_104($A449,TEXT($B$1,"yyyy/mm/dd"),1),"")</f>
        <v>36090923.520000003</v>
      </c>
      <c r="H449">
        <f>IFERROR([1]!s_stm07_is_105($A449,TEXT($B$1,"yyyy/mm/dd"),1),"")</f>
        <v>76816422.920000002</v>
      </c>
      <c r="I449">
        <f>IFERROR([1]!s_stm07_is($A449,"W72946623",TEXT($B$1,"yyyy/mm/dd"),1),"")</f>
        <v>2546785866.0100002</v>
      </c>
      <c r="J449">
        <f>IFERROR([1]!s_stm07_is($A449,"W30028333",TEXT($B$1,"yyyy/mm/dd"),1),"")</f>
        <v>1123381869.26</v>
      </c>
      <c r="K449">
        <f>IFERROR([1]!s_stm07_cs($A449,"W77130581",TEXT($B$1,"yyyy/mm/dd"),1),"")</f>
        <v>2545097539.9400001</v>
      </c>
      <c r="L449">
        <f>IFERROR([1]!s_stm07_cs($A449,"W77745895",TEXT($B$1,"yyyy/mm/dd"),1),"")</f>
        <v>789049475.14999998</v>
      </c>
      <c r="M449">
        <f>IFERROR([1]!S_FA_EPS_basic2($A449,$B$1,"Cur=CNY"),"")</f>
        <v>1.04</v>
      </c>
      <c r="N449">
        <f>IFERROR([1]!s_fa_arturndays($A449,TEXT($B$1,"yyyy/mm/dd")),"")</f>
        <v>65.915999999999997</v>
      </c>
      <c r="O449" t="str">
        <f>IFERROR([1]!fa_apturndays($A449,TEXT($B$1,"yyyy/mm/dd")),"")</f>
        <v>Fetch...</v>
      </c>
      <c r="P449">
        <f>IFERROR([1]!s_fa_invturndays($A449,TEXT($B$1,"yyyy/mm/dd")),"")</f>
        <v>43.114800000000002</v>
      </c>
    </row>
    <row r="450" spans="1:16">
      <c r="A450" t="s">
        <v>463</v>
      </c>
      <c r="B450">
        <f>IFERROR([1]!s_stm07_is($A450,"W70156729",TEXT($B$1,"yyyy/mm/dd"),1),"")</f>
        <v>1787278605.98</v>
      </c>
      <c r="C450">
        <f>IFERROR([1]!s_stm07_is($A450,"W75682424",TEXT($B$1,"yyyy/mm/dd"),1),"")</f>
        <v>0</v>
      </c>
      <c r="D450">
        <f>IFERROR([1]!s_stm07_is($A450,"W76031679",TEXT($B$1,"yyyy/mm/dd"),1),"")</f>
        <v>0</v>
      </c>
      <c r="E450">
        <f>IFERROR([1]!s_stm07_is($A450,"W70752487",TEXT($B$1,"yyyy/mm/dd"),1),"")</f>
        <v>1421385058.99</v>
      </c>
      <c r="F450">
        <f>IFERROR([1]!s_stm07_is_103($A450,TEXT($B$1,"yyyy/mm/dd"),1),"")</f>
        <v>0</v>
      </c>
      <c r="G450">
        <f>IFERROR([1]!s_stm07_is_104($A450,TEXT($B$1,"yyyy/mm/dd"),1),"")</f>
        <v>0</v>
      </c>
      <c r="H450">
        <f>IFERROR([1]!s_stm07_is_105($A450,TEXT($B$1,"yyyy/mm/dd"),1),"")</f>
        <v>0</v>
      </c>
      <c r="I450">
        <f>IFERROR([1]!s_stm07_is($A450,"W72946623",TEXT($B$1,"yyyy/mm/dd"),1),"")</f>
        <v>368734316.63999999</v>
      </c>
      <c r="J450">
        <f>IFERROR([1]!s_stm07_is($A450,"W30028333",TEXT($B$1,"yyyy/mm/dd"),1),"")</f>
        <v>272958862.10000002</v>
      </c>
      <c r="K450">
        <f>IFERROR([1]!s_stm07_cs($A450,"W77130581",TEXT($B$1,"yyyy/mm/dd"),1),"")</f>
        <v>-549680670.20000005</v>
      </c>
      <c r="L450">
        <f>IFERROR([1]!s_stm07_cs($A450,"W77745895",TEXT($B$1,"yyyy/mm/dd"),1),"")</f>
        <v>48072934.770000003</v>
      </c>
      <c r="M450">
        <f>IFERROR([1]!S_FA_EPS_basic2($A450,$B$1,"Cur=CNY"),"")</f>
        <v>0.1411</v>
      </c>
      <c r="N450">
        <f>IFERROR([1]!s_fa_arturndays($A450,TEXT($B$1,"yyyy/mm/dd")),"")</f>
        <v>0</v>
      </c>
      <c r="O450" t="str">
        <f>IFERROR([1]!fa_apturndays($A450,TEXT($B$1,"yyyy/mm/dd")),"")</f>
        <v>Fetch...</v>
      </c>
      <c r="P450">
        <f>IFERROR([1]!s_fa_invturndays($A450,TEXT($B$1,"yyyy/mm/dd")),"")</f>
        <v>0</v>
      </c>
    </row>
    <row r="451" spans="1:16">
      <c r="A451" t="s">
        <v>464</v>
      </c>
      <c r="B451">
        <f>IFERROR([1]!s_stm07_is($A451,"W70156729",TEXT($B$1,"yyyy/mm/dd"),1),"")</f>
        <v>5984624114.1300001</v>
      </c>
      <c r="C451">
        <f>IFERROR([1]!s_stm07_is($A451,"W75682424",TEXT($B$1,"yyyy/mm/dd"),1),"")</f>
        <v>0</v>
      </c>
      <c r="D451">
        <f>IFERROR([1]!s_stm07_is($A451,"W76031679",TEXT($B$1,"yyyy/mm/dd"),1),"")</f>
        <v>0</v>
      </c>
      <c r="E451">
        <f>IFERROR([1]!s_stm07_is($A451,"W70752487",TEXT($B$1,"yyyy/mm/dd"),1),"")</f>
        <v>2764459832.4299998</v>
      </c>
      <c r="F451">
        <f>IFERROR([1]!s_stm07_is_103($A451,TEXT($B$1,"yyyy/mm/dd"),1),"")</f>
        <v>0</v>
      </c>
      <c r="G451">
        <f>IFERROR([1]!s_stm07_is_104($A451,TEXT($B$1,"yyyy/mm/dd"),1),"")</f>
        <v>0</v>
      </c>
      <c r="H451">
        <f>IFERROR([1]!s_stm07_is_105($A451,TEXT($B$1,"yyyy/mm/dd"),1),"")</f>
        <v>0</v>
      </c>
      <c r="I451">
        <f>IFERROR([1]!s_stm07_is($A451,"W72946623",TEXT($B$1,"yyyy/mm/dd"),1),"")</f>
        <v>2266384865.9200001</v>
      </c>
      <c r="J451">
        <f>IFERROR([1]!s_stm07_is($A451,"W30028333",TEXT($B$1,"yyyy/mm/dd"),1),"")</f>
        <v>1753652721</v>
      </c>
      <c r="K451">
        <f>IFERROR([1]!s_stm07_cs($A451,"W77130581",TEXT($B$1,"yyyy/mm/dd"),1),"")</f>
        <v>2219326003.77</v>
      </c>
      <c r="L451">
        <f>IFERROR([1]!s_stm07_cs($A451,"W77745895",TEXT($B$1,"yyyy/mm/dd"),1),"")</f>
        <v>149237756.72999999</v>
      </c>
      <c r="M451">
        <f>IFERROR([1]!S_FA_EPS_basic2($A451,$B$1,"Cur=CNY"),"")</f>
        <v>0.39290000000000003</v>
      </c>
      <c r="N451">
        <f>IFERROR([1]!s_fa_arturndays($A451,TEXT($B$1,"yyyy/mm/dd")),"")</f>
        <v>0</v>
      </c>
      <c r="O451" t="str">
        <f>IFERROR([1]!fa_apturndays($A451,TEXT($B$1,"yyyy/mm/dd")),"")</f>
        <v>Fetch...</v>
      </c>
      <c r="P451">
        <f>IFERROR([1]!s_fa_invturndays($A451,TEXT($B$1,"yyyy/mm/dd")),"")</f>
        <v>0</v>
      </c>
    </row>
    <row r="452" spans="1:16">
      <c r="A452" t="s">
        <v>465</v>
      </c>
      <c r="B452">
        <f>IFERROR([1]!s_stm07_is($A452,"W70156729",TEXT($B$1,"yyyy/mm/dd"),1),"")</f>
        <v>2741074183.8299999</v>
      </c>
      <c r="C452">
        <f>IFERROR([1]!s_stm07_is($A452,"W75682424",TEXT($B$1,"yyyy/mm/dd"),1),"")</f>
        <v>1344048919.3</v>
      </c>
      <c r="D452">
        <f>IFERROR([1]!s_stm07_is($A452,"W76031679",TEXT($B$1,"yyyy/mm/dd"),1),"")</f>
        <v>417851759.37</v>
      </c>
      <c r="E452">
        <f>IFERROR([1]!s_stm07_is($A452,"W70752487",TEXT($B$1,"yyyy/mm/dd"),1),"")</f>
        <v>339484459.54000002</v>
      </c>
      <c r="F452">
        <f>IFERROR([1]!s_stm07_is_103($A452,TEXT($B$1,"yyyy/mm/dd"),1),"")</f>
        <v>232610637.05000001</v>
      </c>
      <c r="G452">
        <f>IFERROR([1]!s_stm07_is_104($A452,TEXT($B$1,"yyyy/mm/dd"),1),"")</f>
        <v>137539244.37</v>
      </c>
      <c r="H452">
        <f>IFERROR([1]!s_stm07_is_105($A452,TEXT($B$1,"yyyy/mm/dd"),1),"")</f>
        <v>5168514.42</v>
      </c>
      <c r="I452">
        <f>IFERROR([1]!s_stm07_is($A452,"W72946623",TEXT($B$1,"yyyy/mm/dd"),1),"")</f>
        <v>211442575.58000001</v>
      </c>
      <c r="J452">
        <f>IFERROR([1]!s_stm07_is($A452,"W30028333",TEXT($B$1,"yyyy/mm/dd"),1),"")</f>
        <v>195628901.18000001</v>
      </c>
      <c r="K452">
        <f>IFERROR([1]!s_stm07_cs($A452,"W77130581",TEXT($B$1,"yyyy/mm/dd"),1),"")</f>
        <v>579850394.46000004</v>
      </c>
      <c r="L452">
        <f>IFERROR([1]!s_stm07_cs($A452,"W77745895",TEXT($B$1,"yyyy/mm/dd"),1),"")</f>
        <v>360817831.76999998</v>
      </c>
      <c r="M452">
        <f>IFERROR([1]!S_FA_EPS_basic2($A452,$B$1,"Cur=CNY"),"")</f>
        <v>0.23719999999999999</v>
      </c>
      <c r="N452">
        <f>IFERROR([1]!s_fa_arturndays($A452,TEXT($B$1,"yyyy/mm/dd")),"")</f>
        <v>123.2159</v>
      </c>
      <c r="O452" t="str">
        <f>IFERROR([1]!fa_apturndays($A452,TEXT($B$1,"yyyy/mm/dd")),"")</f>
        <v>Fetch...</v>
      </c>
      <c r="P452">
        <f>IFERROR([1]!s_fa_invturndays($A452,TEXT($B$1,"yyyy/mm/dd")),"")</f>
        <v>157.86699999999999</v>
      </c>
    </row>
    <row r="453" spans="1:16">
      <c r="A453" t="s">
        <v>466</v>
      </c>
      <c r="B453">
        <f>IFERROR([1]!s_stm07_is($A453,"W70156729",TEXT($B$1,"yyyy/mm/dd"),1),"")</f>
        <v>2711671210.6799998</v>
      </c>
      <c r="C453">
        <f>IFERROR([1]!s_stm07_is($A453,"W75682424",TEXT($B$1,"yyyy/mm/dd"),1),"")</f>
        <v>2163934974.29</v>
      </c>
      <c r="D453">
        <f>IFERROR([1]!s_stm07_is($A453,"W76031679",TEXT($B$1,"yyyy/mm/dd"),1),"")</f>
        <v>87658854.849999994</v>
      </c>
      <c r="E453">
        <f>IFERROR([1]!s_stm07_is($A453,"W70752487",TEXT($B$1,"yyyy/mm/dd"),1),"")</f>
        <v>244611135.63999999</v>
      </c>
      <c r="F453">
        <f>IFERROR([1]!s_stm07_is_103($A453,TEXT($B$1,"yyyy/mm/dd"),1),"")</f>
        <v>211192582.12</v>
      </c>
      <c r="G453">
        <f>IFERROR([1]!s_stm07_is_104($A453,TEXT($B$1,"yyyy/mm/dd"),1),"")</f>
        <v>47574891.039999999</v>
      </c>
      <c r="H453">
        <f>IFERROR([1]!s_stm07_is_105($A453,TEXT($B$1,"yyyy/mm/dd"),1),"")</f>
        <v>7975305.0599999996</v>
      </c>
      <c r="I453">
        <f>IFERROR([1]!s_stm07_is($A453,"W72946623",TEXT($B$1,"yyyy/mm/dd"),1),"")</f>
        <v>-57131307.460000001</v>
      </c>
      <c r="J453">
        <f>IFERROR([1]!s_stm07_is($A453,"W30028333",TEXT($B$1,"yyyy/mm/dd"),1),"")</f>
        <v>-83133194.469999999</v>
      </c>
      <c r="K453">
        <f>IFERROR([1]!s_stm07_cs($A453,"W77130581",TEXT($B$1,"yyyy/mm/dd"),1),"")</f>
        <v>200527616.44999999</v>
      </c>
      <c r="L453">
        <f>IFERROR([1]!s_stm07_cs($A453,"W77745895",TEXT($B$1,"yyyy/mm/dd"),1),"")</f>
        <v>53345907.189999998</v>
      </c>
      <c r="M453">
        <f>IFERROR([1]!S_FA_EPS_basic2($A453,$B$1,"Cur=CNY"),"")</f>
        <v>-0.05</v>
      </c>
      <c r="N453">
        <f>IFERROR([1]!s_fa_arturndays($A453,TEXT($B$1,"yyyy/mm/dd")),"")</f>
        <v>65.583299999999994</v>
      </c>
      <c r="O453" t="str">
        <f>IFERROR([1]!fa_apturndays($A453,TEXT($B$1,"yyyy/mm/dd")),"")</f>
        <v>Fetch...</v>
      </c>
      <c r="P453">
        <f>IFERROR([1]!s_fa_invturndays($A453,TEXT($B$1,"yyyy/mm/dd")),"")</f>
        <v>36.984099999999998</v>
      </c>
    </row>
    <row r="454" spans="1:16">
      <c r="A454" t="s">
        <v>467</v>
      </c>
      <c r="B454">
        <f>IFERROR([1]!s_stm07_is($A454,"W70156729",TEXT($B$1,"yyyy/mm/dd"),1),"")</f>
        <v>20369059705.040001</v>
      </c>
      <c r="C454">
        <f>IFERROR([1]!s_stm07_is($A454,"W75682424",TEXT($B$1,"yyyy/mm/dd"),1),"")</f>
        <v>16115697166.790001</v>
      </c>
      <c r="D454">
        <f>IFERROR([1]!s_stm07_is($A454,"W76031679",TEXT($B$1,"yyyy/mm/dd"),1),"")</f>
        <v>150060479.40000001</v>
      </c>
      <c r="E454">
        <f>IFERROR([1]!s_stm07_is($A454,"W70752487",TEXT($B$1,"yyyy/mm/dd"),1),"")</f>
        <v>1242774062.72</v>
      </c>
      <c r="F454">
        <f>IFERROR([1]!s_stm07_is_103($A454,TEXT($B$1,"yyyy/mm/dd"),1),"")</f>
        <v>570000898.63</v>
      </c>
      <c r="G454">
        <f>IFERROR([1]!s_stm07_is_104($A454,TEXT($B$1,"yyyy/mm/dd"),1),"")</f>
        <v>183939663.21000001</v>
      </c>
      <c r="H454">
        <f>IFERROR([1]!s_stm07_is_105($A454,TEXT($B$1,"yyyy/mm/dd"),1),"")</f>
        <v>32461845.23</v>
      </c>
      <c r="I454">
        <f>IFERROR([1]!s_stm07_is($A454,"W72946623",TEXT($B$1,"yyyy/mm/dd"),1),"")</f>
        <v>1979059719.22</v>
      </c>
      <c r="J454">
        <f>IFERROR([1]!s_stm07_is($A454,"W30028333",TEXT($B$1,"yyyy/mm/dd"),1),"")</f>
        <v>957184117.73000002</v>
      </c>
      <c r="K454">
        <f>IFERROR([1]!s_stm07_cs($A454,"W77130581",TEXT($B$1,"yyyy/mm/dd"),1),"")</f>
        <v>2275999217.2600002</v>
      </c>
      <c r="L454">
        <f>IFERROR([1]!s_stm07_cs($A454,"W77745895",TEXT($B$1,"yyyy/mm/dd"),1),"")</f>
        <v>1177475292.5999999</v>
      </c>
      <c r="M454">
        <f>IFERROR([1]!S_FA_EPS_basic2($A454,$B$1,"Cur=CNY"),"")</f>
        <v>1.2701</v>
      </c>
      <c r="N454">
        <f>IFERROR([1]!s_fa_arturndays($A454,TEXT($B$1,"yyyy/mm/dd")),"")</f>
        <v>59.210500000000003</v>
      </c>
      <c r="O454" t="str">
        <f>IFERROR([1]!fa_apturndays($A454,TEXT($B$1,"yyyy/mm/dd")),"")</f>
        <v>Fetch...</v>
      </c>
      <c r="P454">
        <f>IFERROR([1]!s_fa_invturndays($A454,TEXT($B$1,"yyyy/mm/dd")),"")</f>
        <v>56.667000000000002</v>
      </c>
    </row>
    <row r="455" spans="1:16">
      <c r="A455" t="s">
        <v>468</v>
      </c>
      <c r="B455">
        <f>IFERROR([1]!s_stm07_is($A455,"W70156729",TEXT($B$1,"yyyy/mm/dd"),1),"")</f>
        <v>2406863327.5500002</v>
      </c>
      <c r="C455">
        <f>IFERROR([1]!s_stm07_is($A455,"W75682424",TEXT($B$1,"yyyy/mm/dd"),1),"")</f>
        <v>1109069582.8699999</v>
      </c>
      <c r="D455">
        <f>IFERROR([1]!s_stm07_is($A455,"W76031679",TEXT($B$1,"yyyy/mm/dd"),1),"")</f>
        <v>295736044.36000001</v>
      </c>
      <c r="E455">
        <f>IFERROR([1]!s_stm07_is($A455,"W70752487",TEXT($B$1,"yyyy/mm/dd"),1),"")</f>
        <v>101838595.2</v>
      </c>
      <c r="F455">
        <f>IFERROR([1]!s_stm07_is_103($A455,TEXT($B$1,"yyyy/mm/dd"),1),"")</f>
        <v>163996831.97</v>
      </c>
      <c r="G455">
        <f>IFERROR([1]!s_stm07_is_104($A455,TEXT($B$1,"yyyy/mm/dd"),1),"")</f>
        <v>0</v>
      </c>
      <c r="H455">
        <f>IFERROR([1]!s_stm07_is_105($A455,TEXT($B$1,"yyyy/mm/dd"),1),"")</f>
        <v>49649147.060000002</v>
      </c>
      <c r="I455">
        <f>IFERROR([1]!s_stm07_is($A455,"W72946623",TEXT($B$1,"yyyy/mm/dd"),1),"")</f>
        <v>824846012.80999994</v>
      </c>
      <c r="J455">
        <f>IFERROR([1]!s_stm07_is($A455,"W30028333",TEXT($B$1,"yyyy/mm/dd"),1),"")</f>
        <v>719117651.29999995</v>
      </c>
      <c r="K455">
        <f>IFERROR([1]!s_stm07_cs($A455,"W77130581",TEXT($B$1,"yyyy/mm/dd"),1),"")</f>
        <v>962109305.16999996</v>
      </c>
      <c r="L455">
        <f>IFERROR([1]!s_stm07_cs($A455,"W77745895",TEXT($B$1,"yyyy/mm/dd"),1),"")</f>
        <v>46126929.990000002</v>
      </c>
      <c r="M455">
        <f>IFERROR([1]!S_FA_EPS_basic2($A455,$B$1,"Cur=CNY"),"")</f>
        <v>0.81510000000000005</v>
      </c>
      <c r="N455">
        <f>IFERROR([1]!s_fa_arturndays($A455,TEXT($B$1,"yyyy/mm/dd")),"")</f>
        <v>63.325699999999998</v>
      </c>
      <c r="O455" t="str">
        <f>IFERROR([1]!fa_apturndays($A455,TEXT($B$1,"yyyy/mm/dd")),"")</f>
        <v>Fetch...</v>
      </c>
      <c r="P455">
        <f>IFERROR([1]!s_fa_invturndays($A455,TEXT($B$1,"yyyy/mm/dd")),"")</f>
        <v>97.278899999999993</v>
      </c>
    </row>
    <row r="456" spans="1:16">
      <c r="A456" t="s">
        <v>469</v>
      </c>
      <c r="B456">
        <f>IFERROR([1]!s_stm07_is($A456,"W70156729",TEXT($B$1,"yyyy/mm/dd"),1),"")</f>
        <v>9555667609.4200001</v>
      </c>
      <c r="C456">
        <f>IFERROR([1]!s_stm07_is($A456,"W75682424",TEXT($B$1,"yyyy/mm/dd"),1),"")</f>
        <v>6727009215.8500004</v>
      </c>
      <c r="D456">
        <f>IFERROR([1]!s_stm07_is($A456,"W76031679",TEXT($B$1,"yyyy/mm/dd"),1),"")</f>
        <v>2149481218.48</v>
      </c>
      <c r="E456">
        <f>IFERROR([1]!s_stm07_is($A456,"W70752487",TEXT($B$1,"yyyy/mm/dd"),1),"")</f>
        <v>124995611.17</v>
      </c>
      <c r="F456">
        <f>IFERROR([1]!s_stm07_is_103($A456,TEXT($B$1,"yyyy/mm/dd"),1),"")</f>
        <v>2866848.6</v>
      </c>
      <c r="G456">
        <f>IFERROR([1]!s_stm07_is_104($A456,TEXT($B$1,"yyyy/mm/dd"),1),"")</f>
        <v>32502823.57</v>
      </c>
      <c r="H456">
        <f>IFERROR([1]!s_stm07_is_105($A456,TEXT($B$1,"yyyy/mm/dd"),1),"")</f>
        <v>26495017.379999999</v>
      </c>
      <c r="I456">
        <f>IFERROR([1]!s_stm07_is($A456,"W72946623",TEXT($B$1,"yyyy/mm/dd"),1),"")</f>
        <v>657855480.57000005</v>
      </c>
      <c r="J456">
        <f>IFERROR([1]!s_stm07_is($A456,"W30028333",TEXT($B$1,"yyyy/mm/dd"),1),"")</f>
        <v>480601498.27999997</v>
      </c>
      <c r="K456">
        <f>IFERROR([1]!s_stm07_cs($A456,"W77130581",TEXT($B$1,"yyyy/mm/dd"),1),"")</f>
        <v>1180383767.6099999</v>
      </c>
      <c r="L456">
        <f>IFERROR([1]!s_stm07_cs($A456,"W77745895",TEXT($B$1,"yyyy/mm/dd"),1),"")</f>
        <v>10760146.460000001</v>
      </c>
      <c r="M456">
        <f>IFERROR([1]!S_FA_EPS_basic2($A456,$B$1,"Cur=CNY"),"")</f>
        <v>0.35</v>
      </c>
      <c r="N456">
        <f>IFERROR([1]!s_fa_arturndays($A456,TEXT($B$1,"yyyy/mm/dd")),"")</f>
        <v>4.508</v>
      </c>
      <c r="O456" t="str">
        <f>IFERROR([1]!fa_apturndays($A456,TEXT($B$1,"yyyy/mm/dd")),"")</f>
        <v>Fetch...</v>
      </c>
      <c r="P456">
        <f>IFERROR([1]!s_fa_invturndays($A456,TEXT($B$1,"yyyy/mm/dd")),"")</f>
        <v>104.94710000000001</v>
      </c>
    </row>
    <row r="457" spans="1:16">
      <c r="A457" t="s">
        <v>470</v>
      </c>
      <c r="B457">
        <f>IFERROR([1]!s_stm07_is($A457,"W70156729",TEXT($B$1,"yyyy/mm/dd"),1),"")</f>
        <v>2828078579.6199999</v>
      </c>
      <c r="C457">
        <f>IFERROR([1]!s_stm07_is($A457,"W75682424",TEXT($B$1,"yyyy/mm/dd"),1),"")</f>
        <v>1818148920.71</v>
      </c>
      <c r="D457">
        <f>IFERROR([1]!s_stm07_is($A457,"W76031679",TEXT($B$1,"yyyy/mm/dd"),1),"")</f>
        <v>130847696.56</v>
      </c>
      <c r="E457">
        <f>IFERROR([1]!s_stm07_is($A457,"W70752487",TEXT($B$1,"yyyy/mm/dd"),1),"")</f>
        <v>132542178.84999999</v>
      </c>
      <c r="F457">
        <f>IFERROR([1]!s_stm07_is_103($A457,TEXT($B$1,"yyyy/mm/dd"),1),"")</f>
        <v>161221483</v>
      </c>
      <c r="G457">
        <f>IFERROR([1]!s_stm07_is_104($A457,TEXT($B$1,"yyyy/mm/dd"),1),"")</f>
        <v>20203942.940000001</v>
      </c>
      <c r="H457">
        <f>IFERROR([1]!s_stm07_is_105($A457,TEXT($B$1,"yyyy/mm/dd"),1),"")</f>
        <v>5251093.58</v>
      </c>
      <c r="I457">
        <f>IFERROR([1]!s_stm07_is($A457,"W72946623",TEXT($B$1,"yyyy/mm/dd"),1),"")</f>
        <v>653364667.01999998</v>
      </c>
      <c r="J457">
        <f>IFERROR([1]!s_stm07_is($A457,"W30028333",TEXT($B$1,"yyyy/mm/dd"),1),"")</f>
        <v>563756408.99000001</v>
      </c>
      <c r="K457">
        <f>IFERROR([1]!s_stm07_cs($A457,"W77130581",TEXT($B$1,"yyyy/mm/dd"),1),"")</f>
        <v>397641133.19999999</v>
      </c>
      <c r="L457">
        <f>IFERROR([1]!s_stm07_cs($A457,"W77745895",TEXT($B$1,"yyyy/mm/dd"),1),"")</f>
        <v>52278426.399999999</v>
      </c>
      <c r="M457">
        <f>IFERROR([1]!S_FA_EPS_basic2($A457,$B$1,"Cur=CNY"),"")</f>
        <v>0.55459999999999998</v>
      </c>
      <c r="N457">
        <f>IFERROR([1]!s_fa_arturndays($A457,TEXT($B$1,"yyyy/mm/dd")),"")</f>
        <v>156.47409999999999</v>
      </c>
      <c r="O457" t="str">
        <f>IFERROR([1]!fa_apturndays($A457,TEXT($B$1,"yyyy/mm/dd")),"")</f>
        <v>Fetch...</v>
      </c>
      <c r="P457">
        <f>IFERROR([1]!s_fa_invturndays($A457,TEXT($B$1,"yyyy/mm/dd")),"")</f>
        <v>452.0342</v>
      </c>
    </row>
    <row r="458" spans="1:16">
      <c r="A458" t="s">
        <v>471</v>
      </c>
      <c r="B458">
        <f>IFERROR([1]!s_stm07_is($A458,"W70156729",TEXT($B$1,"yyyy/mm/dd"),1),"")</f>
        <v>24020203616</v>
      </c>
      <c r="C458">
        <f>IFERROR([1]!s_stm07_is($A458,"W75682424",TEXT($B$1,"yyyy/mm/dd"),1),"")</f>
        <v>20935457761</v>
      </c>
      <c r="D458">
        <f>IFERROR([1]!s_stm07_is($A458,"W76031679",TEXT($B$1,"yyyy/mm/dd"),1),"")</f>
        <v>381826307</v>
      </c>
      <c r="E458">
        <f>IFERROR([1]!s_stm07_is($A458,"W70752487",TEXT($B$1,"yyyy/mm/dd"),1),"")</f>
        <v>1096587136</v>
      </c>
      <c r="F458">
        <f>IFERROR([1]!s_stm07_is_103($A458,TEXT($B$1,"yyyy/mm/dd"),1),"")</f>
        <v>160225855</v>
      </c>
      <c r="G458">
        <f>IFERROR([1]!s_stm07_is_104($A458,TEXT($B$1,"yyyy/mm/dd"),1),"")</f>
        <v>488302786</v>
      </c>
      <c r="H458">
        <f>IFERROR([1]!s_stm07_is_105($A458,TEXT($B$1,"yyyy/mm/dd"),1),"")</f>
        <v>18368325</v>
      </c>
      <c r="I458">
        <f>IFERROR([1]!s_stm07_is($A458,"W72946623",TEXT($B$1,"yyyy/mm/dd"),1),"")</f>
        <v>1431139545</v>
      </c>
      <c r="J458">
        <f>IFERROR([1]!s_stm07_is($A458,"W30028333",TEXT($B$1,"yyyy/mm/dd"),1),"")</f>
        <v>1006696770</v>
      </c>
      <c r="K458">
        <f>IFERROR([1]!s_stm07_cs($A458,"W77130581",TEXT($B$1,"yyyy/mm/dd"),1),"")</f>
        <v>2583808811</v>
      </c>
      <c r="L458">
        <f>IFERROR([1]!s_stm07_cs($A458,"W77745895",TEXT($B$1,"yyyy/mm/dd"),1),"")</f>
        <v>624116753</v>
      </c>
      <c r="M458">
        <f>IFERROR([1]!S_FA_EPS_basic2($A458,$B$1,"Cur=CNY"),"")</f>
        <v>0.39</v>
      </c>
      <c r="N458">
        <f>IFERROR([1]!s_fa_arturndays($A458,TEXT($B$1,"yyyy/mm/dd")),"")</f>
        <v>64.9011</v>
      </c>
      <c r="O458" t="str">
        <f>IFERROR([1]!fa_apturndays($A458,TEXT($B$1,"yyyy/mm/dd")),"")</f>
        <v>Fetch...</v>
      </c>
      <c r="P458">
        <f>IFERROR([1]!s_fa_invturndays($A458,TEXT($B$1,"yyyy/mm/dd")),"")</f>
        <v>38.767600000000002</v>
      </c>
    </row>
    <row r="459" spans="1:16">
      <c r="A459" t="s">
        <v>472</v>
      </c>
      <c r="B459">
        <f>IFERROR([1]!s_stm07_is($A459,"W70156729",TEXT($B$1,"yyyy/mm/dd"),1),"")</f>
        <v>16192053797.719999</v>
      </c>
      <c r="C459">
        <f>IFERROR([1]!s_stm07_is($A459,"W75682424",TEXT($B$1,"yyyy/mm/dd"),1),"")</f>
        <v>12822922920.540001</v>
      </c>
      <c r="D459">
        <f>IFERROR([1]!s_stm07_is($A459,"W76031679",TEXT($B$1,"yyyy/mm/dd"),1),"")</f>
        <v>603693235.44000006</v>
      </c>
      <c r="E459">
        <f>IFERROR([1]!s_stm07_is($A459,"W70752487",TEXT($B$1,"yyyy/mm/dd"),1),"")</f>
        <v>810360524.95000005</v>
      </c>
      <c r="F459">
        <f>IFERROR([1]!s_stm07_is_103($A459,TEXT($B$1,"yyyy/mm/dd"),1),"")</f>
        <v>549570353.82000005</v>
      </c>
      <c r="G459">
        <f>IFERROR([1]!s_stm07_is_104($A459,TEXT($B$1,"yyyy/mm/dd"),1),"")</f>
        <v>75748515.340000004</v>
      </c>
      <c r="H459">
        <f>IFERROR([1]!s_stm07_is_105($A459,TEXT($B$1,"yyyy/mm/dd"),1),"")</f>
        <v>52635600.670000002</v>
      </c>
      <c r="I459">
        <f>IFERROR([1]!s_stm07_is($A459,"W72946623",TEXT($B$1,"yyyy/mm/dd"),1),"")</f>
        <v>1240388450.4400001</v>
      </c>
      <c r="J459">
        <f>IFERROR([1]!s_stm07_is($A459,"W30028333",TEXT($B$1,"yyyy/mm/dd"),1),"")</f>
        <v>999368736.37</v>
      </c>
      <c r="K459">
        <f>IFERROR([1]!s_stm07_cs($A459,"W77130581",TEXT($B$1,"yyyy/mm/dd"),1),"")</f>
        <v>1318695341.1700001</v>
      </c>
      <c r="L459">
        <f>IFERROR([1]!s_stm07_cs($A459,"W77745895",TEXT($B$1,"yyyy/mm/dd"),1),"")</f>
        <v>927369697.32000005</v>
      </c>
      <c r="M459">
        <f>IFERROR([1]!S_FA_EPS_basic2($A459,$B$1,"Cur=CNY"),"")</f>
        <v>1.2386999999999999</v>
      </c>
      <c r="N459">
        <f>IFERROR([1]!s_fa_arturndays($A459,TEXT($B$1,"yyyy/mm/dd")),"")</f>
        <v>46.710799999999999</v>
      </c>
      <c r="O459" t="str">
        <f>IFERROR([1]!fa_apturndays($A459,TEXT($B$1,"yyyy/mm/dd")),"")</f>
        <v>Fetch...</v>
      </c>
      <c r="P459">
        <f>IFERROR([1]!s_fa_invturndays($A459,TEXT($B$1,"yyyy/mm/dd")),"")</f>
        <v>57.810899999999997</v>
      </c>
    </row>
    <row r="460" spans="1:16">
      <c r="A460" t="s">
        <v>473</v>
      </c>
      <c r="B460">
        <f>IFERROR([1]!s_stm07_is($A460,"W70156729",TEXT($B$1,"yyyy/mm/dd"),1),"")</f>
        <v>4484522228.6599998</v>
      </c>
      <c r="C460">
        <f>IFERROR([1]!s_stm07_is($A460,"W75682424",TEXT($B$1,"yyyy/mm/dd"),1),"")</f>
        <v>3174020980.1500001</v>
      </c>
      <c r="D460">
        <f>IFERROR([1]!s_stm07_is($A460,"W76031679",TEXT($B$1,"yyyy/mm/dd"),1),"")</f>
        <v>389638067.94999999</v>
      </c>
      <c r="E460">
        <f>IFERROR([1]!s_stm07_is($A460,"W70752487",TEXT($B$1,"yyyy/mm/dd"),1),"")</f>
        <v>281455771.38</v>
      </c>
      <c r="F460">
        <f>IFERROR([1]!s_stm07_is_103($A460,TEXT($B$1,"yyyy/mm/dd"),1),"")</f>
        <v>325051552.19</v>
      </c>
      <c r="G460">
        <f>IFERROR([1]!s_stm07_is_104($A460,TEXT($B$1,"yyyy/mm/dd"),1),"")</f>
        <v>7824219.3300000001</v>
      </c>
      <c r="H460">
        <f>IFERROR([1]!s_stm07_is_105($A460,TEXT($B$1,"yyyy/mm/dd"),1),"")</f>
        <v>5035601.05</v>
      </c>
      <c r="I460">
        <f>IFERROR([1]!s_stm07_is($A460,"W72946623",TEXT($B$1,"yyyy/mm/dd"),1),"")</f>
        <v>314703071.29000002</v>
      </c>
      <c r="J460">
        <f>IFERROR([1]!s_stm07_is($A460,"W30028333",TEXT($B$1,"yyyy/mm/dd"),1),"")</f>
        <v>265213268.25999999</v>
      </c>
      <c r="K460">
        <f>IFERROR([1]!s_stm07_cs($A460,"W77130581",TEXT($B$1,"yyyy/mm/dd"),1),"")</f>
        <v>225532476.59</v>
      </c>
      <c r="L460">
        <f>IFERROR([1]!s_stm07_cs($A460,"W77745895",TEXT($B$1,"yyyy/mm/dd"),1),"")</f>
        <v>255307521.06999999</v>
      </c>
      <c r="M460">
        <f>IFERROR([1]!S_FA_EPS_basic2($A460,$B$1,"Cur=CNY"),"")</f>
        <v>0.25</v>
      </c>
      <c r="N460">
        <f>IFERROR([1]!s_fa_arturndays($A460,TEXT($B$1,"yyyy/mm/dd")),"")</f>
        <v>49.7286</v>
      </c>
      <c r="O460" t="str">
        <f>IFERROR([1]!fa_apturndays($A460,TEXT($B$1,"yyyy/mm/dd")),"")</f>
        <v>Fetch...</v>
      </c>
      <c r="P460">
        <f>IFERROR([1]!s_fa_invturndays($A460,TEXT($B$1,"yyyy/mm/dd")),"")</f>
        <v>58.548000000000002</v>
      </c>
    </row>
    <row r="461" spans="1:16">
      <c r="A461" t="s">
        <v>474</v>
      </c>
      <c r="B461">
        <f>IFERROR([1]!s_stm07_is($A461,"W70156729",TEXT($B$1,"yyyy/mm/dd"),1),"")</f>
        <v>16649892556.280001</v>
      </c>
      <c r="C461">
        <f>IFERROR([1]!s_stm07_is($A461,"W75682424",TEXT($B$1,"yyyy/mm/dd"),1),"")</f>
        <v>12946736447.91</v>
      </c>
      <c r="D461">
        <f>IFERROR([1]!s_stm07_is($A461,"W76031679",TEXT($B$1,"yyyy/mm/dd"),1),"")</f>
        <v>71839118.519999996</v>
      </c>
      <c r="E461">
        <f>IFERROR([1]!s_stm07_is($A461,"W70752487",TEXT($B$1,"yyyy/mm/dd"),1),"")</f>
        <v>859374390.50999999</v>
      </c>
      <c r="F461">
        <f>IFERROR([1]!s_stm07_is_103($A461,TEXT($B$1,"yyyy/mm/dd"),1),"")</f>
        <v>846948352.88</v>
      </c>
      <c r="G461">
        <f>IFERROR([1]!s_stm07_is_104($A461,TEXT($B$1,"yyyy/mm/dd"),1),"")</f>
        <v>183498168.63999999</v>
      </c>
      <c r="H461">
        <f>IFERROR([1]!s_stm07_is_105($A461,TEXT($B$1,"yyyy/mm/dd"),1),"")</f>
        <v>22460646.59</v>
      </c>
      <c r="I461">
        <f>IFERROR([1]!s_stm07_is($A461,"W72946623",TEXT($B$1,"yyyy/mm/dd"),1),"")</f>
        <v>1538573198.75</v>
      </c>
      <c r="J461">
        <f>IFERROR([1]!s_stm07_is($A461,"W30028333",TEXT($B$1,"yyyy/mm/dd"),1),"")</f>
        <v>1361917896.52</v>
      </c>
      <c r="K461">
        <f>IFERROR([1]!s_stm07_cs($A461,"W77130581",TEXT($B$1,"yyyy/mm/dd"),1),"")</f>
        <v>1182243395.29</v>
      </c>
      <c r="L461">
        <f>IFERROR([1]!s_stm07_cs($A461,"W77745895",TEXT($B$1,"yyyy/mm/dd"),1),"")</f>
        <v>659139342.83000004</v>
      </c>
      <c r="M461">
        <f>IFERROR([1]!S_FA_EPS_basic2($A461,$B$1,"Cur=CNY"),"")</f>
        <v>0.71</v>
      </c>
      <c r="N461">
        <f>IFERROR([1]!s_fa_arturndays($A461,TEXT($B$1,"yyyy/mm/dd")),"")</f>
        <v>127.02889999999999</v>
      </c>
      <c r="O461" t="str">
        <f>IFERROR([1]!fa_apturndays($A461,TEXT($B$1,"yyyy/mm/dd")),"")</f>
        <v>Fetch...</v>
      </c>
      <c r="P461">
        <f>IFERROR([1]!s_fa_invturndays($A461,TEXT($B$1,"yyyy/mm/dd")),"")</f>
        <v>41.470399999999998</v>
      </c>
    </row>
    <row r="462" spans="1:16">
      <c r="A462" t="s">
        <v>475</v>
      </c>
      <c r="B462">
        <f>IFERROR([1]!s_stm07_is($A462,"W70156729",TEXT($B$1,"yyyy/mm/dd"),1),"")</f>
        <v>144144965371.67999</v>
      </c>
      <c r="C462">
        <f>IFERROR([1]!s_stm07_is($A462,"W75682424",TEXT($B$1,"yyyy/mm/dd"),1),"")</f>
        <v>118461055325.37</v>
      </c>
      <c r="D462">
        <f>IFERROR([1]!s_stm07_is($A462,"W76031679",TEXT($B$1,"yyyy/mm/dd"),1),"")</f>
        <v>1294581842.45</v>
      </c>
      <c r="E462">
        <f>IFERROR([1]!s_stm07_is($A462,"W70752487",TEXT($B$1,"yyyy/mm/dd"),1),"")</f>
        <v>3922418192.1900001</v>
      </c>
      <c r="F462">
        <f>IFERROR([1]!s_stm07_is_103($A462,TEXT($B$1,"yyyy/mm/dd"),1),"")</f>
        <v>1648195006</v>
      </c>
      <c r="G462">
        <f>IFERROR([1]!s_stm07_is_104($A462,TEXT($B$1,"yyyy/mm/dd"),1),"")</f>
        <v>2556832463.4200001</v>
      </c>
      <c r="H462">
        <f>IFERROR([1]!s_stm07_is_105($A462,TEXT($B$1,"yyyy/mm/dd"),1),"")</f>
        <v>167600981.94</v>
      </c>
      <c r="I462">
        <f>IFERROR([1]!s_stm07_is($A462,"W72946623",TEXT($B$1,"yyyy/mm/dd"),1),"")</f>
        <v>15809937800.4</v>
      </c>
      <c r="J462">
        <f>IFERROR([1]!s_stm07_is($A462,"W30028333",TEXT($B$1,"yyyy/mm/dd"),1),"")</f>
        <v>15486891254.040001</v>
      </c>
      <c r="K462">
        <f>IFERROR([1]!s_stm07_cs($A462,"W77130581",TEXT($B$1,"yyyy/mm/dd"),1),"")</f>
        <v>30056186914.470001</v>
      </c>
      <c r="L462">
        <f>IFERROR([1]!s_stm07_cs($A462,"W77745895",TEXT($B$1,"yyyy/mm/dd"),1),"")</f>
        <v>9528929651.9300003</v>
      </c>
      <c r="M462">
        <f>IFERROR([1]!S_FA_EPS_basic2($A462,$B$1,"Cur=CNY"),"")</f>
        <v>2.88</v>
      </c>
      <c r="N462">
        <f>IFERROR([1]!s_fa_arturndays($A462,TEXT($B$1,"yyyy/mm/dd")),"")</f>
        <v>1.0238</v>
      </c>
      <c r="O462" t="str">
        <f>IFERROR([1]!fa_apturndays($A462,TEXT($B$1,"yyyy/mm/dd")),"")</f>
        <v>Fetch...</v>
      </c>
      <c r="P462">
        <f>IFERROR([1]!s_fa_invturndays($A462,TEXT($B$1,"yyyy/mm/dd")),"")</f>
        <v>120.2646</v>
      </c>
    </row>
    <row r="463" spans="1:16">
      <c r="A463" t="s">
        <v>476</v>
      </c>
      <c r="B463">
        <f>IFERROR([1]!s_stm07_is($A463,"W70156729",TEXT($B$1,"yyyy/mm/dd"),1),"")</f>
        <v>12444621019.23</v>
      </c>
      <c r="C463">
        <f>IFERROR([1]!s_stm07_is($A463,"W75682424",TEXT($B$1,"yyyy/mm/dd"),1),"")</f>
        <v>11619656443.01</v>
      </c>
      <c r="D463">
        <f>IFERROR([1]!s_stm07_is($A463,"W76031679",TEXT($B$1,"yyyy/mm/dd"),1),"")</f>
        <v>9808707.25</v>
      </c>
      <c r="E463">
        <f>IFERROR([1]!s_stm07_is($A463,"W70752487",TEXT($B$1,"yyyy/mm/dd"),1),"")</f>
        <v>192742019.72</v>
      </c>
      <c r="F463">
        <f>IFERROR([1]!s_stm07_is_103($A463,TEXT($B$1,"yyyy/mm/dd"),1),"")</f>
        <v>55829032.439999998</v>
      </c>
      <c r="G463">
        <f>IFERROR([1]!s_stm07_is_104($A463,TEXT($B$1,"yyyy/mm/dd"),1),"")</f>
        <v>86609933.879999995</v>
      </c>
      <c r="H463">
        <f>IFERROR([1]!s_stm07_is_105($A463,TEXT($B$1,"yyyy/mm/dd"),1),"")</f>
        <v>2081904.81</v>
      </c>
      <c r="I463">
        <f>IFERROR([1]!s_stm07_is($A463,"W72946623",TEXT($B$1,"yyyy/mm/dd"),1),"")</f>
        <v>395149966.74000001</v>
      </c>
      <c r="J463">
        <f>IFERROR([1]!s_stm07_is($A463,"W30028333",TEXT($B$1,"yyyy/mm/dd"),1),"")</f>
        <v>340185327.63999999</v>
      </c>
      <c r="K463">
        <f>IFERROR([1]!s_stm07_cs($A463,"W77130581",TEXT($B$1,"yyyy/mm/dd"),1),"")</f>
        <v>654678496.49000001</v>
      </c>
      <c r="L463">
        <f>IFERROR([1]!s_stm07_cs($A463,"W77745895",TEXT($B$1,"yyyy/mm/dd"),1),"")</f>
        <v>196985372.28999999</v>
      </c>
      <c r="M463">
        <f>IFERROR([1]!S_FA_EPS_basic2($A463,$B$1,"Cur=CNY"),"")</f>
        <v>0.12</v>
      </c>
      <c r="N463">
        <f>IFERROR([1]!s_fa_arturndays($A463,TEXT($B$1,"yyyy/mm/dd")),"")</f>
        <v>0.26519999999999999</v>
      </c>
      <c r="O463" t="str">
        <f>IFERROR([1]!fa_apturndays($A463,TEXT($B$1,"yyyy/mm/dd")),"")</f>
        <v>Fetch...</v>
      </c>
      <c r="P463">
        <f>IFERROR([1]!s_fa_invturndays($A463,TEXT($B$1,"yyyy/mm/dd")),"")</f>
        <v>40.5501</v>
      </c>
    </row>
    <row r="464" spans="1:16">
      <c r="A464" t="s">
        <v>477</v>
      </c>
      <c r="B464">
        <f>IFERROR([1]!s_stm07_is($A464,"W70156729",TEXT($B$1,"yyyy/mm/dd"),1),"")</f>
        <v>17336241788.740002</v>
      </c>
      <c r="C464">
        <f>IFERROR([1]!s_stm07_is($A464,"W75682424",TEXT($B$1,"yyyy/mm/dd"),1),"")</f>
        <v>11680376715.309999</v>
      </c>
      <c r="D464">
        <f>IFERROR([1]!s_stm07_is($A464,"W76031679",TEXT($B$1,"yyyy/mm/dd"),1),"")</f>
        <v>4495094025.7600002</v>
      </c>
      <c r="E464">
        <f>IFERROR([1]!s_stm07_is($A464,"W70752487",TEXT($B$1,"yyyy/mm/dd"),1),"")</f>
        <v>446308681.61000001</v>
      </c>
      <c r="F464">
        <f>IFERROR([1]!s_stm07_is_103($A464,TEXT($B$1,"yyyy/mm/dd"),1),"")</f>
        <v>10591359.93</v>
      </c>
      <c r="G464">
        <f>IFERROR([1]!s_stm07_is_104($A464,TEXT($B$1,"yyyy/mm/dd"),1),"")</f>
        <v>133224467.26000001</v>
      </c>
      <c r="H464">
        <f>IFERROR([1]!s_stm07_is_105($A464,TEXT($B$1,"yyyy/mm/dd"),1),"")</f>
        <v>21020656.149999999</v>
      </c>
      <c r="I464">
        <f>IFERROR([1]!s_stm07_is($A464,"W72946623",TEXT($B$1,"yyyy/mm/dd"),1),"")</f>
        <v>406591716.58999997</v>
      </c>
      <c r="J464">
        <f>IFERROR([1]!s_stm07_is($A464,"W30028333",TEXT($B$1,"yyyy/mm/dd"),1),"")</f>
        <v>263432452.19999999</v>
      </c>
      <c r="K464">
        <f>IFERROR([1]!s_stm07_cs($A464,"W77130581",TEXT($B$1,"yyyy/mm/dd"),1),"")</f>
        <v>1633400632.9200001</v>
      </c>
      <c r="L464">
        <f>IFERROR([1]!s_stm07_cs($A464,"W77745895",TEXT($B$1,"yyyy/mm/dd"),1),"")</f>
        <v>278285888.22000003</v>
      </c>
      <c r="M464">
        <f>IFERROR([1]!S_FA_EPS_basic2($A464,$B$1,"Cur=CNY"),"")</f>
        <v>0.45710000000000001</v>
      </c>
      <c r="N464">
        <f>IFERROR([1]!s_fa_arturndays($A464,TEXT($B$1,"yyyy/mm/dd")),"")</f>
        <v>28.9848</v>
      </c>
      <c r="O464" t="str">
        <f>IFERROR([1]!fa_apturndays($A464,TEXT($B$1,"yyyy/mm/dd")),"")</f>
        <v>Fetch...</v>
      </c>
      <c r="P464">
        <f>IFERROR([1]!s_fa_invturndays($A464,TEXT($B$1,"yyyy/mm/dd")),"")</f>
        <v>119.5934</v>
      </c>
    </row>
    <row r="465" spans="1:16">
      <c r="A465" t="s">
        <v>478</v>
      </c>
      <c r="B465">
        <f>IFERROR([1]!s_stm07_is($A465,"W70156729",TEXT($B$1,"yyyy/mm/dd"),1),"")</f>
        <v>24143296632.91</v>
      </c>
      <c r="C465">
        <f>IFERROR([1]!s_stm07_is($A465,"W75682424",TEXT($B$1,"yyyy/mm/dd"),1),"")</f>
        <v>0</v>
      </c>
      <c r="D465">
        <f>IFERROR([1]!s_stm07_is($A465,"W76031679",TEXT($B$1,"yyyy/mm/dd"),1),"")</f>
        <v>0</v>
      </c>
      <c r="E465">
        <f>IFERROR([1]!s_stm07_is($A465,"W70752487",TEXT($B$1,"yyyy/mm/dd"),1),"")</f>
        <v>10999442929.799999</v>
      </c>
      <c r="F465">
        <f>IFERROR([1]!s_stm07_is_103($A465,TEXT($B$1,"yyyy/mm/dd"),1),"")</f>
        <v>0</v>
      </c>
      <c r="G465">
        <f>IFERROR([1]!s_stm07_is_104($A465,TEXT($B$1,"yyyy/mm/dd"),1),"")</f>
        <v>0</v>
      </c>
      <c r="H465">
        <f>IFERROR([1]!s_stm07_is_105($A465,TEXT($B$1,"yyyy/mm/dd"),1),"")</f>
        <v>0</v>
      </c>
      <c r="I465">
        <f>IFERROR([1]!s_stm07_is($A465,"W72946623",TEXT($B$1,"yyyy/mm/dd"),1),"")</f>
        <v>12973091507.959999</v>
      </c>
      <c r="J465">
        <f>IFERROR([1]!s_stm07_is($A465,"W30028333",TEXT($B$1,"yyyy/mm/dd"),1),"")</f>
        <v>11072761041.48</v>
      </c>
      <c r="K465">
        <f>IFERROR([1]!s_stm07_cs($A465,"W77130581",TEXT($B$1,"yyyy/mm/dd"),1),"")</f>
        <v>17073211192.52</v>
      </c>
      <c r="L465">
        <f>IFERROR([1]!s_stm07_cs($A465,"W77745895",TEXT($B$1,"yyyy/mm/dd"),1),"")</f>
        <v>346342780.39999998</v>
      </c>
      <c r="M465">
        <f>IFERROR([1]!S_FA_EPS_basic2($A465,$B$1,"Cur=CNY"),"")</f>
        <v>1.01</v>
      </c>
      <c r="N465">
        <f>IFERROR([1]!s_fa_arturndays($A465,TEXT($B$1,"yyyy/mm/dd")),"")</f>
        <v>0</v>
      </c>
      <c r="O465" t="str">
        <f>IFERROR([1]!fa_apturndays($A465,TEXT($B$1,"yyyy/mm/dd")),"")</f>
        <v>Fetch...</v>
      </c>
      <c r="P465">
        <f>IFERROR([1]!s_fa_invturndays($A465,TEXT($B$1,"yyyy/mm/dd")),"")</f>
        <v>0</v>
      </c>
    </row>
    <row r="466" spans="1:16">
      <c r="A466" t="s">
        <v>479</v>
      </c>
      <c r="B466">
        <f>IFERROR([1]!s_stm07_is($A466,"W70156729",TEXT($B$1,"yyyy/mm/dd"),1),"")</f>
        <v>2317958832.5</v>
      </c>
      <c r="C466">
        <f>IFERROR([1]!s_stm07_is($A466,"W75682424",TEXT($B$1,"yyyy/mm/dd"),1),"")</f>
        <v>1433608656.5799999</v>
      </c>
      <c r="D466">
        <f>IFERROR([1]!s_stm07_is($A466,"W76031679",TEXT($B$1,"yyyy/mm/dd"),1),"")</f>
        <v>580118065.88999999</v>
      </c>
      <c r="E466">
        <f>IFERROR([1]!s_stm07_is($A466,"W70752487",TEXT($B$1,"yyyy/mm/dd"),1),"")</f>
        <v>420071662.05000001</v>
      </c>
      <c r="F466">
        <f>IFERROR([1]!s_stm07_is_103($A466,TEXT($B$1,"yyyy/mm/dd"),1),"")</f>
        <v>111110079.52</v>
      </c>
      <c r="G466">
        <f>IFERROR([1]!s_stm07_is_104($A466,TEXT($B$1,"yyyy/mm/dd"),1),"")</f>
        <v>3692854.18</v>
      </c>
      <c r="H466">
        <f>IFERROR([1]!s_stm07_is_105($A466,TEXT($B$1,"yyyy/mm/dd"),1),"")</f>
        <v>8459212.5</v>
      </c>
      <c r="I466">
        <f>IFERROR([1]!s_stm07_is($A466,"W72946623",TEXT($B$1,"yyyy/mm/dd"),1),"")</f>
        <v>-271154705.67000002</v>
      </c>
      <c r="J466">
        <f>IFERROR([1]!s_stm07_is($A466,"W30028333",TEXT($B$1,"yyyy/mm/dd"),1),"")</f>
        <v>-257827575.47</v>
      </c>
      <c r="K466">
        <f>IFERROR([1]!s_stm07_cs($A466,"W77130581",TEXT($B$1,"yyyy/mm/dd"),1),"")</f>
        <v>574965610.35000002</v>
      </c>
      <c r="L466">
        <f>IFERROR([1]!s_stm07_cs($A466,"W77745895",TEXT($B$1,"yyyy/mm/dd"),1),"")</f>
        <v>96103588.209999993</v>
      </c>
      <c r="M466">
        <f>IFERROR([1]!S_FA_EPS_basic2($A466,$B$1,"Cur=CNY"),"")</f>
        <v>-0.44</v>
      </c>
      <c r="N466">
        <f>IFERROR([1]!s_fa_arturndays($A466,TEXT($B$1,"yyyy/mm/dd")),"")</f>
        <v>20.957999999999998</v>
      </c>
      <c r="O466" t="str">
        <f>IFERROR([1]!fa_apturndays($A466,TEXT($B$1,"yyyy/mm/dd")),"")</f>
        <v>Fetch...</v>
      </c>
      <c r="P466">
        <f>IFERROR([1]!s_fa_invturndays($A466,TEXT($B$1,"yyyy/mm/dd")),"")</f>
        <v>186.4222</v>
      </c>
    </row>
    <row r="467" spans="1:16">
      <c r="A467" t="s">
        <v>480</v>
      </c>
      <c r="B467">
        <f>IFERROR([1]!s_stm07_is($A467,"W70156729",TEXT($B$1,"yyyy/mm/dd"),1),"")</f>
        <v>6545193874.4200001</v>
      </c>
      <c r="C467">
        <f>IFERROR([1]!s_stm07_is($A467,"W75682424",TEXT($B$1,"yyyy/mm/dd"),1),"")</f>
        <v>4879192601.0299997</v>
      </c>
      <c r="D467">
        <f>IFERROR([1]!s_stm07_is($A467,"W76031679",TEXT($B$1,"yyyy/mm/dd"),1),"")</f>
        <v>36929187.700000003</v>
      </c>
      <c r="E467">
        <f>IFERROR([1]!s_stm07_is($A467,"W70752487",TEXT($B$1,"yyyy/mm/dd"),1),"")</f>
        <v>537193127.09000003</v>
      </c>
      <c r="F467">
        <f>IFERROR([1]!s_stm07_is_103($A467,TEXT($B$1,"yyyy/mm/dd"),1),"")</f>
        <v>101603038.13</v>
      </c>
      <c r="G467">
        <f>IFERROR([1]!s_stm07_is_104($A467,TEXT($B$1,"yyyy/mm/dd"),1),"")</f>
        <v>114044448.63</v>
      </c>
      <c r="H467">
        <f>IFERROR([1]!s_stm07_is_105($A467,TEXT($B$1,"yyyy/mm/dd"),1),"")</f>
        <v>38526842.909999996</v>
      </c>
      <c r="I467">
        <f>IFERROR([1]!s_stm07_is($A467,"W72946623",TEXT($B$1,"yyyy/mm/dd"),1),"")</f>
        <v>716368557.57000005</v>
      </c>
      <c r="J467">
        <f>IFERROR([1]!s_stm07_is($A467,"W30028333",TEXT($B$1,"yyyy/mm/dd"),1),"")</f>
        <v>457639791.04000002</v>
      </c>
      <c r="K467">
        <f>IFERROR([1]!s_stm07_cs($A467,"W77130581",TEXT($B$1,"yyyy/mm/dd"),1),"")</f>
        <v>1601763848.2</v>
      </c>
      <c r="L467">
        <f>IFERROR([1]!s_stm07_cs($A467,"W77745895",TEXT($B$1,"yyyy/mm/dd"),1),"")</f>
        <v>1197794815.48</v>
      </c>
      <c r="M467">
        <f>IFERROR([1]!S_FA_EPS_basic2($A467,$B$1,"Cur=CNY"),"")</f>
        <v>0.63429999999999997</v>
      </c>
      <c r="N467">
        <f>IFERROR([1]!s_fa_arturndays($A467,TEXT($B$1,"yyyy/mm/dd")),"")</f>
        <v>33.119599999999998</v>
      </c>
      <c r="O467" t="str">
        <f>IFERROR([1]!fa_apturndays($A467,TEXT($B$1,"yyyy/mm/dd")),"")</f>
        <v>Fetch...</v>
      </c>
      <c r="P467">
        <f>IFERROR([1]!s_fa_invturndays($A467,TEXT($B$1,"yyyy/mm/dd")),"")</f>
        <v>149.92500000000001</v>
      </c>
    </row>
    <row r="468" spans="1:16">
      <c r="A468" t="s">
        <v>481</v>
      </c>
      <c r="B468">
        <f>IFERROR([1]!s_stm07_is($A468,"W70156729",TEXT($B$1,"yyyy/mm/dd"),1),"")</f>
        <v>12646593418.1</v>
      </c>
      <c r="C468">
        <f>IFERROR([1]!s_stm07_is($A468,"W75682424",TEXT($B$1,"yyyy/mm/dd"),1),"")</f>
        <v>9332506368.3600006</v>
      </c>
      <c r="D468">
        <f>IFERROR([1]!s_stm07_is($A468,"W76031679",TEXT($B$1,"yyyy/mm/dd"),1),"")</f>
        <v>600459080.36000001</v>
      </c>
      <c r="E468">
        <f>IFERROR([1]!s_stm07_is($A468,"W70752487",TEXT($B$1,"yyyy/mm/dd"),1),"")</f>
        <v>1072331098.8200001</v>
      </c>
      <c r="F468">
        <f>IFERROR([1]!s_stm07_is_103($A468,TEXT($B$1,"yyyy/mm/dd"),1),"")</f>
        <v>56828433.140000001</v>
      </c>
      <c r="G468">
        <f>IFERROR([1]!s_stm07_is_104($A468,TEXT($B$1,"yyyy/mm/dd"),1),"")</f>
        <v>621091616.22000003</v>
      </c>
      <c r="H468">
        <f>IFERROR([1]!s_stm07_is_105($A468,TEXT($B$1,"yyyy/mm/dd"),1),"")</f>
        <v>37799443.689999998</v>
      </c>
      <c r="I468">
        <f>IFERROR([1]!s_stm07_is($A468,"W72946623",TEXT($B$1,"yyyy/mm/dd"),1),"")</f>
        <v>609574794.61000001</v>
      </c>
      <c r="J468">
        <f>IFERROR([1]!s_stm07_is($A468,"W30028333",TEXT($B$1,"yyyy/mm/dd"),1),"")</f>
        <v>514020941.19</v>
      </c>
      <c r="K468">
        <f>IFERROR([1]!s_stm07_cs($A468,"W77130581",TEXT($B$1,"yyyy/mm/dd"),1),"")</f>
        <v>2810537897.2199998</v>
      </c>
      <c r="L468">
        <f>IFERROR([1]!s_stm07_cs($A468,"W77745895",TEXT($B$1,"yyyy/mm/dd"),1),"")</f>
        <v>489780093.68000001</v>
      </c>
      <c r="M468">
        <f>IFERROR([1]!S_FA_EPS_basic2($A468,$B$1,"Cur=CNY"),"")</f>
        <v>0.24310000000000001</v>
      </c>
      <c r="N468">
        <f>IFERROR([1]!s_fa_arturndays($A468,TEXT($B$1,"yyyy/mm/dd")),"")</f>
        <v>30.244</v>
      </c>
      <c r="O468" t="str">
        <f>IFERROR([1]!fa_apturndays($A468,TEXT($B$1,"yyyy/mm/dd")),"")</f>
        <v>Fetch...</v>
      </c>
      <c r="P468">
        <f>IFERROR([1]!s_fa_invturndays($A468,TEXT($B$1,"yyyy/mm/dd")),"")</f>
        <v>61.834400000000002</v>
      </c>
    </row>
    <row r="469" spans="1:16">
      <c r="A469" t="s">
        <v>482</v>
      </c>
      <c r="B469">
        <f>IFERROR([1]!s_stm07_is($A469,"W70156729",TEXT($B$1,"yyyy/mm/dd"),1),"")</f>
        <v>17438776632.34</v>
      </c>
      <c r="C469">
        <f>IFERROR([1]!s_stm07_is($A469,"W75682424",TEXT($B$1,"yyyy/mm/dd"),1),"")</f>
        <v>12909453138.16</v>
      </c>
      <c r="D469">
        <f>IFERROR([1]!s_stm07_is($A469,"W76031679",TEXT($B$1,"yyyy/mm/dd"),1),"")</f>
        <v>2864313024.1999998</v>
      </c>
      <c r="E469">
        <f>IFERROR([1]!s_stm07_is($A469,"W70752487",TEXT($B$1,"yyyy/mm/dd"),1),"")</f>
        <v>847134189.62</v>
      </c>
      <c r="F469">
        <f>IFERROR([1]!s_stm07_is_103($A469,TEXT($B$1,"yyyy/mm/dd"),1),"")</f>
        <v>422023235.99000001</v>
      </c>
      <c r="G469">
        <f>IFERROR([1]!s_stm07_is_104($A469,TEXT($B$1,"yyyy/mm/dd"),1),"")</f>
        <v>70256436.290000007</v>
      </c>
      <c r="H469">
        <f>IFERROR([1]!s_stm07_is_105($A469,TEXT($B$1,"yyyy/mm/dd"),1),"")</f>
        <v>78734563.209999993</v>
      </c>
      <c r="I469">
        <f>IFERROR([1]!s_stm07_is($A469,"W72946623",TEXT($B$1,"yyyy/mm/dd"),1),"")</f>
        <v>-1339875564.1199999</v>
      </c>
      <c r="J469">
        <f>IFERROR([1]!s_stm07_is($A469,"W30028333",TEXT($B$1,"yyyy/mm/dd"),1),"")</f>
        <v>-1477243944.52</v>
      </c>
      <c r="K469">
        <f>IFERROR([1]!s_stm07_cs($A469,"W77130581",TEXT($B$1,"yyyy/mm/dd"),1),"")</f>
        <v>936828833.59000003</v>
      </c>
      <c r="L469">
        <f>IFERROR([1]!s_stm07_cs($A469,"W77745895",TEXT($B$1,"yyyy/mm/dd"),1),"")</f>
        <v>524528983.26999998</v>
      </c>
      <c r="M469">
        <f>IFERROR([1]!S_FA_EPS_basic2($A469,$B$1,"Cur=CNY"),"")</f>
        <v>-1</v>
      </c>
      <c r="N469">
        <f>IFERROR([1]!s_fa_arturndays($A469,TEXT($B$1,"yyyy/mm/dd")),"")</f>
        <v>83.137</v>
      </c>
      <c r="O469" t="str">
        <f>IFERROR([1]!fa_apturndays($A469,TEXT($B$1,"yyyy/mm/dd")),"")</f>
        <v>Fetch...</v>
      </c>
      <c r="P469">
        <f>IFERROR([1]!s_fa_invturndays($A469,TEXT($B$1,"yyyy/mm/dd")),"")</f>
        <v>94.142300000000006</v>
      </c>
    </row>
    <row r="470" spans="1:16">
      <c r="A470" t="s">
        <v>483</v>
      </c>
      <c r="B470">
        <f>IFERROR([1]!s_stm07_is($A470,"W70156729",TEXT($B$1,"yyyy/mm/dd"),1),"")</f>
        <v>4888010963.6400003</v>
      </c>
      <c r="C470">
        <f>IFERROR([1]!s_stm07_is($A470,"W75682424",TEXT($B$1,"yyyy/mm/dd"),1),"")</f>
        <v>3448489601.1599998</v>
      </c>
      <c r="D470">
        <f>IFERROR([1]!s_stm07_is($A470,"W76031679",TEXT($B$1,"yyyy/mm/dd"),1),"")</f>
        <v>449281705</v>
      </c>
      <c r="E470">
        <f>IFERROR([1]!s_stm07_is($A470,"W70752487",TEXT($B$1,"yyyy/mm/dd"),1),"")</f>
        <v>410192584.14999998</v>
      </c>
      <c r="F470">
        <f>IFERROR([1]!s_stm07_is_103($A470,TEXT($B$1,"yyyy/mm/dd"),1),"")</f>
        <v>418657841.36000001</v>
      </c>
      <c r="G470">
        <f>IFERROR([1]!s_stm07_is_104($A470,TEXT($B$1,"yyyy/mm/dd"),1),"")</f>
        <v>156179323.83000001</v>
      </c>
      <c r="H470">
        <f>IFERROR([1]!s_stm07_is_105($A470,TEXT($B$1,"yyyy/mm/dd"),1),"")</f>
        <v>13123786.640000001</v>
      </c>
      <c r="I470">
        <f>IFERROR([1]!s_stm07_is($A470,"W72946623",TEXT($B$1,"yyyy/mm/dd"),1),"")</f>
        <v>77474033.540000007</v>
      </c>
      <c r="J470">
        <f>IFERROR([1]!s_stm07_is($A470,"W30028333",TEXT($B$1,"yyyy/mm/dd"),1),"")</f>
        <v>44972202.090000004</v>
      </c>
      <c r="K470">
        <f>IFERROR([1]!s_stm07_cs($A470,"W77130581",TEXT($B$1,"yyyy/mm/dd"),1),"")</f>
        <v>506532334.23000002</v>
      </c>
      <c r="L470">
        <f>IFERROR([1]!s_stm07_cs($A470,"W77745895",TEXT($B$1,"yyyy/mm/dd"),1),"")</f>
        <v>312454123.67000002</v>
      </c>
      <c r="M470">
        <f>IFERROR([1]!S_FA_EPS_basic2($A470,$B$1,"Cur=CNY"),"")</f>
        <v>0.05</v>
      </c>
      <c r="N470">
        <f>IFERROR([1]!s_fa_arturndays($A470,TEXT($B$1,"yyyy/mm/dd")),"")</f>
        <v>135.60849999999999</v>
      </c>
      <c r="O470" t="str">
        <f>IFERROR([1]!fa_apturndays($A470,TEXT($B$1,"yyyy/mm/dd")),"")</f>
        <v>Fetch...</v>
      </c>
      <c r="P470">
        <f>IFERROR([1]!s_fa_invturndays($A470,TEXT($B$1,"yyyy/mm/dd")),"")</f>
        <v>186.5575</v>
      </c>
    </row>
    <row r="471" spans="1:16">
      <c r="A471" t="s">
        <v>484</v>
      </c>
      <c r="B471">
        <f>IFERROR([1]!s_stm07_is($A471,"W70156729",TEXT($B$1,"yyyy/mm/dd"),1),"")</f>
        <v>1779025142.1099999</v>
      </c>
      <c r="C471">
        <f>IFERROR([1]!s_stm07_is($A471,"W75682424",TEXT($B$1,"yyyy/mm/dd"),1),"")</f>
        <v>351870876.13999999</v>
      </c>
      <c r="D471">
        <f>IFERROR([1]!s_stm07_is($A471,"W76031679",TEXT($B$1,"yyyy/mm/dd"),1),"")</f>
        <v>914486718.99000001</v>
      </c>
      <c r="E471">
        <f>IFERROR([1]!s_stm07_is($A471,"W70752487",TEXT($B$1,"yyyy/mm/dd"),1),"")</f>
        <v>133011567.62</v>
      </c>
      <c r="F471">
        <f>IFERROR([1]!s_stm07_is_103($A471,TEXT($B$1,"yyyy/mm/dd"),1),"")</f>
        <v>158612609.03</v>
      </c>
      <c r="G471">
        <f>IFERROR([1]!s_stm07_is_104($A471,TEXT($B$1,"yyyy/mm/dd"),1),"")</f>
        <v>895877.97</v>
      </c>
      <c r="H471">
        <f>IFERROR([1]!s_stm07_is_105($A471,TEXT($B$1,"yyyy/mm/dd"),1),"")</f>
        <v>14029358.59</v>
      </c>
      <c r="I471">
        <f>IFERROR([1]!s_stm07_is($A471,"W72946623",TEXT($B$1,"yyyy/mm/dd"),1),"")</f>
        <v>253092314.84999999</v>
      </c>
      <c r="J471">
        <f>IFERROR([1]!s_stm07_is($A471,"W30028333",TEXT($B$1,"yyyy/mm/dd"),1),"")</f>
        <v>236601000.19999999</v>
      </c>
      <c r="K471">
        <f>IFERROR([1]!s_stm07_cs($A471,"W77130581",TEXT($B$1,"yyyy/mm/dd"),1),"")</f>
        <v>651642594.35000002</v>
      </c>
      <c r="L471">
        <f>IFERROR([1]!s_stm07_cs($A471,"W77745895",TEXT($B$1,"yyyy/mm/dd"),1),"")</f>
        <v>143576779.53999999</v>
      </c>
      <c r="M471">
        <f>IFERROR([1]!S_FA_EPS_basic2($A471,$B$1,"Cur=CNY"),"")</f>
        <v>0.25</v>
      </c>
      <c r="N471">
        <f>IFERROR([1]!s_fa_arturndays($A471,TEXT($B$1,"yyyy/mm/dd")),"")</f>
        <v>38.506799999999998</v>
      </c>
      <c r="O471" t="str">
        <f>IFERROR([1]!fa_apturndays($A471,TEXT($B$1,"yyyy/mm/dd")),"")</f>
        <v>Fetch...</v>
      </c>
      <c r="P471">
        <f>IFERROR([1]!s_fa_invturndays($A471,TEXT($B$1,"yyyy/mm/dd")),"")</f>
        <v>164.4812</v>
      </c>
    </row>
    <row r="472" spans="1:16">
      <c r="A472" t="s">
        <v>485</v>
      </c>
      <c r="B472">
        <f>IFERROR([1]!s_stm07_is($A472,"W70156729",TEXT($B$1,"yyyy/mm/dd"),1),"")</f>
        <v>7423096395.8299999</v>
      </c>
      <c r="C472">
        <f>IFERROR([1]!s_stm07_is($A472,"W75682424",TEXT($B$1,"yyyy/mm/dd"),1),"")</f>
        <v>6250199696.3599997</v>
      </c>
      <c r="D472">
        <f>IFERROR([1]!s_stm07_is($A472,"W76031679",TEXT($B$1,"yyyy/mm/dd"),1),"")</f>
        <v>22417668.039999999</v>
      </c>
      <c r="E472">
        <f>IFERROR([1]!s_stm07_is($A472,"W70752487",TEXT($B$1,"yyyy/mm/dd"),1),"")</f>
        <v>167916886.77000001</v>
      </c>
      <c r="F472">
        <f>IFERROR([1]!s_stm07_is_103($A472,TEXT($B$1,"yyyy/mm/dd"),1),"")</f>
        <v>264552974.27000001</v>
      </c>
      <c r="G472">
        <f>IFERROR([1]!s_stm07_is_104($A472,TEXT($B$1,"yyyy/mm/dd"),1),"")</f>
        <v>4600896.87</v>
      </c>
      <c r="H472">
        <f>IFERROR([1]!s_stm07_is_105($A472,TEXT($B$1,"yyyy/mm/dd"),1),"")</f>
        <v>97716752.349999994</v>
      </c>
      <c r="I472">
        <f>IFERROR([1]!s_stm07_is($A472,"W72946623",TEXT($B$1,"yyyy/mm/dd"),1),"")</f>
        <v>748992651.97000003</v>
      </c>
      <c r="J472">
        <f>IFERROR([1]!s_stm07_is($A472,"W30028333",TEXT($B$1,"yyyy/mm/dd"),1),"")</f>
        <v>661462878.37</v>
      </c>
      <c r="K472">
        <f>IFERROR([1]!s_stm07_cs($A472,"W77130581",TEXT($B$1,"yyyy/mm/dd"),1),"")</f>
        <v>473481845.75</v>
      </c>
      <c r="L472">
        <f>IFERROR([1]!s_stm07_cs($A472,"W77745895",TEXT($B$1,"yyyy/mm/dd"),1),"")</f>
        <v>204251835.22</v>
      </c>
      <c r="M472">
        <f>IFERROR([1]!S_FA_EPS_basic2($A472,$B$1,"Cur=CNY"),"")</f>
        <v>1.25</v>
      </c>
      <c r="N472">
        <f>IFERROR([1]!s_fa_arturndays($A472,TEXT($B$1,"yyyy/mm/dd")),"")</f>
        <v>8.2702000000000009</v>
      </c>
      <c r="O472" t="str">
        <f>IFERROR([1]!fa_apturndays($A472,TEXT($B$1,"yyyy/mm/dd")),"")</f>
        <v>Fetch...</v>
      </c>
      <c r="P472">
        <f>IFERROR([1]!s_fa_invturndays($A472,TEXT($B$1,"yyyy/mm/dd")),"")</f>
        <v>46.821399999999997</v>
      </c>
    </row>
    <row r="473" spans="1:16">
      <c r="A473" t="s">
        <v>486</v>
      </c>
      <c r="B473">
        <f>IFERROR([1]!s_stm07_is($A473,"W70156729",TEXT($B$1,"yyyy/mm/dd"),1),"")</f>
        <v>81108255468.089996</v>
      </c>
      <c r="C473">
        <f>IFERROR([1]!s_stm07_is($A473,"W75682424",TEXT($B$1,"yyyy/mm/dd"),1),"")</f>
        <v>76995809722.300003</v>
      </c>
      <c r="D473">
        <f>IFERROR([1]!s_stm07_is($A473,"W76031679",TEXT($B$1,"yyyy/mm/dd"),1),"")</f>
        <v>23399341.190000001</v>
      </c>
      <c r="E473">
        <f>IFERROR([1]!s_stm07_is($A473,"W70752487",TEXT($B$1,"yyyy/mm/dd"),1),"")</f>
        <v>1744299028.5599999</v>
      </c>
      <c r="F473">
        <f>IFERROR([1]!s_stm07_is_103($A473,TEXT($B$1,"yyyy/mm/dd"),1),"")</f>
        <v>847426230.50999999</v>
      </c>
      <c r="G473">
        <f>IFERROR([1]!s_stm07_is_104($A473,TEXT($B$1,"yyyy/mm/dd"),1),"")</f>
        <v>684822998.16999996</v>
      </c>
      <c r="H473">
        <f>IFERROR([1]!s_stm07_is_105($A473,TEXT($B$1,"yyyy/mm/dd"),1),"")</f>
        <v>1075470581.48</v>
      </c>
      <c r="I473">
        <f>IFERROR([1]!s_stm07_is($A473,"W72946623",TEXT($B$1,"yyyy/mm/dd"),1),"")</f>
        <v>647524439.46000004</v>
      </c>
      <c r="J473">
        <f>IFERROR([1]!s_stm07_is($A473,"W30028333",TEXT($B$1,"yyyy/mm/dd"),1),"")</f>
        <v>214535657.02000001</v>
      </c>
      <c r="K473">
        <f>IFERROR([1]!s_stm07_cs($A473,"W77130581",TEXT($B$1,"yyyy/mm/dd"),1),"")</f>
        <v>3811831793.5799999</v>
      </c>
      <c r="L473">
        <f>IFERROR([1]!s_stm07_cs($A473,"W77745895",TEXT($B$1,"yyyy/mm/dd"),1),"")</f>
        <v>390937748.02999997</v>
      </c>
      <c r="M473">
        <f>IFERROR([1]!S_FA_EPS_basic2($A473,$B$1,"Cur=CNY"),"")</f>
        <v>0.13</v>
      </c>
      <c r="N473">
        <f>IFERROR([1]!s_fa_arturndays($A473,TEXT($B$1,"yyyy/mm/dd")),"")</f>
        <v>112.75020000000001</v>
      </c>
      <c r="O473" t="str">
        <f>IFERROR([1]!fa_apturndays($A473,TEXT($B$1,"yyyy/mm/dd")),"")</f>
        <v>Fetch...</v>
      </c>
      <c r="P473">
        <f>IFERROR([1]!s_fa_invturndays($A473,TEXT($B$1,"yyyy/mm/dd")),"")</f>
        <v>241.52969999999999</v>
      </c>
    </row>
    <row r="474" spans="1:16">
      <c r="A474" t="s">
        <v>487</v>
      </c>
      <c r="B474">
        <f>IFERROR([1]!s_stm07_is($A474,"W70156729",TEXT($B$1,"yyyy/mm/dd"),1),"")</f>
        <v>4585133789.5799999</v>
      </c>
      <c r="C474">
        <f>IFERROR([1]!s_stm07_is($A474,"W75682424",TEXT($B$1,"yyyy/mm/dd"),1),"")</f>
        <v>465414594.12</v>
      </c>
      <c r="D474">
        <f>IFERROR([1]!s_stm07_is($A474,"W76031679",TEXT($B$1,"yyyy/mm/dd"),1),"")</f>
        <v>1721166768.03</v>
      </c>
      <c r="E474">
        <f>IFERROR([1]!s_stm07_is($A474,"W70752487",TEXT($B$1,"yyyy/mm/dd"),1),"")</f>
        <v>552780072.59000003</v>
      </c>
      <c r="F474">
        <f>IFERROR([1]!s_stm07_is_103($A474,TEXT($B$1,"yyyy/mm/dd"),1),"")</f>
        <v>533093330.63</v>
      </c>
      <c r="G474">
        <f>IFERROR([1]!s_stm07_is_104($A474,TEXT($B$1,"yyyy/mm/dd"),1),"")</f>
        <v>0</v>
      </c>
      <c r="H474">
        <f>IFERROR([1]!s_stm07_is_105($A474,TEXT($B$1,"yyyy/mm/dd"),1),"")</f>
        <v>53345706.75</v>
      </c>
      <c r="I474">
        <f>IFERROR([1]!s_stm07_is($A474,"W72946623",TEXT($B$1,"yyyy/mm/dd"),1),"")</f>
        <v>1356113549.8299999</v>
      </c>
      <c r="J474">
        <f>IFERROR([1]!s_stm07_is($A474,"W30028333",TEXT($B$1,"yyyy/mm/dd"),1),"")</f>
        <v>1162966864.98</v>
      </c>
      <c r="K474">
        <f>IFERROR([1]!s_stm07_cs($A474,"W77130581",TEXT($B$1,"yyyy/mm/dd"),1),"")</f>
        <v>1503648452.72</v>
      </c>
      <c r="L474">
        <f>IFERROR([1]!s_stm07_cs($A474,"W77745895",TEXT($B$1,"yyyy/mm/dd"),1),"")</f>
        <v>262480608.58000001</v>
      </c>
      <c r="M474">
        <f>IFERROR([1]!S_FA_EPS_basic2($A474,$B$1,"Cur=CNY"),"")</f>
        <v>1.26</v>
      </c>
      <c r="N474">
        <f>IFERROR([1]!s_fa_arturndays($A474,TEXT($B$1,"yyyy/mm/dd")),"")</f>
        <v>14.3908</v>
      </c>
      <c r="O474" t="str">
        <f>IFERROR([1]!fa_apturndays($A474,TEXT($B$1,"yyyy/mm/dd")),"")</f>
        <v>Fetch...</v>
      </c>
      <c r="P474">
        <f>IFERROR([1]!s_fa_invturndays($A474,TEXT($B$1,"yyyy/mm/dd")),"")</f>
        <v>307.03620000000001</v>
      </c>
    </row>
    <row r="475" spans="1:16">
      <c r="A475" t="s">
        <v>488</v>
      </c>
      <c r="B475">
        <f>IFERROR([1]!s_stm07_is($A475,"W70156729",TEXT($B$1,"yyyy/mm/dd"),1),"")</f>
        <v>1232068966.6199999</v>
      </c>
      <c r="C475">
        <f>IFERROR([1]!s_stm07_is($A475,"W75682424",TEXT($B$1,"yyyy/mm/dd"),1),"")</f>
        <v>643410051.03999996</v>
      </c>
      <c r="D475">
        <f>IFERROR([1]!s_stm07_is($A475,"W76031679",TEXT($B$1,"yyyy/mm/dd"),1),"")</f>
        <v>132373676.02</v>
      </c>
      <c r="E475">
        <f>IFERROR([1]!s_stm07_is($A475,"W70752487",TEXT($B$1,"yyyy/mm/dd"),1),"")</f>
        <v>97974976.560000002</v>
      </c>
      <c r="F475">
        <f>IFERROR([1]!s_stm07_is_103($A475,TEXT($B$1,"yyyy/mm/dd"),1),"")</f>
        <v>209814276.91</v>
      </c>
      <c r="G475">
        <f>IFERROR([1]!s_stm07_is_104($A475,TEXT($B$1,"yyyy/mm/dd"),1),"")</f>
        <v>717427.38</v>
      </c>
      <c r="H475">
        <f>IFERROR([1]!s_stm07_is_105($A475,TEXT($B$1,"yyyy/mm/dd"),1),"")</f>
        <v>3008047.6</v>
      </c>
      <c r="I475">
        <f>IFERROR([1]!s_stm07_is($A475,"W72946623",TEXT($B$1,"yyyy/mm/dd"),1),"")</f>
        <v>82077928.620000005</v>
      </c>
      <c r="J475">
        <f>IFERROR([1]!s_stm07_is($A475,"W30028333",TEXT($B$1,"yyyy/mm/dd"),1),"")</f>
        <v>76867807.950000003</v>
      </c>
      <c r="K475">
        <f>IFERROR([1]!s_stm07_cs($A475,"W77130581",TEXT($B$1,"yyyy/mm/dd"),1),"")</f>
        <v>260694895.69999999</v>
      </c>
      <c r="L475">
        <f>IFERROR([1]!s_stm07_cs($A475,"W77745895",TEXT($B$1,"yyyy/mm/dd"),1),"")</f>
        <v>67220500.170000002</v>
      </c>
      <c r="M475">
        <f>IFERROR([1]!S_FA_EPS_basic2($A475,$B$1,"Cur=CNY"),"")</f>
        <v>0.19</v>
      </c>
      <c r="N475">
        <f>IFERROR([1]!s_fa_arturndays($A475,TEXT($B$1,"yyyy/mm/dd")),"")</f>
        <v>130.2225</v>
      </c>
      <c r="O475" t="str">
        <f>IFERROR([1]!fa_apturndays($A475,TEXT($B$1,"yyyy/mm/dd")),"")</f>
        <v>Fetch...</v>
      </c>
      <c r="P475">
        <f>IFERROR([1]!s_fa_invturndays($A475,TEXT($B$1,"yyyy/mm/dd")),"")</f>
        <v>192.47219999999999</v>
      </c>
    </row>
    <row r="476" spans="1:16">
      <c r="A476" t="s">
        <v>489</v>
      </c>
      <c r="B476">
        <f>IFERROR([1]!s_stm07_is($A476,"W70156729",TEXT($B$1,"yyyy/mm/dd"),1),"")</f>
        <v>1018281847.26</v>
      </c>
      <c r="C476">
        <f>IFERROR([1]!s_stm07_is($A476,"W75682424",TEXT($B$1,"yyyy/mm/dd"),1),"")</f>
        <v>718110957.27999997</v>
      </c>
      <c r="D476">
        <f>IFERROR([1]!s_stm07_is($A476,"W76031679",TEXT($B$1,"yyyy/mm/dd"),1),"")</f>
        <v>43126484.719999999</v>
      </c>
      <c r="E476">
        <f>IFERROR([1]!s_stm07_is($A476,"W70752487",TEXT($B$1,"yyyy/mm/dd"),1),"")</f>
        <v>116454862.59</v>
      </c>
      <c r="F476">
        <f>IFERROR([1]!s_stm07_is_103($A476,TEXT($B$1,"yyyy/mm/dd"),1),"")</f>
        <v>122442471.58</v>
      </c>
      <c r="G476">
        <f>IFERROR([1]!s_stm07_is_104($A476,TEXT($B$1,"yyyy/mm/dd"),1),"")</f>
        <v>3462465.63</v>
      </c>
      <c r="H476">
        <f>IFERROR([1]!s_stm07_is_105($A476,TEXT($B$1,"yyyy/mm/dd"),1),"")</f>
        <v>3184545.91</v>
      </c>
      <c r="I476">
        <f>IFERROR([1]!s_stm07_is($A476,"W72946623",TEXT($B$1,"yyyy/mm/dd"),1),"")</f>
        <v>173912890.30000001</v>
      </c>
      <c r="J476">
        <f>IFERROR([1]!s_stm07_is($A476,"W30028333",TEXT($B$1,"yyyy/mm/dd"),1),"")</f>
        <v>172568792.18000001</v>
      </c>
      <c r="K476">
        <f>IFERROR([1]!s_stm07_cs($A476,"W77130581",TEXT($B$1,"yyyy/mm/dd"),1),"")</f>
        <v>-48539141.890000001</v>
      </c>
      <c r="L476">
        <f>IFERROR([1]!s_stm07_cs($A476,"W77745895",TEXT($B$1,"yyyy/mm/dd"),1),"")</f>
        <v>160885021.08000001</v>
      </c>
      <c r="M476">
        <f>IFERROR([1]!S_FA_EPS_basic2($A476,$B$1,"Cur=CNY"),"")</f>
        <v>0.93379999999999996</v>
      </c>
      <c r="N476">
        <f>IFERROR([1]!s_fa_arturndays($A476,TEXT($B$1,"yyyy/mm/dd")),"")</f>
        <v>98.055199999999999</v>
      </c>
      <c r="O476" t="str">
        <f>IFERROR([1]!fa_apturndays($A476,TEXT($B$1,"yyyy/mm/dd")),"")</f>
        <v>Fetch...</v>
      </c>
      <c r="P476">
        <f>IFERROR([1]!s_fa_invturndays($A476,TEXT($B$1,"yyyy/mm/dd")),"")</f>
        <v>166.3355</v>
      </c>
    </row>
    <row r="477" spans="1:16">
      <c r="A477" t="s">
        <v>490</v>
      </c>
      <c r="B477">
        <f>IFERROR([1]!s_stm07_is($A477,"W70156729",TEXT($B$1,"yyyy/mm/dd"),1),"")</f>
        <v>5543727812.8400002</v>
      </c>
      <c r="C477">
        <f>IFERROR([1]!s_stm07_is($A477,"W75682424",TEXT($B$1,"yyyy/mm/dd"),1),"")</f>
        <v>3858737611.2600002</v>
      </c>
      <c r="D477">
        <f>IFERROR([1]!s_stm07_is($A477,"W76031679",TEXT($B$1,"yyyy/mm/dd"),1),"")</f>
        <v>904869779.26999998</v>
      </c>
      <c r="E477">
        <f>IFERROR([1]!s_stm07_is($A477,"W70752487",TEXT($B$1,"yyyy/mm/dd"),1),"")</f>
        <v>343477539.75</v>
      </c>
      <c r="F477">
        <f>IFERROR([1]!s_stm07_is_103($A477,TEXT($B$1,"yyyy/mm/dd"),1),"")</f>
        <v>226315224.15000001</v>
      </c>
      <c r="G477">
        <f>IFERROR([1]!s_stm07_is_104($A477,TEXT($B$1,"yyyy/mm/dd"),1),"")</f>
        <v>12785387.49</v>
      </c>
      <c r="H477">
        <f>IFERROR([1]!s_stm07_is_105($A477,TEXT($B$1,"yyyy/mm/dd"),1),"")</f>
        <v>4608574.99</v>
      </c>
      <c r="I477">
        <f>IFERROR([1]!s_stm07_is($A477,"W72946623",TEXT($B$1,"yyyy/mm/dd"),1),"")</f>
        <v>-163168223.59999999</v>
      </c>
      <c r="J477">
        <f>IFERROR([1]!s_stm07_is($A477,"W30028333",TEXT($B$1,"yyyy/mm/dd"),1),"")</f>
        <v>-100438028.88</v>
      </c>
      <c r="K477">
        <f>IFERROR([1]!s_stm07_cs($A477,"W77130581",TEXT($B$1,"yyyy/mm/dd"),1),"")</f>
        <v>263873726.68000001</v>
      </c>
      <c r="L477">
        <f>IFERROR([1]!s_stm07_cs($A477,"W77745895",TEXT($B$1,"yyyy/mm/dd"),1),"")</f>
        <v>185817779.46000001</v>
      </c>
      <c r="M477">
        <f>IFERROR([1]!S_FA_EPS_basic2($A477,$B$1,"Cur=CNY"),"")</f>
        <v>-0.28999999999999998</v>
      </c>
      <c r="N477">
        <f>IFERROR([1]!s_fa_arturndays($A477,TEXT($B$1,"yyyy/mm/dd")),"")</f>
        <v>183.7578</v>
      </c>
      <c r="O477" t="str">
        <f>IFERROR([1]!fa_apturndays($A477,TEXT($B$1,"yyyy/mm/dd")),"")</f>
        <v>Fetch...</v>
      </c>
      <c r="P477">
        <f>IFERROR([1]!s_fa_invturndays($A477,TEXT($B$1,"yyyy/mm/dd")),"")</f>
        <v>122.46980000000001</v>
      </c>
    </row>
    <row r="478" spans="1:16">
      <c r="A478" t="s">
        <v>491</v>
      </c>
      <c r="B478">
        <f>IFERROR([1]!s_stm07_is($A478,"W70156729",TEXT($B$1,"yyyy/mm/dd"),1),"")</f>
        <v>3685983212.5300002</v>
      </c>
      <c r="C478">
        <f>IFERROR([1]!s_stm07_is($A478,"W75682424",TEXT($B$1,"yyyy/mm/dd"),1),"")</f>
        <v>0</v>
      </c>
      <c r="D478">
        <f>IFERROR([1]!s_stm07_is($A478,"W76031679",TEXT($B$1,"yyyy/mm/dd"),1),"")</f>
        <v>0</v>
      </c>
      <c r="E478">
        <f>IFERROR([1]!s_stm07_is($A478,"W70752487",TEXT($B$1,"yyyy/mm/dd"),1),"")</f>
        <v>2370845741.52</v>
      </c>
      <c r="F478">
        <f>IFERROR([1]!s_stm07_is_103($A478,TEXT($B$1,"yyyy/mm/dd"),1),"")</f>
        <v>0</v>
      </c>
      <c r="G478">
        <f>IFERROR([1]!s_stm07_is_104($A478,TEXT($B$1,"yyyy/mm/dd"),1),"")</f>
        <v>0</v>
      </c>
      <c r="H478">
        <f>IFERROR([1]!s_stm07_is_105($A478,TEXT($B$1,"yyyy/mm/dd"),1),"")</f>
        <v>0</v>
      </c>
      <c r="I478">
        <f>IFERROR([1]!s_stm07_is($A478,"W72946623",TEXT($B$1,"yyyy/mm/dd"),1),"")</f>
        <v>1146958294.95</v>
      </c>
      <c r="J478">
        <f>IFERROR([1]!s_stm07_is($A478,"W30028333",TEXT($B$1,"yyyy/mm/dd"),1),"")</f>
        <v>841408864.23000002</v>
      </c>
      <c r="K478">
        <f>IFERROR([1]!s_stm07_cs($A478,"W77130581",TEXT($B$1,"yyyy/mm/dd"),1),"")</f>
        <v>1741320167.1099999</v>
      </c>
      <c r="L478">
        <f>IFERROR([1]!s_stm07_cs($A478,"W77745895",TEXT($B$1,"yyyy/mm/dd"),1),"")</f>
        <v>181196740.31</v>
      </c>
      <c r="M478">
        <f>IFERROR([1]!S_FA_EPS_basic2($A478,$B$1,"Cur=CNY"),"")</f>
        <v>0.2</v>
      </c>
      <c r="N478">
        <f>IFERROR([1]!s_fa_arturndays($A478,TEXT($B$1,"yyyy/mm/dd")),"")</f>
        <v>0</v>
      </c>
      <c r="O478" t="str">
        <f>IFERROR([1]!fa_apturndays($A478,TEXT($B$1,"yyyy/mm/dd")),"")</f>
        <v>Fetch...</v>
      </c>
      <c r="P478">
        <f>IFERROR([1]!s_fa_invturndays($A478,TEXT($B$1,"yyyy/mm/dd")),"")</f>
        <v>0</v>
      </c>
    </row>
    <row r="479" spans="1:16">
      <c r="A479" t="s">
        <v>492</v>
      </c>
      <c r="B479">
        <f>IFERROR([1]!s_stm07_is($A479,"W70156729",TEXT($B$1,"yyyy/mm/dd"),1),"")</f>
        <v>4124845000</v>
      </c>
      <c r="C479">
        <f>IFERROR([1]!s_stm07_is($A479,"W75682424",TEXT($B$1,"yyyy/mm/dd"),1),"")</f>
        <v>0</v>
      </c>
      <c r="D479">
        <f>IFERROR([1]!s_stm07_is($A479,"W76031679",TEXT($B$1,"yyyy/mm/dd"),1),"")</f>
        <v>0</v>
      </c>
      <c r="E479">
        <f>IFERROR([1]!s_stm07_is($A479,"W70752487",TEXT($B$1,"yyyy/mm/dd"),1),"")</f>
        <v>1240585000</v>
      </c>
      <c r="F479">
        <f>IFERROR([1]!s_stm07_is_103($A479,TEXT($B$1,"yyyy/mm/dd"),1),"")</f>
        <v>0</v>
      </c>
      <c r="G479">
        <f>IFERROR([1]!s_stm07_is_104($A479,TEXT($B$1,"yyyy/mm/dd"),1),"")</f>
        <v>0</v>
      </c>
      <c r="H479">
        <f>IFERROR([1]!s_stm07_is_105($A479,TEXT($B$1,"yyyy/mm/dd"),1),"")</f>
        <v>0</v>
      </c>
      <c r="I479">
        <f>IFERROR([1]!s_stm07_is($A479,"W72946623",TEXT($B$1,"yyyy/mm/dd"),1),"")</f>
        <v>2364932000</v>
      </c>
      <c r="J479">
        <f>IFERROR([1]!s_stm07_is($A479,"W30028333",TEXT($B$1,"yyyy/mm/dd"),1),"")</f>
        <v>2049461000</v>
      </c>
      <c r="K479">
        <f>IFERROR([1]!s_stm07_cs($A479,"W77130581",TEXT($B$1,"yyyy/mm/dd"),1),"")</f>
        <v>-2378655000</v>
      </c>
      <c r="L479">
        <f>IFERROR([1]!s_stm07_cs($A479,"W77745895",TEXT($B$1,"yyyy/mm/dd"),1),"")</f>
        <v>309972000</v>
      </c>
      <c r="M479">
        <f>IFERROR([1]!S_FA_EPS_basic2($A479,$B$1,"Cur=CNY"),"")</f>
        <v>0.83260000000000001</v>
      </c>
      <c r="N479">
        <f>IFERROR([1]!s_fa_arturndays($A479,TEXT($B$1,"yyyy/mm/dd")),"")</f>
        <v>0</v>
      </c>
      <c r="O479" t="str">
        <f>IFERROR([1]!fa_apturndays($A479,TEXT($B$1,"yyyy/mm/dd")),"")</f>
        <v>Fetch...</v>
      </c>
      <c r="P479">
        <f>IFERROR([1]!s_fa_invturndays($A479,TEXT($B$1,"yyyy/mm/dd")),"")</f>
        <v>0</v>
      </c>
    </row>
    <row r="480" spans="1:16">
      <c r="A480" t="s">
        <v>493</v>
      </c>
      <c r="B480">
        <f>IFERROR([1]!s_stm07_is($A480,"W70156729",TEXT($B$1,"yyyy/mm/dd"),1),"")</f>
        <v>7543700533.0200005</v>
      </c>
      <c r="C480">
        <f>IFERROR([1]!s_stm07_is($A480,"W75682424",TEXT($B$1,"yyyy/mm/dd"),1),"")</f>
        <v>5949944991.9799995</v>
      </c>
      <c r="D480">
        <f>IFERROR([1]!s_stm07_is($A480,"W76031679",TEXT($B$1,"yyyy/mm/dd"),1),"")</f>
        <v>207790072.63</v>
      </c>
      <c r="E480">
        <f>IFERROR([1]!s_stm07_is($A480,"W70752487",TEXT($B$1,"yyyy/mm/dd"),1),"")</f>
        <v>420986642.13999999</v>
      </c>
      <c r="F480">
        <f>IFERROR([1]!s_stm07_is_103($A480,TEXT($B$1,"yyyy/mm/dd"),1),"")</f>
        <v>367985888.45999998</v>
      </c>
      <c r="G480">
        <f>IFERROR([1]!s_stm07_is_104($A480,TEXT($B$1,"yyyy/mm/dd"),1),"")</f>
        <v>52284948.990000002</v>
      </c>
      <c r="H480">
        <f>IFERROR([1]!s_stm07_is_105($A480,TEXT($B$1,"yyyy/mm/dd"),1),"")</f>
        <v>19466933.920000002</v>
      </c>
      <c r="I480">
        <f>IFERROR([1]!s_stm07_is($A480,"W72946623",TEXT($B$1,"yyyy/mm/dd"),1),"")</f>
        <v>476637949.85000002</v>
      </c>
      <c r="J480">
        <f>IFERROR([1]!s_stm07_is($A480,"W30028333",TEXT($B$1,"yyyy/mm/dd"),1),"")</f>
        <v>323973349.38</v>
      </c>
      <c r="K480">
        <f>IFERROR([1]!s_stm07_cs($A480,"W77130581",TEXT($B$1,"yyyy/mm/dd"),1),"")</f>
        <v>348318287.75999999</v>
      </c>
      <c r="L480">
        <f>IFERROR([1]!s_stm07_cs($A480,"W77745895",TEXT($B$1,"yyyy/mm/dd"),1),"")</f>
        <v>849965792.13999999</v>
      </c>
      <c r="M480">
        <f>IFERROR([1]!S_FA_EPS_basic2($A480,$B$1,"Cur=CNY"),"")</f>
        <v>0.28999999999999998</v>
      </c>
      <c r="N480">
        <f>IFERROR([1]!s_fa_arturndays($A480,TEXT($B$1,"yyyy/mm/dd")),"")</f>
        <v>78.162300000000002</v>
      </c>
      <c r="O480" t="str">
        <f>IFERROR([1]!fa_apturndays($A480,TEXT($B$1,"yyyy/mm/dd")),"")</f>
        <v>Fetch...</v>
      </c>
      <c r="P480">
        <f>IFERROR([1]!s_fa_invturndays($A480,TEXT($B$1,"yyyy/mm/dd")),"")</f>
        <v>62.023000000000003</v>
      </c>
    </row>
    <row r="481" spans="1:16">
      <c r="A481" t="s">
        <v>494</v>
      </c>
      <c r="B481">
        <f>IFERROR([1]!s_stm07_is($A481,"W70156729",TEXT($B$1,"yyyy/mm/dd"),1),"")</f>
        <v>6670181013.25</v>
      </c>
      <c r="C481">
        <f>IFERROR([1]!s_stm07_is($A481,"W75682424",TEXT($B$1,"yyyy/mm/dd"),1),"")</f>
        <v>3869300580.2199998</v>
      </c>
      <c r="D481">
        <f>IFERROR([1]!s_stm07_is($A481,"W76031679",TEXT($B$1,"yyyy/mm/dd"),1),"")</f>
        <v>210441846.28</v>
      </c>
      <c r="E481">
        <f>IFERROR([1]!s_stm07_is($A481,"W70752487",TEXT($B$1,"yyyy/mm/dd"),1),"")</f>
        <v>764777229.41999996</v>
      </c>
      <c r="F481">
        <f>IFERROR([1]!s_stm07_is_103($A481,TEXT($B$1,"yyyy/mm/dd"),1),"")</f>
        <v>593261182.52999997</v>
      </c>
      <c r="G481">
        <f>IFERROR([1]!s_stm07_is_104($A481,TEXT($B$1,"yyyy/mm/dd"),1),"")</f>
        <v>12750754.689999999</v>
      </c>
      <c r="H481">
        <f>IFERROR([1]!s_stm07_is_105($A481,TEXT($B$1,"yyyy/mm/dd"),1),"")</f>
        <v>202967116.91999999</v>
      </c>
      <c r="I481">
        <f>IFERROR([1]!s_stm07_is($A481,"W72946623",TEXT($B$1,"yyyy/mm/dd"),1),"")</f>
        <v>1286385273.24</v>
      </c>
      <c r="J481">
        <f>IFERROR([1]!s_stm07_is($A481,"W30028333",TEXT($B$1,"yyyy/mm/dd"),1),"")</f>
        <v>1132569775.6300001</v>
      </c>
      <c r="K481">
        <f>IFERROR([1]!s_stm07_cs($A481,"W77130581",TEXT($B$1,"yyyy/mm/dd"),1),"")</f>
        <v>1407585059.7</v>
      </c>
      <c r="L481">
        <f>IFERROR([1]!s_stm07_cs($A481,"W77745895",TEXT($B$1,"yyyy/mm/dd"),1),"")</f>
        <v>1270362185.6300001</v>
      </c>
      <c r="M481">
        <f>IFERROR([1]!S_FA_EPS_basic2($A481,$B$1,"Cur=CNY"),"")</f>
        <v>3.16</v>
      </c>
      <c r="N481">
        <f>IFERROR([1]!s_fa_arturndays($A481,TEXT($B$1,"yyyy/mm/dd")),"")</f>
        <v>101.3856</v>
      </c>
      <c r="O481" t="str">
        <f>IFERROR([1]!fa_apturndays($A481,TEXT($B$1,"yyyy/mm/dd")),"")</f>
        <v>Fetch...</v>
      </c>
      <c r="P481">
        <f>IFERROR([1]!s_fa_invturndays($A481,TEXT($B$1,"yyyy/mm/dd")),"")</f>
        <v>132.53809999999999</v>
      </c>
    </row>
    <row r="482" spans="1:16">
      <c r="A482" t="s">
        <v>495</v>
      </c>
      <c r="B482">
        <f>IFERROR([1]!s_stm07_is($A482,"W70156729",TEXT($B$1,"yyyy/mm/dd"),1),"")</f>
        <v>1827479738.6800001</v>
      </c>
      <c r="C482">
        <f>IFERROR([1]!s_stm07_is($A482,"W75682424",TEXT($B$1,"yyyy/mm/dd"),1),"")</f>
        <v>1273693966.1400001</v>
      </c>
      <c r="D482">
        <f>IFERROR([1]!s_stm07_is($A482,"W76031679",TEXT($B$1,"yyyy/mm/dd"),1),"")</f>
        <v>46541171.950000003</v>
      </c>
      <c r="E482">
        <f>IFERROR([1]!s_stm07_is($A482,"W70752487",TEXT($B$1,"yyyy/mm/dd"),1),"")</f>
        <v>199617430.87</v>
      </c>
      <c r="F482">
        <f>IFERROR([1]!s_stm07_is_103($A482,TEXT($B$1,"yyyy/mm/dd"),1),"")</f>
        <v>37360977.009999998</v>
      </c>
      <c r="G482">
        <f>IFERROR([1]!s_stm07_is_104($A482,TEXT($B$1,"yyyy/mm/dd"),1),"")</f>
        <v>19310668.050000001</v>
      </c>
      <c r="H482">
        <f>IFERROR([1]!s_stm07_is_105($A482,TEXT($B$1,"yyyy/mm/dd"),1),"")</f>
        <v>3111784.13</v>
      </c>
      <c r="I482">
        <f>IFERROR([1]!s_stm07_is($A482,"W72946623",TEXT($B$1,"yyyy/mm/dd"),1),"")</f>
        <v>251496104.72999999</v>
      </c>
      <c r="J482">
        <f>IFERROR([1]!s_stm07_is($A482,"W30028333",TEXT($B$1,"yyyy/mm/dd"),1),"")</f>
        <v>198010769.83000001</v>
      </c>
      <c r="K482">
        <f>IFERROR([1]!s_stm07_cs($A482,"W77130581",TEXT($B$1,"yyyy/mm/dd"),1),"")</f>
        <v>197853334.28</v>
      </c>
      <c r="L482">
        <f>IFERROR([1]!s_stm07_cs($A482,"W77745895",TEXT($B$1,"yyyy/mm/dd"),1),"")</f>
        <v>70638099.010000005</v>
      </c>
      <c r="M482">
        <f>IFERROR([1]!S_FA_EPS_basic2($A482,$B$1,"Cur=CNY"),"")</f>
        <v>0.72</v>
      </c>
      <c r="N482">
        <f>IFERROR([1]!s_fa_arturndays($A482,TEXT($B$1,"yyyy/mm/dd")),"")</f>
        <v>202.24719999999999</v>
      </c>
      <c r="O482" t="str">
        <f>IFERROR([1]!fa_apturndays($A482,TEXT($B$1,"yyyy/mm/dd")),"")</f>
        <v>Fetch...</v>
      </c>
      <c r="P482">
        <f>IFERROR([1]!s_fa_invturndays($A482,TEXT($B$1,"yyyy/mm/dd")),"")</f>
        <v>39.203699999999998</v>
      </c>
    </row>
    <row r="483" spans="1:16">
      <c r="A483" t="s">
        <v>496</v>
      </c>
      <c r="B483">
        <f>IFERROR([1]!s_stm07_is($A483,"W70156729",TEXT($B$1,"yyyy/mm/dd"),1),"")</f>
        <v>17238032669.07</v>
      </c>
      <c r="C483">
        <f>IFERROR([1]!s_stm07_is($A483,"W75682424",TEXT($B$1,"yyyy/mm/dd"),1),"")</f>
        <v>12840046130.17</v>
      </c>
      <c r="D483">
        <f>IFERROR([1]!s_stm07_is($A483,"W76031679",TEXT($B$1,"yyyy/mm/dd"),1),"")</f>
        <v>511972253.47000003</v>
      </c>
      <c r="E483">
        <f>IFERROR([1]!s_stm07_is($A483,"W70752487",TEXT($B$1,"yyyy/mm/dd"),1),"")</f>
        <v>1119591437.71</v>
      </c>
      <c r="F483">
        <f>IFERROR([1]!s_stm07_is_103($A483,TEXT($B$1,"yyyy/mm/dd"),1),"")</f>
        <v>737195167.25999999</v>
      </c>
      <c r="G483">
        <f>IFERROR([1]!s_stm07_is_104($A483,TEXT($B$1,"yyyy/mm/dd"),1),"")</f>
        <v>118536250.94</v>
      </c>
      <c r="H483">
        <f>IFERROR([1]!s_stm07_is_105($A483,TEXT($B$1,"yyyy/mm/dd"),1),"")</f>
        <v>57319492.43</v>
      </c>
      <c r="I483">
        <f>IFERROR([1]!s_stm07_is($A483,"W72946623",TEXT($B$1,"yyyy/mm/dd"),1),"")</f>
        <v>1895426963</v>
      </c>
      <c r="J483">
        <f>IFERROR([1]!s_stm07_is($A483,"W30028333",TEXT($B$1,"yyyy/mm/dd"),1),"")</f>
        <v>1592353960.25</v>
      </c>
      <c r="K483">
        <f>IFERROR([1]!s_stm07_cs($A483,"W77130581",TEXT($B$1,"yyyy/mm/dd"),1),"")</f>
        <v>2737188208.27</v>
      </c>
      <c r="L483">
        <f>IFERROR([1]!s_stm07_cs($A483,"W77745895",TEXT($B$1,"yyyy/mm/dd"),1),"")</f>
        <v>886143681.72000003</v>
      </c>
      <c r="M483">
        <f>IFERROR([1]!S_FA_EPS_basic2($A483,$B$1,"Cur=CNY"),"")</f>
        <v>1.75</v>
      </c>
      <c r="N483">
        <f>IFERROR([1]!s_fa_arturndays($A483,TEXT($B$1,"yyyy/mm/dd")),"")</f>
        <v>130.69999999999999</v>
      </c>
      <c r="O483" t="str">
        <f>IFERROR([1]!fa_apturndays($A483,TEXT($B$1,"yyyy/mm/dd")),"")</f>
        <v>Fetch...</v>
      </c>
      <c r="P483">
        <f>IFERROR([1]!s_fa_invturndays($A483,TEXT($B$1,"yyyy/mm/dd")),"")</f>
        <v>46.845100000000002</v>
      </c>
    </row>
    <row r="484" spans="1:16">
      <c r="A484" t="s">
        <v>497</v>
      </c>
      <c r="B484">
        <f>IFERROR([1]!s_stm07_is($A484,"W70156729",TEXT($B$1,"yyyy/mm/dd"),1),"")</f>
        <v>4313910954.0100002</v>
      </c>
      <c r="C484">
        <f>IFERROR([1]!s_stm07_is($A484,"W75682424",TEXT($B$1,"yyyy/mm/dd"),1),"")</f>
        <v>1074702625.1300001</v>
      </c>
      <c r="D484">
        <f>IFERROR([1]!s_stm07_is($A484,"W76031679",TEXT($B$1,"yyyy/mm/dd"),1),"")</f>
        <v>2019063748.3900001</v>
      </c>
      <c r="E484">
        <f>IFERROR([1]!s_stm07_is($A484,"W70752487",TEXT($B$1,"yyyy/mm/dd"),1),"")</f>
        <v>368438403.29000002</v>
      </c>
      <c r="F484">
        <f>IFERROR([1]!s_stm07_is_103($A484,TEXT($B$1,"yyyy/mm/dd"),1),"")</f>
        <v>137731901.99000001</v>
      </c>
      <c r="G484">
        <f>IFERROR([1]!s_stm07_is_104($A484,TEXT($B$1,"yyyy/mm/dd"),1),"")</f>
        <v>30517939.879999999</v>
      </c>
      <c r="H484">
        <f>IFERROR([1]!s_stm07_is_105($A484,TEXT($B$1,"yyyy/mm/dd"),1),"")</f>
        <v>16027831.66</v>
      </c>
      <c r="I484">
        <f>IFERROR([1]!s_stm07_is($A484,"W72946623",TEXT($B$1,"yyyy/mm/dd"),1),"")</f>
        <v>648433440.11000001</v>
      </c>
      <c r="J484">
        <f>IFERROR([1]!s_stm07_is($A484,"W30028333",TEXT($B$1,"yyyy/mm/dd"),1),"")</f>
        <v>550692507.37</v>
      </c>
      <c r="K484">
        <f>IFERROR([1]!s_stm07_cs($A484,"W77130581",TEXT($B$1,"yyyy/mm/dd"),1),"")</f>
        <v>691243888.17999995</v>
      </c>
      <c r="L484">
        <f>IFERROR([1]!s_stm07_cs($A484,"W77745895",TEXT($B$1,"yyyy/mm/dd"),1),"")</f>
        <v>612292649.74000001</v>
      </c>
      <c r="M484">
        <f>IFERROR([1]!S_FA_EPS_basic2($A484,$B$1,"Cur=CNY"),"")</f>
        <v>0.96</v>
      </c>
      <c r="N484">
        <f>IFERROR([1]!s_fa_arturndays($A484,TEXT($B$1,"yyyy/mm/dd")),"")</f>
        <v>30.570900000000002</v>
      </c>
      <c r="O484" t="str">
        <f>IFERROR([1]!fa_apturndays($A484,TEXT($B$1,"yyyy/mm/dd")),"")</f>
        <v>Fetch...</v>
      </c>
      <c r="P484">
        <f>IFERROR([1]!s_fa_invturndays($A484,TEXT($B$1,"yyyy/mm/dd")),"")</f>
        <v>352.21600000000001</v>
      </c>
    </row>
    <row r="485" spans="1:16">
      <c r="A485" t="s">
        <v>498</v>
      </c>
      <c r="B485">
        <f>IFERROR([1]!s_stm07_is($A485,"W70156729",TEXT($B$1,"yyyy/mm/dd"),1),"")</f>
        <v>6067759091.5500002</v>
      </c>
      <c r="C485">
        <f>IFERROR([1]!s_stm07_is($A485,"W75682424",TEXT($B$1,"yyyy/mm/dd"),1),"")</f>
        <v>4377125780.9799995</v>
      </c>
      <c r="D485">
        <f>IFERROR([1]!s_stm07_is($A485,"W76031679",TEXT($B$1,"yyyy/mm/dd"),1),"")</f>
        <v>254101820.15000001</v>
      </c>
      <c r="E485">
        <f>IFERROR([1]!s_stm07_is($A485,"W70752487",TEXT($B$1,"yyyy/mm/dd"),1),"")</f>
        <v>243986893.16999999</v>
      </c>
      <c r="F485">
        <f>IFERROR([1]!s_stm07_is_103($A485,TEXT($B$1,"yyyy/mm/dd"),1),"")</f>
        <v>445940662.44999999</v>
      </c>
      <c r="G485">
        <f>IFERROR([1]!s_stm07_is_104($A485,TEXT($B$1,"yyyy/mm/dd"),1),"")</f>
        <v>26240534.949999999</v>
      </c>
      <c r="H485">
        <f>IFERROR([1]!s_stm07_is_105($A485,TEXT($B$1,"yyyy/mm/dd"),1),"")</f>
        <v>15188353.98</v>
      </c>
      <c r="I485">
        <f>IFERROR([1]!s_stm07_is($A485,"W72946623",TEXT($B$1,"yyyy/mm/dd"),1),"")</f>
        <v>597408857</v>
      </c>
      <c r="J485">
        <f>IFERROR([1]!s_stm07_is($A485,"W30028333",TEXT($B$1,"yyyy/mm/dd"),1),"")</f>
        <v>521914773</v>
      </c>
      <c r="K485">
        <f>IFERROR([1]!s_stm07_cs($A485,"W77130581",TEXT($B$1,"yyyy/mm/dd"),1),"")</f>
        <v>157273222.36000001</v>
      </c>
      <c r="L485">
        <f>IFERROR([1]!s_stm07_cs($A485,"W77745895",TEXT($B$1,"yyyy/mm/dd"),1),"")</f>
        <v>303000207.70999998</v>
      </c>
      <c r="M485">
        <f>IFERROR([1]!S_FA_EPS_basic2($A485,$B$1,"Cur=CNY"),"")</f>
        <v>0.54</v>
      </c>
      <c r="N485">
        <f>IFERROR([1]!s_fa_arturndays($A485,TEXT($B$1,"yyyy/mm/dd")),"")</f>
        <v>162.631</v>
      </c>
      <c r="O485" t="str">
        <f>IFERROR([1]!fa_apturndays($A485,TEXT($B$1,"yyyy/mm/dd")),"")</f>
        <v>Fetch...</v>
      </c>
      <c r="P485">
        <f>IFERROR([1]!s_fa_invturndays($A485,TEXT($B$1,"yyyy/mm/dd")),"")</f>
        <v>91.600700000000003</v>
      </c>
    </row>
    <row r="486" spans="1:16">
      <c r="A486" t="s">
        <v>499</v>
      </c>
      <c r="B486">
        <f>IFERROR([1]!s_stm07_is($A486,"W70156729",TEXT($B$1,"yyyy/mm/dd"),1),"")</f>
        <v>4746818987.2600002</v>
      </c>
      <c r="C486">
        <f>IFERROR([1]!s_stm07_is($A486,"W75682424",TEXT($B$1,"yyyy/mm/dd"),1),"")</f>
        <v>0</v>
      </c>
      <c r="D486">
        <f>IFERROR([1]!s_stm07_is($A486,"W76031679",TEXT($B$1,"yyyy/mm/dd"),1),"")</f>
        <v>0</v>
      </c>
      <c r="E486">
        <f>IFERROR([1]!s_stm07_is($A486,"W70752487",TEXT($B$1,"yyyy/mm/dd"),1),"")</f>
        <v>1681667374.03</v>
      </c>
      <c r="F486">
        <f>IFERROR([1]!s_stm07_is_103($A486,TEXT($B$1,"yyyy/mm/dd"),1),"")</f>
        <v>0</v>
      </c>
      <c r="G486">
        <f>IFERROR([1]!s_stm07_is_104($A486,TEXT($B$1,"yyyy/mm/dd"),1),"")</f>
        <v>0</v>
      </c>
      <c r="H486">
        <f>IFERROR([1]!s_stm07_is_105($A486,TEXT($B$1,"yyyy/mm/dd"),1),"")</f>
        <v>0</v>
      </c>
      <c r="I486">
        <f>IFERROR([1]!s_stm07_is($A486,"W72946623",TEXT($B$1,"yyyy/mm/dd"),1),"")</f>
        <v>2250876951.0900002</v>
      </c>
      <c r="J486">
        <f>IFERROR([1]!s_stm07_is($A486,"W30028333",TEXT($B$1,"yyyy/mm/dd"),1),"")</f>
        <v>1978974061.72</v>
      </c>
      <c r="K486">
        <f>IFERROR([1]!s_stm07_cs($A486,"W77130581",TEXT($B$1,"yyyy/mm/dd"),1),"")</f>
        <v>-3240353790.4200001</v>
      </c>
      <c r="L486">
        <f>IFERROR([1]!s_stm07_cs($A486,"W77745895",TEXT($B$1,"yyyy/mm/dd"),1),"")</f>
        <v>67663904.819999993</v>
      </c>
      <c r="M486">
        <f>IFERROR([1]!S_FA_EPS_basic2($A486,$B$1,"Cur=CNY"),"")</f>
        <v>0.77</v>
      </c>
      <c r="N486">
        <f>IFERROR([1]!s_fa_arturndays($A486,TEXT($B$1,"yyyy/mm/dd")),"")</f>
        <v>0</v>
      </c>
      <c r="O486" t="str">
        <f>IFERROR([1]!fa_apturndays($A486,TEXT($B$1,"yyyy/mm/dd")),"")</f>
        <v>Fetch...</v>
      </c>
      <c r="P486">
        <f>IFERROR([1]!s_fa_invturndays($A486,TEXT($B$1,"yyyy/mm/dd")),"")</f>
        <v>0</v>
      </c>
    </row>
    <row r="487" spans="1:16">
      <c r="A487" t="s">
        <v>500</v>
      </c>
      <c r="B487">
        <f>IFERROR([1]!s_stm07_is($A487,"W70156729",TEXT($B$1,"yyyy/mm/dd"),1),"")</f>
        <v>8072002990.8800001</v>
      </c>
      <c r="C487">
        <f>IFERROR([1]!s_stm07_is($A487,"W75682424",TEXT($B$1,"yyyy/mm/dd"),1),"")</f>
        <v>7706628807.3100004</v>
      </c>
      <c r="D487">
        <f>IFERROR([1]!s_stm07_is($A487,"W76031679",TEXT($B$1,"yyyy/mm/dd"),1),"")</f>
        <v>103030335.02</v>
      </c>
      <c r="E487">
        <f>IFERROR([1]!s_stm07_is($A487,"W70752487",TEXT($B$1,"yyyy/mm/dd"),1),"")</f>
        <v>182765647.96000001</v>
      </c>
      <c r="F487">
        <f>IFERROR([1]!s_stm07_is_103($A487,TEXT($B$1,"yyyy/mm/dd"),1),"")</f>
        <v>68278026.590000004</v>
      </c>
      <c r="G487">
        <f>IFERROR([1]!s_stm07_is_104($A487,TEXT($B$1,"yyyy/mm/dd"),1),"")</f>
        <v>161815601.41</v>
      </c>
      <c r="H487">
        <f>IFERROR([1]!s_stm07_is_105($A487,TEXT($B$1,"yyyy/mm/dd"),1),"")</f>
        <v>13552914.33</v>
      </c>
      <c r="I487">
        <f>IFERROR([1]!s_stm07_is($A487,"W72946623",TEXT($B$1,"yyyy/mm/dd"),1),"")</f>
        <v>-136089898.06999999</v>
      </c>
      <c r="J487">
        <f>IFERROR([1]!s_stm07_is($A487,"W30028333",TEXT($B$1,"yyyy/mm/dd"),1),"")</f>
        <v>-136017659.72</v>
      </c>
      <c r="K487">
        <f>IFERROR([1]!s_stm07_cs($A487,"W77130581",TEXT($B$1,"yyyy/mm/dd"),1),"")</f>
        <v>525132576</v>
      </c>
      <c r="L487">
        <f>IFERROR([1]!s_stm07_cs($A487,"W77745895",TEXT($B$1,"yyyy/mm/dd"),1),"")</f>
        <v>647585454.92999995</v>
      </c>
      <c r="M487">
        <f>IFERROR([1]!S_FA_EPS_basic2($A487,$B$1,"Cur=CNY"),"")</f>
        <v>-0.18</v>
      </c>
      <c r="N487">
        <f>IFERROR([1]!s_fa_arturndays($A487,TEXT($B$1,"yyyy/mm/dd")),"")</f>
        <v>3.0318000000000001</v>
      </c>
      <c r="O487" t="str">
        <f>IFERROR([1]!fa_apturndays($A487,TEXT($B$1,"yyyy/mm/dd")),"")</f>
        <v>Fetch...</v>
      </c>
      <c r="P487">
        <f>IFERROR([1]!s_fa_invturndays($A487,TEXT($B$1,"yyyy/mm/dd")),"")</f>
        <v>63.456299999999999</v>
      </c>
    </row>
    <row r="488" spans="1:16">
      <c r="A488" t="s">
        <v>501</v>
      </c>
      <c r="B488">
        <f>IFERROR([1]!s_stm07_is($A488,"W70156729",TEXT($B$1,"yyyy/mm/dd"),1),"")</f>
        <v>24353884352.939999</v>
      </c>
      <c r="C488">
        <f>IFERROR([1]!s_stm07_is($A488,"W75682424",TEXT($B$1,"yyyy/mm/dd"),1),"")</f>
        <v>19473931659.439999</v>
      </c>
      <c r="D488">
        <f>IFERROR([1]!s_stm07_is($A488,"W76031679",TEXT($B$1,"yyyy/mm/dd"),1),"")</f>
        <v>1134730526.5</v>
      </c>
      <c r="E488">
        <f>IFERROR([1]!s_stm07_is($A488,"W70752487",TEXT($B$1,"yyyy/mm/dd"),1),"")</f>
        <v>1153966214.8</v>
      </c>
      <c r="F488">
        <f>IFERROR([1]!s_stm07_is_103($A488,TEXT($B$1,"yyyy/mm/dd"),1),"")</f>
        <v>1587966332.9300001</v>
      </c>
      <c r="G488">
        <f>IFERROR([1]!s_stm07_is_104($A488,TEXT($B$1,"yyyy/mm/dd"),1),"")</f>
        <v>64720321.409999996</v>
      </c>
      <c r="H488">
        <f>IFERROR([1]!s_stm07_is_105($A488,TEXT($B$1,"yyyy/mm/dd"),1),"")</f>
        <v>89526251.400000006</v>
      </c>
      <c r="I488">
        <f>IFERROR([1]!s_stm07_is($A488,"W72946623",TEXT($B$1,"yyyy/mm/dd"),1),"")</f>
        <v>1168141262.28</v>
      </c>
      <c r="J488">
        <f>IFERROR([1]!s_stm07_is($A488,"W30028333",TEXT($B$1,"yyyy/mm/dd"),1),"")</f>
        <v>1013445450.9400001</v>
      </c>
      <c r="K488">
        <f>IFERROR([1]!s_stm07_cs($A488,"W77130581",TEXT($B$1,"yyyy/mm/dd"),1),"")</f>
        <v>661554052.09000003</v>
      </c>
      <c r="L488">
        <f>IFERROR([1]!s_stm07_cs($A488,"W77745895",TEXT($B$1,"yyyy/mm/dd"),1),"")</f>
        <v>692630897.51999998</v>
      </c>
      <c r="M488">
        <f>IFERROR([1]!S_FA_EPS_basic2($A488,$B$1,"Cur=CNY"),"")</f>
        <v>1.48</v>
      </c>
      <c r="N488">
        <f>IFERROR([1]!s_fa_arturndays($A488,TEXT($B$1,"yyyy/mm/dd")),"")</f>
        <v>7.1506999999999996</v>
      </c>
      <c r="O488" t="str">
        <f>IFERROR([1]!fa_apturndays($A488,TEXT($B$1,"yyyy/mm/dd")),"")</f>
        <v>Fetch...</v>
      </c>
      <c r="P488">
        <f>IFERROR([1]!s_fa_invturndays($A488,TEXT($B$1,"yyyy/mm/dd")),"")</f>
        <v>63.796999999999997</v>
      </c>
    </row>
    <row r="489" spans="1:16">
      <c r="A489" t="s">
        <v>502</v>
      </c>
      <c r="B489">
        <f>IFERROR([1]!s_stm07_is($A489,"W70156729",TEXT($B$1,"yyyy/mm/dd"),1),"")</f>
        <v>5762229731.4399996</v>
      </c>
      <c r="C489">
        <f>IFERROR([1]!s_stm07_is($A489,"W75682424",TEXT($B$1,"yyyy/mm/dd"),1),"")</f>
        <v>3987653377.5900002</v>
      </c>
      <c r="D489">
        <f>IFERROR([1]!s_stm07_is($A489,"W76031679",TEXT($B$1,"yyyy/mm/dd"),1),"")</f>
        <v>605089846.44000006</v>
      </c>
      <c r="E489">
        <f>IFERROR([1]!s_stm07_is($A489,"W70752487",TEXT($B$1,"yyyy/mm/dd"),1),"")</f>
        <v>190765015.71000001</v>
      </c>
      <c r="F489">
        <f>IFERROR([1]!s_stm07_is_103($A489,TEXT($B$1,"yyyy/mm/dd"),1),"")</f>
        <v>75646354.390000001</v>
      </c>
      <c r="G489">
        <f>IFERROR([1]!s_stm07_is_104($A489,TEXT($B$1,"yyyy/mm/dd"),1),"")</f>
        <v>20818898.640000001</v>
      </c>
      <c r="H489">
        <f>IFERROR([1]!s_stm07_is_105($A489,TEXT($B$1,"yyyy/mm/dd"),1),"")</f>
        <v>547799.22</v>
      </c>
      <c r="I489">
        <f>IFERROR([1]!s_stm07_is($A489,"W72946623",TEXT($B$1,"yyyy/mm/dd"),1),"")</f>
        <v>874838496.63999999</v>
      </c>
      <c r="J489">
        <f>IFERROR([1]!s_stm07_is($A489,"W30028333",TEXT($B$1,"yyyy/mm/dd"),1),"")</f>
        <v>748413603.63999999</v>
      </c>
      <c r="K489">
        <f>IFERROR([1]!s_stm07_cs($A489,"W77130581",TEXT($B$1,"yyyy/mm/dd"),1),"")</f>
        <v>908977875.88</v>
      </c>
      <c r="L489">
        <f>IFERROR([1]!s_stm07_cs($A489,"W77745895",TEXT($B$1,"yyyy/mm/dd"),1),"")</f>
        <v>900551252.32000005</v>
      </c>
      <c r="M489">
        <f>IFERROR([1]!S_FA_EPS_basic2($A489,$B$1,"Cur=CNY"),"")</f>
        <v>2.78</v>
      </c>
      <c r="N489">
        <f>IFERROR([1]!s_fa_arturndays($A489,TEXT($B$1,"yyyy/mm/dd")),"")</f>
        <v>15.294</v>
      </c>
      <c r="O489" t="str">
        <f>IFERROR([1]!fa_apturndays($A489,TEXT($B$1,"yyyy/mm/dd")),"")</f>
        <v>Fetch...</v>
      </c>
      <c r="P489">
        <f>IFERROR([1]!s_fa_invturndays($A489,TEXT($B$1,"yyyy/mm/dd")),"")</f>
        <v>66.733400000000003</v>
      </c>
    </row>
    <row r="490" spans="1:16">
      <c r="A490" t="s">
        <v>503</v>
      </c>
      <c r="B490">
        <f>IFERROR([1]!s_stm07_is($A490,"W70156729",TEXT($B$1,"yyyy/mm/dd"),1),"")</f>
        <v>15212979268.110001</v>
      </c>
      <c r="C490">
        <f>IFERROR([1]!s_stm07_is($A490,"W75682424",TEXT($B$1,"yyyy/mm/dd"),1),"")</f>
        <v>11604571407.860001</v>
      </c>
      <c r="D490">
        <f>IFERROR([1]!s_stm07_is($A490,"W76031679",TEXT($B$1,"yyyy/mm/dd"),1),"")</f>
        <v>54591387.210000001</v>
      </c>
      <c r="E490">
        <f>IFERROR([1]!s_stm07_is($A490,"W70752487",TEXT($B$1,"yyyy/mm/dd"),1),"")</f>
        <v>325350265.88</v>
      </c>
      <c r="F490">
        <f>IFERROR([1]!s_stm07_is_103($A490,TEXT($B$1,"yyyy/mm/dd"),1),"")</f>
        <v>882685549.87</v>
      </c>
      <c r="G490">
        <f>IFERROR([1]!s_stm07_is_104($A490,TEXT($B$1,"yyyy/mm/dd"),1),"")</f>
        <v>148091559.38999999</v>
      </c>
      <c r="H490">
        <f>IFERROR([1]!s_stm07_is_105($A490,TEXT($B$1,"yyyy/mm/dd"),1),"")</f>
        <v>21017037.48</v>
      </c>
      <c r="I490">
        <f>IFERROR([1]!s_stm07_is($A490,"W72946623",TEXT($B$1,"yyyy/mm/dd"),1),"")</f>
        <v>2072354181.05</v>
      </c>
      <c r="J490">
        <f>IFERROR([1]!s_stm07_is($A490,"W30028333",TEXT($B$1,"yyyy/mm/dd"),1),"")</f>
        <v>1764029997.1600001</v>
      </c>
      <c r="K490">
        <f>IFERROR([1]!s_stm07_cs($A490,"W77130581",TEXT($B$1,"yyyy/mm/dd"),1),"")</f>
        <v>1901275094.8399999</v>
      </c>
      <c r="L490">
        <f>IFERROR([1]!s_stm07_cs($A490,"W77745895",TEXT($B$1,"yyyy/mm/dd"),1),"")</f>
        <v>755187499.13</v>
      </c>
      <c r="M490">
        <f>IFERROR([1]!S_FA_EPS_basic2($A490,$B$1,"Cur=CNY"),"")</f>
        <v>6.45</v>
      </c>
      <c r="N490">
        <f>IFERROR([1]!s_fa_arturndays($A490,TEXT($B$1,"yyyy/mm/dd")),"")</f>
        <v>100.74720000000001</v>
      </c>
      <c r="O490" t="str">
        <f>IFERROR([1]!fa_apturndays($A490,TEXT($B$1,"yyyy/mm/dd")),"")</f>
        <v>Fetch...</v>
      </c>
      <c r="P490">
        <f>IFERROR([1]!s_fa_invturndays($A490,TEXT($B$1,"yyyy/mm/dd")),"")</f>
        <v>28.2362</v>
      </c>
    </row>
    <row r="491" spans="1:16">
      <c r="A491" t="s">
        <v>504</v>
      </c>
      <c r="B491">
        <f>IFERROR([1]!s_stm07_is($A491,"W70156729",TEXT($B$1,"yyyy/mm/dd"),1),"")</f>
        <v>9402840214.8999996</v>
      </c>
      <c r="C491">
        <f>IFERROR([1]!s_stm07_is($A491,"W75682424",TEXT($B$1,"yyyy/mm/dd"),1),"")</f>
        <v>7307042239.3000002</v>
      </c>
      <c r="D491">
        <f>IFERROR([1]!s_stm07_is($A491,"W76031679",TEXT($B$1,"yyyy/mm/dd"),1),"")</f>
        <v>413685132.01999998</v>
      </c>
      <c r="E491">
        <f>IFERROR([1]!s_stm07_is($A491,"W70752487",TEXT($B$1,"yyyy/mm/dd"),1),"")</f>
        <v>324168437.38999999</v>
      </c>
      <c r="F491">
        <f>IFERROR([1]!s_stm07_is_103($A491,TEXT($B$1,"yyyy/mm/dd"),1),"")</f>
        <v>1122337491.0699999</v>
      </c>
      <c r="G491">
        <f>IFERROR([1]!s_stm07_is_104($A491,TEXT($B$1,"yyyy/mm/dd"),1),"")</f>
        <v>32880912.43</v>
      </c>
      <c r="H491">
        <f>IFERROR([1]!s_stm07_is_105($A491,TEXT($B$1,"yyyy/mm/dd"),1),"")</f>
        <v>45199226.700000003</v>
      </c>
      <c r="I491">
        <f>IFERROR([1]!s_stm07_is($A491,"W72946623",TEXT($B$1,"yyyy/mm/dd"),1),"")</f>
        <v>219815264.31999999</v>
      </c>
      <c r="J491">
        <f>IFERROR([1]!s_stm07_is($A491,"W30028333",TEXT($B$1,"yyyy/mm/dd"),1),"")</f>
        <v>145752331.81</v>
      </c>
      <c r="K491">
        <f>IFERROR([1]!s_stm07_cs($A491,"W77130581",TEXT($B$1,"yyyy/mm/dd"),1),"")</f>
        <v>-139331731.40000001</v>
      </c>
      <c r="L491">
        <f>IFERROR([1]!s_stm07_cs($A491,"W77745895",TEXT($B$1,"yyyy/mm/dd"),1),"")</f>
        <v>439160488.19</v>
      </c>
      <c r="M491">
        <f>IFERROR([1]!S_FA_EPS_basic2($A491,$B$1,"Cur=CNY"),"")</f>
        <v>0.26769999999999999</v>
      </c>
      <c r="N491">
        <f>IFERROR([1]!s_fa_arturndays($A491,TEXT($B$1,"yyyy/mm/dd")),"")</f>
        <v>105.039</v>
      </c>
      <c r="O491" t="str">
        <f>IFERROR([1]!fa_apturndays($A491,TEXT($B$1,"yyyy/mm/dd")),"")</f>
        <v>Fetch...</v>
      </c>
      <c r="P491">
        <f>IFERROR([1]!s_fa_invturndays($A491,TEXT($B$1,"yyyy/mm/dd")),"")</f>
        <v>129.4545</v>
      </c>
    </row>
    <row r="492" spans="1:16">
      <c r="A492" t="s">
        <v>505</v>
      </c>
      <c r="B492">
        <f>IFERROR([1]!s_stm07_is($A492,"W70156729",TEXT($B$1,"yyyy/mm/dd"),1),"")</f>
        <v>2100411965.7</v>
      </c>
      <c r="C492">
        <f>IFERROR([1]!s_stm07_is($A492,"W75682424",TEXT($B$1,"yyyy/mm/dd"),1),"")</f>
        <v>1398700487</v>
      </c>
      <c r="D492">
        <f>IFERROR([1]!s_stm07_is($A492,"W76031679",TEXT($B$1,"yyyy/mm/dd"),1),"")</f>
        <v>30308283.170000002</v>
      </c>
      <c r="E492">
        <f>IFERROR([1]!s_stm07_is($A492,"W70752487",TEXT($B$1,"yyyy/mm/dd"),1),"")</f>
        <v>199701966.97999999</v>
      </c>
      <c r="F492">
        <f>IFERROR([1]!s_stm07_is_103($A492,TEXT($B$1,"yyyy/mm/dd"),1),"")</f>
        <v>164777839.06999999</v>
      </c>
      <c r="G492">
        <f>IFERROR([1]!s_stm07_is_104($A492,TEXT($B$1,"yyyy/mm/dd"),1),"")</f>
        <v>64265029.829999998</v>
      </c>
      <c r="H492">
        <f>IFERROR([1]!s_stm07_is_105($A492,TEXT($B$1,"yyyy/mm/dd"),1),"")</f>
        <v>18319609.57</v>
      </c>
      <c r="I492">
        <f>IFERROR([1]!s_stm07_is($A492,"W72946623",TEXT($B$1,"yyyy/mm/dd"),1),"")</f>
        <v>229116025.00999999</v>
      </c>
      <c r="J492">
        <f>IFERROR([1]!s_stm07_is($A492,"W30028333",TEXT($B$1,"yyyy/mm/dd"),1),"")</f>
        <v>219820959.15000001</v>
      </c>
      <c r="K492">
        <f>IFERROR([1]!s_stm07_cs($A492,"W77130581",TEXT($B$1,"yyyy/mm/dd"),1),"")</f>
        <v>326260386</v>
      </c>
      <c r="L492">
        <f>IFERROR([1]!s_stm07_cs($A492,"W77745895",TEXT($B$1,"yyyy/mm/dd"),1),"")</f>
        <v>821162493.88</v>
      </c>
      <c r="M492">
        <f>IFERROR([1]!S_FA_EPS_basic2($A492,$B$1,"Cur=CNY"),"")</f>
        <v>0.51</v>
      </c>
      <c r="N492">
        <f>IFERROR([1]!s_fa_arturndays($A492,TEXT($B$1,"yyyy/mm/dd")),"")</f>
        <v>102.529</v>
      </c>
      <c r="O492" t="str">
        <f>IFERROR([1]!fa_apturndays($A492,TEXT($B$1,"yyyy/mm/dd")),"")</f>
        <v>Fetch...</v>
      </c>
      <c r="P492">
        <f>IFERROR([1]!s_fa_invturndays($A492,TEXT($B$1,"yyyy/mm/dd")),"")</f>
        <v>125.04340000000001</v>
      </c>
    </row>
    <row r="493" spans="1:16">
      <c r="A493" t="s">
        <v>506</v>
      </c>
      <c r="B493">
        <f>IFERROR([1]!s_stm07_is($A493,"W70156729",TEXT($B$1,"yyyy/mm/dd"),1),"")</f>
        <v>8815068487.3600006</v>
      </c>
      <c r="C493">
        <f>IFERROR([1]!s_stm07_is($A493,"W75682424",TEXT($B$1,"yyyy/mm/dd"),1),"")</f>
        <v>6051231760.6899996</v>
      </c>
      <c r="D493">
        <f>IFERROR([1]!s_stm07_is($A493,"W76031679",TEXT($B$1,"yyyy/mm/dd"),1),"")</f>
        <v>1075237696.47</v>
      </c>
      <c r="E493">
        <f>IFERROR([1]!s_stm07_is($A493,"W70752487",TEXT($B$1,"yyyy/mm/dd"),1),"")</f>
        <v>120017881.61</v>
      </c>
      <c r="F493">
        <f>IFERROR([1]!s_stm07_is_103($A493,TEXT($B$1,"yyyy/mm/dd"),1),"")</f>
        <v>13008282.32</v>
      </c>
      <c r="G493">
        <f>IFERROR([1]!s_stm07_is_104($A493,TEXT($B$1,"yyyy/mm/dd"),1),"")</f>
        <v>18617440.289999999</v>
      </c>
      <c r="H493">
        <f>IFERROR([1]!s_stm07_is_105($A493,TEXT($B$1,"yyyy/mm/dd"),1),"")</f>
        <v>11711589.699999999</v>
      </c>
      <c r="I493">
        <f>IFERROR([1]!s_stm07_is($A493,"W72946623",TEXT($B$1,"yyyy/mm/dd"),1),"")</f>
        <v>1342738364.5599999</v>
      </c>
      <c r="J493">
        <f>IFERROR([1]!s_stm07_is($A493,"W30028333",TEXT($B$1,"yyyy/mm/dd"),1),"")</f>
        <v>1103224980.77</v>
      </c>
      <c r="K493">
        <f>IFERROR([1]!s_stm07_cs($A493,"W77130581",TEXT($B$1,"yyyy/mm/dd"),1),"")</f>
        <v>464011855.04000002</v>
      </c>
      <c r="L493">
        <f>IFERROR([1]!s_stm07_cs($A493,"W77745895",TEXT($B$1,"yyyy/mm/dd"),1),"")</f>
        <v>109862802.86</v>
      </c>
      <c r="M493">
        <f>IFERROR([1]!S_FA_EPS_basic2($A493,$B$1,"Cur=CNY"),"")</f>
        <v>1.02</v>
      </c>
      <c r="N493">
        <f>IFERROR([1]!s_fa_arturndays($A493,TEXT($B$1,"yyyy/mm/dd")),"")</f>
        <v>11.3565</v>
      </c>
      <c r="O493" t="str">
        <f>IFERROR([1]!fa_apturndays($A493,TEXT($B$1,"yyyy/mm/dd")),"")</f>
        <v>Fetch...</v>
      </c>
      <c r="P493">
        <f>IFERROR([1]!s_fa_invturndays($A493,TEXT($B$1,"yyyy/mm/dd")),"")</f>
        <v>275.75639999999999</v>
      </c>
    </row>
    <row r="494" spans="1:16">
      <c r="A494" t="s">
        <v>507</v>
      </c>
      <c r="B494">
        <f>IFERROR([1]!s_stm07_is($A494,"W70156729",TEXT($B$1,"yyyy/mm/dd"),1),"")</f>
        <v>3747132452.4899998</v>
      </c>
      <c r="C494">
        <f>IFERROR([1]!s_stm07_is($A494,"W75682424",TEXT($B$1,"yyyy/mm/dd"),1),"")</f>
        <v>3217985920.73</v>
      </c>
      <c r="D494">
        <f>IFERROR([1]!s_stm07_is($A494,"W76031679",TEXT($B$1,"yyyy/mm/dd"),1),"")</f>
        <v>67462348.299999997</v>
      </c>
      <c r="E494">
        <f>IFERROR([1]!s_stm07_is($A494,"W70752487",TEXT($B$1,"yyyy/mm/dd"),1),"")</f>
        <v>70143765.579999998</v>
      </c>
      <c r="F494">
        <f>IFERROR([1]!s_stm07_is_103($A494,TEXT($B$1,"yyyy/mm/dd"),1),"")</f>
        <v>226106683.09999999</v>
      </c>
      <c r="G494">
        <f>IFERROR([1]!s_stm07_is_104($A494,TEXT($B$1,"yyyy/mm/dd"),1),"")</f>
        <v>6994569.5099999998</v>
      </c>
      <c r="H494">
        <f>IFERROR([1]!s_stm07_is_105($A494,TEXT($B$1,"yyyy/mm/dd"),1),"")</f>
        <v>2910483.96</v>
      </c>
      <c r="I494">
        <f>IFERROR([1]!s_stm07_is($A494,"W72946623",TEXT($B$1,"yyyy/mm/dd"),1),"")</f>
        <v>155887598.84999999</v>
      </c>
      <c r="J494">
        <f>IFERROR([1]!s_stm07_is($A494,"W30028333",TEXT($B$1,"yyyy/mm/dd"),1),"")</f>
        <v>142720411.53</v>
      </c>
      <c r="K494">
        <f>IFERROR([1]!s_stm07_cs($A494,"W77130581",TEXT($B$1,"yyyy/mm/dd"),1),"")</f>
        <v>32494874.530000001</v>
      </c>
      <c r="L494">
        <f>IFERROR([1]!s_stm07_cs($A494,"W77745895",TEXT($B$1,"yyyy/mm/dd"),1),"")</f>
        <v>46061815.090000004</v>
      </c>
      <c r="M494">
        <f>IFERROR([1]!S_FA_EPS_basic2($A494,$B$1,"Cur=CNY"),"")</f>
        <v>0.54400000000000004</v>
      </c>
      <c r="N494">
        <f>IFERROR([1]!s_fa_arturndays($A494,TEXT($B$1,"yyyy/mm/dd")),"")</f>
        <v>72.312399999999997</v>
      </c>
      <c r="O494" t="str">
        <f>IFERROR([1]!fa_apturndays($A494,TEXT($B$1,"yyyy/mm/dd")),"")</f>
        <v>Fetch...</v>
      </c>
      <c r="P494">
        <f>IFERROR([1]!s_fa_invturndays($A494,TEXT($B$1,"yyyy/mm/dd")),"")</f>
        <v>86.7804</v>
      </c>
    </row>
    <row r="495" spans="1:16">
      <c r="A495" t="s">
        <v>508</v>
      </c>
      <c r="B495">
        <f>IFERROR([1]!s_stm07_is($A495,"W70156729",TEXT($B$1,"yyyy/mm/dd"),1),"")</f>
        <v>4650614571.6099997</v>
      </c>
      <c r="C495">
        <f>IFERROR([1]!s_stm07_is($A495,"W75682424",TEXT($B$1,"yyyy/mm/dd"),1),"")</f>
        <v>4160666616.9099998</v>
      </c>
      <c r="D495">
        <f>IFERROR([1]!s_stm07_is($A495,"W76031679",TEXT($B$1,"yyyy/mm/dd"),1),"")</f>
        <v>116086568.18000001</v>
      </c>
      <c r="E495">
        <f>IFERROR([1]!s_stm07_is($A495,"W70752487",TEXT($B$1,"yyyy/mm/dd"),1),"")</f>
        <v>78035785.329999998</v>
      </c>
      <c r="F495">
        <f>IFERROR([1]!s_stm07_is_103($A495,TEXT($B$1,"yyyy/mm/dd"),1),"")</f>
        <v>73693862.079999998</v>
      </c>
      <c r="G495">
        <f>IFERROR([1]!s_stm07_is_104($A495,TEXT($B$1,"yyyy/mm/dd"),1),"")</f>
        <v>15169773.16</v>
      </c>
      <c r="H495">
        <f>IFERROR([1]!s_stm07_is_105($A495,TEXT($B$1,"yyyy/mm/dd"),1),"")</f>
        <v>8703110.5899999999</v>
      </c>
      <c r="I495">
        <f>IFERROR([1]!s_stm07_is($A495,"W72946623",TEXT($B$1,"yyyy/mm/dd"),1),"")</f>
        <v>140435964.84</v>
      </c>
      <c r="J495">
        <f>IFERROR([1]!s_stm07_is($A495,"W30028333",TEXT($B$1,"yyyy/mm/dd"),1),"")</f>
        <v>106994470.55</v>
      </c>
      <c r="K495">
        <f>IFERROR([1]!s_stm07_cs($A495,"W77130581",TEXT($B$1,"yyyy/mm/dd"),1),"")</f>
        <v>-748234930.36000001</v>
      </c>
      <c r="L495">
        <f>IFERROR([1]!s_stm07_cs($A495,"W77745895",TEXT($B$1,"yyyy/mm/dd"),1),"")</f>
        <v>247195726.83000001</v>
      </c>
      <c r="M495">
        <f>IFERROR([1]!S_FA_EPS_basic2($A495,$B$1,"Cur=CNY"),"")</f>
        <v>0.2472</v>
      </c>
      <c r="N495">
        <f>IFERROR([1]!s_fa_arturndays($A495,TEXT($B$1,"yyyy/mm/dd")),"")</f>
        <v>110.1827</v>
      </c>
      <c r="O495" t="str">
        <f>IFERROR([1]!fa_apturndays($A495,TEXT($B$1,"yyyy/mm/dd")),"")</f>
        <v>Fetch...</v>
      </c>
      <c r="P495">
        <f>IFERROR([1]!s_fa_invturndays($A495,TEXT($B$1,"yyyy/mm/dd")),"")</f>
        <v>60.6663</v>
      </c>
    </row>
    <row r="496" spans="1:16">
      <c r="A496" t="s">
        <v>509</v>
      </c>
      <c r="B496">
        <f>IFERROR([1]!s_stm07_is($A496,"W70156729",TEXT($B$1,"yyyy/mm/dd"),1),"")</f>
        <v>5221469843.8299999</v>
      </c>
      <c r="C496">
        <f>IFERROR([1]!s_stm07_is($A496,"W75682424",TEXT($B$1,"yyyy/mm/dd"),1),"")</f>
        <v>3679230558.2600002</v>
      </c>
      <c r="D496">
        <f>IFERROR([1]!s_stm07_is($A496,"W76031679",TEXT($B$1,"yyyy/mm/dd"),1),"")</f>
        <v>703232651.89999998</v>
      </c>
      <c r="E496">
        <f>IFERROR([1]!s_stm07_is($A496,"W70752487",TEXT($B$1,"yyyy/mm/dd"),1),"")</f>
        <v>287511886.24000001</v>
      </c>
      <c r="F496">
        <f>IFERROR([1]!s_stm07_is_103($A496,TEXT($B$1,"yyyy/mm/dd"),1),"")</f>
        <v>105603770.81999999</v>
      </c>
      <c r="G496">
        <f>IFERROR([1]!s_stm07_is_104($A496,TEXT($B$1,"yyyy/mm/dd"),1),"")</f>
        <v>35911423.979999997</v>
      </c>
      <c r="H496">
        <f>IFERROR([1]!s_stm07_is_105($A496,TEXT($B$1,"yyyy/mm/dd"),1),"")</f>
        <v>22364514.969999999</v>
      </c>
      <c r="I496">
        <f>IFERROR([1]!s_stm07_is($A496,"W72946623",TEXT($B$1,"yyyy/mm/dd"),1),"")</f>
        <v>464159276.32999998</v>
      </c>
      <c r="J496">
        <f>IFERROR([1]!s_stm07_is($A496,"W30028333",TEXT($B$1,"yyyy/mm/dd"),1),"")</f>
        <v>365123643.77999997</v>
      </c>
      <c r="K496">
        <f>IFERROR([1]!s_stm07_cs($A496,"W77130581",TEXT($B$1,"yyyy/mm/dd"),1),"")</f>
        <v>534458221.44</v>
      </c>
      <c r="L496">
        <f>IFERROR([1]!s_stm07_cs($A496,"W77745895",TEXT($B$1,"yyyy/mm/dd"),1),"")</f>
        <v>418670639.10000002</v>
      </c>
      <c r="M496">
        <f>IFERROR([1]!S_FA_EPS_basic2($A496,$B$1,"Cur=CNY"),"")</f>
        <v>1.2285999999999999</v>
      </c>
      <c r="N496">
        <f>IFERROR([1]!s_fa_arturndays($A496,TEXT($B$1,"yyyy/mm/dd")),"")</f>
        <v>43.4741</v>
      </c>
      <c r="O496" t="str">
        <f>IFERROR([1]!fa_apturndays($A496,TEXT($B$1,"yyyy/mm/dd")),"")</f>
        <v>Fetch...</v>
      </c>
      <c r="P496">
        <f>IFERROR([1]!s_fa_invturndays($A496,TEXT($B$1,"yyyy/mm/dd")),"")</f>
        <v>62.226700000000001</v>
      </c>
    </row>
    <row r="497" spans="1:16">
      <c r="A497" t="s">
        <v>510</v>
      </c>
      <c r="B497">
        <f>IFERROR([1]!s_stm07_is($A497,"W70156729",TEXT($B$1,"yyyy/mm/dd"),1),"")</f>
        <v>1828858397.5999999</v>
      </c>
      <c r="C497">
        <f>IFERROR([1]!s_stm07_is($A497,"W75682424",TEXT($B$1,"yyyy/mm/dd"),1),"")</f>
        <v>1502292807.6199999</v>
      </c>
      <c r="D497">
        <f>IFERROR([1]!s_stm07_is($A497,"W76031679",TEXT($B$1,"yyyy/mm/dd"),1),"")</f>
        <v>53775137.409999996</v>
      </c>
      <c r="E497">
        <f>IFERROR([1]!s_stm07_is($A497,"W70752487",TEXT($B$1,"yyyy/mm/dd"),1),"")</f>
        <v>121062847.06999999</v>
      </c>
      <c r="F497">
        <f>IFERROR([1]!s_stm07_is_103($A497,TEXT($B$1,"yyyy/mm/dd"),1),"")</f>
        <v>96453762.829999998</v>
      </c>
      <c r="G497">
        <f>IFERROR([1]!s_stm07_is_104($A497,TEXT($B$1,"yyyy/mm/dd"),1),"")</f>
        <v>14916877.060000001</v>
      </c>
      <c r="H497">
        <f>IFERROR([1]!s_stm07_is_105($A497,TEXT($B$1,"yyyy/mm/dd"),1),"")</f>
        <v>1832420.27</v>
      </c>
      <c r="I497">
        <f>IFERROR([1]!s_stm07_is($A497,"W72946623",TEXT($B$1,"yyyy/mm/dd"),1),"")</f>
        <v>31131056.07</v>
      </c>
      <c r="J497">
        <f>IFERROR([1]!s_stm07_is($A497,"W30028333",TEXT($B$1,"yyyy/mm/dd"),1),"")</f>
        <v>33144392.550000001</v>
      </c>
      <c r="K497">
        <f>IFERROR([1]!s_stm07_cs($A497,"W77130581",TEXT($B$1,"yyyy/mm/dd"),1),"")</f>
        <v>61004393.509999998</v>
      </c>
      <c r="L497">
        <f>IFERROR([1]!s_stm07_cs($A497,"W77745895",TEXT($B$1,"yyyy/mm/dd"),1),"")</f>
        <v>386530393.77999997</v>
      </c>
      <c r="M497">
        <f>IFERROR([1]!S_FA_EPS_basic2($A497,$B$1,"Cur=CNY"),"")</f>
        <v>4.4999999999999998E-2</v>
      </c>
      <c r="N497">
        <f>IFERROR([1]!s_fa_arturndays($A497,TEXT($B$1,"yyyy/mm/dd")),"")</f>
        <v>102.73390000000001</v>
      </c>
      <c r="O497" t="str">
        <f>IFERROR([1]!fa_apturndays($A497,TEXT($B$1,"yyyy/mm/dd")),"")</f>
        <v>Fetch...</v>
      </c>
      <c r="P497">
        <f>IFERROR([1]!s_fa_invturndays($A497,TEXT($B$1,"yyyy/mm/dd")),"")</f>
        <v>76.475300000000004</v>
      </c>
    </row>
    <row r="498" spans="1:16">
      <c r="A498" t="s">
        <v>511</v>
      </c>
      <c r="B498">
        <f>IFERROR([1]!s_stm07_is($A498,"W70156729",TEXT($B$1,"yyyy/mm/dd"),1),"")</f>
        <v>8328106422.5699997</v>
      </c>
      <c r="C498">
        <f>IFERROR([1]!s_stm07_is($A498,"W75682424",TEXT($B$1,"yyyy/mm/dd"),1),"")</f>
        <v>5807972398.2700005</v>
      </c>
      <c r="D498">
        <f>IFERROR([1]!s_stm07_is($A498,"W76031679",TEXT($B$1,"yyyy/mm/dd"),1),"")</f>
        <v>117923261.77</v>
      </c>
      <c r="E498">
        <f>IFERROR([1]!s_stm07_is($A498,"W70752487",TEXT($B$1,"yyyy/mm/dd"),1),"")</f>
        <v>287553830.47000003</v>
      </c>
      <c r="F498">
        <f>IFERROR([1]!s_stm07_is_103($A498,TEXT($B$1,"yyyy/mm/dd"),1),"")</f>
        <v>261677785.56999999</v>
      </c>
      <c r="G498">
        <f>IFERROR([1]!s_stm07_is_104($A498,TEXT($B$1,"yyyy/mm/dd"),1),"")</f>
        <v>74927599.769999996</v>
      </c>
      <c r="H498">
        <f>IFERROR([1]!s_stm07_is_105($A498,TEXT($B$1,"yyyy/mm/dd"),1),"")</f>
        <v>8821167.6999999993</v>
      </c>
      <c r="I498">
        <f>IFERROR([1]!s_stm07_is($A498,"W72946623",TEXT($B$1,"yyyy/mm/dd"),1),"")</f>
        <v>1567433814.1800001</v>
      </c>
      <c r="J498">
        <f>IFERROR([1]!s_stm07_is($A498,"W30028333",TEXT($B$1,"yyyy/mm/dd"),1),"")</f>
        <v>1260239959.1700001</v>
      </c>
      <c r="K498">
        <f>IFERROR([1]!s_stm07_cs($A498,"W77130581",TEXT($B$1,"yyyy/mm/dd"),1),"")</f>
        <v>641898323.87</v>
      </c>
      <c r="L498">
        <f>IFERROR([1]!s_stm07_cs($A498,"W77745895",TEXT($B$1,"yyyy/mm/dd"),1),"")</f>
        <v>369751119.49000001</v>
      </c>
      <c r="M498">
        <f>IFERROR([1]!S_FA_EPS_basic2($A498,$B$1,"Cur=CNY"),"")</f>
        <v>2.1898</v>
      </c>
      <c r="N498">
        <f>IFERROR([1]!s_fa_arturndays($A498,TEXT($B$1,"yyyy/mm/dd")),"")</f>
        <v>16.258700000000001</v>
      </c>
      <c r="O498" t="str">
        <f>IFERROR([1]!fa_apturndays($A498,TEXT($B$1,"yyyy/mm/dd")),"")</f>
        <v>Fetch...</v>
      </c>
      <c r="P498">
        <f>IFERROR([1]!s_fa_invturndays($A498,TEXT($B$1,"yyyy/mm/dd")),"")</f>
        <v>58.3232</v>
      </c>
    </row>
    <row r="499" spans="1:16">
      <c r="A499" t="s">
        <v>512</v>
      </c>
      <c r="B499">
        <f>IFERROR([1]!s_stm07_is($A499,"W70156729",TEXT($B$1,"yyyy/mm/dd"),1),"")</f>
        <v>1040892337.85</v>
      </c>
      <c r="C499">
        <f>IFERROR([1]!s_stm07_is($A499,"W75682424",TEXT($B$1,"yyyy/mm/dd"),1),"")</f>
        <v>769192032.28999996</v>
      </c>
      <c r="D499">
        <f>IFERROR([1]!s_stm07_is($A499,"W76031679",TEXT($B$1,"yyyy/mm/dd"),1),"")</f>
        <v>48258452.350000001</v>
      </c>
      <c r="E499">
        <f>IFERROR([1]!s_stm07_is($A499,"W70752487",TEXT($B$1,"yyyy/mm/dd"),1),"")</f>
        <v>81053194.400000006</v>
      </c>
      <c r="F499">
        <f>IFERROR([1]!s_stm07_is_103($A499,TEXT($B$1,"yyyy/mm/dd"),1),"")</f>
        <v>62956492.509999998</v>
      </c>
      <c r="G499">
        <f>IFERROR([1]!s_stm07_is_104($A499,TEXT($B$1,"yyyy/mm/dd"),1),"")</f>
        <v>4172766.67</v>
      </c>
      <c r="H499">
        <f>IFERROR([1]!s_stm07_is_105($A499,TEXT($B$1,"yyyy/mm/dd"),1),"")</f>
        <v>259285.05</v>
      </c>
      <c r="I499">
        <f>IFERROR([1]!s_stm07_is($A499,"W72946623",TEXT($B$1,"yyyy/mm/dd"),1),"")</f>
        <v>68131937.540000007</v>
      </c>
      <c r="J499">
        <f>IFERROR([1]!s_stm07_is($A499,"W30028333",TEXT($B$1,"yyyy/mm/dd"),1),"")</f>
        <v>62705997.340000004</v>
      </c>
      <c r="K499">
        <f>IFERROR([1]!s_stm07_cs($A499,"W77130581",TEXT($B$1,"yyyy/mm/dd"),1),"")</f>
        <v>30722942.52</v>
      </c>
      <c r="L499">
        <f>IFERROR([1]!s_stm07_cs($A499,"W77745895",TEXT($B$1,"yyyy/mm/dd"),1),"")</f>
        <v>150361179.81</v>
      </c>
      <c r="M499">
        <f>IFERROR([1]!S_FA_EPS_basic2($A499,$B$1,"Cur=CNY"),"")</f>
        <v>0.32</v>
      </c>
      <c r="N499">
        <f>IFERROR([1]!s_fa_arturndays($A499,TEXT($B$1,"yyyy/mm/dd")),"")</f>
        <v>39.028599999999997</v>
      </c>
      <c r="O499" t="str">
        <f>IFERROR([1]!fa_apturndays($A499,TEXT($B$1,"yyyy/mm/dd")),"")</f>
        <v>Fetch...</v>
      </c>
      <c r="P499">
        <f>IFERROR([1]!s_fa_invturndays($A499,TEXT($B$1,"yyyy/mm/dd")),"")</f>
        <v>134.18819999999999</v>
      </c>
    </row>
    <row r="500" spans="1:16">
      <c r="A500" t="s">
        <v>513</v>
      </c>
      <c r="B500">
        <f>IFERROR([1]!s_stm07_is($A500,"W70156729",TEXT($B$1,"yyyy/mm/dd"),1),"")</f>
        <v>6400557642.3599997</v>
      </c>
      <c r="C500">
        <f>IFERROR([1]!s_stm07_is($A500,"W75682424",TEXT($B$1,"yyyy/mm/dd"),1),"")</f>
        <v>5143738918.5299997</v>
      </c>
      <c r="D500">
        <f>IFERROR([1]!s_stm07_is($A500,"W76031679",TEXT($B$1,"yyyy/mm/dd"),1),"")</f>
        <v>129319286.28</v>
      </c>
      <c r="E500">
        <f>IFERROR([1]!s_stm07_is($A500,"W70752487",TEXT($B$1,"yyyy/mm/dd"),1),"")</f>
        <v>257171112.09999999</v>
      </c>
      <c r="F500">
        <f>IFERROR([1]!s_stm07_is_103($A500,TEXT($B$1,"yyyy/mm/dd"),1),"")</f>
        <v>215004428.91999999</v>
      </c>
      <c r="G500">
        <f>IFERROR([1]!s_stm07_is_104($A500,TEXT($B$1,"yyyy/mm/dd"),1),"")</f>
        <v>76320547.280000001</v>
      </c>
      <c r="H500">
        <f>IFERROR([1]!s_stm07_is_105($A500,TEXT($B$1,"yyyy/mm/dd"),1),"")</f>
        <v>6483791.3700000001</v>
      </c>
      <c r="I500">
        <f>IFERROR([1]!s_stm07_is($A500,"W72946623",TEXT($B$1,"yyyy/mm/dd"),1),"")</f>
        <v>416339516.44</v>
      </c>
      <c r="J500">
        <f>IFERROR([1]!s_stm07_is($A500,"W30028333",TEXT($B$1,"yyyy/mm/dd"),1),"")</f>
        <v>318295031.32999998</v>
      </c>
      <c r="K500">
        <f>IFERROR([1]!s_stm07_cs($A500,"W77130581",TEXT($B$1,"yyyy/mm/dd"),1),"")</f>
        <v>280294600.10000002</v>
      </c>
      <c r="L500">
        <f>IFERROR([1]!s_stm07_cs($A500,"W77745895",TEXT($B$1,"yyyy/mm/dd"),1),"")</f>
        <v>496120169.61000001</v>
      </c>
      <c r="M500">
        <f>IFERROR([1]!S_FA_EPS_basic2($A500,$B$1,"Cur=CNY"),"")</f>
        <v>1.64</v>
      </c>
      <c r="N500">
        <f>IFERROR([1]!s_fa_arturndays($A500,TEXT($B$1,"yyyy/mm/dd")),"")</f>
        <v>83.834000000000003</v>
      </c>
      <c r="O500" t="str">
        <f>IFERROR([1]!fa_apturndays($A500,TEXT($B$1,"yyyy/mm/dd")),"")</f>
        <v>Fetch...</v>
      </c>
      <c r="P500">
        <f>IFERROR([1]!s_fa_invturndays($A500,TEXT($B$1,"yyyy/mm/dd")),"")</f>
        <v>115.86369999999999</v>
      </c>
    </row>
    <row r="501" spans="1:16">
      <c r="A501" t="s">
        <v>514</v>
      </c>
      <c r="B501">
        <f>IFERROR([1]!s_stm07_is($A501,"W70156729",TEXT($B$1,"yyyy/mm/dd"),1),"")</f>
        <v>2600859747.6700001</v>
      </c>
      <c r="C501">
        <f>IFERROR([1]!s_stm07_is($A501,"W75682424",TEXT($B$1,"yyyy/mm/dd"),1),"")</f>
        <v>767186046.76999998</v>
      </c>
      <c r="D501">
        <f>IFERROR([1]!s_stm07_is($A501,"W76031679",TEXT($B$1,"yyyy/mm/dd"),1),"")</f>
        <v>692354067</v>
      </c>
      <c r="E501">
        <f>IFERROR([1]!s_stm07_is($A501,"W70752487",TEXT($B$1,"yyyy/mm/dd"),1),"")</f>
        <v>152398199.63</v>
      </c>
      <c r="F501">
        <f>IFERROR([1]!s_stm07_is_103($A501,TEXT($B$1,"yyyy/mm/dd"),1),"")</f>
        <v>331197614.5</v>
      </c>
      <c r="G501">
        <f>IFERROR([1]!s_stm07_is_104($A501,TEXT($B$1,"yyyy/mm/dd"),1),"")</f>
        <v>6176130.5999999996</v>
      </c>
      <c r="H501">
        <f>IFERROR([1]!s_stm07_is_105($A501,TEXT($B$1,"yyyy/mm/dd"),1),"")</f>
        <v>27486848.699999999</v>
      </c>
      <c r="I501">
        <f>IFERROR([1]!s_stm07_is($A501,"W72946623",TEXT($B$1,"yyyy/mm/dd"),1),"")</f>
        <v>730044229.91999996</v>
      </c>
      <c r="J501">
        <f>IFERROR([1]!s_stm07_is($A501,"W30028333",TEXT($B$1,"yyyy/mm/dd"),1),"")</f>
        <v>599631709.82000005</v>
      </c>
      <c r="K501">
        <f>IFERROR([1]!s_stm07_cs($A501,"W77130581",TEXT($B$1,"yyyy/mm/dd"),1),"")</f>
        <v>831337037.78999996</v>
      </c>
      <c r="L501">
        <f>IFERROR([1]!s_stm07_cs($A501,"W77745895",TEXT($B$1,"yyyy/mm/dd"),1),"")</f>
        <v>133506852.52</v>
      </c>
      <c r="M501">
        <f>IFERROR([1]!S_FA_EPS_basic2($A501,$B$1,"Cur=CNY"),"")</f>
        <v>1.47</v>
      </c>
      <c r="N501">
        <f>IFERROR([1]!s_fa_arturndays($A501,TEXT($B$1,"yyyy/mm/dd")),"")</f>
        <v>37.2652</v>
      </c>
      <c r="O501" t="str">
        <f>IFERROR([1]!fa_apturndays($A501,TEXT($B$1,"yyyy/mm/dd")),"")</f>
        <v>Fetch...</v>
      </c>
      <c r="P501">
        <f>IFERROR([1]!s_fa_invturndays($A501,TEXT($B$1,"yyyy/mm/dd")),"")</f>
        <v>588.33140000000003</v>
      </c>
    </row>
    <row r="502" spans="1:16">
      <c r="A502" t="s">
        <v>515</v>
      </c>
      <c r="B502">
        <f>IFERROR([1]!s_stm07_is($A502,"W70156729",TEXT($B$1,"yyyy/mm/dd"),1),"")</f>
        <v>13048170588.629999</v>
      </c>
      <c r="C502">
        <f>IFERROR([1]!s_stm07_is($A502,"W75682424",TEXT($B$1,"yyyy/mm/dd"),1),"")</f>
        <v>10652938040.93</v>
      </c>
      <c r="D502">
        <f>IFERROR([1]!s_stm07_is($A502,"W76031679",TEXT($B$1,"yyyy/mm/dd"),1),"")</f>
        <v>286677173.80000001</v>
      </c>
      <c r="E502">
        <f>IFERROR([1]!s_stm07_is($A502,"W70752487",TEXT($B$1,"yyyy/mm/dd"),1),"")</f>
        <v>243112740.50999999</v>
      </c>
      <c r="F502">
        <f>IFERROR([1]!s_stm07_is_103($A502,TEXT($B$1,"yyyy/mm/dd"),1),"")</f>
        <v>925830891.07000005</v>
      </c>
      <c r="G502">
        <f>IFERROR([1]!s_stm07_is_104($A502,TEXT($B$1,"yyyy/mm/dd"),1),"")</f>
        <v>40419239.68</v>
      </c>
      <c r="H502">
        <f>IFERROR([1]!s_stm07_is_105($A502,TEXT($B$1,"yyyy/mm/dd"),1),"")</f>
        <v>5999017.5800000001</v>
      </c>
      <c r="I502">
        <f>IFERROR([1]!s_stm07_is($A502,"W72946623",TEXT($B$1,"yyyy/mm/dd"),1),"")</f>
        <v>837863849.46000004</v>
      </c>
      <c r="J502">
        <f>IFERROR([1]!s_stm07_is($A502,"W30028333",TEXT($B$1,"yyyy/mm/dd"),1),"")</f>
        <v>781606516.73000002</v>
      </c>
      <c r="K502">
        <f>IFERROR([1]!s_stm07_cs($A502,"W77130581",TEXT($B$1,"yyyy/mm/dd"),1),"")</f>
        <v>1057323253.9400001</v>
      </c>
      <c r="L502">
        <f>IFERROR([1]!s_stm07_cs($A502,"W77745895",TEXT($B$1,"yyyy/mm/dd"),1),"")</f>
        <v>1133799727.8900001</v>
      </c>
      <c r="M502">
        <f>IFERROR([1]!S_FA_EPS_basic2($A502,$B$1,"Cur=CNY"),"")</f>
        <v>1.49</v>
      </c>
      <c r="N502">
        <f>IFERROR([1]!s_fa_arturndays($A502,TEXT($B$1,"yyyy/mm/dd")),"")</f>
        <v>125.2784</v>
      </c>
      <c r="O502" t="str">
        <f>IFERROR([1]!fa_apturndays($A502,TEXT($B$1,"yyyy/mm/dd")),"")</f>
        <v>Fetch...</v>
      </c>
      <c r="P502">
        <f>IFERROR([1]!s_fa_invturndays($A502,TEXT($B$1,"yyyy/mm/dd")),"")</f>
        <v>65.623999999999995</v>
      </c>
    </row>
    <row r="503" spans="1:16">
      <c r="A503" t="s">
        <v>516</v>
      </c>
      <c r="B503">
        <f>IFERROR([1]!s_stm07_is($A503,"W70156729",TEXT($B$1,"yyyy/mm/dd"),1),"")</f>
        <v>33595093070.07</v>
      </c>
      <c r="C503">
        <f>IFERROR([1]!s_stm07_is($A503,"W75682424",TEXT($B$1,"yyyy/mm/dd"),1),"")</f>
        <v>31505918151.610001</v>
      </c>
      <c r="D503">
        <f>IFERROR([1]!s_stm07_is($A503,"W76031679",TEXT($B$1,"yyyy/mm/dd"),1),"")</f>
        <v>116666428.34</v>
      </c>
      <c r="E503">
        <f>IFERROR([1]!s_stm07_is($A503,"W70752487",TEXT($B$1,"yyyy/mm/dd"),1),"")</f>
        <v>388018029.55000001</v>
      </c>
      <c r="F503">
        <f>IFERROR([1]!s_stm07_is_103($A503,TEXT($B$1,"yyyy/mm/dd"),1),"")</f>
        <v>333752488.69999999</v>
      </c>
      <c r="G503">
        <f>IFERROR([1]!s_stm07_is_104($A503,TEXT($B$1,"yyyy/mm/dd"),1),"")</f>
        <v>97771709.030000001</v>
      </c>
      <c r="H503">
        <f>IFERROR([1]!s_stm07_is_105($A503,TEXT($B$1,"yyyy/mm/dd"),1),"")</f>
        <v>65786707.32</v>
      </c>
      <c r="I503">
        <f>IFERROR([1]!s_stm07_is($A503,"W72946623",TEXT($B$1,"yyyy/mm/dd"),1),"")</f>
        <v>1435858419.74</v>
      </c>
      <c r="J503">
        <f>IFERROR([1]!s_stm07_is($A503,"W30028333",TEXT($B$1,"yyyy/mm/dd"),1),"")</f>
        <v>1030266871.49</v>
      </c>
      <c r="K503">
        <f>IFERROR([1]!s_stm07_cs($A503,"W77130581",TEXT($B$1,"yyyy/mm/dd"),1),"")</f>
        <v>1898152725.3499999</v>
      </c>
      <c r="L503">
        <f>IFERROR([1]!s_stm07_cs($A503,"W77745895",TEXT($B$1,"yyyy/mm/dd"),1),"")</f>
        <v>551707915.03999996</v>
      </c>
      <c r="M503">
        <f>IFERROR([1]!S_FA_EPS_basic2($A503,$B$1,"Cur=CNY"),"")</f>
        <v>0.72</v>
      </c>
      <c r="N503">
        <f>IFERROR([1]!s_fa_arturndays($A503,TEXT($B$1,"yyyy/mm/dd")),"")</f>
        <v>9.3046000000000006</v>
      </c>
      <c r="O503" t="str">
        <f>IFERROR([1]!fa_apturndays($A503,TEXT($B$1,"yyyy/mm/dd")),"")</f>
        <v>Fetch...</v>
      </c>
      <c r="P503">
        <f>IFERROR([1]!s_fa_invturndays($A503,TEXT($B$1,"yyyy/mm/dd")),"")</f>
        <v>11.088699999999999</v>
      </c>
    </row>
    <row r="504" spans="1:16">
      <c r="A504" t="s">
        <v>517</v>
      </c>
      <c r="B504">
        <f>IFERROR([1]!s_stm07_is($A504,"W70156729",TEXT($B$1,"yyyy/mm/dd"),1),"")</f>
        <v>5529601554.1499996</v>
      </c>
      <c r="C504">
        <f>IFERROR([1]!s_stm07_is($A504,"W75682424",TEXT($B$1,"yyyy/mm/dd"),1),"")</f>
        <v>4376256811.21</v>
      </c>
      <c r="D504">
        <f>IFERROR([1]!s_stm07_is($A504,"W76031679",TEXT($B$1,"yyyy/mm/dd"),1),"")</f>
        <v>229256665.78</v>
      </c>
      <c r="E504">
        <f>IFERROR([1]!s_stm07_is($A504,"W70752487",TEXT($B$1,"yyyy/mm/dd"),1),"")</f>
        <v>222536960.91999999</v>
      </c>
      <c r="F504">
        <f>IFERROR([1]!s_stm07_is_103($A504,TEXT($B$1,"yyyy/mm/dd"),1),"")</f>
        <v>236311947.72999999</v>
      </c>
      <c r="G504">
        <f>IFERROR([1]!s_stm07_is_104($A504,TEXT($B$1,"yyyy/mm/dd"),1),"")</f>
        <v>33034439.609999999</v>
      </c>
      <c r="H504">
        <f>IFERROR([1]!s_stm07_is_105($A504,TEXT($B$1,"yyyy/mm/dd"),1),"")</f>
        <v>32764373.329999998</v>
      </c>
      <c r="I504">
        <f>IFERROR([1]!s_stm07_is($A504,"W72946623",TEXT($B$1,"yyyy/mm/dd"),1),"")</f>
        <v>327267785.81</v>
      </c>
      <c r="J504">
        <f>IFERROR([1]!s_stm07_is($A504,"W30028333",TEXT($B$1,"yyyy/mm/dd"),1),"")</f>
        <v>307907364.94999999</v>
      </c>
      <c r="K504">
        <f>IFERROR([1]!s_stm07_cs($A504,"W77130581",TEXT($B$1,"yyyy/mm/dd"),1),"")</f>
        <v>258323915.81</v>
      </c>
      <c r="L504">
        <f>IFERROR([1]!s_stm07_cs($A504,"W77745895",TEXT($B$1,"yyyy/mm/dd"),1),"")</f>
        <v>512641614.87</v>
      </c>
      <c r="M504">
        <f>IFERROR([1]!S_FA_EPS_basic2($A504,$B$1,"Cur=CNY"),"")</f>
        <v>0.97</v>
      </c>
      <c r="N504">
        <f>IFERROR([1]!s_fa_arturndays($A504,TEXT($B$1,"yyyy/mm/dd")),"")</f>
        <v>95.0595</v>
      </c>
      <c r="O504" t="str">
        <f>IFERROR([1]!fa_apturndays($A504,TEXT($B$1,"yyyy/mm/dd")),"")</f>
        <v>Fetch...</v>
      </c>
      <c r="P504">
        <f>IFERROR([1]!s_fa_invturndays($A504,TEXT($B$1,"yyyy/mm/dd")),"")</f>
        <v>60.1233</v>
      </c>
    </row>
    <row r="505" spans="1:16">
      <c r="A505" t="s">
        <v>518</v>
      </c>
      <c r="B505">
        <f>IFERROR([1]!s_stm07_is($A505,"W70156729",TEXT($B$1,"yyyy/mm/dd"),1),"")</f>
        <v>23646977088.98</v>
      </c>
      <c r="C505">
        <f>IFERROR([1]!s_stm07_is($A505,"W75682424",TEXT($B$1,"yyyy/mm/dd"),1),"")</f>
        <v>16951017946.219999</v>
      </c>
      <c r="D505">
        <f>IFERROR([1]!s_stm07_is($A505,"W76031679",TEXT($B$1,"yyyy/mm/dd"),1),"")</f>
        <v>381288273.92000002</v>
      </c>
      <c r="E505">
        <f>IFERROR([1]!s_stm07_is($A505,"W70752487",TEXT($B$1,"yyyy/mm/dd"),1),"")</f>
        <v>1064906138.88</v>
      </c>
      <c r="F505">
        <f>IFERROR([1]!s_stm07_is_103($A505,TEXT($B$1,"yyyy/mm/dd"),1),"")</f>
        <v>1591409462.0599999</v>
      </c>
      <c r="G505">
        <f>IFERROR([1]!s_stm07_is_104($A505,TEXT($B$1,"yyyy/mm/dd"),1),"")</f>
        <v>77599399.530000001</v>
      </c>
      <c r="H505">
        <f>IFERROR([1]!s_stm07_is_105($A505,TEXT($B$1,"yyyy/mm/dd"),1),"")</f>
        <v>15887262.529999999</v>
      </c>
      <c r="I505">
        <f>IFERROR([1]!s_stm07_is($A505,"W72946623",TEXT($B$1,"yyyy/mm/dd"),1),"")</f>
        <v>3623809232.0999999</v>
      </c>
      <c r="J505">
        <f>IFERROR([1]!s_stm07_is($A505,"W30028333",TEXT($B$1,"yyyy/mm/dd"),1),"")</f>
        <v>3275738151.27</v>
      </c>
      <c r="K505">
        <f>IFERROR([1]!s_stm07_cs($A505,"W77130581",TEXT($B$1,"yyyy/mm/dd"),1),"")</f>
        <v>3838343369.1799998</v>
      </c>
      <c r="L505">
        <f>IFERROR([1]!s_stm07_cs($A505,"W77745895",TEXT($B$1,"yyyy/mm/dd"),1),"")</f>
        <v>3765432523.8699999</v>
      </c>
      <c r="M505">
        <f>IFERROR([1]!S_FA_EPS_basic2($A505,$B$1,"Cur=CNY"),"")</f>
        <v>4.91</v>
      </c>
      <c r="N505">
        <f>IFERROR([1]!s_fa_arturndays($A505,TEXT($B$1,"yyyy/mm/dd")),"")</f>
        <v>68.931200000000004</v>
      </c>
      <c r="O505" t="str">
        <f>IFERROR([1]!fa_apturndays($A505,TEXT($B$1,"yyyy/mm/dd")),"")</f>
        <v>Fetch...</v>
      </c>
      <c r="P505">
        <f>IFERROR([1]!s_fa_invturndays($A505,TEXT($B$1,"yyyy/mm/dd")),"")</f>
        <v>90.627600000000001</v>
      </c>
    </row>
    <row r="506" spans="1:16">
      <c r="A506" t="s">
        <v>519</v>
      </c>
      <c r="B506">
        <f>IFERROR([1]!s_stm07_is($A506,"W70156729",TEXT($B$1,"yyyy/mm/dd"),1),"")</f>
        <v>32557178348.369999</v>
      </c>
      <c r="C506">
        <f>IFERROR([1]!s_stm07_is($A506,"W75682424",TEXT($B$1,"yyyy/mm/dd"),1),"")</f>
        <v>26348976573.639999</v>
      </c>
      <c r="D506">
        <f>IFERROR([1]!s_stm07_is($A506,"W76031679",TEXT($B$1,"yyyy/mm/dd"),1),"")</f>
        <v>268025208.97</v>
      </c>
      <c r="E506">
        <f>IFERROR([1]!s_stm07_is($A506,"W70752487",TEXT($B$1,"yyyy/mm/dd"),1),"")</f>
        <v>670341329.28999996</v>
      </c>
      <c r="F506">
        <f>IFERROR([1]!s_stm07_is_103($A506,TEXT($B$1,"yyyy/mm/dd"),1),"")</f>
        <v>2642071414.8400002</v>
      </c>
      <c r="G506">
        <f>IFERROR([1]!s_stm07_is_104($A506,TEXT($B$1,"yyyy/mm/dd"),1),"")</f>
        <v>29587152.73</v>
      </c>
      <c r="H506">
        <f>IFERROR([1]!s_stm07_is_105($A506,TEXT($B$1,"yyyy/mm/dd"),1),"")</f>
        <v>14168334.74</v>
      </c>
      <c r="I506">
        <f>IFERROR([1]!s_stm07_is($A506,"W72946623",TEXT($B$1,"yyyy/mm/dd"),1),"")</f>
        <v>2570336188.4200001</v>
      </c>
      <c r="J506">
        <f>IFERROR([1]!s_stm07_is($A506,"W30028333",TEXT($B$1,"yyyy/mm/dd"),1),"")</f>
        <v>2453584767.75</v>
      </c>
      <c r="K506">
        <f>IFERROR([1]!s_stm07_cs($A506,"W77130581",TEXT($B$1,"yyyy/mm/dd"),1),"")</f>
        <v>2883761178.73</v>
      </c>
      <c r="L506">
        <f>IFERROR([1]!s_stm07_cs($A506,"W77745895",TEXT($B$1,"yyyy/mm/dd"),1),"")</f>
        <v>1802783345.9300001</v>
      </c>
      <c r="M506">
        <f>IFERROR([1]!S_FA_EPS_basic2($A506,$B$1,"Cur=CNY"),"")</f>
        <v>4.3499999999999996</v>
      </c>
      <c r="N506">
        <f>IFERROR([1]!s_fa_arturndays($A506,TEXT($B$1,"yyyy/mm/dd")),"")</f>
        <v>107.1588</v>
      </c>
      <c r="O506" t="str">
        <f>IFERROR([1]!fa_apturndays($A506,TEXT($B$1,"yyyy/mm/dd")),"")</f>
        <v>Fetch...</v>
      </c>
      <c r="P506">
        <f>IFERROR([1]!s_fa_invturndays($A506,TEXT($B$1,"yyyy/mm/dd")),"")</f>
        <v>58.173400000000001</v>
      </c>
    </row>
    <row r="507" spans="1:16">
      <c r="A507" t="s">
        <v>520</v>
      </c>
      <c r="B507">
        <f>IFERROR([1]!s_stm07_is($A507,"W70156729",TEXT($B$1,"yyyy/mm/dd"),1),"")</f>
        <v>4130596723.4699998</v>
      </c>
      <c r="C507">
        <f>IFERROR([1]!s_stm07_is($A507,"W75682424",TEXT($B$1,"yyyy/mm/dd"),1),"")</f>
        <v>2973514482.8000002</v>
      </c>
      <c r="D507">
        <f>IFERROR([1]!s_stm07_is($A507,"W76031679",TEXT($B$1,"yyyy/mm/dd"),1),"")</f>
        <v>107688153.22</v>
      </c>
      <c r="E507">
        <f>IFERROR([1]!s_stm07_is($A507,"W70752487",TEXT($B$1,"yyyy/mm/dd"),1),"")</f>
        <v>251477543.43000001</v>
      </c>
      <c r="F507">
        <f>IFERROR([1]!s_stm07_is_103($A507,TEXT($B$1,"yyyy/mm/dd"),1),"")</f>
        <v>386867643.88</v>
      </c>
      <c r="G507">
        <f>IFERROR([1]!s_stm07_is_104($A507,TEXT($B$1,"yyyy/mm/dd"),1),"")</f>
        <v>29946122.84</v>
      </c>
      <c r="H507">
        <f>IFERROR([1]!s_stm07_is_105($A507,TEXT($B$1,"yyyy/mm/dd"),1),"")</f>
        <v>27443026.829999998</v>
      </c>
      <c r="I507">
        <f>IFERROR([1]!s_stm07_is($A507,"W72946623",TEXT($B$1,"yyyy/mm/dd"),1),"")</f>
        <v>686946294.37</v>
      </c>
      <c r="J507">
        <f>IFERROR([1]!s_stm07_is($A507,"W30028333",TEXT($B$1,"yyyy/mm/dd"),1),"")</f>
        <v>577065477.00999999</v>
      </c>
      <c r="K507">
        <f>IFERROR([1]!s_stm07_cs($A507,"W77130581",TEXT($B$1,"yyyy/mm/dd"),1),"")</f>
        <v>493634825.29000002</v>
      </c>
      <c r="L507">
        <f>IFERROR([1]!s_stm07_cs($A507,"W77745895",TEXT($B$1,"yyyy/mm/dd"),1),"")</f>
        <v>623713070.36000001</v>
      </c>
      <c r="M507">
        <f>IFERROR([1]!S_FA_EPS_basic2($A507,$B$1,"Cur=CNY"),"")</f>
        <v>0.77</v>
      </c>
      <c r="N507">
        <f>IFERROR([1]!s_fa_arturndays($A507,TEXT($B$1,"yyyy/mm/dd")),"")</f>
        <v>120.3691</v>
      </c>
      <c r="O507" t="str">
        <f>IFERROR([1]!fa_apturndays($A507,TEXT($B$1,"yyyy/mm/dd")),"")</f>
        <v>Fetch...</v>
      </c>
      <c r="P507">
        <f>IFERROR([1]!s_fa_invturndays($A507,TEXT($B$1,"yyyy/mm/dd")),"")</f>
        <v>103.98909999999999</v>
      </c>
    </row>
    <row r="508" spans="1:16">
      <c r="A508" t="s">
        <v>521</v>
      </c>
      <c r="B508">
        <f>IFERROR([1]!s_stm07_is($A508,"W70156729",TEXT($B$1,"yyyy/mm/dd"),1),"")</f>
        <v>4615484528.6899996</v>
      </c>
      <c r="C508">
        <f>IFERROR([1]!s_stm07_is($A508,"W75682424",TEXT($B$1,"yyyy/mm/dd"),1),"")</f>
        <v>0</v>
      </c>
      <c r="D508">
        <f>IFERROR([1]!s_stm07_is($A508,"W76031679",TEXT($B$1,"yyyy/mm/dd"),1),"")</f>
        <v>0</v>
      </c>
      <c r="E508">
        <f>IFERROR([1]!s_stm07_is($A508,"W70752487",TEXT($B$1,"yyyy/mm/dd"),1),"")</f>
        <v>2595115567.8499999</v>
      </c>
      <c r="F508">
        <f>IFERROR([1]!s_stm07_is_103($A508,TEXT($B$1,"yyyy/mm/dd"),1),"")</f>
        <v>0</v>
      </c>
      <c r="G508">
        <f>IFERROR([1]!s_stm07_is_104($A508,TEXT($B$1,"yyyy/mm/dd"),1),"")</f>
        <v>0</v>
      </c>
      <c r="H508">
        <f>IFERROR([1]!s_stm07_is_105($A508,TEXT($B$1,"yyyy/mm/dd"),1),"")</f>
        <v>0</v>
      </c>
      <c r="I508">
        <f>IFERROR([1]!s_stm07_is($A508,"W72946623",TEXT($B$1,"yyyy/mm/dd"),1),"")</f>
        <v>1908664615.8299999</v>
      </c>
      <c r="J508">
        <f>IFERROR([1]!s_stm07_is($A508,"W30028333",TEXT($B$1,"yyyy/mm/dd"),1),"")</f>
        <v>1470328175.5999999</v>
      </c>
      <c r="K508">
        <f>IFERROR([1]!s_stm07_cs($A508,"W77130581",TEXT($B$1,"yyyy/mm/dd"),1),"")</f>
        <v>7912467127.7700005</v>
      </c>
      <c r="L508">
        <f>IFERROR([1]!s_stm07_cs($A508,"W77745895",TEXT($B$1,"yyyy/mm/dd"),1),"")</f>
        <v>79437741.030000001</v>
      </c>
      <c r="M508">
        <f>IFERROR([1]!S_FA_EPS_basic2($A508,$B$1,"Cur=CNY"),"")</f>
        <v>0.56000000000000005</v>
      </c>
      <c r="N508">
        <f>IFERROR([1]!s_fa_arturndays($A508,TEXT($B$1,"yyyy/mm/dd")),"")</f>
        <v>0</v>
      </c>
      <c r="O508" t="str">
        <f>IFERROR([1]!fa_apturndays($A508,TEXT($B$1,"yyyy/mm/dd")),"")</f>
        <v>Fetch...</v>
      </c>
      <c r="P508">
        <f>IFERROR([1]!s_fa_invturndays($A508,TEXT($B$1,"yyyy/mm/dd")),"")</f>
        <v>0</v>
      </c>
    </row>
    <row r="509" spans="1:16">
      <c r="A509" t="s">
        <v>522</v>
      </c>
      <c r="B509">
        <f>IFERROR([1]!s_stm07_is($A509,"W70156729",TEXT($B$1,"yyyy/mm/dd"),1),"")</f>
        <v>7456121307.3699999</v>
      </c>
      <c r="C509">
        <f>IFERROR([1]!s_stm07_is($A509,"W75682424",TEXT($B$1,"yyyy/mm/dd"),1),"")</f>
        <v>7291995536.3999996</v>
      </c>
      <c r="D509">
        <f>IFERROR([1]!s_stm07_is($A509,"W76031679",TEXT($B$1,"yyyy/mm/dd"),1),"")</f>
        <v>327627771.14999998</v>
      </c>
      <c r="E509">
        <f>IFERROR([1]!s_stm07_is($A509,"W70752487",TEXT($B$1,"yyyy/mm/dd"),1),"")</f>
        <v>292973174.13999999</v>
      </c>
      <c r="F509">
        <f>IFERROR([1]!s_stm07_is_103($A509,TEXT($B$1,"yyyy/mm/dd"),1),"")</f>
        <v>471921.24</v>
      </c>
      <c r="G509">
        <f>IFERROR([1]!s_stm07_is_104($A509,TEXT($B$1,"yyyy/mm/dd"),1),"")</f>
        <v>550695807.84000003</v>
      </c>
      <c r="H509">
        <f>IFERROR([1]!s_stm07_is_105($A509,TEXT($B$1,"yyyy/mm/dd"),1),"")</f>
        <v>10553493.23</v>
      </c>
      <c r="I509">
        <f>IFERROR([1]!s_stm07_is($A509,"W72946623",TEXT($B$1,"yyyy/mm/dd"),1),"")</f>
        <v>725766704.32000005</v>
      </c>
      <c r="J509">
        <f>IFERROR([1]!s_stm07_is($A509,"W30028333",TEXT($B$1,"yyyy/mm/dd"),1),"")</f>
        <v>625910360.24000001</v>
      </c>
      <c r="K509">
        <f>IFERROR([1]!s_stm07_cs($A509,"W77130581",TEXT($B$1,"yyyy/mm/dd"),1),"")</f>
        <v>2521266161.9499998</v>
      </c>
      <c r="L509">
        <f>IFERROR([1]!s_stm07_cs($A509,"W77745895",TEXT($B$1,"yyyy/mm/dd"),1),"")</f>
        <v>2372433074.6500001</v>
      </c>
      <c r="M509">
        <f>IFERROR([1]!S_FA_EPS_basic2($A509,$B$1,"Cur=CNY"),"")</f>
        <v>0.4914</v>
      </c>
      <c r="N509">
        <f>IFERROR([1]!s_fa_arturndays($A509,TEXT($B$1,"yyyy/mm/dd")),"")</f>
        <v>55.234200000000001</v>
      </c>
      <c r="O509" t="str">
        <f>IFERROR([1]!fa_apturndays($A509,TEXT($B$1,"yyyy/mm/dd")),"")</f>
        <v>Fetch...</v>
      </c>
      <c r="P509">
        <f>IFERROR([1]!s_fa_invturndays($A509,TEXT($B$1,"yyyy/mm/dd")),"")</f>
        <v>12.954700000000001</v>
      </c>
    </row>
    <row r="510" spans="1:16">
      <c r="A510" t="s">
        <v>523</v>
      </c>
      <c r="B510">
        <f>IFERROR([1]!s_stm07_is($A510,"W70156729",TEXT($B$1,"yyyy/mm/dd"),1),"")</f>
        <v>10348910493.99</v>
      </c>
      <c r="C510">
        <f>IFERROR([1]!s_stm07_is($A510,"W75682424",TEXT($B$1,"yyyy/mm/dd"),1),"")</f>
        <v>9083396884.1499996</v>
      </c>
      <c r="D510">
        <f>IFERROR([1]!s_stm07_is($A510,"W76031679",TEXT($B$1,"yyyy/mm/dd"),1),"")</f>
        <v>374211445.56</v>
      </c>
      <c r="E510">
        <f>IFERROR([1]!s_stm07_is($A510,"W70752487",TEXT($B$1,"yyyy/mm/dd"),1),"")</f>
        <v>299453170.54000002</v>
      </c>
      <c r="F510">
        <f>IFERROR([1]!s_stm07_is_103($A510,TEXT($B$1,"yyyy/mm/dd"),1),"")</f>
        <v>355191649.72000003</v>
      </c>
      <c r="G510">
        <f>IFERROR([1]!s_stm07_is_104($A510,TEXT($B$1,"yyyy/mm/dd"),1),"")</f>
        <v>150066252.87</v>
      </c>
      <c r="H510">
        <f>IFERROR([1]!s_stm07_is_105($A510,TEXT($B$1,"yyyy/mm/dd"),1),"")</f>
        <v>115579094.5</v>
      </c>
      <c r="I510">
        <f>IFERROR([1]!s_stm07_is($A510,"W72946623",TEXT($B$1,"yyyy/mm/dd"),1),"")</f>
        <v>-31146941.940000001</v>
      </c>
      <c r="J510">
        <f>IFERROR([1]!s_stm07_is($A510,"W30028333",TEXT($B$1,"yyyy/mm/dd"),1),"")</f>
        <v>37916162.270000003</v>
      </c>
      <c r="K510">
        <f>IFERROR([1]!s_stm07_cs($A510,"W77130581",TEXT($B$1,"yyyy/mm/dd"),1),"")</f>
        <v>287618775.54000002</v>
      </c>
      <c r="L510">
        <f>IFERROR([1]!s_stm07_cs($A510,"W77745895",TEXT($B$1,"yyyy/mm/dd"),1),"")</f>
        <v>182269684.27000001</v>
      </c>
      <c r="M510">
        <f>IFERROR([1]!S_FA_EPS_basic2($A510,$B$1,"Cur=CNY"),"")</f>
        <v>0.14000000000000001</v>
      </c>
      <c r="N510">
        <f>IFERROR([1]!s_fa_arturndays($A510,TEXT($B$1,"yyyy/mm/dd")),"")</f>
        <v>209.08349999999999</v>
      </c>
      <c r="O510" t="str">
        <f>IFERROR([1]!fa_apturndays($A510,TEXT($B$1,"yyyy/mm/dd")),"")</f>
        <v>Fetch...</v>
      </c>
      <c r="P510">
        <f>IFERROR([1]!s_fa_invturndays($A510,TEXT($B$1,"yyyy/mm/dd")),"")</f>
        <v>119.8642</v>
      </c>
    </row>
    <row r="511" spans="1:16">
      <c r="A511" t="s">
        <v>524</v>
      </c>
      <c r="B511">
        <f>IFERROR([1]!s_stm07_is($A511,"W70156729",TEXT($B$1,"yyyy/mm/dd"),1),"")</f>
        <v>12921145000</v>
      </c>
      <c r="C511">
        <f>IFERROR([1]!s_stm07_is($A511,"W75682424",TEXT($B$1,"yyyy/mm/dd"),1),"")</f>
        <v>0</v>
      </c>
      <c r="D511">
        <f>IFERROR([1]!s_stm07_is($A511,"W76031679",TEXT($B$1,"yyyy/mm/dd"),1),"")</f>
        <v>0</v>
      </c>
      <c r="E511">
        <f>IFERROR([1]!s_stm07_is($A511,"W70752487",TEXT($B$1,"yyyy/mm/dd"),1),"")</f>
        <v>3559209000</v>
      </c>
      <c r="F511">
        <f>IFERROR([1]!s_stm07_is_103($A511,TEXT($B$1,"yyyy/mm/dd"),1),"")</f>
        <v>0</v>
      </c>
      <c r="G511">
        <f>IFERROR([1]!s_stm07_is_104($A511,TEXT($B$1,"yyyy/mm/dd"),1),"")</f>
        <v>0</v>
      </c>
      <c r="H511">
        <f>IFERROR([1]!s_stm07_is_105($A511,TEXT($B$1,"yyyy/mm/dd"),1),"")</f>
        <v>0</v>
      </c>
      <c r="I511">
        <f>IFERROR([1]!s_stm07_is($A511,"W72946623",TEXT($B$1,"yyyy/mm/dd"),1),"")</f>
        <v>1900057000</v>
      </c>
      <c r="J511">
        <f>IFERROR([1]!s_stm07_is($A511,"W30028333",TEXT($B$1,"yyyy/mm/dd"),1),"")</f>
        <v>1895005000</v>
      </c>
      <c r="K511">
        <f>IFERROR([1]!s_stm07_cs($A511,"W77130581",TEXT($B$1,"yyyy/mm/dd"),1),"")</f>
        <v>21853909000</v>
      </c>
      <c r="L511">
        <f>IFERROR([1]!s_stm07_cs($A511,"W77745895",TEXT($B$1,"yyyy/mm/dd"),1),"")</f>
        <v>99931000</v>
      </c>
      <c r="M511">
        <f>IFERROR([1]!S_FA_EPS_basic2($A511,$B$1,"Cur=CNY"),"")</f>
        <v>0.16</v>
      </c>
      <c r="N511">
        <f>IFERROR([1]!s_fa_arturndays($A511,TEXT($B$1,"yyyy/mm/dd")),"")</f>
        <v>0</v>
      </c>
      <c r="O511" t="str">
        <f>IFERROR([1]!fa_apturndays($A511,TEXT($B$1,"yyyy/mm/dd")),"")</f>
        <v>Fetch...</v>
      </c>
      <c r="P511">
        <f>IFERROR([1]!s_fa_invturndays($A511,TEXT($B$1,"yyyy/mm/dd")),"")</f>
        <v>0</v>
      </c>
    </row>
    <row r="512" spans="1:16">
      <c r="A512" t="s">
        <v>525</v>
      </c>
      <c r="B512">
        <f>IFERROR([1]!s_stm07_is($A512,"W70156729",TEXT($B$1,"yyyy/mm/dd"),1),"")</f>
        <v>39147009392.269997</v>
      </c>
      <c r="C512">
        <f>IFERROR([1]!s_stm07_is($A512,"W75682424",TEXT($B$1,"yyyy/mm/dd"),1),"")</f>
        <v>30730418442.09</v>
      </c>
      <c r="D512">
        <f>IFERROR([1]!s_stm07_is($A512,"W76031679",TEXT($B$1,"yyyy/mm/dd"),1),"")</f>
        <v>272858591.13999999</v>
      </c>
      <c r="E512">
        <f>IFERROR([1]!s_stm07_is($A512,"W70752487",TEXT($B$1,"yyyy/mm/dd"),1),"")</f>
        <v>1484265651.24</v>
      </c>
      <c r="F512">
        <f>IFERROR([1]!s_stm07_is_103($A512,TEXT($B$1,"yyyy/mm/dd"),1),"")</f>
        <v>2458991706.79</v>
      </c>
      <c r="G512">
        <f>IFERROR([1]!s_stm07_is_104($A512,TEXT($B$1,"yyyy/mm/dd"),1),"")</f>
        <v>125035367.53</v>
      </c>
      <c r="H512">
        <f>IFERROR([1]!s_stm07_is_105($A512,TEXT($B$1,"yyyy/mm/dd"),1),"")</f>
        <v>434880480.58999997</v>
      </c>
      <c r="I512">
        <f>IFERROR([1]!s_stm07_is($A512,"W72946623",TEXT($B$1,"yyyy/mm/dd"),1),"")</f>
        <v>4283768236.6599998</v>
      </c>
      <c r="J512">
        <f>IFERROR([1]!s_stm07_is($A512,"W30028333",TEXT($B$1,"yyyy/mm/dd"),1),"")</f>
        <v>3737843458.4000001</v>
      </c>
      <c r="K512">
        <f>IFERROR([1]!s_stm07_cs($A512,"W77130581",TEXT($B$1,"yyyy/mm/dd"),1),"")</f>
        <v>7285787285.0500002</v>
      </c>
      <c r="L512">
        <f>IFERROR([1]!s_stm07_cs($A512,"W77745895",TEXT($B$1,"yyyy/mm/dd"),1),"")</f>
        <v>6626316438.75</v>
      </c>
      <c r="M512">
        <f>IFERROR([1]!S_FA_EPS_basic2($A512,$B$1,"Cur=CNY"),"")</f>
        <v>1.61</v>
      </c>
      <c r="N512">
        <f>IFERROR([1]!s_fa_arturndays($A512,TEXT($B$1,"yyyy/mm/dd")),"")</f>
        <v>54.449800000000003</v>
      </c>
      <c r="O512" t="str">
        <f>IFERROR([1]!fa_apturndays($A512,TEXT($B$1,"yyyy/mm/dd")),"")</f>
        <v>Fetch...</v>
      </c>
      <c r="P512">
        <f>IFERROR([1]!s_fa_invturndays($A512,TEXT($B$1,"yyyy/mm/dd")),"")</f>
        <v>41.952199999999998</v>
      </c>
    </row>
    <row r="513" spans="1:16">
      <c r="A513" t="s">
        <v>526</v>
      </c>
      <c r="B513">
        <f>IFERROR([1]!s_stm07_is($A513,"W70156729",TEXT($B$1,"yyyy/mm/dd"),1),"")</f>
        <v>5195751651.2399998</v>
      </c>
      <c r="C513">
        <f>IFERROR([1]!s_stm07_is($A513,"W75682424",TEXT($B$1,"yyyy/mm/dd"),1),"")</f>
        <v>0</v>
      </c>
      <c r="D513">
        <f>IFERROR([1]!s_stm07_is($A513,"W76031679",TEXT($B$1,"yyyy/mm/dd"),1),"")</f>
        <v>0</v>
      </c>
      <c r="E513">
        <f>IFERROR([1]!s_stm07_is($A513,"W70752487",TEXT($B$1,"yyyy/mm/dd"),1),"")</f>
        <v>2417765941.6399999</v>
      </c>
      <c r="F513">
        <f>IFERROR([1]!s_stm07_is_103($A513,TEXT($B$1,"yyyy/mm/dd"),1),"")</f>
        <v>0</v>
      </c>
      <c r="G513">
        <f>IFERROR([1]!s_stm07_is_104($A513,TEXT($B$1,"yyyy/mm/dd"),1),"")</f>
        <v>0</v>
      </c>
      <c r="H513">
        <f>IFERROR([1]!s_stm07_is_105($A513,TEXT($B$1,"yyyy/mm/dd"),1),"")</f>
        <v>0</v>
      </c>
      <c r="I513">
        <f>IFERROR([1]!s_stm07_is($A513,"W72946623",TEXT($B$1,"yyyy/mm/dd"),1),"")</f>
        <v>2724381771.4000001</v>
      </c>
      <c r="J513">
        <f>IFERROR([1]!s_stm07_is($A513,"W30028333",TEXT($B$1,"yyyy/mm/dd"),1),"")</f>
        <v>2351600065.5300002</v>
      </c>
      <c r="K513">
        <f>IFERROR([1]!s_stm07_cs($A513,"W77130581",TEXT($B$1,"yyyy/mm/dd"),1),"")</f>
        <v>7543447077.2700005</v>
      </c>
      <c r="L513">
        <f>IFERROR([1]!s_stm07_cs($A513,"W77745895",TEXT($B$1,"yyyy/mm/dd"),1),"")</f>
        <v>111178056.19</v>
      </c>
      <c r="M513">
        <f>IFERROR([1]!S_FA_EPS_basic2($A513,$B$1,"Cur=CNY"),"")</f>
        <v>0.57999999999999996</v>
      </c>
      <c r="N513">
        <f>IFERROR([1]!s_fa_arturndays($A513,TEXT($B$1,"yyyy/mm/dd")),"")</f>
        <v>0</v>
      </c>
      <c r="O513" t="str">
        <f>IFERROR([1]!fa_apturndays($A513,TEXT($B$1,"yyyy/mm/dd")),"")</f>
        <v>Fetch...</v>
      </c>
      <c r="P513">
        <f>IFERROR([1]!s_fa_invturndays($A513,TEXT($B$1,"yyyy/mm/dd")),"")</f>
        <v>0</v>
      </c>
    </row>
    <row r="514" spans="1:16">
      <c r="A514" t="s">
        <v>527</v>
      </c>
      <c r="B514">
        <f>IFERROR([1]!s_stm07_is($A514,"W70156729",TEXT($B$1,"yyyy/mm/dd"),1),"")</f>
        <v>9431989402.1299992</v>
      </c>
      <c r="C514">
        <f>IFERROR([1]!s_stm07_is($A514,"W75682424",TEXT($B$1,"yyyy/mm/dd"),1),"")</f>
        <v>8395861207.4300003</v>
      </c>
      <c r="D514">
        <f>IFERROR([1]!s_stm07_is($A514,"W76031679",TEXT($B$1,"yyyy/mm/dd"),1),"")</f>
        <v>12775806.23</v>
      </c>
      <c r="E514">
        <f>IFERROR([1]!s_stm07_is($A514,"W70752487",TEXT($B$1,"yyyy/mm/dd"),1),"")</f>
        <v>283305326.38999999</v>
      </c>
      <c r="F514">
        <f>IFERROR([1]!s_stm07_is_103($A514,TEXT($B$1,"yyyy/mm/dd"),1),"")</f>
        <v>26568386.449999999</v>
      </c>
      <c r="G514">
        <f>IFERROR([1]!s_stm07_is_104($A514,TEXT($B$1,"yyyy/mm/dd"),1),"")</f>
        <v>186679172.56</v>
      </c>
      <c r="H514">
        <f>IFERROR([1]!s_stm07_is_105($A514,TEXT($B$1,"yyyy/mm/dd"),1),"")</f>
        <v>168364751.80000001</v>
      </c>
      <c r="I514">
        <f>IFERROR([1]!s_stm07_is($A514,"W72946623",TEXT($B$1,"yyyy/mm/dd"),1),"")</f>
        <v>613899262.07000005</v>
      </c>
      <c r="J514">
        <f>IFERROR([1]!s_stm07_is($A514,"W30028333",TEXT($B$1,"yyyy/mm/dd"),1),"")</f>
        <v>472444703.52999997</v>
      </c>
      <c r="K514">
        <f>IFERROR([1]!s_stm07_cs($A514,"W77130581",TEXT($B$1,"yyyy/mm/dd"),1),"")</f>
        <v>931535928.21000004</v>
      </c>
      <c r="L514">
        <f>IFERROR([1]!s_stm07_cs($A514,"W77745895",TEXT($B$1,"yyyy/mm/dd"),1),"")</f>
        <v>1920227296.49</v>
      </c>
      <c r="M514">
        <f>IFERROR([1]!S_FA_EPS_basic2($A514,$B$1,"Cur=CNY"),"")</f>
        <v>0.7</v>
      </c>
      <c r="N514">
        <f>IFERROR([1]!s_fa_arturndays($A514,TEXT($B$1,"yyyy/mm/dd")),"")</f>
        <v>78.277900000000002</v>
      </c>
      <c r="O514" t="str">
        <f>IFERROR([1]!fa_apturndays($A514,TEXT($B$1,"yyyy/mm/dd")),"")</f>
        <v>Fetch...</v>
      </c>
      <c r="P514">
        <f>IFERROR([1]!s_fa_invturndays($A514,TEXT($B$1,"yyyy/mm/dd")),"")</f>
        <v>146.1276</v>
      </c>
    </row>
    <row r="515" spans="1:16">
      <c r="A515" t="s">
        <v>528</v>
      </c>
      <c r="B515">
        <f>IFERROR([1]!s_stm07_is($A515,"W70156729",TEXT($B$1,"yyyy/mm/dd"),1),"")</f>
        <v>1697822753.8499999</v>
      </c>
      <c r="C515">
        <f>IFERROR([1]!s_stm07_is($A515,"W75682424",TEXT($B$1,"yyyy/mm/dd"),1),"")</f>
        <v>0</v>
      </c>
      <c r="D515">
        <f>IFERROR([1]!s_stm07_is($A515,"W76031679",TEXT($B$1,"yyyy/mm/dd"),1),"")</f>
        <v>0</v>
      </c>
      <c r="E515">
        <f>IFERROR([1]!s_stm07_is($A515,"W70752487",TEXT($B$1,"yyyy/mm/dd"),1),"")</f>
        <v>1093678422.02</v>
      </c>
      <c r="F515">
        <f>IFERROR([1]!s_stm07_is_103($A515,TEXT($B$1,"yyyy/mm/dd"),1),"")</f>
        <v>0</v>
      </c>
      <c r="G515">
        <f>IFERROR([1]!s_stm07_is_104($A515,TEXT($B$1,"yyyy/mm/dd"),1),"")</f>
        <v>0</v>
      </c>
      <c r="H515">
        <f>IFERROR([1]!s_stm07_is_105($A515,TEXT($B$1,"yyyy/mm/dd"),1),"")</f>
        <v>0</v>
      </c>
      <c r="I515">
        <f>IFERROR([1]!s_stm07_is($A515,"W72946623",TEXT($B$1,"yyyy/mm/dd"),1),"")</f>
        <v>587112608.62</v>
      </c>
      <c r="J515">
        <f>IFERROR([1]!s_stm07_is($A515,"W30028333",TEXT($B$1,"yyyy/mm/dd"),1),"")</f>
        <v>506231214.75999999</v>
      </c>
      <c r="K515">
        <f>IFERROR([1]!s_stm07_cs($A515,"W77130581",TEXT($B$1,"yyyy/mm/dd"),1),"")</f>
        <v>2809094552.2800002</v>
      </c>
      <c r="L515">
        <f>IFERROR([1]!s_stm07_cs($A515,"W77745895",TEXT($B$1,"yyyy/mm/dd"),1),"")</f>
        <v>66500617.789999999</v>
      </c>
      <c r="M515">
        <f>IFERROR([1]!S_FA_EPS_basic2($A515,$B$1,"Cur=CNY"),"")</f>
        <v>0.19</v>
      </c>
      <c r="N515">
        <f>IFERROR([1]!s_fa_arturndays($A515,TEXT($B$1,"yyyy/mm/dd")),"")</f>
        <v>0</v>
      </c>
      <c r="O515" t="str">
        <f>IFERROR([1]!fa_apturndays($A515,TEXT($B$1,"yyyy/mm/dd")),"")</f>
        <v>Fetch...</v>
      </c>
      <c r="P515">
        <f>IFERROR([1]!s_fa_invturndays($A515,TEXT($B$1,"yyyy/mm/dd")),"")</f>
        <v>0</v>
      </c>
    </row>
    <row r="516" spans="1:16">
      <c r="A516" t="s">
        <v>529</v>
      </c>
      <c r="B516">
        <f>IFERROR([1]!s_stm07_is($A516,"W70156729",TEXT($B$1,"yyyy/mm/dd"),1),"")</f>
        <v>11233457712.85</v>
      </c>
      <c r="C516">
        <f>IFERROR([1]!s_stm07_is($A516,"W75682424",TEXT($B$1,"yyyy/mm/dd"),1),"")</f>
        <v>7955457852.4899998</v>
      </c>
      <c r="D516">
        <f>IFERROR([1]!s_stm07_is($A516,"W76031679",TEXT($B$1,"yyyy/mm/dd"),1),"")</f>
        <v>1809515621.0599999</v>
      </c>
      <c r="E516">
        <f>IFERROR([1]!s_stm07_is($A516,"W70752487",TEXT($B$1,"yyyy/mm/dd"),1),"")</f>
        <v>356813792.72000003</v>
      </c>
      <c r="F516">
        <f>IFERROR([1]!s_stm07_is_103($A516,TEXT($B$1,"yyyy/mm/dd"),1),"")</f>
        <v>50366021.240000002</v>
      </c>
      <c r="G516">
        <f>IFERROR([1]!s_stm07_is_104($A516,TEXT($B$1,"yyyy/mm/dd"),1),"")</f>
        <v>79249516.049999997</v>
      </c>
      <c r="H516">
        <f>IFERROR([1]!s_stm07_is_105($A516,TEXT($B$1,"yyyy/mm/dd"),1),"")</f>
        <v>4547490.13</v>
      </c>
      <c r="I516">
        <f>IFERROR([1]!s_stm07_is($A516,"W72946623",TEXT($B$1,"yyyy/mm/dd"),1),"")</f>
        <v>850113893.25</v>
      </c>
      <c r="J516">
        <f>IFERROR([1]!s_stm07_is($A516,"W30028333",TEXT($B$1,"yyyy/mm/dd"),1),"")</f>
        <v>731146914.28999996</v>
      </c>
      <c r="K516">
        <f>IFERROR([1]!s_stm07_cs($A516,"W77130581",TEXT($B$1,"yyyy/mm/dd"),1),"")</f>
        <v>1510107598.95</v>
      </c>
      <c r="L516">
        <f>IFERROR([1]!s_stm07_cs($A516,"W77745895",TEXT($B$1,"yyyy/mm/dd"),1),"")</f>
        <v>604950879.03999996</v>
      </c>
      <c r="M516">
        <f>IFERROR([1]!S_FA_EPS_basic2($A516,$B$1,"Cur=CNY"),"")</f>
        <v>0.85</v>
      </c>
      <c r="N516">
        <f>IFERROR([1]!s_fa_arturndays($A516,TEXT($B$1,"yyyy/mm/dd")),"")</f>
        <v>20.1234</v>
      </c>
      <c r="O516" t="str">
        <f>IFERROR([1]!fa_apturndays($A516,TEXT($B$1,"yyyy/mm/dd")),"")</f>
        <v>Fetch...</v>
      </c>
      <c r="P516">
        <f>IFERROR([1]!s_fa_invturndays($A516,TEXT($B$1,"yyyy/mm/dd")),"")</f>
        <v>33.009</v>
      </c>
    </row>
    <row r="517" spans="1:16">
      <c r="A517" t="s">
        <v>530</v>
      </c>
      <c r="B517">
        <f>IFERROR([1]!s_stm07_is($A517,"W70156729",TEXT($B$1,"yyyy/mm/dd"),1),"")</f>
        <v>2857714112.4699998</v>
      </c>
      <c r="C517">
        <f>IFERROR([1]!s_stm07_is($A517,"W75682424",TEXT($B$1,"yyyy/mm/dd"),1),"")</f>
        <v>1943937898.24</v>
      </c>
      <c r="D517">
        <f>IFERROR([1]!s_stm07_is($A517,"W76031679",TEXT($B$1,"yyyy/mm/dd"),1),"")</f>
        <v>50305440.990000002</v>
      </c>
      <c r="E517">
        <f>IFERROR([1]!s_stm07_is($A517,"W70752487",TEXT($B$1,"yyyy/mm/dd"),1),"")</f>
        <v>95834424.700000003</v>
      </c>
      <c r="F517">
        <f>IFERROR([1]!s_stm07_is_103($A517,TEXT($B$1,"yyyy/mm/dd"),1),"")</f>
        <v>130762213.04000001</v>
      </c>
      <c r="G517">
        <f>IFERROR([1]!s_stm07_is_104($A517,TEXT($B$1,"yyyy/mm/dd"),1),"")</f>
        <v>4865933.92</v>
      </c>
      <c r="H517">
        <f>IFERROR([1]!s_stm07_is_105($A517,TEXT($B$1,"yyyy/mm/dd"),1),"")</f>
        <v>38946185.689999998</v>
      </c>
      <c r="I517">
        <f>IFERROR([1]!s_stm07_is($A517,"W72946623",TEXT($B$1,"yyyy/mm/dd"),1),"")</f>
        <v>610104035.39999998</v>
      </c>
      <c r="J517">
        <f>IFERROR([1]!s_stm07_is($A517,"W30028333",TEXT($B$1,"yyyy/mm/dd"),1),"")</f>
        <v>531919355.42000002</v>
      </c>
      <c r="K517">
        <f>IFERROR([1]!s_stm07_cs($A517,"W77130581",TEXT($B$1,"yyyy/mm/dd"),1),"")</f>
        <v>686654970.95000005</v>
      </c>
      <c r="L517">
        <f>IFERROR([1]!s_stm07_cs($A517,"W77745895",TEXT($B$1,"yyyy/mm/dd"),1),"")</f>
        <v>72186697.120000005</v>
      </c>
      <c r="M517">
        <f>IFERROR([1]!S_FA_EPS_basic2($A517,$B$1,"Cur=CNY"),"")</f>
        <v>2.08</v>
      </c>
      <c r="N517">
        <f>IFERROR([1]!s_fa_arturndays($A517,TEXT($B$1,"yyyy/mm/dd")),"")</f>
        <v>158.58330000000001</v>
      </c>
      <c r="O517" t="str">
        <f>IFERROR([1]!fa_apturndays($A517,TEXT($B$1,"yyyy/mm/dd")),"")</f>
        <v>Fetch...</v>
      </c>
      <c r="P517">
        <f>IFERROR([1]!s_fa_invturndays($A517,TEXT($B$1,"yyyy/mm/dd")),"")</f>
        <v>52.135399999999997</v>
      </c>
    </row>
    <row r="518" spans="1:16">
      <c r="A518" t="s">
        <v>531</v>
      </c>
      <c r="B518">
        <f>IFERROR([1]!s_stm07_is($A518,"W70156729",TEXT($B$1,"yyyy/mm/dd"),1),"")</f>
        <v>14572778000</v>
      </c>
      <c r="C518">
        <f>IFERROR([1]!s_stm07_is($A518,"W75682424",TEXT($B$1,"yyyy/mm/dd"),1),"")</f>
        <v>0</v>
      </c>
      <c r="D518">
        <f>IFERROR([1]!s_stm07_is($A518,"W76031679",TEXT($B$1,"yyyy/mm/dd"),1),"")</f>
        <v>0</v>
      </c>
      <c r="E518">
        <f>IFERROR([1]!s_stm07_is($A518,"W70752487",TEXT($B$1,"yyyy/mm/dd"),1),"")</f>
        <v>4608302000</v>
      </c>
      <c r="F518">
        <f>IFERROR([1]!s_stm07_is_103($A518,TEXT($B$1,"yyyy/mm/dd"),1),"")</f>
        <v>0</v>
      </c>
      <c r="G518">
        <f>IFERROR([1]!s_stm07_is_104($A518,TEXT($B$1,"yyyy/mm/dd"),1),"")</f>
        <v>0</v>
      </c>
      <c r="H518">
        <f>IFERROR([1]!s_stm07_is_105($A518,TEXT($B$1,"yyyy/mm/dd"),1),"")</f>
        <v>0</v>
      </c>
      <c r="I518">
        <f>IFERROR([1]!s_stm07_is($A518,"W72946623",TEXT($B$1,"yyyy/mm/dd"),1),"")</f>
        <v>6243835000</v>
      </c>
      <c r="J518">
        <f>IFERROR([1]!s_stm07_is($A518,"W30028333",TEXT($B$1,"yyyy/mm/dd"),1),"")</f>
        <v>5187741000</v>
      </c>
      <c r="K518">
        <f>IFERROR([1]!s_stm07_cs($A518,"W77130581",TEXT($B$1,"yyyy/mm/dd"),1),"")</f>
        <v>8799626000</v>
      </c>
      <c r="L518">
        <f>IFERROR([1]!s_stm07_cs($A518,"W77745895",TEXT($B$1,"yyyy/mm/dd"),1),"")</f>
        <v>377733000</v>
      </c>
      <c r="M518">
        <f>IFERROR([1]!S_FA_EPS_basic2($A518,$B$1,"Cur=CNY"),"")</f>
        <v>0.85</v>
      </c>
      <c r="N518">
        <f>IFERROR([1]!s_fa_arturndays($A518,TEXT($B$1,"yyyy/mm/dd")),"")</f>
        <v>0</v>
      </c>
      <c r="O518" t="str">
        <f>IFERROR([1]!fa_apturndays($A518,TEXT($B$1,"yyyy/mm/dd")),"")</f>
        <v>Fetch...</v>
      </c>
      <c r="P518">
        <f>IFERROR([1]!s_fa_invturndays($A518,TEXT($B$1,"yyyy/mm/dd")),"")</f>
        <v>0</v>
      </c>
    </row>
    <row r="519" spans="1:16">
      <c r="A519" t="s">
        <v>532</v>
      </c>
      <c r="B519">
        <f>IFERROR([1]!s_stm07_is($A519,"W70156729",TEXT($B$1,"yyyy/mm/dd"),1),"")</f>
        <v>10027100000</v>
      </c>
      <c r="C519">
        <f>IFERROR([1]!s_stm07_is($A519,"W75682424",TEXT($B$1,"yyyy/mm/dd"),1),"")</f>
        <v>0</v>
      </c>
      <c r="D519">
        <f>IFERROR([1]!s_stm07_is($A519,"W76031679",TEXT($B$1,"yyyy/mm/dd"),1),"")</f>
        <v>0</v>
      </c>
      <c r="E519">
        <f>IFERROR([1]!s_stm07_is($A519,"W70752487",TEXT($B$1,"yyyy/mm/dd"),1),"")</f>
        <v>3656621000</v>
      </c>
      <c r="F519">
        <f>IFERROR([1]!s_stm07_is_103($A519,TEXT($B$1,"yyyy/mm/dd"),1),"")</f>
        <v>0</v>
      </c>
      <c r="G519">
        <f>IFERROR([1]!s_stm07_is_104($A519,TEXT($B$1,"yyyy/mm/dd"),1),"")</f>
        <v>0</v>
      </c>
      <c r="H519">
        <f>IFERROR([1]!s_stm07_is_105($A519,TEXT($B$1,"yyyy/mm/dd"),1),"")</f>
        <v>0</v>
      </c>
      <c r="I519">
        <f>IFERROR([1]!s_stm07_is($A519,"W72946623",TEXT($B$1,"yyyy/mm/dd"),1),"")</f>
        <v>3015058000</v>
      </c>
      <c r="J519">
        <f>IFERROR([1]!s_stm07_is($A519,"W30028333",TEXT($B$1,"yyyy/mm/dd"),1),"")</f>
        <v>3128212000</v>
      </c>
      <c r="K519">
        <f>IFERROR([1]!s_stm07_cs($A519,"W77130581",TEXT($B$1,"yyyy/mm/dd"),1),"")</f>
        <v>-11239448000</v>
      </c>
      <c r="L519">
        <f>IFERROR([1]!s_stm07_cs($A519,"W77745895",TEXT($B$1,"yyyy/mm/dd"),1),"")</f>
        <v>88408000</v>
      </c>
      <c r="M519">
        <f>IFERROR([1]!S_FA_EPS_basic2($A519,$B$1,"Cur=CNY"),"")</f>
        <v>0.52</v>
      </c>
      <c r="N519">
        <f>IFERROR([1]!s_fa_arturndays($A519,TEXT($B$1,"yyyy/mm/dd")),"")</f>
        <v>0</v>
      </c>
      <c r="O519" t="str">
        <f>IFERROR([1]!fa_apturndays($A519,TEXT($B$1,"yyyy/mm/dd")),"")</f>
        <v>Fetch...</v>
      </c>
      <c r="P519">
        <f>IFERROR([1]!s_fa_invturndays($A519,TEXT($B$1,"yyyy/mm/dd")),"")</f>
        <v>0</v>
      </c>
    </row>
    <row r="520" spans="1:16">
      <c r="A520" t="s">
        <v>533</v>
      </c>
      <c r="B520">
        <f>IFERROR([1]!s_stm07_is($A520,"W70156729",TEXT($B$1,"yyyy/mm/dd"),1),"")</f>
        <v>4697144036.6499996</v>
      </c>
      <c r="C520">
        <f>IFERROR([1]!s_stm07_is($A520,"W75682424",TEXT($B$1,"yyyy/mm/dd"),1),"")</f>
        <v>3068796742.4099998</v>
      </c>
      <c r="D520">
        <f>IFERROR([1]!s_stm07_is($A520,"W76031679",TEXT($B$1,"yyyy/mm/dd"),1),"")</f>
        <v>622234731.40999997</v>
      </c>
      <c r="E520">
        <f>IFERROR([1]!s_stm07_is($A520,"W70752487",TEXT($B$1,"yyyy/mm/dd"),1),"")</f>
        <v>341012548.38999999</v>
      </c>
      <c r="F520">
        <f>IFERROR([1]!s_stm07_is_103($A520,TEXT($B$1,"yyyy/mm/dd"),1),"")</f>
        <v>263521003.97</v>
      </c>
      <c r="G520">
        <f>IFERROR([1]!s_stm07_is_104($A520,TEXT($B$1,"yyyy/mm/dd"),1),"")</f>
        <v>25843007.649999999</v>
      </c>
      <c r="H520">
        <f>IFERROR([1]!s_stm07_is_105($A520,TEXT($B$1,"yyyy/mm/dd"),1),"")</f>
        <v>34480586.509999998</v>
      </c>
      <c r="I520">
        <f>IFERROR([1]!s_stm07_is($A520,"W72946623",TEXT($B$1,"yyyy/mm/dd"),1),"")</f>
        <v>327368497.37</v>
      </c>
      <c r="J520">
        <f>IFERROR([1]!s_stm07_is($A520,"W30028333",TEXT($B$1,"yyyy/mm/dd"),1),"")</f>
        <v>319618817.06999999</v>
      </c>
      <c r="K520">
        <f>IFERROR([1]!s_stm07_cs($A520,"W77130581",TEXT($B$1,"yyyy/mm/dd"),1),"")</f>
        <v>322006345.50999999</v>
      </c>
      <c r="L520">
        <f>IFERROR([1]!s_stm07_cs($A520,"W77745895",TEXT($B$1,"yyyy/mm/dd"),1),"")</f>
        <v>361426642.68000001</v>
      </c>
      <c r="M520">
        <f>IFERROR([1]!S_FA_EPS_basic2($A520,$B$1,"Cur=CNY"),"")</f>
        <v>0.3659</v>
      </c>
      <c r="N520">
        <f>IFERROR([1]!s_fa_arturndays($A520,TEXT($B$1,"yyyy/mm/dd")),"")</f>
        <v>200.97139999999999</v>
      </c>
      <c r="O520" t="str">
        <f>IFERROR([1]!fa_apturndays($A520,TEXT($B$1,"yyyy/mm/dd")),"")</f>
        <v>Fetch...</v>
      </c>
      <c r="P520">
        <f>IFERROR([1]!s_fa_invturndays($A520,TEXT($B$1,"yyyy/mm/dd")),"")</f>
        <v>83.339100000000002</v>
      </c>
    </row>
    <row r="521" spans="1:16">
      <c r="A521" t="s">
        <v>534</v>
      </c>
      <c r="B521">
        <f>IFERROR([1]!s_stm07_is($A521,"W70156729",TEXT($B$1,"yyyy/mm/dd"),1),"")</f>
        <v>7926843388.3900003</v>
      </c>
      <c r="C521">
        <f>IFERROR([1]!s_stm07_is($A521,"W75682424",TEXT($B$1,"yyyy/mm/dd"),1),"")</f>
        <v>7001427996.5</v>
      </c>
      <c r="D521">
        <f>IFERROR([1]!s_stm07_is($A521,"W76031679",TEXT($B$1,"yyyy/mm/dd"),1),"")</f>
        <v>40621119.600000001</v>
      </c>
      <c r="E521">
        <f>IFERROR([1]!s_stm07_is($A521,"W70752487",TEXT($B$1,"yyyy/mm/dd"),1),"")</f>
        <v>302578331.49000001</v>
      </c>
      <c r="F521">
        <f>IFERROR([1]!s_stm07_is_103($A521,TEXT($B$1,"yyyy/mm/dd"),1),"")</f>
        <v>351841952.49000001</v>
      </c>
      <c r="G521">
        <f>IFERROR([1]!s_stm07_is_104($A521,TEXT($B$1,"yyyy/mm/dd"),1),"")</f>
        <v>13412158.630000001</v>
      </c>
      <c r="H521">
        <f>IFERROR([1]!s_stm07_is_105($A521,TEXT($B$1,"yyyy/mm/dd"),1),"")</f>
        <v>10071070.279999999</v>
      </c>
      <c r="I521">
        <f>IFERROR([1]!s_stm07_is($A521,"W72946623",TEXT($B$1,"yyyy/mm/dd"),1),"")</f>
        <v>168511383.09</v>
      </c>
      <c r="J521">
        <f>IFERROR([1]!s_stm07_is($A521,"W30028333",TEXT($B$1,"yyyy/mm/dd"),1),"")</f>
        <v>154986229.25999999</v>
      </c>
      <c r="K521">
        <f>IFERROR([1]!s_stm07_cs($A521,"W77130581",TEXT($B$1,"yyyy/mm/dd"),1),"")</f>
        <v>27790950.18</v>
      </c>
      <c r="L521">
        <f>IFERROR([1]!s_stm07_cs($A521,"W77745895",TEXT($B$1,"yyyy/mm/dd"),1),"")</f>
        <v>194983506.34</v>
      </c>
      <c r="M521">
        <f>IFERROR([1]!S_FA_EPS_basic2($A521,$B$1,"Cur=CNY"),"")</f>
        <v>0.58409999999999995</v>
      </c>
      <c r="N521">
        <f>IFERROR([1]!s_fa_arturndays($A521,TEXT($B$1,"yyyy/mm/dd")),"")</f>
        <v>91.017099999999999</v>
      </c>
      <c r="O521" t="str">
        <f>IFERROR([1]!fa_apturndays($A521,TEXT($B$1,"yyyy/mm/dd")),"")</f>
        <v>Fetch...</v>
      </c>
      <c r="P521">
        <f>IFERROR([1]!s_fa_invturndays($A521,TEXT($B$1,"yyyy/mm/dd")),"")</f>
        <v>106.7996</v>
      </c>
    </row>
    <row r="522" spans="1:16">
      <c r="A522" t="s">
        <v>535</v>
      </c>
      <c r="B522">
        <f>IFERROR([1]!s_stm07_is($A522,"W70156729",TEXT($B$1,"yyyy/mm/dd"),1),"")</f>
        <v>12355561062</v>
      </c>
      <c r="C522">
        <f>IFERROR([1]!s_stm07_is($A522,"W75682424",TEXT($B$1,"yyyy/mm/dd"),1),"")</f>
        <v>0</v>
      </c>
      <c r="D522">
        <f>IFERROR([1]!s_stm07_is($A522,"W76031679",TEXT($B$1,"yyyy/mm/dd"),1),"")</f>
        <v>0</v>
      </c>
      <c r="E522">
        <f>IFERROR([1]!s_stm07_is($A522,"W70752487",TEXT($B$1,"yyyy/mm/dd"),1),"")</f>
        <v>4279043186</v>
      </c>
      <c r="F522">
        <f>IFERROR([1]!s_stm07_is_103($A522,TEXT($B$1,"yyyy/mm/dd"),1),"")</f>
        <v>0</v>
      </c>
      <c r="G522">
        <f>IFERROR([1]!s_stm07_is_104($A522,TEXT($B$1,"yyyy/mm/dd"),1),"")</f>
        <v>0</v>
      </c>
      <c r="H522">
        <f>IFERROR([1]!s_stm07_is_105($A522,TEXT($B$1,"yyyy/mm/dd"),1),"")</f>
        <v>0</v>
      </c>
      <c r="I522">
        <f>IFERROR([1]!s_stm07_is($A522,"W72946623",TEXT($B$1,"yyyy/mm/dd"),1),"")</f>
        <v>6603424867</v>
      </c>
      <c r="J522">
        <f>IFERROR([1]!s_stm07_is($A522,"W30028333",TEXT($B$1,"yyyy/mm/dd"),1),"")</f>
        <v>5348303234</v>
      </c>
      <c r="K522">
        <f>IFERROR([1]!s_stm07_cs($A522,"W77130581",TEXT($B$1,"yyyy/mm/dd"),1),"")</f>
        <v>11091062865</v>
      </c>
      <c r="L522">
        <f>IFERROR([1]!s_stm07_cs($A522,"W77745895",TEXT($B$1,"yyyy/mm/dd"),1),"")</f>
        <v>412589139</v>
      </c>
      <c r="M522">
        <f>IFERROR([1]!S_FA_EPS_basic2($A522,$B$1,"Cur=CNY"),"")</f>
        <v>1.1399999999999999</v>
      </c>
      <c r="N522">
        <f>IFERROR([1]!s_fa_arturndays($A522,TEXT($B$1,"yyyy/mm/dd")),"")</f>
        <v>0</v>
      </c>
      <c r="O522" t="str">
        <f>IFERROR([1]!fa_apturndays($A522,TEXT($B$1,"yyyy/mm/dd")),"")</f>
        <v>Fetch...</v>
      </c>
      <c r="P522">
        <f>IFERROR([1]!s_fa_invturndays($A522,TEXT($B$1,"yyyy/mm/dd")),"")</f>
        <v>0</v>
      </c>
    </row>
    <row r="523" spans="1:16">
      <c r="A523" t="s">
        <v>536</v>
      </c>
      <c r="B523">
        <f>IFERROR([1]!s_stm07_is($A523,"W70156729",TEXT($B$1,"yyyy/mm/dd"),1),"")</f>
        <v>3603407453.0900002</v>
      </c>
      <c r="C523">
        <f>IFERROR([1]!s_stm07_is($A523,"W75682424",TEXT($B$1,"yyyy/mm/dd"),1),"")</f>
        <v>1915608589.0699999</v>
      </c>
      <c r="D523">
        <f>IFERROR([1]!s_stm07_is($A523,"W76031679",TEXT($B$1,"yyyy/mm/dd"),1),"")</f>
        <v>524533830.60000002</v>
      </c>
      <c r="E523">
        <f>IFERROR([1]!s_stm07_is($A523,"W70752487",TEXT($B$1,"yyyy/mm/dd"),1),"")</f>
        <v>250005063.90000001</v>
      </c>
      <c r="F523">
        <f>IFERROR([1]!s_stm07_is_103($A523,TEXT($B$1,"yyyy/mm/dd"),1),"")</f>
        <v>402906883.77999997</v>
      </c>
      <c r="G523">
        <f>IFERROR([1]!s_stm07_is_104($A523,TEXT($B$1,"yyyy/mm/dd"),1),"")</f>
        <v>46267079.189999998</v>
      </c>
      <c r="H523">
        <f>IFERROR([1]!s_stm07_is_105($A523,TEXT($B$1,"yyyy/mm/dd"),1),"")</f>
        <v>4980834.3499999996</v>
      </c>
      <c r="I523">
        <f>IFERROR([1]!s_stm07_is($A523,"W72946623",TEXT($B$1,"yyyy/mm/dd"),1),"")</f>
        <v>473452608.12</v>
      </c>
      <c r="J523">
        <f>IFERROR([1]!s_stm07_is($A523,"W30028333",TEXT($B$1,"yyyy/mm/dd"),1),"")</f>
        <v>424537089.39999998</v>
      </c>
      <c r="K523">
        <f>IFERROR([1]!s_stm07_cs($A523,"W77130581",TEXT($B$1,"yyyy/mm/dd"),1),"")</f>
        <v>951810586.23000002</v>
      </c>
      <c r="L523">
        <f>IFERROR([1]!s_stm07_cs($A523,"W77745895",TEXT($B$1,"yyyy/mm/dd"),1),"")</f>
        <v>473826101.38</v>
      </c>
      <c r="M523">
        <f>IFERROR([1]!S_FA_EPS_basic2($A523,$B$1,"Cur=CNY"),"")</f>
        <v>0.76</v>
      </c>
      <c r="N523">
        <f>IFERROR([1]!s_fa_arturndays($A523,TEXT($B$1,"yyyy/mm/dd")),"")</f>
        <v>143.00470000000001</v>
      </c>
      <c r="O523" t="str">
        <f>IFERROR([1]!fa_apturndays($A523,TEXT($B$1,"yyyy/mm/dd")),"")</f>
        <v>Fetch...</v>
      </c>
      <c r="P523">
        <f>IFERROR([1]!s_fa_invturndays($A523,TEXT($B$1,"yyyy/mm/dd")),"")</f>
        <v>75.432199999999995</v>
      </c>
    </row>
    <row r="524" spans="1:16">
      <c r="A524" t="s">
        <v>537</v>
      </c>
      <c r="B524">
        <f>IFERROR([1]!s_stm07_is($A524,"W70156729",TEXT($B$1,"yyyy/mm/dd"),1),"")</f>
        <v>2008743731.2</v>
      </c>
      <c r="C524">
        <f>IFERROR([1]!s_stm07_is($A524,"W75682424",TEXT($B$1,"yyyy/mm/dd"),1),"")</f>
        <v>757298980.73000002</v>
      </c>
      <c r="D524">
        <f>IFERROR([1]!s_stm07_is($A524,"W76031679",TEXT($B$1,"yyyy/mm/dd"),1),"")</f>
        <v>3354600.16</v>
      </c>
      <c r="E524">
        <f>IFERROR([1]!s_stm07_is($A524,"W70752487",TEXT($B$1,"yyyy/mm/dd"),1),"")</f>
        <v>168188848.94999999</v>
      </c>
      <c r="F524">
        <f>IFERROR([1]!s_stm07_is_103($A524,TEXT($B$1,"yyyy/mm/dd"),1),"")</f>
        <v>75593057.390000001</v>
      </c>
      <c r="G524">
        <f>IFERROR([1]!s_stm07_is_104($A524,TEXT($B$1,"yyyy/mm/dd"),1),"")</f>
        <v>41877829.210000001</v>
      </c>
      <c r="H524">
        <f>IFERROR([1]!s_stm07_is_105($A524,TEXT($B$1,"yyyy/mm/dd"),1),"")</f>
        <v>37470621.32</v>
      </c>
      <c r="I524">
        <f>IFERROR([1]!s_stm07_is($A524,"W72946623",TEXT($B$1,"yyyy/mm/dd"),1),"")</f>
        <v>877013045.88</v>
      </c>
      <c r="J524">
        <f>IFERROR([1]!s_stm07_is($A524,"W30028333",TEXT($B$1,"yyyy/mm/dd"),1),"")</f>
        <v>719959797.00999999</v>
      </c>
      <c r="K524">
        <f>IFERROR([1]!s_stm07_cs($A524,"W77130581",TEXT($B$1,"yyyy/mm/dd"),1),"")</f>
        <v>1185966854.8699999</v>
      </c>
      <c r="L524">
        <f>IFERROR([1]!s_stm07_cs($A524,"W77745895",TEXT($B$1,"yyyy/mm/dd"),1),"")</f>
        <v>1766414210.8699999</v>
      </c>
      <c r="M524">
        <f>IFERROR([1]!S_FA_EPS_basic2($A524,$B$1,"Cur=CNY"),"")</f>
        <v>1.5283</v>
      </c>
      <c r="N524">
        <f>IFERROR([1]!s_fa_arturndays($A524,TEXT($B$1,"yyyy/mm/dd")),"")</f>
        <v>7.0484999999999998</v>
      </c>
      <c r="O524" t="str">
        <f>IFERROR([1]!fa_apturndays($A524,TEXT($B$1,"yyyy/mm/dd")),"")</f>
        <v>Fetch...</v>
      </c>
      <c r="P524">
        <f>IFERROR([1]!s_fa_invturndays($A524,TEXT($B$1,"yyyy/mm/dd")),"")</f>
        <v>362.5378</v>
      </c>
    </row>
    <row r="525" spans="1:16">
      <c r="A525" t="s">
        <v>538</v>
      </c>
      <c r="B525">
        <f>IFERROR([1]!s_stm07_is($A525,"W70156729",TEXT($B$1,"yyyy/mm/dd"),1),"")</f>
        <v>1873838550.29</v>
      </c>
      <c r="C525">
        <f>IFERROR([1]!s_stm07_is($A525,"W75682424",TEXT($B$1,"yyyy/mm/dd"),1),"")</f>
        <v>1143037814.6700001</v>
      </c>
      <c r="D525">
        <f>IFERROR([1]!s_stm07_is($A525,"W76031679",TEXT($B$1,"yyyy/mm/dd"),1),"")</f>
        <v>164981960.12</v>
      </c>
      <c r="E525">
        <f>IFERROR([1]!s_stm07_is($A525,"W70752487",TEXT($B$1,"yyyy/mm/dd"),1),"")</f>
        <v>103110390.77</v>
      </c>
      <c r="F525">
        <f>IFERROR([1]!s_stm07_is_103($A525,TEXT($B$1,"yyyy/mm/dd"),1),"")</f>
        <v>236595782.53999999</v>
      </c>
      <c r="G525">
        <f>IFERROR([1]!s_stm07_is_104($A525,TEXT($B$1,"yyyy/mm/dd"),1),"")</f>
        <v>11134601.52</v>
      </c>
      <c r="H525">
        <f>IFERROR([1]!s_stm07_is_105($A525,TEXT($B$1,"yyyy/mm/dd"),1),"")</f>
        <v>9513529.3699999992</v>
      </c>
      <c r="I525">
        <f>IFERROR([1]!s_stm07_is($A525,"W72946623",TEXT($B$1,"yyyy/mm/dd"),1),"")</f>
        <v>250713860.22999999</v>
      </c>
      <c r="J525">
        <f>IFERROR([1]!s_stm07_is($A525,"W30028333",TEXT($B$1,"yyyy/mm/dd"),1),"")</f>
        <v>225372275.43000001</v>
      </c>
      <c r="K525">
        <f>IFERROR([1]!s_stm07_cs($A525,"W77130581",TEXT($B$1,"yyyy/mm/dd"),1),"")</f>
        <v>284836073.17000002</v>
      </c>
      <c r="L525">
        <f>IFERROR([1]!s_stm07_cs($A525,"W77745895",TEXT($B$1,"yyyy/mm/dd"),1),"")</f>
        <v>59208499.979999997</v>
      </c>
      <c r="M525">
        <f>IFERROR([1]!S_FA_EPS_basic2($A525,$B$1,"Cur=CNY"),"")</f>
        <v>0.72</v>
      </c>
      <c r="N525">
        <f>IFERROR([1]!s_fa_arturndays($A525,TEXT($B$1,"yyyy/mm/dd")),"")</f>
        <v>135.62389999999999</v>
      </c>
      <c r="O525" t="str">
        <f>IFERROR([1]!fa_apturndays($A525,TEXT($B$1,"yyyy/mm/dd")),"")</f>
        <v>Fetch...</v>
      </c>
      <c r="P525">
        <f>IFERROR([1]!s_fa_invturndays($A525,TEXT($B$1,"yyyy/mm/dd")),"")</f>
        <v>124.7272</v>
      </c>
    </row>
    <row r="526" spans="1:16">
      <c r="A526" t="s">
        <v>539</v>
      </c>
      <c r="B526">
        <f>IFERROR([1]!s_stm07_is($A526,"W70156729",TEXT($B$1,"yyyy/mm/dd"),1),"")</f>
        <v>8611941266.5100002</v>
      </c>
      <c r="C526">
        <f>IFERROR([1]!s_stm07_is($A526,"W75682424",TEXT($B$1,"yyyy/mm/dd"),1),"")</f>
        <v>6779092546.3400002</v>
      </c>
      <c r="D526">
        <f>IFERROR([1]!s_stm07_is($A526,"W76031679",TEXT($B$1,"yyyy/mm/dd"),1),"")</f>
        <v>176762992.69999999</v>
      </c>
      <c r="E526">
        <f>IFERROR([1]!s_stm07_is($A526,"W70752487",TEXT($B$1,"yyyy/mm/dd"),1),"")</f>
        <v>238909180.62</v>
      </c>
      <c r="F526">
        <f>IFERROR([1]!s_stm07_is_103($A526,TEXT($B$1,"yyyy/mm/dd"),1),"")</f>
        <v>209594581.27000001</v>
      </c>
      <c r="G526">
        <f>IFERROR([1]!s_stm07_is_104($A526,TEXT($B$1,"yyyy/mm/dd"),1),"")</f>
        <v>109675159.37</v>
      </c>
      <c r="H526">
        <f>IFERROR([1]!s_stm07_is_105($A526,TEXT($B$1,"yyyy/mm/dd"),1),"")</f>
        <v>122493155.45</v>
      </c>
      <c r="I526">
        <f>IFERROR([1]!s_stm07_is($A526,"W72946623",TEXT($B$1,"yyyy/mm/dd"),1),"")</f>
        <v>1260059786.8699999</v>
      </c>
      <c r="J526">
        <f>IFERROR([1]!s_stm07_is($A526,"W30028333",TEXT($B$1,"yyyy/mm/dd"),1),"")</f>
        <v>1124818560.8299999</v>
      </c>
      <c r="K526">
        <f>IFERROR([1]!s_stm07_cs($A526,"W77130581",TEXT($B$1,"yyyy/mm/dd"),1),"")</f>
        <v>514534500.54000002</v>
      </c>
      <c r="L526">
        <f>IFERROR([1]!s_stm07_cs($A526,"W77745895",TEXT($B$1,"yyyy/mm/dd"),1),"")</f>
        <v>746387043.34000003</v>
      </c>
      <c r="M526">
        <f>IFERROR([1]!S_FA_EPS_basic2($A526,$B$1,"Cur=CNY"),"")</f>
        <v>1.0900000000000001</v>
      </c>
      <c r="N526">
        <f>IFERROR([1]!s_fa_arturndays($A526,TEXT($B$1,"yyyy/mm/dd")),"")</f>
        <v>55.9206</v>
      </c>
      <c r="O526" t="str">
        <f>IFERROR([1]!fa_apturndays($A526,TEXT($B$1,"yyyy/mm/dd")),"")</f>
        <v>Fetch...</v>
      </c>
      <c r="P526">
        <f>IFERROR([1]!s_fa_invturndays($A526,TEXT($B$1,"yyyy/mm/dd")),"")</f>
        <v>114.5767</v>
      </c>
    </row>
    <row r="527" spans="1:16">
      <c r="A527" t="s">
        <v>540</v>
      </c>
      <c r="B527">
        <f>IFERROR([1]!s_stm07_is($A527,"W70156729",TEXT($B$1,"yyyy/mm/dd"),1),"")</f>
        <v>917999960.70000005</v>
      </c>
      <c r="C527">
        <f>IFERROR([1]!s_stm07_is($A527,"W75682424",TEXT($B$1,"yyyy/mm/dd"),1),"")</f>
        <v>476774968.08999997</v>
      </c>
      <c r="D527">
        <f>IFERROR([1]!s_stm07_is($A527,"W76031679",TEXT($B$1,"yyyy/mm/dd"),1),"")</f>
        <v>37636939.159999996</v>
      </c>
      <c r="E527">
        <f>IFERROR([1]!s_stm07_is($A527,"W70752487",TEXT($B$1,"yyyy/mm/dd"),1),"")</f>
        <v>63160158.380000003</v>
      </c>
      <c r="F527">
        <f>IFERROR([1]!s_stm07_is_103($A527,TEXT($B$1,"yyyy/mm/dd"),1),"")</f>
        <v>76521927.709999993</v>
      </c>
      <c r="G527">
        <f>IFERROR([1]!s_stm07_is_104($A527,TEXT($B$1,"yyyy/mm/dd"),1),"")</f>
        <v>4638060.93</v>
      </c>
      <c r="H527">
        <f>IFERROR([1]!s_stm07_is_105($A527,TEXT($B$1,"yyyy/mm/dd"),1),"")</f>
        <v>1452462.25</v>
      </c>
      <c r="I527">
        <f>IFERROR([1]!s_stm07_is($A527,"W72946623",TEXT($B$1,"yyyy/mm/dd"),1),"")</f>
        <v>239974138.84</v>
      </c>
      <c r="J527">
        <f>IFERROR([1]!s_stm07_is($A527,"W30028333",TEXT($B$1,"yyyy/mm/dd"),1),"")</f>
        <v>200034978</v>
      </c>
      <c r="K527">
        <f>IFERROR([1]!s_stm07_cs($A527,"W77130581",TEXT($B$1,"yyyy/mm/dd"),1),"")</f>
        <v>378434028.50999999</v>
      </c>
      <c r="L527">
        <f>IFERROR([1]!s_stm07_cs($A527,"W77745895",TEXT($B$1,"yyyy/mm/dd"),1),"")</f>
        <v>66662075.079999998</v>
      </c>
      <c r="M527">
        <f>IFERROR([1]!S_FA_EPS_basic2($A527,$B$1,"Cur=CNY"),"")</f>
        <v>0.6</v>
      </c>
      <c r="N527">
        <f>IFERROR([1]!s_fa_arturndays($A527,TEXT($B$1,"yyyy/mm/dd")),"")</f>
        <v>580.73879999999997</v>
      </c>
      <c r="O527" t="str">
        <f>IFERROR([1]!fa_apturndays($A527,TEXT($B$1,"yyyy/mm/dd")),"")</f>
        <v>Fetch...</v>
      </c>
      <c r="P527">
        <f>IFERROR([1]!s_fa_invturndays($A527,TEXT($B$1,"yyyy/mm/dd")),"")</f>
        <v>712.30709999999999</v>
      </c>
    </row>
    <row r="528" spans="1:16">
      <c r="A528" t="s">
        <v>541</v>
      </c>
      <c r="B528">
        <f>IFERROR([1]!s_stm07_is($A528,"W70156729",TEXT($B$1,"yyyy/mm/dd"),1),"")</f>
        <v>4839049619.1999998</v>
      </c>
      <c r="C528">
        <f>IFERROR([1]!s_stm07_is($A528,"W75682424",TEXT($B$1,"yyyy/mm/dd"),1),"")</f>
        <v>3730061987.5700002</v>
      </c>
      <c r="D528">
        <f>IFERROR([1]!s_stm07_is($A528,"W76031679",TEXT($B$1,"yyyy/mm/dd"),1),"")</f>
        <v>81089310.010000005</v>
      </c>
      <c r="E528">
        <f>IFERROR([1]!s_stm07_is($A528,"W70752487",TEXT($B$1,"yyyy/mm/dd"),1),"")</f>
        <v>227806934.08000001</v>
      </c>
      <c r="F528">
        <f>IFERROR([1]!s_stm07_is_103($A528,TEXT($B$1,"yyyy/mm/dd"),1),"")</f>
        <v>440504108.29000002</v>
      </c>
      <c r="G528">
        <f>IFERROR([1]!s_stm07_is_104($A528,TEXT($B$1,"yyyy/mm/dd"),1),"")</f>
        <v>1633381.05</v>
      </c>
      <c r="H528">
        <f>IFERROR([1]!s_stm07_is_105($A528,TEXT($B$1,"yyyy/mm/dd"),1),"")</f>
        <v>3061638.64</v>
      </c>
      <c r="I528">
        <f>IFERROR([1]!s_stm07_is($A528,"W72946623",TEXT($B$1,"yyyy/mm/dd"),1),"")</f>
        <v>327862014.56999999</v>
      </c>
      <c r="J528">
        <f>IFERROR([1]!s_stm07_is($A528,"W30028333",TEXT($B$1,"yyyy/mm/dd"),1),"")</f>
        <v>327388083.10000002</v>
      </c>
      <c r="K528">
        <f>IFERROR([1]!s_stm07_cs($A528,"W77130581",TEXT($B$1,"yyyy/mm/dd"),1),"")</f>
        <v>464585115.30000001</v>
      </c>
      <c r="L528">
        <f>IFERROR([1]!s_stm07_cs($A528,"W77745895",TEXT($B$1,"yyyy/mm/dd"),1),"")</f>
        <v>75684983.209999993</v>
      </c>
      <c r="M528">
        <f>IFERROR([1]!S_FA_EPS_basic2($A528,$B$1,"Cur=CNY"),"")</f>
        <v>0.38</v>
      </c>
      <c r="N528">
        <f>IFERROR([1]!s_fa_arturndays($A528,TEXT($B$1,"yyyy/mm/dd")),"")</f>
        <v>58.1828</v>
      </c>
      <c r="O528" t="str">
        <f>IFERROR([1]!fa_apturndays($A528,TEXT($B$1,"yyyy/mm/dd")),"")</f>
        <v>Fetch...</v>
      </c>
      <c r="P528">
        <f>IFERROR([1]!s_fa_invturndays($A528,TEXT($B$1,"yyyy/mm/dd")),"")</f>
        <v>86.316400000000002</v>
      </c>
    </row>
    <row r="529" spans="1:16">
      <c r="A529" t="s">
        <v>542</v>
      </c>
      <c r="B529">
        <f>IFERROR([1]!s_stm07_is($A529,"W70156729",TEXT($B$1,"yyyy/mm/dd"),1),"")</f>
        <v>7153819533.0200005</v>
      </c>
      <c r="C529">
        <f>IFERROR([1]!s_stm07_is($A529,"W75682424",TEXT($B$1,"yyyy/mm/dd"),1),"")</f>
        <v>5780820359.1999998</v>
      </c>
      <c r="D529">
        <f>IFERROR([1]!s_stm07_is($A529,"W76031679",TEXT($B$1,"yyyy/mm/dd"),1),"")</f>
        <v>188422280.63999999</v>
      </c>
      <c r="E529">
        <f>IFERROR([1]!s_stm07_is($A529,"W70752487",TEXT($B$1,"yyyy/mm/dd"),1),"")</f>
        <v>315296636.41000003</v>
      </c>
      <c r="F529">
        <f>IFERROR([1]!s_stm07_is_103($A529,TEXT($B$1,"yyyy/mm/dd"),1),"")</f>
        <v>390942870.31999999</v>
      </c>
      <c r="G529">
        <f>IFERROR([1]!s_stm07_is_104($A529,TEXT($B$1,"yyyy/mm/dd"),1),"")</f>
        <v>11437282.460000001</v>
      </c>
      <c r="H529">
        <f>IFERROR([1]!s_stm07_is_105($A529,TEXT($B$1,"yyyy/mm/dd"),1),"")</f>
        <v>52923372.619999997</v>
      </c>
      <c r="I529">
        <f>IFERROR([1]!s_stm07_is($A529,"W72946623",TEXT($B$1,"yyyy/mm/dd"),1),"")</f>
        <v>520542652.42000002</v>
      </c>
      <c r="J529">
        <f>IFERROR([1]!s_stm07_is($A529,"W30028333",TEXT($B$1,"yyyy/mm/dd"),1),"")</f>
        <v>422387683.75</v>
      </c>
      <c r="K529">
        <f>IFERROR([1]!s_stm07_cs($A529,"W77130581",TEXT($B$1,"yyyy/mm/dd"),1),"")</f>
        <v>1012861754.59</v>
      </c>
      <c r="L529">
        <f>IFERROR([1]!s_stm07_cs($A529,"W77745895",TEXT($B$1,"yyyy/mm/dd"),1),"")</f>
        <v>310992013.23000002</v>
      </c>
      <c r="M529">
        <f>IFERROR([1]!S_FA_EPS_basic2($A529,$B$1,"Cur=CNY"),"")</f>
        <v>1.54</v>
      </c>
      <c r="N529">
        <f>IFERROR([1]!s_fa_arturndays($A529,TEXT($B$1,"yyyy/mm/dd")),"")</f>
        <v>99.681600000000003</v>
      </c>
      <c r="O529" t="str">
        <f>IFERROR([1]!fa_apturndays($A529,TEXT($B$1,"yyyy/mm/dd")),"")</f>
        <v>Fetch...</v>
      </c>
      <c r="P529">
        <f>IFERROR([1]!s_fa_invturndays($A529,TEXT($B$1,"yyyy/mm/dd")),"")</f>
        <v>55.410200000000003</v>
      </c>
    </row>
    <row r="530" spans="1:16">
      <c r="A530" t="s">
        <v>543</v>
      </c>
      <c r="B530">
        <f>IFERROR([1]!s_stm07_is($A530,"W70156729",TEXT($B$1,"yyyy/mm/dd"),1),"")</f>
        <v>3492458201</v>
      </c>
      <c r="C530">
        <f>IFERROR([1]!s_stm07_is($A530,"W75682424",TEXT($B$1,"yyyy/mm/dd"),1),"")</f>
        <v>1595922378</v>
      </c>
      <c r="D530">
        <f>IFERROR([1]!s_stm07_is($A530,"W76031679",TEXT($B$1,"yyyy/mm/dd"),1),"")</f>
        <v>1458196746</v>
      </c>
      <c r="E530">
        <f>IFERROR([1]!s_stm07_is($A530,"W70752487",TEXT($B$1,"yyyy/mm/dd"),1),"")</f>
        <v>99474921</v>
      </c>
      <c r="F530">
        <f>IFERROR([1]!s_stm07_is_103($A530,TEXT($B$1,"yyyy/mm/dd"),1),"")</f>
        <v>87981471</v>
      </c>
      <c r="G530">
        <f>IFERROR([1]!s_stm07_is_104($A530,TEXT($B$1,"yyyy/mm/dd"),1),"")</f>
        <v>2249315</v>
      </c>
      <c r="H530">
        <f>IFERROR([1]!s_stm07_is_105($A530,TEXT($B$1,"yyyy/mm/dd"),1),"")</f>
        <v>2486817</v>
      </c>
      <c r="I530">
        <f>IFERROR([1]!s_stm07_is($A530,"W72946623",TEXT($B$1,"yyyy/mm/dd"),1),"")</f>
        <v>249607648</v>
      </c>
      <c r="J530">
        <f>IFERROR([1]!s_stm07_is($A530,"W30028333",TEXT($B$1,"yyyy/mm/dd"),1),"")</f>
        <v>207975046</v>
      </c>
      <c r="K530">
        <f>IFERROR([1]!s_stm07_cs($A530,"W77130581",TEXT($B$1,"yyyy/mm/dd"),1),"")</f>
        <v>199356428</v>
      </c>
      <c r="L530">
        <f>IFERROR([1]!s_stm07_cs($A530,"W77745895",TEXT($B$1,"yyyy/mm/dd"),1),"")</f>
        <v>134115885</v>
      </c>
      <c r="M530">
        <f>IFERROR([1]!S_FA_EPS_basic2($A530,$B$1,"Cur=CNY"),"")</f>
        <v>0.48</v>
      </c>
      <c r="N530">
        <f>IFERROR([1]!s_fa_arturndays($A530,TEXT($B$1,"yyyy/mm/dd")),"")</f>
        <v>26.692599999999999</v>
      </c>
      <c r="O530" t="str">
        <f>IFERROR([1]!fa_apturndays($A530,TEXT($B$1,"yyyy/mm/dd")),"")</f>
        <v>Fetch...</v>
      </c>
      <c r="P530">
        <f>IFERROR([1]!s_fa_invturndays($A530,TEXT($B$1,"yyyy/mm/dd")),"")</f>
        <v>58.440600000000003</v>
      </c>
    </row>
    <row r="531" spans="1:16">
      <c r="A531" t="s">
        <v>544</v>
      </c>
      <c r="B531">
        <f>IFERROR([1]!s_stm07_is($A531,"W70156729",TEXT($B$1,"yyyy/mm/dd"),1),"")</f>
        <v>6061932067.7399998</v>
      </c>
      <c r="C531">
        <f>IFERROR([1]!s_stm07_is($A531,"W75682424",TEXT($B$1,"yyyy/mm/dd"),1),"")</f>
        <v>4243958591.3000002</v>
      </c>
      <c r="D531">
        <f>IFERROR([1]!s_stm07_is($A531,"W76031679",TEXT($B$1,"yyyy/mm/dd"),1),"")</f>
        <v>683396703.45000005</v>
      </c>
      <c r="E531">
        <f>IFERROR([1]!s_stm07_is($A531,"W70752487",TEXT($B$1,"yyyy/mm/dd"),1),"")</f>
        <v>352768365.13999999</v>
      </c>
      <c r="F531">
        <f>IFERROR([1]!s_stm07_is_103($A531,TEXT($B$1,"yyyy/mm/dd"),1),"")</f>
        <v>217179408.81999999</v>
      </c>
      <c r="G531">
        <f>IFERROR([1]!s_stm07_is_104($A531,TEXT($B$1,"yyyy/mm/dd"),1),"")</f>
        <v>11445851.699999999</v>
      </c>
      <c r="H531">
        <f>IFERROR([1]!s_stm07_is_105($A531,TEXT($B$1,"yyyy/mm/dd"),1),"")</f>
        <v>27731371.32</v>
      </c>
      <c r="I531">
        <f>IFERROR([1]!s_stm07_is($A531,"W72946623",TEXT($B$1,"yyyy/mm/dd"),1),"")</f>
        <v>406193347.62</v>
      </c>
      <c r="J531">
        <f>IFERROR([1]!s_stm07_is($A531,"W30028333",TEXT($B$1,"yyyy/mm/dd"),1),"")</f>
        <v>351942673.29000002</v>
      </c>
      <c r="K531">
        <f>IFERROR([1]!s_stm07_cs($A531,"W77130581",TEXT($B$1,"yyyy/mm/dd"),1),"")</f>
        <v>874436988.90999997</v>
      </c>
      <c r="L531">
        <f>IFERROR([1]!s_stm07_cs($A531,"W77745895",TEXT($B$1,"yyyy/mm/dd"),1),"")</f>
        <v>356115925.23000002</v>
      </c>
      <c r="M531">
        <f>IFERROR([1]!S_FA_EPS_basic2($A531,$B$1,"Cur=CNY"),"")</f>
        <v>0.31</v>
      </c>
      <c r="N531">
        <f>IFERROR([1]!s_fa_arturndays($A531,TEXT($B$1,"yyyy/mm/dd")),"")</f>
        <v>49.8504</v>
      </c>
      <c r="O531" t="str">
        <f>IFERROR([1]!fa_apturndays($A531,TEXT($B$1,"yyyy/mm/dd")),"")</f>
        <v>Fetch...</v>
      </c>
      <c r="P531">
        <f>IFERROR([1]!s_fa_invturndays($A531,TEXT($B$1,"yyyy/mm/dd")),"")</f>
        <v>140.51519999999999</v>
      </c>
    </row>
    <row r="532" spans="1:16">
      <c r="A532" t="s">
        <v>545</v>
      </c>
      <c r="B532">
        <f>IFERROR([1]!s_stm07_is($A532,"W70156729",TEXT($B$1,"yyyy/mm/dd"),1),"")</f>
        <v>1715534329.6300001</v>
      </c>
      <c r="C532">
        <f>IFERROR([1]!s_stm07_is($A532,"W75682424",TEXT($B$1,"yyyy/mm/dd"),1),"")</f>
        <v>1138156778.77</v>
      </c>
      <c r="D532">
        <f>IFERROR([1]!s_stm07_is($A532,"W76031679",TEXT($B$1,"yyyy/mm/dd"),1),"")</f>
        <v>66304946.439999998</v>
      </c>
      <c r="E532">
        <f>IFERROR([1]!s_stm07_is($A532,"W70752487",TEXT($B$1,"yyyy/mm/dd"),1),"")</f>
        <v>107004300.39</v>
      </c>
      <c r="F532">
        <f>IFERROR([1]!s_stm07_is_103($A532,TEXT($B$1,"yyyy/mm/dd"),1),"")</f>
        <v>174303075.21000001</v>
      </c>
      <c r="G532">
        <f>IFERROR([1]!s_stm07_is_104($A532,TEXT($B$1,"yyyy/mm/dd"),1),"")</f>
        <v>2536575.17</v>
      </c>
      <c r="H532">
        <f>IFERROR([1]!s_stm07_is_105($A532,TEXT($B$1,"yyyy/mm/dd"),1),"")</f>
        <v>34194327.799999997</v>
      </c>
      <c r="I532">
        <f>IFERROR([1]!s_stm07_is($A532,"W72946623",TEXT($B$1,"yyyy/mm/dd"),1),"")</f>
        <v>275686292.72000003</v>
      </c>
      <c r="J532">
        <f>IFERROR([1]!s_stm07_is($A532,"W30028333",TEXT($B$1,"yyyy/mm/dd"),1),"")</f>
        <v>254292217.63</v>
      </c>
      <c r="K532">
        <f>IFERROR([1]!s_stm07_cs($A532,"W77130581",TEXT($B$1,"yyyy/mm/dd"),1),"")</f>
        <v>159412549.33000001</v>
      </c>
      <c r="L532">
        <f>IFERROR([1]!s_stm07_cs($A532,"W77745895",TEXT($B$1,"yyyy/mm/dd"),1),"")</f>
        <v>170524863.47999999</v>
      </c>
      <c r="M532">
        <f>IFERROR([1]!S_FA_EPS_basic2($A532,$B$1,"Cur=CNY"),"")</f>
        <v>1.06</v>
      </c>
      <c r="N532">
        <f>IFERROR([1]!s_fa_arturndays($A532,TEXT($B$1,"yyyy/mm/dd")),"")</f>
        <v>111.996</v>
      </c>
      <c r="O532" t="str">
        <f>IFERROR([1]!fa_apturndays($A532,TEXT($B$1,"yyyy/mm/dd")),"")</f>
        <v>Fetch...</v>
      </c>
      <c r="P532">
        <f>IFERROR([1]!s_fa_invturndays($A532,TEXT($B$1,"yyyy/mm/dd")),"")</f>
        <v>62.374400000000001</v>
      </c>
    </row>
    <row r="533" spans="1:16">
      <c r="A533" t="s">
        <v>546</v>
      </c>
      <c r="B533">
        <f>IFERROR([1]!s_stm07_is($A533,"W70156729",TEXT($B$1,"yyyy/mm/dd"),1),"")</f>
        <v>6337531529.7799997</v>
      </c>
      <c r="C533">
        <f>IFERROR([1]!s_stm07_is($A533,"W75682424",TEXT($B$1,"yyyy/mm/dd"),1),"")</f>
        <v>5151311700.8599997</v>
      </c>
      <c r="D533">
        <f>IFERROR([1]!s_stm07_is($A533,"W76031679",TEXT($B$1,"yyyy/mm/dd"),1),"")</f>
        <v>30270869.399999999</v>
      </c>
      <c r="E533">
        <f>IFERROR([1]!s_stm07_is($A533,"W70752487",TEXT($B$1,"yyyy/mm/dd"),1),"")</f>
        <v>400949793.98000002</v>
      </c>
      <c r="F533">
        <f>IFERROR([1]!s_stm07_is_103($A533,TEXT($B$1,"yyyy/mm/dd"),1),"")</f>
        <v>299920709.38999999</v>
      </c>
      <c r="G533">
        <f>IFERROR([1]!s_stm07_is_104($A533,TEXT($B$1,"yyyy/mm/dd"),1),"")</f>
        <v>141662201.77000001</v>
      </c>
      <c r="H533">
        <f>IFERROR([1]!s_stm07_is_105($A533,TEXT($B$1,"yyyy/mm/dd"),1),"")</f>
        <v>31043688.649999999</v>
      </c>
      <c r="I533">
        <f>IFERROR([1]!s_stm07_is($A533,"W72946623",TEXT($B$1,"yyyy/mm/dd"),1),"")</f>
        <v>345597932.35000002</v>
      </c>
      <c r="J533">
        <f>IFERROR([1]!s_stm07_is($A533,"W30028333",TEXT($B$1,"yyyy/mm/dd"),1),"")</f>
        <v>305710828.52999997</v>
      </c>
      <c r="K533">
        <f>IFERROR([1]!s_stm07_cs($A533,"W77130581",TEXT($B$1,"yyyy/mm/dd"),1),"")</f>
        <v>587030188.33000004</v>
      </c>
      <c r="L533">
        <f>IFERROR([1]!s_stm07_cs($A533,"W77745895",TEXT($B$1,"yyyy/mm/dd"),1),"")</f>
        <v>4266025850.9299998</v>
      </c>
      <c r="M533">
        <f>IFERROR([1]!S_FA_EPS_basic2($A533,$B$1,"Cur=CNY"),"")</f>
        <v>0.23</v>
      </c>
      <c r="N533">
        <f>IFERROR([1]!s_fa_arturndays($A533,TEXT($B$1,"yyyy/mm/dd")),"")</f>
        <v>10.934699999999999</v>
      </c>
      <c r="O533" t="str">
        <f>IFERROR([1]!fa_apturndays($A533,TEXT($B$1,"yyyy/mm/dd")),"")</f>
        <v>Fetch...</v>
      </c>
      <c r="P533">
        <f>IFERROR([1]!s_fa_invturndays($A533,TEXT($B$1,"yyyy/mm/dd")),"")</f>
        <v>56.912500000000001</v>
      </c>
    </row>
    <row r="534" spans="1:16">
      <c r="A534" t="s">
        <v>547</v>
      </c>
      <c r="B534">
        <f>IFERROR([1]!s_stm07_is($A534,"W70156729",TEXT($B$1,"yyyy/mm/dd"),1),"")</f>
        <v>2878069759.3099999</v>
      </c>
      <c r="C534">
        <f>IFERROR([1]!s_stm07_is($A534,"W75682424",TEXT($B$1,"yyyy/mm/dd"),1),"")</f>
        <v>1807870296.45</v>
      </c>
      <c r="D534">
        <f>IFERROR([1]!s_stm07_is($A534,"W76031679",TEXT($B$1,"yyyy/mm/dd"),1),"")</f>
        <v>15242584.49</v>
      </c>
      <c r="E534">
        <f>IFERROR([1]!s_stm07_is($A534,"W70752487",TEXT($B$1,"yyyy/mm/dd"),1),"")</f>
        <v>102891833.62</v>
      </c>
      <c r="F534">
        <f>IFERROR([1]!s_stm07_is_103($A534,TEXT($B$1,"yyyy/mm/dd"),1),"")</f>
        <v>328268353.85000002</v>
      </c>
      <c r="G534">
        <f>IFERROR([1]!s_stm07_is_104($A534,TEXT($B$1,"yyyy/mm/dd"),1),"")</f>
        <v>543432.35</v>
      </c>
      <c r="H534">
        <f>IFERROR([1]!s_stm07_is_105($A534,TEXT($B$1,"yyyy/mm/dd"),1),"")</f>
        <v>32382975.59</v>
      </c>
      <c r="I534">
        <f>IFERROR([1]!s_stm07_is($A534,"W72946623",TEXT($B$1,"yyyy/mm/dd"),1),"")</f>
        <v>690844204.21000004</v>
      </c>
      <c r="J534">
        <f>IFERROR([1]!s_stm07_is($A534,"W30028333",TEXT($B$1,"yyyy/mm/dd"),1),"")</f>
        <v>562674690.40999997</v>
      </c>
      <c r="K534">
        <f>IFERROR([1]!s_stm07_cs($A534,"W77130581",TEXT($B$1,"yyyy/mm/dd"),1),"")</f>
        <v>951707228</v>
      </c>
      <c r="L534">
        <f>IFERROR([1]!s_stm07_cs($A534,"W77745895",TEXT($B$1,"yyyy/mm/dd"),1),"")</f>
        <v>506878651.13999999</v>
      </c>
      <c r="M534">
        <f>IFERROR([1]!S_FA_EPS_basic2($A534,$B$1,"Cur=CNY"),"")</f>
        <v>1.25</v>
      </c>
      <c r="N534">
        <f>IFERROR([1]!s_fa_arturndays($A534,TEXT($B$1,"yyyy/mm/dd")),"")</f>
        <v>109.18689999999999</v>
      </c>
      <c r="O534" t="str">
        <f>IFERROR([1]!fa_apturndays($A534,TEXT($B$1,"yyyy/mm/dd")),"")</f>
        <v>Fetch...</v>
      </c>
      <c r="P534">
        <f>IFERROR([1]!s_fa_invturndays($A534,TEXT($B$1,"yyyy/mm/dd")),"")</f>
        <v>161.1387</v>
      </c>
    </row>
    <row r="535" spans="1:16">
      <c r="A535" t="s">
        <v>548</v>
      </c>
      <c r="B535">
        <f>IFERROR([1]!s_stm07_is($A535,"W70156729",TEXT($B$1,"yyyy/mm/dd"),1),"")</f>
        <v>3678100861.6199999</v>
      </c>
      <c r="C535">
        <f>IFERROR([1]!s_stm07_is($A535,"W75682424",TEXT($B$1,"yyyy/mm/dd"),1),"")</f>
        <v>2267830078.27</v>
      </c>
      <c r="D535">
        <f>IFERROR([1]!s_stm07_is($A535,"W76031679",TEXT($B$1,"yyyy/mm/dd"),1),"")</f>
        <v>52273998.380000003</v>
      </c>
      <c r="E535">
        <f>IFERROR([1]!s_stm07_is($A535,"W70752487",TEXT($B$1,"yyyy/mm/dd"),1),"")</f>
        <v>268188968.87</v>
      </c>
      <c r="F535">
        <f>IFERROR([1]!s_stm07_is_103($A535,TEXT($B$1,"yyyy/mm/dd"),1),"")</f>
        <v>31330438.899999999</v>
      </c>
      <c r="G535">
        <f>IFERROR([1]!s_stm07_is_104($A535,TEXT($B$1,"yyyy/mm/dd"),1),"")</f>
        <v>323160643.30000001</v>
      </c>
      <c r="H535">
        <f>IFERROR([1]!s_stm07_is_105($A535,TEXT($B$1,"yyyy/mm/dd"),1),"")</f>
        <v>4451826.51</v>
      </c>
      <c r="I535">
        <f>IFERROR([1]!s_stm07_is($A535,"W72946623",TEXT($B$1,"yyyy/mm/dd"),1),"")</f>
        <v>375127713.43000001</v>
      </c>
      <c r="J535">
        <f>IFERROR([1]!s_stm07_is($A535,"W30028333",TEXT($B$1,"yyyy/mm/dd"),1),"")</f>
        <v>346489429.83999997</v>
      </c>
      <c r="K535">
        <f>IFERROR([1]!s_stm07_cs($A535,"W77130581",TEXT($B$1,"yyyy/mm/dd"),1),"")</f>
        <v>1629328146.97</v>
      </c>
      <c r="L535">
        <f>IFERROR([1]!s_stm07_cs($A535,"W77745895",TEXT($B$1,"yyyy/mm/dd"),1),"")</f>
        <v>3196406768.3299999</v>
      </c>
      <c r="M535">
        <f>IFERROR([1]!S_FA_EPS_basic2($A535,$B$1,"Cur=CNY"),"")</f>
        <v>9.1499999999999998E-2</v>
      </c>
      <c r="N535">
        <f>IFERROR([1]!s_fa_arturndays($A535,TEXT($B$1,"yyyy/mm/dd")),"")</f>
        <v>277.02960000000002</v>
      </c>
      <c r="O535" t="str">
        <f>IFERROR([1]!fa_apturndays($A535,TEXT($B$1,"yyyy/mm/dd")),"")</f>
        <v>Fetch...</v>
      </c>
      <c r="P535">
        <f>IFERROR([1]!s_fa_invturndays($A535,TEXT($B$1,"yyyy/mm/dd")),"")</f>
        <v>3.0002</v>
      </c>
    </row>
    <row r="536" spans="1:16">
      <c r="A536" t="s">
        <v>549</v>
      </c>
      <c r="B536">
        <f>IFERROR([1]!s_stm07_is($A536,"W70156729",TEXT($B$1,"yyyy/mm/dd"),1),"")</f>
        <v>2228332450.6599998</v>
      </c>
      <c r="C536">
        <f>IFERROR([1]!s_stm07_is($A536,"W75682424",TEXT($B$1,"yyyy/mm/dd"),1),"")</f>
        <v>1250968441.48</v>
      </c>
      <c r="D536">
        <f>IFERROR([1]!s_stm07_is($A536,"W76031679",TEXT($B$1,"yyyy/mm/dd"),1),"")</f>
        <v>59357511.25</v>
      </c>
      <c r="E536">
        <f>IFERROR([1]!s_stm07_is($A536,"W70752487",TEXT($B$1,"yyyy/mm/dd"),1),"")</f>
        <v>192085958.96000001</v>
      </c>
      <c r="F536">
        <f>IFERROR([1]!s_stm07_is_103($A536,TEXT($B$1,"yyyy/mm/dd"),1),"")</f>
        <v>57119796.549999997</v>
      </c>
      <c r="G536">
        <f>IFERROR([1]!s_stm07_is_104($A536,TEXT($B$1,"yyyy/mm/dd"),1),"")</f>
        <v>75500075.329999998</v>
      </c>
      <c r="H536">
        <f>IFERROR([1]!s_stm07_is_105($A536,TEXT($B$1,"yyyy/mm/dd"),1),"")</f>
        <v>15085551.33</v>
      </c>
      <c r="I536">
        <f>IFERROR([1]!s_stm07_is($A536,"W72946623",TEXT($B$1,"yyyy/mm/dd"),1),"")</f>
        <v>532378458.11000001</v>
      </c>
      <c r="J536">
        <f>IFERROR([1]!s_stm07_is($A536,"W30028333",TEXT($B$1,"yyyy/mm/dd"),1),"")</f>
        <v>303840989.69</v>
      </c>
      <c r="K536">
        <f>IFERROR([1]!s_stm07_cs($A536,"W77130581",TEXT($B$1,"yyyy/mm/dd"),1),"")</f>
        <v>603306493.00999999</v>
      </c>
      <c r="L536">
        <f>IFERROR([1]!s_stm07_cs($A536,"W77745895",TEXT($B$1,"yyyy/mm/dd"),1),"")</f>
        <v>622713536.19000006</v>
      </c>
      <c r="M536">
        <f>IFERROR([1]!S_FA_EPS_basic2($A536,$B$1,"Cur=CNY"),"")</f>
        <v>0.49199999999999999</v>
      </c>
      <c r="N536">
        <f>IFERROR([1]!s_fa_arturndays($A536,TEXT($B$1,"yyyy/mm/dd")),"")</f>
        <v>151.50880000000001</v>
      </c>
      <c r="O536" t="str">
        <f>IFERROR([1]!fa_apturndays($A536,TEXT($B$1,"yyyy/mm/dd")),"")</f>
        <v>Fetch...</v>
      </c>
      <c r="P536">
        <f>IFERROR([1]!s_fa_invturndays($A536,TEXT($B$1,"yyyy/mm/dd")),"")</f>
        <v>55.475099999999998</v>
      </c>
    </row>
    <row r="537" spans="1:16">
      <c r="A537" t="s">
        <v>550</v>
      </c>
      <c r="B537">
        <f>IFERROR([1]!s_stm07_is($A537,"W70156729",TEXT($B$1,"yyyy/mm/dd"),1),"")</f>
        <v>75696558973.529999</v>
      </c>
      <c r="C537">
        <f>IFERROR([1]!s_stm07_is($A537,"W75682424",TEXT($B$1,"yyyy/mm/dd"),1),"")</f>
        <v>51478963727.860001</v>
      </c>
      <c r="D537">
        <f>IFERROR([1]!s_stm07_is($A537,"W76031679",TEXT($B$1,"yyyy/mm/dd"),1),"")</f>
        <v>36516264.020000003</v>
      </c>
      <c r="E537">
        <f>IFERROR([1]!s_stm07_is($A537,"W70752487",TEXT($B$1,"yyyy/mm/dd"),1),"")</f>
        <v>2861892008.23</v>
      </c>
      <c r="F537">
        <f>IFERROR([1]!s_stm07_is_103($A537,TEXT($B$1,"yyyy/mm/dd"),1),"")</f>
        <v>1916903471.4200001</v>
      </c>
      <c r="G537">
        <f>IFERROR([1]!s_stm07_is_104($A537,TEXT($B$1,"yyyy/mm/dd"),1),"")</f>
        <v>4801744225.5799999</v>
      </c>
      <c r="H537">
        <f>IFERROR([1]!s_stm07_is_105($A537,TEXT($B$1,"yyyy/mm/dd"),1),"")</f>
        <v>211486979.19999999</v>
      </c>
      <c r="I537">
        <f>IFERROR([1]!s_stm07_is($A537,"W72946623",TEXT($B$1,"yyyy/mm/dd"),1),"")</f>
        <v>18602715153.369999</v>
      </c>
      <c r="J537">
        <f>IFERROR([1]!s_stm07_is($A537,"W30028333",TEXT($B$1,"yyyy/mm/dd"),1),"")</f>
        <v>9765358959.8799992</v>
      </c>
      <c r="K537">
        <f>IFERROR([1]!s_stm07_cs($A537,"W77130581",TEXT($B$1,"yyyy/mm/dd"),1),"")</f>
        <v>29970529392.009998</v>
      </c>
      <c r="L537">
        <f>IFERROR([1]!s_stm07_cs($A537,"W77745895",TEXT($B$1,"yyyy/mm/dd"),1),"")</f>
        <v>34056772387.98</v>
      </c>
      <c r="M537">
        <f>IFERROR([1]!S_FA_EPS_basic2($A537,$B$1,"Cur=CNY"),"")</f>
        <v>0.193</v>
      </c>
      <c r="N537">
        <f>IFERROR([1]!s_fa_arturndays($A537,TEXT($B$1,"yyyy/mm/dd")),"")</f>
        <v>40.923999999999999</v>
      </c>
      <c r="O537" t="str">
        <f>IFERROR([1]!fa_apturndays($A537,TEXT($B$1,"yyyy/mm/dd")),"")</f>
        <v>Fetch...</v>
      </c>
      <c r="P537">
        <f>IFERROR([1]!s_fa_invturndays($A537,TEXT($B$1,"yyyy/mm/dd")),"")</f>
        <v>169.77930000000001</v>
      </c>
    </row>
    <row r="538" spans="1:16">
      <c r="A538" t="s">
        <v>551</v>
      </c>
      <c r="B538">
        <f>IFERROR([1]!s_stm07_is($A538,"W70156729",TEXT($B$1,"yyyy/mm/dd"),1),"")</f>
        <v>15786323201.92</v>
      </c>
      <c r="C538">
        <f>IFERROR([1]!s_stm07_is($A538,"W75682424",TEXT($B$1,"yyyy/mm/dd"),1),"")</f>
        <v>11466555523.09</v>
      </c>
      <c r="D538">
        <f>IFERROR([1]!s_stm07_is($A538,"W76031679",TEXT($B$1,"yyyy/mm/dd"),1),"")</f>
        <v>1106607162.02</v>
      </c>
      <c r="E538">
        <f>IFERROR([1]!s_stm07_is($A538,"W70752487",TEXT($B$1,"yyyy/mm/dd"),1),"")</f>
        <v>822352533.59000003</v>
      </c>
      <c r="F538">
        <f>IFERROR([1]!s_stm07_is_103($A538,TEXT($B$1,"yyyy/mm/dd"),1),"")</f>
        <v>554097278.76999998</v>
      </c>
      <c r="G538">
        <f>IFERROR([1]!s_stm07_is_104($A538,TEXT($B$1,"yyyy/mm/dd"),1),"")</f>
        <v>113601177.34999999</v>
      </c>
      <c r="H538">
        <f>IFERROR([1]!s_stm07_is_105($A538,TEXT($B$1,"yyyy/mm/dd"),1),"")</f>
        <v>14961622.16</v>
      </c>
      <c r="I538">
        <f>IFERROR([1]!s_stm07_is($A538,"W72946623",TEXT($B$1,"yyyy/mm/dd"),1),"")</f>
        <v>1550087176.1500001</v>
      </c>
      <c r="J538">
        <f>IFERROR([1]!s_stm07_is($A538,"W30028333",TEXT($B$1,"yyyy/mm/dd"),1),"")</f>
        <v>1243064876.45</v>
      </c>
      <c r="K538">
        <f>IFERROR([1]!s_stm07_cs($A538,"W77130581",TEXT($B$1,"yyyy/mm/dd"),1),"")</f>
        <v>2334837573.4000001</v>
      </c>
      <c r="L538">
        <f>IFERROR([1]!s_stm07_cs($A538,"W77745895",TEXT($B$1,"yyyy/mm/dd"),1),"")</f>
        <v>696999910.48000002</v>
      </c>
      <c r="M538">
        <f>IFERROR([1]!S_FA_EPS_basic2($A538,$B$1,"Cur=CNY"),"")</f>
        <v>1.2</v>
      </c>
      <c r="N538">
        <f>IFERROR([1]!s_fa_arturndays($A538,TEXT($B$1,"yyyy/mm/dd")),"")</f>
        <v>210.84690000000001</v>
      </c>
      <c r="O538" t="str">
        <f>IFERROR([1]!fa_apturndays($A538,TEXT($B$1,"yyyy/mm/dd")),"")</f>
        <v>Fetch...</v>
      </c>
      <c r="P538">
        <f>IFERROR([1]!s_fa_invturndays($A538,TEXT($B$1,"yyyy/mm/dd")),"")</f>
        <v>84.031700000000001</v>
      </c>
    </row>
    <row r="539" spans="1:16">
      <c r="A539" t="s">
        <v>552</v>
      </c>
      <c r="B539">
        <f>IFERROR([1]!s_stm07_is($A539,"W70156729",TEXT($B$1,"yyyy/mm/dd"),1),"")</f>
        <v>5820801820.3000002</v>
      </c>
      <c r="C539">
        <f>IFERROR([1]!s_stm07_is($A539,"W75682424",TEXT($B$1,"yyyy/mm/dd"),1),"")</f>
        <v>2461530373.73</v>
      </c>
      <c r="D539">
        <f>IFERROR([1]!s_stm07_is($A539,"W76031679",TEXT($B$1,"yyyy/mm/dd"),1),"")</f>
        <v>731466450.53999996</v>
      </c>
      <c r="E539">
        <f>IFERROR([1]!s_stm07_is($A539,"W70752487",TEXT($B$1,"yyyy/mm/dd"),1),"")</f>
        <v>1207419815.5799999</v>
      </c>
      <c r="F539">
        <f>IFERROR([1]!s_stm07_is_103($A539,TEXT($B$1,"yyyy/mm/dd"),1),"")</f>
        <v>338478539.94</v>
      </c>
      <c r="G539">
        <f>IFERROR([1]!s_stm07_is_104($A539,TEXT($B$1,"yyyy/mm/dd"),1),"")</f>
        <v>3255511.63</v>
      </c>
      <c r="H539">
        <f>IFERROR([1]!s_stm07_is_105($A539,TEXT($B$1,"yyyy/mm/dd"),1),"")</f>
        <v>40682113.740000002</v>
      </c>
      <c r="I539">
        <f>IFERROR([1]!s_stm07_is($A539,"W72946623",TEXT($B$1,"yyyy/mm/dd"),1),"")</f>
        <v>1011766189.66</v>
      </c>
      <c r="J539">
        <f>IFERROR([1]!s_stm07_is($A539,"W30028333",TEXT($B$1,"yyyy/mm/dd"),1),"")</f>
        <v>801508494.94000006</v>
      </c>
      <c r="K539">
        <f>IFERROR([1]!s_stm07_cs($A539,"W77130581",TEXT($B$1,"yyyy/mm/dd"),1),"")</f>
        <v>1141532247.2</v>
      </c>
      <c r="L539">
        <f>IFERROR([1]!s_stm07_cs($A539,"W77745895",TEXT($B$1,"yyyy/mm/dd"),1),"")</f>
        <v>79849775.459999993</v>
      </c>
      <c r="M539">
        <f>IFERROR([1]!S_FA_EPS_basic2($A539,$B$1,"Cur=CNY"),"")</f>
        <v>0.40870000000000001</v>
      </c>
      <c r="N539">
        <f>IFERROR([1]!s_fa_arturndays($A539,TEXT($B$1,"yyyy/mm/dd")),"")</f>
        <v>50.645000000000003</v>
      </c>
      <c r="O539" t="str">
        <f>IFERROR([1]!fa_apturndays($A539,TEXT($B$1,"yyyy/mm/dd")),"")</f>
        <v>Fetch...</v>
      </c>
      <c r="P539">
        <f>IFERROR([1]!s_fa_invturndays($A539,TEXT($B$1,"yyyy/mm/dd")),"")</f>
        <v>27.739699999999999</v>
      </c>
    </row>
    <row r="540" spans="1:16">
      <c r="A540" t="s">
        <v>553</v>
      </c>
      <c r="B540">
        <f>IFERROR([1]!s_stm07_is($A540,"W70156729",TEXT($B$1,"yyyy/mm/dd"),1),"")</f>
        <v>6482731703.5500002</v>
      </c>
      <c r="C540">
        <f>IFERROR([1]!s_stm07_is($A540,"W75682424",TEXT($B$1,"yyyy/mm/dd"),1),"")</f>
        <v>2333260819.2199998</v>
      </c>
      <c r="D540">
        <f>IFERROR([1]!s_stm07_is($A540,"W76031679",TEXT($B$1,"yyyy/mm/dd"),1),"")</f>
        <v>1169073499.05</v>
      </c>
      <c r="E540">
        <f>IFERROR([1]!s_stm07_is($A540,"W70752487",TEXT($B$1,"yyyy/mm/dd"),1),"")</f>
        <v>708801631.32000005</v>
      </c>
      <c r="F540">
        <f>IFERROR([1]!s_stm07_is_103($A540,TEXT($B$1,"yyyy/mm/dd"),1),"")</f>
        <v>792378182.97000003</v>
      </c>
      <c r="G540">
        <f>IFERROR([1]!s_stm07_is_104($A540,TEXT($B$1,"yyyy/mm/dd"),1),"")</f>
        <v>176640432.24000001</v>
      </c>
      <c r="H540">
        <f>IFERROR([1]!s_stm07_is_105($A540,TEXT($B$1,"yyyy/mm/dd"),1),"")</f>
        <v>71511762.480000004</v>
      </c>
      <c r="I540">
        <f>IFERROR([1]!s_stm07_is($A540,"W72946623",TEXT($B$1,"yyyy/mm/dd"),1),"")</f>
        <v>1216078125.9000001</v>
      </c>
      <c r="J540">
        <f>IFERROR([1]!s_stm07_is($A540,"W30028333",TEXT($B$1,"yyyy/mm/dd"),1),"")</f>
        <v>962006332.52999997</v>
      </c>
      <c r="K540">
        <f>IFERROR([1]!s_stm07_cs($A540,"W77130581",TEXT($B$1,"yyyy/mm/dd"),1),"")</f>
        <v>1516920676.73</v>
      </c>
      <c r="L540">
        <f>IFERROR([1]!s_stm07_cs($A540,"W77745895",TEXT($B$1,"yyyy/mm/dd"),1),"")</f>
        <v>643056179.5</v>
      </c>
      <c r="M540">
        <f>IFERROR([1]!S_FA_EPS_basic2($A540,$B$1,"Cur=CNY"),"")</f>
        <v>0.52190000000000003</v>
      </c>
      <c r="N540">
        <f>IFERROR([1]!s_fa_arturndays($A540,TEXT($B$1,"yyyy/mm/dd")),"")</f>
        <v>97.701300000000003</v>
      </c>
      <c r="O540" t="str">
        <f>IFERROR([1]!fa_apturndays($A540,TEXT($B$1,"yyyy/mm/dd")),"")</f>
        <v>Fetch...</v>
      </c>
      <c r="P540">
        <f>IFERROR([1]!s_fa_invturndays($A540,TEXT($B$1,"yyyy/mm/dd")),"")</f>
        <v>312.58139999999997</v>
      </c>
    </row>
    <row r="541" spans="1:16">
      <c r="A541" t="s">
        <v>554</v>
      </c>
      <c r="B541">
        <f>IFERROR([1]!s_stm07_is($A541,"W70156729",TEXT($B$1,"yyyy/mm/dd"),1),"")</f>
        <v>2413672436.5700002</v>
      </c>
      <c r="C541">
        <f>IFERROR([1]!s_stm07_is($A541,"W75682424",TEXT($B$1,"yyyy/mm/dd"),1),"")</f>
        <v>1658241665.1199999</v>
      </c>
      <c r="D541">
        <f>IFERROR([1]!s_stm07_is($A541,"W76031679",TEXT($B$1,"yyyy/mm/dd"),1),"")</f>
        <v>224023640.33000001</v>
      </c>
      <c r="E541">
        <f>IFERROR([1]!s_stm07_is($A541,"W70752487",TEXT($B$1,"yyyy/mm/dd"),1),"")</f>
        <v>218871819.33000001</v>
      </c>
      <c r="F541">
        <f>IFERROR([1]!s_stm07_is_103($A541,TEXT($B$1,"yyyy/mm/dd"),1),"")</f>
        <v>234868463.91999999</v>
      </c>
      <c r="G541">
        <f>IFERROR([1]!s_stm07_is_104($A541,TEXT($B$1,"yyyy/mm/dd"),1),"")</f>
        <v>25701548.969999999</v>
      </c>
      <c r="H541">
        <f>IFERROR([1]!s_stm07_is_105($A541,TEXT($B$1,"yyyy/mm/dd"),1),"")</f>
        <v>3829627.64</v>
      </c>
      <c r="I541">
        <f>IFERROR([1]!s_stm07_is($A541,"W72946623",TEXT($B$1,"yyyy/mm/dd"),1),"")</f>
        <v>202286829.41</v>
      </c>
      <c r="J541">
        <f>IFERROR([1]!s_stm07_is($A541,"W30028333",TEXT($B$1,"yyyy/mm/dd"),1),"")</f>
        <v>158815418.19</v>
      </c>
      <c r="K541">
        <f>IFERROR([1]!s_stm07_cs($A541,"W77130581",TEXT($B$1,"yyyy/mm/dd"),1),"")</f>
        <v>150668431.06999999</v>
      </c>
      <c r="L541">
        <f>IFERROR([1]!s_stm07_cs($A541,"W77745895",TEXT($B$1,"yyyy/mm/dd"),1),"")</f>
        <v>203834722.80000001</v>
      </c>
      <c r="M541">
        <f>IFERROR([1]!S_FA_EPS_basic2($A541,$B$1,"Cur=CNY"),"")</f>
        <v>0.49</v>
      </c>
      <c r="N541">
        <f>IFERROR([1]!s_fa_arturndays($A541,TEXT($B$1,"yyyy/mm/dd")),"")</f>
        <v>213.68790000000001</v>
      </c>
      <c r="O541" t="str">
        <f>IFERROR([1]!fa_apturndays($A541,TEXT($B$1,"yyyy/mm/dd")),"")</f>
        <v>Fetch...</v>
      </c>
      <c r="P541">
        <f>IFERROR([1]!s_fa_invturndays($A541,TEXT($B$1,"yyyy/mm/dd")),"")</f>
        <v>117.19889999999999</v>
      </c>
    </row>
    <row r="542" spans="1:16">
      <c r="A542" t="s">
        <v>555</v>
      </c>
      <c r="B542">
        <f>IFERROR([1]!s_stm07_is($A542,"W70156729",TEXT($B$1,"yyyy/mm/dd"),1),"")</f>
        <v>4518501819.1099997</v>
      </c>
      <c r="C542">
        <f>IFERROR([1]!s_stm07_is($A542,"W75682424",TEXT($B$1,"yyyy/mm/dd"),1),"")</f>
        <v>3620449216.3899999</v>
      </c>
      <c r="D542">
        <f>IFERROR([1]!s_stm07_is($A542,"W76031679",TEXT($B$1,"yyyy/mm/dd"),1),"")</f>
        <v>123112456.08</v>
      </c>
      <c r="E542">
        <f>IFERROR([1]!s_stm07_is($A542,"W70752487",TEXT($B$1,"yyyy/mm/dd"),1),"")</f>
        <v>309670496.88999999</v>
      </c>
      <c r="F542">
        <f>IFERROR([1]!s_stm07_is_103($A542,TEXT($B$1,"yyyy/mm/dd"),1),"")</f>
        <v>50596643.82</v>
      </c>
      <c r="G542">
        <f>IFERROR([1]!s_stm07_is_104($A542,TEXT($B$1,"yyyy/mm/dd"),1),"")</f>
        <v>43962692.549999997</v>
      </c>
      <c r="H542">
        <f>IFERROR([1]!s_stm07_is_105($A542,TEXT($B$1,"yyyy/mm/dd"),1),"")</f>
        <v>9917616.2200000007</v>
      </c>
      <c r="I542">
        <f>IFERROR([1]!s_stm07_is($A542,"W72946623",TEXT($B$1,"yyyy/mm/dd"),1),"")</f>
        <v>352226092.19</v>
      </c>
      <c r="J542">
        <f>IFERROR([1]!s_stm07_is($A542,"W30028333",TEXT($B$1,"yyyy/mm/dd"),1),"")</f>
        <v>298380625.41000003</v>
      </c>
      <c r="K542">
        <f>IFERROR([1]!s_stm07_cs($A542,"W77130581",TEXT($B$1,"yyyy/mm/dd"),1),"")</f>
        <v>10234153.369999999</v>
      </c>
      <c r="L542">
        <f>IFERROR([1]!s_stm07_cs($A542,"W77745895",TEXT($B$1,"yyyy/mm/dd"),1),"")</f>
        <v>66877564.329999998</v>
      </c>
      <c r="M542">
        <f>IFERROR([1]!S_FA_EPS_basic2($A542,$B$1,"Cur=CNY"),"")</f>
        <v>0.17269999999999999</v>
      </c>
      <c r="N542">
        <f>IFERROR([1]!s_fa_arturndays($A542,TEXT($B$1,"yyyy/mm/dd")),"")</f>
        <v>41.2986</v>
      </c>
      <c r="O542" t="str">
        <f>IFERROR([1]!fa_apturndays($A542,TEXT($B$1,"yyyy/mm/dd")),"")</f>
        <v>Fetch...</v>
      </c>
      <c r="P542">
        <f>IFERROR([1]!s_fa_invturndays($A542,TEXT($B$1,"yyyy/mm/dd")),"")</f>
        <v>160.17080000000001</v>
      </c>
    </row>
    <row r="543" spans="1:16">
      <c r="A543" t="s">
        <v>556</v>
      </c>
      <c r="B543">
        <f>IFERROR([1]!s_stm07_is($A543,"W70156729",TEXT($B$1,"yyyy/mm/dd"),1),"")</f>
        <v>2646519767.5799999</v>
      </c>
      <c r="C543">
        <f>IFERROR([1]!s_stm07_is($A543,"W75682424",TEXT($B$1,"yyyy/mm/dd"),1),"")</f>
        <v>643158185.53999996</v>
      </c>
      <c r="D543">
        <f>IFERROR([1]!s_stm07_is($A543,"W76031679",TEXT($B$1,"yyyy/mm/dd"),1),"")</f>
        <v>797023675.16999996</v>
      </c>
      <c r="E543">
        <f>IFERROR([1]!s_stm07_is($A543,"W70752487",TEXT($B$1,"yyyy/mm/dd"),1),"")</f>
        <v>150904536.74000001</v>
      </c>
      <c r="F543">
        <f>IFERROR([1]!s_stm07_is_103($A543,TEXT($B$1,"yyyy/mm/dd"),1),"")</f>
        <v>219446120.50999999</v>
      </c>
      <c r="G543">
        <f>IFERROR([1]!s_stm07_is_104($A543,TEXT($B$1,"yyyy/mm/dd"),1),"")</f>
        <v>1934682.41</v>
      </c>
      <c r="H543">
        <f>IFERROR([1]!s_stm07_is_105($A543,TEXT($B$1,"yyyy/mm/dd"),1),"")</f>
        <v>3480666.32</v>
      </c>
      <c r="I543">
        <f>IFERROR([1]!s_stm07_is($A543,"W72946623",TEXT($B$1,"yyyy/mm/dd"),1),"")</f>
        <v>833158101.19000006</v>
      </c>
      <c r="J543">
        <f>IFERROR([1]!s_stm07_is($A543,"W30028333",TEXT($B$1,"yyyy/mm/dd"),1),"")</f>
        <v>735192705.67999995</v>
      </c>
      <c r="K543">
        <f>IFERROR([1]!s_stm07_cs($A543,"W77130581",TEXT($B$1,"yyyy/mm/dd"),1),"")</f>
        <v>863220471.01999998</v>
      </c>
      <c r="L543">
        <f>IFERROR([1]!s_stm07_cs($A543,"W77745895",TEXT($B$1,"yyyy/mm/dd"),1),"")</f>
        <v>126891933.56</v>
      </c>
      <c r="M543">
        <f>IFERROR([1]!S_FA_EPS_basic2($A543,$B$1,"Cur=CNY"),"")</f>
        <v>0.44</v>
      </c>
      <c r="N543">
        <f>IFERROR([1]!s_fa_arturndays($A543,TEXT($B$1,"yyyy/mm/dd")),"")</f>
        <v>57.829500000000003</v>
      </c>
      <c r="O543" t="str">
        <f>IFERROR([1]!fa_apturndays($A543,TEXT($B$1,"yyyy/mm/dd")),"")</f>
        <v>Fetch...</v>
      </c>
      <c r="P543">
        <f>IFERROR([1]!s_fa_invturndays($A543,TEXT($B$1,"yyyy/mm/dd")),"")</f>
        <v>153.94479999999999</v>
      </c>
    </row>
    <row r="544" spans="1:16">
      <c r="A544" t="s">
        <v>557</v>
      </c>
      <c r="B544">
        <f>IFERROR([1]!s_stm07_is($A544,"W70156729",TEXT($B$1,"yyyy/mm/dd"),1),"")</f>
        <v>6620735906.71</v>
      </c>
      <c r="C544">
        <f>IFERROR([1]!s_stm07_is($A544,"W75682424",TEXT($B$1,"yyyy/mm/dd"),1),"")</f>
        <v>3401869926.29</v>
      </c>
      <c r="D544">
        <f>IFERROR([1]!s_stm07_is($A544,"W76031679",TEXT($B$1,"yyyy/mm/dd"),1),"")</f>
        <v>1096339769.0999999</v>
      </c>
      <c r="E544">
        <f>IFERROR([1]!s_stm07_is($A544,"W70752487",TEXT($B$1,"yyyy/mm/dd"),1),"")</f>
        <v>413639427.52999997</v>
      </c>
      <c r="F544">
        <f>IFERROR([1]!s_stm07_is_103($A544,TEXT($B$1,"yyyy/mm/dd"),1),"")</f>
        <v>578860300.01999998</v>
      </c>
      <c r="G544">
        <f>IFERROR([1]!s_stm07_is_104($A544,TEXT($B$1,"yyyy/mm/dd"),1),"")</f>
        <v>15564337.16</v>
      </c>
      <c r="H544">
        <f>IFERROR([1]!s_stm07_is_105($A544,TEXT($B$1,"yyyy/mm/dd"),1),"")</f>
        <v>9367264.6400000006</v>
      </c>
      <c r="I544">
        <f>IFERROR([1]!s_stm07_is($A544,"W72946623",TEXT($B$1,"yyyy/mm/dd"),1),"")</f>
        <v>1114978204.5899999</v>
      </c>
      <c r="J544">
        <f>IFERROR([1]!s_stm07_is($A544,"W30028333",TEXT($B$1,"yyyy/mm/dd"),1),"")</f>
        <v>1016418093.67</v>
      </c>
      <c r="K544">
        <f>IFERROR([1]!s_stm07_cs($A544,"W77130581",TEXT($B$1,"yyyy/mm/dd"),1),"")</f>
        <v>1371300496.5999999</v>
      </c>
      <c r="L544">
        <f>IFERROR([1]!s_stm07_cs($A544,"W77745895",TEXT($B$1,"yyyy/mm/dd"),1),"")</f>
        <v>658207124.97000003</v>
      </c>
      <c r="M544">
        <f>IFERROR([1]!S_FA_EPS_basic2($A544,$B$1,"Cur=CNY"),"")</f>
        <v>0.60750000000000004</v>
      </c>
      <c r="N544">
        <f>IFERROR([1]!s_fa_arturndays($A544,TEXT($B$1,"yyyy/mm/dd")),"")</f>
        <v>110.0917</v>
      </c>
      <c r="O544" t="str">
        <f>IFERROR([1]!fa_apturndays($A544,TEXT($B$1,"yyyy/mm/dd")),"")</f>
        <v>Fetch...</v>
      </c>
      <c r="P544">
        <f>IFERROR([1]!s_fa_invturndays($A544,TEXT($B$1,"yyyy/mm/dd")),"")</f>
        <v>39.825699999999998</v>
      </c>
    </row>
    <row r="545" spans="1:16">
      <c r="A545" t="s">
        <v>558</v>
      </c>
      <c r="B545">
        <f>IFERROR([1]!s_stm07_is($A545,"W70156729",TEXT($B$1,"yyyy/mm/dd"),1),"")</f>
        <v>61469630776.089996</v>
      </c>
      <c r="C545">
        <f>IFERROR([1]!s_stm07_is($A545,"W75682424",TEXT($B$1,"yyyy/mm/dd"),1),"")</f>
        <v>51528491525.279999</v>
      </c>
      <c r="D545">
        <f>IFERROR([1]!s_stm07_is($A545,"W76031679",TEXT($B$1,"yyyy/mm/dd"),1),"")</f>
        <v>909663565.54999995</v>
      </c>
      <c r="E545">
        <f>IFERROR([1]!s_stm07_is($A545,"W70752487",TEXT($B$1,"yyyy/mm/dd"),1),"")</f>
        <v>2358907409.1599998</v>
      </c>
      <c r="F545">
        <f>IFERROR([1]!s_stm07_is_103($A545,TEXT($B$1,"yyyy/mm/dd"),1),"")</f>
        <v>3005944844.6799998</v>
      </c>
      <c r="G545">
        <f>IFERROR([1]!s_stm07_is_104($A545,TEXT($B$1,"yyyy/mm/dd"),1),"")</f>
        <v>717710192.61000001</v>
      </c>
      <c r="H545">
        <f>IFERROR([1]!s_stm07_is_105($A545,TEXT($B$1,"yyyy/mm/dd"),1),"")</f>
        <v>106351145.31999999</v>
      </c>
      <c r="I545">
        <f>IFERROR([1]!s_stm07_is($A545,"W72946623",TEXT($B$1,"yyyy/mm/dd"),1),"")</f>
        <v>4440164576.3299999</v>
      </c>
      <c r="J545">
        <f>IFERROR([1]!s_stm07_is($A545,"W30028333",TEXT($B$1,"yyyy/mm/dd"),1),"")</f>
        <v>4134303670.8899999</v>
      </c>
      <c r="K545">
        <f>IFERROR([1]!s_stm07_cs($A545,"W77130581",TEXT($B$1,"yyyy/mm/dd"),1),"")</f>
        <v>7492131666.79</v>
      </c>
      <c r="L545">
        <f>IFERROR([1]!s_stm07_cs($A545,"W77745895",TEXT($B$1,"yyyy/mm/dd"),1),"")</f>
        <v>10446078262.32</v>
      </c>
      <c r="M545">
        <f>IFERROR([1]!S_FA_EPS_basic2($A545,$B$1,"Cur=CNY"),"")</f>
        <v>2.02</v>
      </c>
      <c r="N545">
        <f>IFERROR([1]!s_fa_arturndays($A545,TEXT($B$1,"yyyy/mm/dd")),"")</f>
        <v>81.8703</v>
      </c>
      <c r="O545" t="str">
        <f>IFERROR([1]!fa_apturndays($A545,TEXT($B$1,"yyyy/mm/dd")),"")</f>
        <v>Fetch...</v>
      </c>
      <c r="P545">
        <f>IFERROR([1]!s_fa_invturndays($A545,TEXT($B$1,"yyyy/mm/dd")),"")</f>
        <v>49.5349</v>
      </c>
    </row>
    <row r="546" spans="1:16">
      <c r="A546" t="s">
        <v>559</v>
      </c>
      <c r="B546">
        <f>IFERROR([1]!s_stm07_is($A546,"W70156729",TEXT($B$1,"yyyy/mm/dd"),1),"")</f>
        <v>22352604724.869999</v>
      </c>
      <c r="C546">
        <f>IFERROR([1]!s_stm07_is($A546,"W75682424",TEXT($B$1,"yyyy/mm/dd"),1),"")</f>
        <v>11821511646.26</v>
      </c>
      <c r="D546">
        <f>IFERROR([1]!s_stm07_is($A546,"W76031679",TEXT($B$1,"yyyy/mm/dd"),1),"")</f>
        <v>2145336333.3</v>
      </c>
      <c r="E546">
        <f>IFERROR([1]!s_stm07_is($A546,"W70752487",TEXT($B$1,"yyyy/mm/dd"),1),"")</f>
        <v>3212807249.7600002</v>
      </c>
      <c r="F546">
        <f>IFERROR([1]!s_stm07_is_103($A546,TEXT($B$1,"yyyy/mm/dd"),1),"")</f>
        <v>302482779.02999997</v>
      </c>
      <c r="G546">
        <f>IFERROR([1]!s_stm07_is_104($A546,TEXT($B$1,"yyyy/mm/dd"),1),"")</f>
        <v>269717423.58999997</v>
      </c>
      <c r="H546">
        <f>IFERROR([1]!s_stm07_is_105($A546,TEXT($B$1,"yyyy/mm/dd"),1),"")</f>
        <v>72167154.849999994</v>
      </c>
      <c r="I546">
        <f>IFERROR([1]!s_stm07_is($A546,"W72946623",TEXT($B$1,"yyyy/mm/dd"),1),"")</f>
        <v>4425135001.8299999</v>
      </c>
      <c r="J546">
        <f>IFERROR([1]!s_stm07_is($A546,"W30028333",TEXT($B$1,"yyyy/mm/dd"),1),"")</f>
        <v>3240259465.0900002</v>
      </c>
      <c r="K546">
        <f>IFERROR([1]!s_stm07_cs($A546,"W77130581",TEXT($B$1,"yyyy/mm/dd"),1),"")</f>
        <v>5972727509.04</v>
      </c>
      <c r="L546">
        <f>IFERROR([1]!s_stm07_cs($A546,"W77745895",TEXT($B$1,"yyyy/mm/dd"),1),"")</f>
        <v>2092646846.8800001</v>
      </c>
      <c r="M546">
        <f>IFERROR([1]!S_FA_EPS_basic2($A546,$B$1,"Cur=CNY"),"")</f>
        <v>0.34960000000000002</v>
      </c>
      <c r="N546">
        <f>IFERROR([1]!s_fa_arturndays($A546,TEXT($B$1,"yyyy/mm/dd")),"")</f>
        <v>30.938500000000001</v>
      </c>
      <c r="O546" t="str">
        <f>IFERROR([1]!fa_apturndays($A546,TEXT($B$1,"yyyy/mm/dd")),"")</f>
        <v>Fetch...</v>
      </c>
      <c r="P546">
        <f>IFERROR([1]!s_fa_invturndays($A546,TEXT($B$1,"yyyy/mm/dd")),"")</f>
        <v>29.939599999999999</v>
      </c>
    </row>
    <row r="547" spans="1:16">
      <c r="A547" t="s">
        <v>560</v>
      </c>
      <c r="B547">
        <f>IFERROR([1]!s_stm07_is($A547,"W70156729",TEXT($B$1,"yyyy/mm/dd"),1),"")</f>
        <v>4660792565.4700003</v>
      </c>
      <c r="C547">
        <f>IFERROR([1]!s_stm07_is($A547,"W75682424",TEXT($B$1,"yyyy/mm/dd"),1),"")</f>
        <v>3004439928.8200002</v>
      </c>
      <c r="D547">
        <f>IFERROR([1]!s_stm07_is($A547,"W76031679",TEXT($B$1,"yyyy/mm/dd"),1),"")</f>
        <v>383073583.73000002</v>
      </c>
      <c r="E547">
        <f>IFERROR([1]!s_stm07_is($A547,"W70752487",TEXT($B$1,"yyyy/mm/dd"),1),"")</f>
        <v>371879762.07999998</v>
      </c>
      <c r="F547">
        <f>IFERROR([1]!s_stm07_is_103($A547,TEXT($B$1,"yyyy/mm/dd"),1),"")</f>
        <v>409442456.24000001</v>
      </c>
      <c r="G547">
        <f>IFERROR([1]!s_stm07_is_104($A547,TEXT($B$1,"yyyy/mm/dd"),1),"")</f>
        <v>14421787.51</v>
      </c>
      <c r="H547">
        <f>IFERROR([1]!s_stm07_is_105($A547,TEXT($B$1,"yyyy/mm/dd"),1),"")</f>
        <v>130826489.75</v>
      </c>
      <c r="I547">
        <f>IFERROR([1]!s_stm07_is($A547,"W72946623",TEXT($B$1,"yyyy/mm/dd"),1),"")</f>
        <v>859587391.10000002</v>
      </c>
      <c r="J547">
        <f>IFERROR([1]!s_stm07_is($A547,"W30028333",TEXT($B$1,"yyyy/mm/dd"),1),"")</f>
        <v>799527203.90999997</v>
      </c>
      <c r="K547">
        <f>IFERROR([1]!s_stm07_cs($A547,"W77130581",TEXT($B$1,"yyyy/mm/dd"),1),"")</f>
        <v>985032974.75999999</v>
      </c>
      <c r="L547">
        <f>IFERROR([1]!s_stm07_cs($A547,"W77745895",TEXT($B$1,"yyyy/mm/dd"),1),"")</f>
        <v>163740736.37</v>
      </c>
      <c r="M547">
        <f>IFERROR([1]!S_FA_EPS_basic2($A547,$B$1,"Cur=CNY"),"")</f>
        <v>0.33</v>
      </c>
      <c r="N547">
        <f>IFERROR([1]!s_fa_arturndays($A547,TEXT($B$1,"yyyy/mm/dd")),"")</f>
        <v>88.787999999999997</v>
      </c>
      <c r="O547" t="str">
        <f>IFERROR([1]!fa_apturndays($A547,TEXT($B$1,"yyyy/mm/dd")),"")</f>
        <v>Fetch...</v>
      </c>
      <c r="P547">
        <f>IFERROR([1]!s_fa_invturndays($A547,TEXT($B$1,"yyyy/mm/dd")),"")</f>
        <v>0.44879999999999998</v>
      </c>
    </row>
    <row r="548" spans="1:16">
      <c r="A548" t="s">
        <v>561</v>
      </c>
      <c r="B548">
        <f>IFERROR([1]!s_stm07_is($A548,"W70156729",TEXT($B$1,"yyyy/mm/dd"),1),"")</f>
        <v>4121805440.0500002</v>
      </c>
      <c r="C548">
        <f>IFERROR([1]!s_stm07_is($A548,"W75682424",TEXT($B$1,"yyyy/mm/dd"),1),"")</f>
        <v>3607368142.1199999</v>
      </c>
      <c r="D548">
        <f>IFERROR([1]!s_stm07_is($A548,"W76031679",TEXT($B$1,"yyyy/mm/dd"),1),"")</f>
        <v>118528571.53</v>
      </c>
      <c r="E548">
        <f>IFERROR([1]!s_stm07_is($A548,"W70752487",TEXT($B$1,"yyyy/mm/dd"),1),"")</f>
        <v>301461212.44999999</v>
      </c>
      <c r="F548">
        <f>IFERROR([1]!s_stm07_is_103($A548,TEXT($B$1,"yyyy/mm/dd"),1),"")</f>
        <v>224805429.44999999</v>
      </c>
      <c r="G548">
        <f>IFERROR([1]!s_stm07_is_104($A548,TEXT($B$1,"yyyy/mm/dd"),1),"")</f>
        <v>60207316.689999998</v>
      </c>
      <c r="H548">
        <f>IFERROR([1]!s_stm07_is_105($A548,TEXT($B$1,"yyyy/mm/dd"),1),"")</f>
        <v>19204579.699999999</v>
      </c>
      <c r="I548">
        <f>IFERROR([1]!s_stm07_is($A548,"W72946623",TEXT($B$1,"yyyy/mm/dd"),1),"")</f>
        <v>-396350759.99000001</v>
      </c>
      <c r="J548">
        <f>IFERROR([1]!s_stm07_is($A548,"W30028333",TEXT($B$1,"yyyy/mm/dd"),1),"")</f>
        <v>-397880934.47000003</v>
      </c>
      <c r="K548">
        <f>IFERROR([1]!s_stm07_cs($A548,"W77130581",TEXT($B$1,"yyyy/mm/dd"),1),"")</f>
        <v>161345764.13</v>
      </c>
      <c r="L548">
        <f>IFERROR([1]!s_stm07_cs($A548,"W77745895",TEXT($B$1,"yyyy/mm/dd"),1),"")</f>
        <v>157313332.93000001</v>
      </c>
      <c r="M548">
        <f>IFERROR([1]!S_FA_EPS_basic2($A548,$B$1,"Cur=CNY"),"")</f>
        <v>-0.25409999999999999</v>
      </c>
      <c r="N548">
        <f>IFERROR([1]!s_fa_arturndays($A548,TEXT($B$1,"yyyy/mm/dd")),"")</f>
        <v>132.1343</v>
      </c>
      <c r="O548" t="str">
        <f>IFERROR([1]!fa_apturndays($A548,TEXT($B$1,"yyyy/mm/dd")),"")</f>
        <v>Fetch...</v>
      </c>
      <c r="P548">
        <f>IFERROR([1]!s_fa_invturndays($A548,TEXT($B$1,"yyyy/mm/dd")),"")</f>
        <v>343.41309999999999</v>
      </c>
    </row>
    <row r="549" spans="1:16">
      <c r="A549" t="s">
        <v>562</v>
      </c>
      <c r="B549">
        <f>IFERROR([1]!s_stm07_is($A549,"W70156729",TEXT($B$1,"yyyy/mm/dd"),1),"")</f>
        <v>4941124549.5699997</v>
      </c>
      <c r="C549">
        <f>IFERROR([1]!s_stm07_is($A549,"W75682424",TEXT($B$1,"yyyy/mm/dd"),1),"")</f>
        <v>2060013994.28</v>
      </c>
      <c r="D549">
        <f>IFERROR([1]!s_stm07_is($A549,"W76031679",TEXT($B$1,"yyyy/mm/dd"),1),"")</f>
        <v>1882677436.4000001</v>
      </c>
      <c r="E549">
        <f>IFERROR([1]!s_stm07_is($A549,"W70752487",TEXT($B$1,"yyyy/mm/dd"),1),"")</f>
        <v>405538880.54000002</v>
      </c>
      <c r="F549">
        <f>IFERROR([1]!s_stm07_is_103($A549,TEXT($B$1,"yyyy/mm/dd"),1),"")</f>
        <v>197738400.38</v>
      </c>
      <c r="G549">
        <f>IFERROR([1]!s_stm07_is_104($A549,TEXT($B$1,"yyyy/mm/dd"),1),"")</f>
        <v>19334157.539999999</v>
      </c>
      <c r="H549">
        <f>IFERROR([1]!s_stm07_is_105($A549,TEXT($B$1,"yyyy/mm/dd"),1),"")</f>
        <v>10842237.689999999</v>
      </c>
      <c r="I549">
        <f>IFERROR([1]!s_stm07_is($A549,"W72946623",TEXT($B$1,"yyyy/mm/dd"),1),"")</f>
        <v>82646078.390000001</v>
      </c>
      <c r="J549">
        <f>IFERROR([1]!s_stm07_is($A549,"W30028333",TEXT($B$1,"yyyy/mm/dd"),1),"")</f>
        <v>18495135.719999999</v>
      </c>
      <c r="K549">
        <f>IFERROR([1]!s_stm07_cs($A549,"W77130581",TEXT($B$1,"yyyy/mm/dd"),1),"")</f>
        <v>811341610.78999996</v>
      </c>
      <c r="L549">
        <f>IFERROR([1]!s_stm07_cs($A549,"W77745895",TEXT($B$1,"yyyy/mm/dd"),1),"")</f>
        <v>130249796.03</v>
      </c>
      <c r="M549">
        <f>IFERROR([1]!S_FA_EPS_basic2($A549,$B$1,"Cur=CNY"),"")</f>
        <v>0.01</v>
      </c>
      <c r="N549">
        <f>IFERROR([1]!s_fa_arturndays($A549,TEXT($B$1,"yyyy/mm/dd")),"")</f>
        <v>183.4675</v>
      </c>
      <c r="O549" t="str">
        <f>IFERROR([1]!fa_apturndays($A549,TEXT($B$1,"yyyy/mm/dd")),"")</f>
        <v>Fetch...</v>
      </c>
      <c r="P549">
        <f>IFERROR([1]!s_fa_invturndays($A549,TEXT($B$1,"yyyy/mm/dd")),"")</f>
        <v>272.6653</v>
      </c>
    </row>
    <row r="550" spans="1:16">
      <c r="A550" t="s">
        <v>563</v>
      </c>
      <c r="B550">
        <f>IFERROR([1]!s_stm07_is($A550,"W70156729",TEXT($B$1,"yyyy/mm/dd"),1),"")</f>
        <v>3458111953.6300001</v>
      </c>
      <c r="C550">
        <f>IFERROR([1]!s_stm07_is($A550,"W75682424",TEXT($B$1,"yyyy/mm/dd"),1),"")</f>
        <v>2151905561.9499998</v>
      </c>
      <c r="D550">
        <f>IFERROR([1]!s_stm07_is($A550,"W76031679",TEXT($B$1,"yyyy/mm/dd"),1),"")</f>
        <v>689089570.29999995</v>
      </c>
      <c r="E550">
        <f>IFERROR([1]!s_stm07_is($A550,"W70752487",TEXT($B$1,"yyyy/mm/dd"),1),"")</f>
        <v>301799011.05000001</v>
      </c>
      <c r="F550">
        <f>IFERROR([1]!s_stm07_is_103($A550,TEXT($B$1,"yyyy/mm/dd"),1),"")</f>
        <v>142642105.81999999</v>
      </c>
      <c r="G550">
        <f>IFERROR([1]!s_stm07_is_104($A550,TEXT($B$1,"yyyy/mm/dd"),1),"")</f>
        <v>22310275.899999999</v>
      </c>
      <c r="H550">
        <f>IFERROR([1]!s_stm07_is_105($A550,TEXT($B$1,"yyyy/mm/dd"),1),"")</f>
        <v>34899515.579999998</v>
      </c>
      <c r="I550">
        <f>IFERROR([1]!s_stm07_is($A550,"W72946623",TEXT($B$1,"yyyy/mm/dd"),1),"")</f>
        <v>261609063.78999999</v>
      </c>
      <c r="J550">
        <f>IFERROR([1]!s_stm07_is($A550,"W30028333",TEXT($B$1,"yyyy/mm/dd"),1),"")</f>
        <v>206896936.11000001</v>
      </c>
      <c r="K550">
        <f>IFERROR([1]!s_stm07_cs($A550,"W77130581",TEXT($B$1,"yyyy/mm/dd"),1),"")</f>
        <v>268449638.18000001</v>
      </c>
      <c r="L550">
        <f>IFERROR([1]!s_stm07_cs($A550,"W77745895",TEXT($B$1,"yyyy/mm/dd"),1),"")</f>
        <v>238923137.40000001</v>
      </c>
      <c r="M550">
        <f>IFERROR([1]!S_FA_EPS_basic2($A550,$B$1,"Cur=CNY"),"")</f>
        <v>0.4955</v>
      </c>
      <c r="N550">
        <f>IFERROR([1]!s_fa_arturndays($A550,TEXT($B$1,"yyyy/mm/dd")),"")</f>
        <v>87.985100000000003</v>
      </c>
      <c r="O550" t="str">
        <f>IFERROR([1]!fa_apturndays($A550,TEXT($B$1,"yyyy/mm/dd")),"")</f>
        <v>Fetch...</v>
      </c>
      <c r="P550">
        <f>IFERROR([1]!s_fa_invturndays($A550,TEXT($B$1,"yyyy/mm/dd")),"")</f>
        <v>74.948499999999996</v>
      </c>
    </row>
    <row r="551" spans="1:16">
      <c r="A551" t="s">
        <v>564</v>
      </c>
      <c r="B551">
        <f>IFERROR([1]!s_stm07_is($A551,"W70156729",TEXT($B$1,"yyyy/mm/dd"),1),"")</f>
        <v>6028985966.4799995</v>
      </c>
      <c r="C551">
        <f>IFERROR([1]!s_stm07_is($A551,"W75682424",TEXT($B$1,"yyyy/mm/dd"),1),"")</f>
        <v>509784224.56999999</v>
      </c>
      <c r="D551">
        <f>IFERROR([1]!s_stm07_is($A551,"W76031679",TEXT($B$1,"yyyy/mm/dd"),1),"")</f>
        <v>759240273.21000004</v>
      </c>
      <c r="E551">
        <f>IFERROR([1]!s_stm07_is($A551,"W70752487",TEXT($B$1,"yyyy/mm/dd"),1),"")</f>
        <v>245080887.72</v>
      </c>
      <c r="F551">
        <f>IFERROR([1]!s_stm07_is_103($A551,TEXT($B$1,"yyyy/mm/dd"),1),"")</f>
        <v>1145077195.3900001</v>
      </c>
      <c r="G551">
        <f>IFERROR([1]!s_stm07_is_104($A551,TEXT($B$1,"yyyy/mm/dd"),1),"")</f>
        <v>0</v>
      </c>
      <c r="H551">
        <f>IFERROR([1]!s_stm07_is_105($A551,TEXT($B$1,"yyyy/mm/dd"),1),"")</f>
        <v>129314173.18000001</v>
      </c>
      <c r="I551">
        <f>IFERROR([1]!s_stm07_is($A551,"W72946623",TEXT($B$1,"yyyy/mm/dd"),1),"")</f>
        <v>3603679559.75</v>
      </c>
      <c r="J551">
        <f>IFERROR([1]!s_stm07_is($A551,"W30028333",TEXT($B$1,"yyyy/mm/dd"),1),"")</f>
        <v>3205082002.6900001</v>
      </c>
      <c r="K551">
        <f>IFERROR([1]!s_stm07_cs($A551,"W77130581",TEXT($B$1,"yyyy/mm/dd"),1),"")</f>
        <v>3774236497.6999998</v>
      </c>
      <c r="L551">
        <f>IFERROR([1]!s_stm07_cs($A551,"W77745895",TEXT($B$1,"yyyy/mm/dd"),1),"")</f>
        <v>142421212.40000001</v>
      </c>
      <c r="M551">
        <f>IFERROR([1]!S_FA_EPS_basic2($A551,$B$1,"Cur=CNY"),"")</f>
        <v>5.96</v>
      </c>
      <c r="N551">
        <f>IFERROR([1]!s_fa_arturndays($A551,TEXT($B$1,"yyyy/mm/dd")),"")</f>
        <v>1.8307</v>
      </c>
      <c r="O551" t="str">
        <f>IFERROR([1]!fa_apturndays($A551,TEXT($B$1,"yyyy/mm/dd")),"")</f>
        <v>Fetch...</v>
      </c>
      <c r="P551">
        <f>IFERROR([1]!s_fa_invturndays($A551,TEXT($B$1,"yyyy/mm/dd")),"")</f>
        <v>0</v>
      </c>
    </row>
    <row r="552" spans="1:16">
      <c r="A552" t="s">
        <v>565</v>
      </c>
      <c r="B552">
        <f>IFERROR([1]!s_stm07_is($A552,"W70156729",TEXT($B$1,"yyyy/mm/dd"),1),"")</f>
        <v>3696968607.5799999</v>
      </c>
      <c r="C552">
        <f>IFERROR([1]!s_stm07_is($A552,"W75682424",TEXT($B$1,"yyyy/mm/dd"),1),"")</f>
        <v>2818034484.9299998</v>
      </c>
      <c r="D552">
        <f>IFERROR([1]!s_stm07_is($A552,"W76031679",TEXT($B$1,"yyyy/mm/dd"),1),"")</f>
        <v>66424864.439999998</v>
      </c>
      <c r="E552">
        <f>IFERROR([1]!s_stm07_is($A552,"W70752487",TEXT($B$1,"yyyy/mm/dd"),1),"")</f>
        <v>283019086.51999998</v>
      </c>
      <c r="F552">
        <f>IFERROR([1]!s_stm07_is_103($A552,TEXT($B$1,"yyyy/mm/dd"),1),"")</f>
        <v>214820049.05000001</v>
      </c>
      <c r="G552">
        <f>IFERROR([1]!s_stm07_is_104($A552,TEXT($B$1,"yyyy/mm/dd"),1),"")</f>
        <v>23823100.02</v>
      </c>
      <c r="H552">
        <f>IFERROR([1]!s_stm07_is_105($A552,TEXT($B$1,"yyyy/mm/dd"),1),"")</f>
        <v>2947588.09</v>
      </c>
      <c r="I552">
        <f>IFERROR([1]!s_stm07_is($A552,"W72946623",TEXT($B$1,"yyyy/mm/dd"),1),"")</f>
        <v>244624401.84999999</v>
      </c>
      <c r="J552">
        <f>IFERROR([1]!s_stm07_is($A552,"W30028333",TEXT($B$1,"yyyy/mm/dd"),1),"")</f>
        <v>87447304.879999995</v>
      </c>
      <c r="K552">
        <f>IFERROR([1]!s_stm07_cs($A552,"W77130581",TEXT($B$1,"yyyy/mm/dd"),1),"")</f>
        <v>373689030.69999999</v>
      </c>
      <c r="L552">
        <f>IFERROR([1]!s_stm07_cs($A552,"W77745895",TEXT($B$1,"yyyy/mm/dd"),1),"")</f>
        <v>137802567.44</v>
      </c>
      <c r="M552">
        <f>IFERROR([1]!S_FA_EPS_basic2($A552,$B$1,"Cur=CNY"),"")</f>
        <v>0.1105</v>
      </c>
      <c r="N552">
        <f>IFERROR([1]!s_fa_arturndays($A552,TEXT($B$1,"yyyy/mm/dd")),"")</f>
        <v>123.73260000000001</v>
      </c>
      <c r="O552" t="str">
        <f>IFERROR([1]!fa_apturndays($A552,TEXT($B$1,"yyyy/mm/dd")),"")</f>
        <v>Fetch...</v>
      </c>
      <c r="P552">
        <f>IFERROR([1]!s_fa_invturndays($A552,TEXT($B$1,"yyyy/mm/dd")),"")</f>
        <v>266.0557</v>
      </c>
    </row>
    <row r="553" spans="1:16">
      <c r="A553" t="s">
        <v>566</v>
      </c>
      <c r="B553">
        <f>IFERROR([1]!s_stm07_is($A553,"W70156729",TEXT($B$1,"yyyy/mm/dd"),1),"")</f>
        <v>8467654590.6800003</v>
      </c>
      <c r="C553">
        <f>IFERROR([1]!s_stm07_is($A553,"W75682424",TEXT($B$1,"yyyy/mm/dd"),1),"")</f>
        <v>7034449818.4499998</v>
      </c>
      <c r="D553">
        <f>IFERROR([1]!s_stm07_is($A553,"W76031679",TEXT($B$1,"yyyy/mm/dd"),1),"")</f>
        <v>108150513.18000001</v>
      </c>
      <c r="E553">
        <f>IFERROR([1]!s_stm07_is($A553,"W70752487",TEXT($B$1,"yyyy/mm/dd"),1),"")</f>
        <v>188745638.83000001</v>
      </c>
      <c r="F553">
        <f>IFERROR([1]!s_stm07_is_103($A553,TEXT($B$1,"yyyy/mm/dd"),1),"")</f>
        <v>249465635.53</v>
      </c>
      <c r="G553">
        <f>IFERROR([1]!s_stm07_is_104($A553,TEXT($B$1,"yyyy/mm/dd"),1),"")</f>
        <v>159461703.62</v>
      </c>
      <c r="H553">
        <f>IFERROR([1]!s_stm07_is_105($A553,TEXT($B$1,"yyyy/mm/dd"),1),"")</f>
        <v>4302144.03</v>
      </c>
      <c r="I553">
        <f>IFERROR([1]!s_stm07_is($A553,"W72946623",TEXT($B$1,"yyyy/mm/dd"),1),"")</f>
        <v>666627066.47000003</v>
      </c>
      <c r="J553">
        <f>IFERROR([1]!s_stm07_is($A553,"W30028333",TEXT($B$1,"yyyy/mm/dd"),1),"")</f>
        <v>469965685.30000001</v>
      </c>
      <c r="K553">
        <f>IFERROR([1]!s_stm07_cs($A553,"W77130581",TEXT($B$1,"yyyy/mm/dd"),1),"")</f>
        <v>-1347275564.51</v>
      </c>
      <c r="L553">
        <f>IFERROR([1]!s_stm07_cs($A553,"W77745895",TEXT($B$1,"yyyy/mm/dd"),1),"")</f>
        <v>185580077.33000001</v>
      </c>
      <c r="M553">
        <f>IFERROR([1]!S_FA_EPS_basic2($A553,$B$1,"Cur=CNY"),"")</f>
        <v>0.68569999999999998</v>
      </c>
      <c r="N553">
        <f>IFERROR([1]!s_fa_arturndays($A553,TEXT($B$1,"yyyy/mm/dd")),"")</f>
        <v>131.01390000000001</v>
      </c>
      <c r="O553" t="str">
        <f>IFERROR([1]!fa_apturndays($A553,TEXT($B$1,"yyyy/mm/dd")),"")</f>
        <v>Fetch...</v>
      </c>
      <c r="P553">
        <f>IFERROR([1]!s_fa_invturndays($A553,TEXT($B$1,"yyyy/mm/dd")),"")</f>
        <v>153.2567</v>
      </c>
    </row>
    <row r="554" spans="1:16">
      <c r="A554" t="s">
        <v>567</v>
      </c>
      <c r="B554">
        <f>IFERROR([1]!s_stm07_is($A554,"W70156729",TEXT($B$1,"yyyy/mm/dd"),1),"")</f>
        <v>1509117443.21</v>
      </c>
      <c r="C554">
        <f>IFERROR([1]!s_stm07_is($A554,"W75682424",TEXT($B$1,"yyyy/mm/dd"),1),"")</f>
        <v>634854291.10000002</v>
      </c>
      <c r="D554">
        <f>IFERROR([1]!s_stm07_is($A554,"W76031679",TEXT($B$1,"yyyy/mm/dd"),1),"")</f>
        <v>267590515</v>
      </c>
      <c r="E554">
        <f>IFERROR([1]!s_stm07_is($A554,"W70752487",TEXT($B$1,"yyyy/mm/dd"),1),"")</f>
        <v>206619784.66</v>
      </c>
      <c r="F554">
        <f>IFERROR([1]!s_stm07_is_103($A554,TEXT($B$1,"yyyy/mm/dd"),1),"")</f>
        <v>280256342.17000002</v>
      </c>
      <c r="G554">
        <f>IFERROR([1]!s_stm07_is_104($A554,TEXT($B$1,"yyyy/mm/dd"),1),"")</f>
        <v>1009246.95</v>
      </c>
      <c r="H554">
        <f>IFERROR([1]!s_stm07_is_105($A554,TEXT($B$1,"yyyy/mm/dd"),1),"")</f>
        <v>4295133.25</v>
      </c>
      <c r="I554">
        <f>IFERROR([1]!s_stm07_is($A554,"W72946623",TEXT($B$1,"yyyy/mm/dd"),1),"")</f>
        <v>48430558.5</v>
      </c>
      <c r="J554">
        <f>IFERROR([1]!s_stm07_is($A554,"W30028333",TEXT($B$1,"yyyy/mm/dd"),1),"")</f>
        <v>46845153.350000001</v>
      </c>
      <c r="K554">
        <f>IFERROR([1]!s_stm07_cs($A554,"W77130581",TEXT($B$1,"yyyy/mm/dd"),1),"")</f>
        <v>-7069763.4400000004</v>
      </c>
      <c r="L554">
        <f>IFERROR([1]!s_stm07_cs($A554,"W77745895",TEXT($B$1,"yyyy/mm/dd"),1),"")</f>
        <v>3879737.47</v>
      </c>
      <c r="M554">
        <f>IFERROR([1]!S_FA_EPS_basic2($A554,$B$1,"Cur=CNY"),"")</f>
        <v>9.5100000000000004E-2</v>
      </c>
      <c r="N554">
        <f>IFERROR([1]!s_fa_arturndays($A554,TEXT($B$1,"yyyy/mm/dd")),"")</f>
        <v>205.23349999999999</v>
      </c>
      <c r="O554" t="str">
        <f>IFERROR([1]!fa_apturndays($A554,TEXT($B$1,"yyyy/mm/dd")),"")</f>
        <v>Fetch...</v>
      </c>
      <c r="P554">
        <f>IFERROR([1]!s_fa_invturndays($A554,TEXT($B$1,"yyyy/mm/dd")),"")</f>
        <v>202.55439999999999</v>
      </c>
    </row>
    <row r="555" spans="1:16">
      <c r="A555" t="s">
        <v>568</v>
      </c>
      <c r="B555">
        <f>IFERROR([1]!s_stm07_is($A555,"W70156729",TEXT($B$1,"yyyy/mm/dd"),1),"")</f>
        <v>9639167832.5200005</v>
      </c>
      <c r="C555">
        <f>IFERROR([1]!s_stm07_is($A555,"W75682424",TEXT($B$1,"yyyy/mm/dd"),1),"")</f>
        <v>7299230069.5299997</v>
      </c>
      <c r="D555">
        <f>IFERROR([1]!s_stm07_is($A555,"W76031679",TEXT($B$1,"yyyy/mm/dd"),1),"")</f>
        <v>149077482.13999999</v>
      </c>
      <c r="E555">
        <f>IFERROR([1]!s_stm07_is($A555,"W70752487",TEXT($B$1,"yyyy/mm/dd"),1),"")</f>
        <v>432348203.01999998</v>
      </c>
      <c r="F555">
        <f>IFERROR([1]!s_stm07_is_103($A555,TEXT($B$1,"yyyy/mm/dd"),1),"")</f>
        <v>501872411.89999998</v>
      </c>
      <c r="G555">
        <f>IFERROR([1]!s_stm07_is_104($A555,TEXT($B$1,"yyyy/mm/dd"),1),"")</f>
        <v>84925270.709999993</v>
      </c>
      <c r="H555">
        <f>IFERROR([1]!s_stm07_is_105($A555,TEXT($B$1,"yyyy/mm/dd"),1),"")</f>
        <v>18701616.850000001</v>
      </c>
      <c r="I555">
        <f>IFERROR([1]!s_stm07_is($A555,"W72946623",TEXT($B$1,"yyyy/mm/dd"),1),"")</f>
        <v>1260742339.3099999</v>
      </c>
      <c r="J555">
        <f>IFERROR([1]!s_stm07_is($A555,"W30028333",TEXT($B$1,"yyyy/mm/dd"),1),"")</f>
        <v>1097296717.26</v>
      </c>
      <c r="K555">
        <f>IFERROR([1]!s_stm07_cs($A555,"W77130581",TEXT($B$1,"yyyy/mm/dd"),1),"")</f>
        <v>1168693701.1800001</v>
      </c>
      <c r="L555">
        <f>IFERROR([1]!s_stm07_cs($A555,"W77745895",TEXT($B$1,"yyyy/mm/dd"),1),"")</f>
        <v>972447480.45000005</v>
      </c>
      <c r="M555">
        <f>IFERROR([1]!S_FA_EPS_basic2($A555,$B$1,"Cur=CNY"),"")</f>
        <v>1.46</v>
      </c>
      <c r="N555">
        <f>IFERROR([1]!s_fa_arturndays($A555,TEXT($B$1,"yyyy/mm/dd")),"")</f>
        <v>115.3107</v>
      </c>
      <c r="O555" t="str">
        <f>IFERROR([1]!fa_apturndays($A555,TEXT($B$1,"yyyy/mm/dd")),"")</f>
        <v>Fetch...</v>
      </c>
      <c r="P555">
        <f>IFERROR([1]!s_fa_invturndays($A555,TEXT($B$1,"yyyy/mm/dd")),"")</f>
        <v>54.547899999999998</v>
      </c>
    </row>
    <row r="556" spans="1:16">
      <c r="A556" t="s">
        <v>569</v>
      </c>
      <c r="B556">
        <f>IFERROR([1]!s_stm07_is($A556,"W70156729",TEXT($B$1,"yyyy/mm/dd"),1),"")</f>
        <v>781590970.64999998</v>
      </c>
      <c r="C556">
        <f>IFERROR([1]!s_stm07_is($A556,"W75682424",TEXT($B$1,"yyyy/mm/dd"),1),"")</f>
        <v>549421461.32000005</v>
      </c>
      <c r="D556">
        <f>IFERROR([1]!s_stm07_is($A556,"W76031679",TEXT($B$1,"yyyy/mm/dd"),1),"")</f>
        <v>29251122.050000001</v>
      </c>
      <c r="E556">
        <f>IFERROR([1]!s_stm07_is($A556,"W70752487",TEXT($B$1,"yyyy/mm/dd"),1),"")</f>
        <v>170523157.41999999</v>
      </c>
      <c r="F556">
        <f>IFERROR([1]!s_stm07_is_103($A556,TEXT($B$1,"yyyy/mm/dd"),1),"")</f>
        <v>70357660.530000001</v>
      </c>
      <c r="G556">
        <f>IFERROR([1]!s_stm07_is_104($A556,TEXT($B$1,"yyyy/mm/dd"),1),"")</f>
        <v>1149836.56</v>
      </c>
      <c r="H556">
        <f>IFERROR([1]!s_stm07_is_105($A556,TEXT($B$1,"yyyy/mm/dd"),1),"")</f>
        <v>660296.16</v>
      </c>
      <c r="I556">
        <f>IFERROR([1]!s_stm07_is($A556,"W72946623",TEXT($B$1,"yyyy/mm/dd"),1),"")</f>
        <v>-76943068.269999996</v>
      </c>
      <c r="J556">
        <f>IFERROR([1]!s_stm07_is($A556,"W30028333",TEXT($B$1,"yyyy/mm/dd"),1),"")</f>
        <v>-69223669.269999996</v>
      </c>
      <c r="K556">
        <f>IFERROR([1]!s_stm07_cs($A556,"W77130581",TEXT($B$1,"yyyy/mm/dd"),1),"")</f>
        <v>188429924.80000001</v>
      </c>
      <c r="L556">
        <f>IFERROR([1]!s_stm07_cs($A556,"W77745895",TEXT($B$1,"yyyy/mm/dd"),1),"")</f>
        <v>196854324.69999999</v>
      </c>
      <c r="M556">
        <f>IFERROR([1]!S_FA_EPS_basic2($A556,$B$1,"Cur=CNY"),"")</f>
        <v>-0.1</v>
      </c>
      <c r="N556">
        <f>IFERROR([1]!s_fa_arturndays($A556,TEXT($B$1,"yyyy/mm/dd")),"")</f>
        <v>177.23509999999999</v>
      </c>
      <c r="O556" t="str">
        <f>IFERROR([1]!fa_apturndays($A556,TEXT($B$1,"yyyy/mm/dd")),"")</f>
        <v>Fetch...</v>
      </c>
      <c r="P556">
        <f>IFERROR([1]!s_fa_invturndays($A556,TEXT($B$1,"yyyy/mm/dd")),"")</f>
        <v>339.14269999999999</v>
      </c>
    </row>
    <row r="557" spans="1:16">
      <c r="A557" t="s">
        <v>570</v>
      </c>
      <c r="B557">
        <f>IFERROR([1]!s_stm07_is($A557,"W70156729",TEXT($B$1,"yyyy/mm/dd"),1),"")</f>
        <v>9380931014.2600002</v>
      </c>
      <c r="C557">
        <f>IFERROR([1]!s_stm07_is($A557,"W75682424",TEXT($B$1,"yyyy/mm/dd"),1),"")</f>
        <v>8659813088.0799999</v>
      </c>
      <c r="D557">
        <f>IFERROR([1]!s_stm07_is($A557,"W76031679",TEXT($B$1,"yyyy/mm/dd"),1),"")</f>
        <v>153223544.08000001</v>
      </c>
      <c r="E557">
        <f>IFERROR([1]!s_stm07_is($A557,"W70752487",TEXT($B$1,"yyyy/mm/dd"),1),"")</f>
        <v>168091864.84999999</v>
      </c>
      <c r="F557">
        <f>IFERROR([1]!s_stm07_is_103($A557,TEXT($B$1,"yyyy/mm/dd"),1),"")</f>
        <v>220567564.69999999</v>
      </c>
      <c r="G557">
        <f>IFERROR([1]!s_stm07_is_104($A557,TEXT($B$1,"yyyy/mm/dd"),1),"")</f>
        <v>60031399.810000002</v>
      </c>
      <c r="H557">
        <f>IFERROR([1]!s_stm07_is_105($A557,TEXT($B$1,"yyyy/mm/dd"),1),"")</f>
        <v>3492032.38</v>
      </c>
      <c r="I557">
        <f>IFERROR([1]!s_stm07_is($A557,"W72946623",TEXT($B$1,"yyyy/mm/dd"),1),"")</f>
        <v>76986726.329999998</v>
      </c>
      <c r="J557">
        <f>IFERROR([1]!s_stm07_is($A557,"W30028333",TEXT($B$1,"yyyy/mm/dd"),1),"")</f>
        <v>30702127.18</v>
      </c>
      <c r="K557">
        <f>IFERROR([1]!s_stm07_cs($A557,"W77130581",TEXT($B$1,"yyyy/mm/dd"),1),"")</f>
        <v>381755665.97000003</v>
      </c>
      <c r="L557">
        <f>IFERROR([1]!s_stm07_cs($A557,"W77745895",TEXT($B$1,"yyyy/mm/dd"),1),"")</f>
        <v>136890297.56</v>
      </c>
      <c r="M557">
        <f>IFERROR([1]!S_FA_EPS_basic2($A557,$B$1,"Cur=CNY"),"")</f>
        <v>4.8099999999999997E-2</v>
      </c>
      <c r="N557">
        <f>IFERROR([1]!s_fa_arturndays($A557,TEXT($B$1,"yyyy/mm/dd")),"")</f>
        <v>71.3917</v>
      </c>
      <c r="O557" t="str">
        <f>IFERROR([1]!fa_apturndays($A557,TEXT($B$1,"yyyy/mm/dd")),"")</f>
        <v>Fetch...</v>
      </c>
      <c r="P557">
        <f>IFERROR([1]!s_fa_invturndays($A557,TEXT($B$1,"yyyy/mm/dd")),"")</f>
        <v>94.428700000000006</v>
      </c>
    </row>
    <row r="558" spans="1:16">
      <c r="A558" t="s">
        <v>571</v>
      </c>
      <c r="B558">
        <f>IFERROR([1]!s_stm07_is($A558,"W70156729",TEXT($B$1,"yyyy/mm/dd"),1),"")</f>
        <v>1595388937.8099999</v>
      </c>
      <c r="C558">
        <f>IFERROR([1]!s_stm07_is($A558,"W75682424",TEXT($B$1,"yyyy/mm/dd"),1),"")</f>
        <v>399359578.05000001</v>
      </c>
      <c r="D558">
        <f>IFERROR([1]!s_stm07_is($A558,"W76031679",TEXT($B$1,"yyyy/mm/dd"),1),"")</f>
        <v>390245601.38999999</v>
      </c>
      <c r="E558">
        <f>IFERROR([1]!s_stm07_is($A558,"W70752487",TEXT($B$1,"yyyy/mm/dd"),1),"")</f>
        <v>284948972.95999998</v>
      </c>
      <c r="F558">
        <f>IFERROR([1]!s_stm07_is_103($A558,TEXT($B$1,"yyyy/mm/dd"),1),"")</f>
        <v>111203556.90000001</v>
      </c>
      <c r="G558">
        <f>IFERROR([1]!s_stm07_is_104($A558,TEXT($B$1,"yyyy/mm/dd"),1),"")</f>
        <v>3224057.79</v>
      </c>
      <c r="H558">
        <f>IFERROR([1]!s_stm07_is_105($A558,TEXT($B$1,"yyyy/mm/dd"),1),"")</f>
        <v>19289158.649999999</v>
      </c>
      <c r="I558">
        <f>IFERROR([1]!s_stm07_is($A558,"W72946623",TEXT($B$1,"yyyy/mm/dd"),1),"")</f>
        <v>350561476.24000001</v>
      </c>
      <c r="J558">
        <f>IFERROR([1]!s_stm07_is($A558,"W30028333",TEXT($B$1,"yyyy/mm/dd"),1),"")</f>
        <v>154089068.25</v>
      </c>
      <c r="K558">
        <f>IFERROR([1]!s_stm07_cs($A558,"W77130581",TEXT($B$1,"yyyy/mm/dd"),1),"")</f>
        <v>351525069.02999997</v>
      </c>
      <c r="L558">
        <f>IFERROR([1]!s_stm07_cs($A558,"W77745895",TEXT($B$1,"yyyy/mm/dd"),1),"")</f>
        <v>189010274.12</v>
      </c>
      <c r="M558">
        <f>IFERROR([1]!S_FA_EPS_basic2($A558,$B$1,"Cur=CNY"),"")</f>
        <v>0.57999999999999996</v>
      </c>
      <c r="N558">
        <f>IFERROR([1]!s_fa_arturndays($A558,TEXT($B$1,"yyyy/mm/dd")),"")</f>
        <v>109.5424</v>
      </c>
      <c r="O558" t="str">
        <f>IFERROR([1]!fa_apturndays($A558,TEXT($B$1,"yyyy/mm/dd")),"")</f>
        <v>Fetch...</v>
      </c>
      <c r="P558">
        <f>IFERROR([1]!s_fa_invturndays($A558,TEXT($B$1,"yyyy/mm/dd")),"")</f>
        <v>130.62880000000001</v>
      </c>
    </row>
    <row r="559" spans="1:16">
      <c r="A559" t="s">
        <v>572</v>
      </c>
      <c r="B559">
        <f>IFERROR([1]!s_stm07_is($A559,"W70156729",TEXT($B$1,"yyyy/mm/dd"),1),"")</f>
        <v>3659907017.1500001</v>
      </c>
      <c r="C559">
        <f>IFERROR([1]!s_stm07_is($A559,"W75682424",TEXT($B$1,"yyyy/mm/dd"),1),"")</f>
        <v>1798828384.2</v>
      </c>
      <c r="D559">
        <f>IFERROR([1]!s_stm07_is($A559,"W76031679",TEXT($B$1,"yyyy/mm/dd"),1),"")</f>
        <v>125742706.37</v>
      </c>
      <c r="E559">
        <f>IFERROR([1]!s_stm07_is($A559,"W70752487",TEXT($B$1,"yyyy/mm/dd"),1),"")</f>
        <v>290882440.20999998</v>
      </c>
      <c r="F559">
        <f>IFERROR([1]!s_stm07_is_103($A559,TEXT($B$1,"yyyy/mm/dd"),1),"")</f>
        <v>519399977.97000003</v>
      </c>
      <c r="G559">
        <f>IFERROR([1]!s_stm07_is_104($A559,TEXT($B$1,"yyyy/mm/dd"),1),"")</f>
        <v>56126424.259999998</v>
      </c>
      <c r="H559">
        <f>IFERROR([1]!s_stm07_is_105($A559,TEXT($B$1,"yyyy/mm/dd"),1),"")</f>
        <v>7608196.4800000004</v>
      </c>
      <c r="I559">
        <f>IFERROR([1]!s_stm07_is($A559,"W72946623",TEXT($B$1,"yyyy/mm/dd"),1),"")</f>
        <v>905334103.88999999</v>
      </c>
      <c r="J559">
        <f>IFERROR([1]!s_stm07_is($A559,"W30028333",TEXT($B$1,"yyyy/mm/dd"),1),"")</f>
        <v>720204539.60000002</v>
      </c>
      <c r="K559">
        <f>IFERROR([1]!s_stm07_cs($A559,"W77130581",TEXT($B$1,"yyyy/mm/dd"),1),"")</f>
        <v>1156538766.7</v>
      </c>
      <c r="L559">
        <f>IFERROR([1]!s_stm07_cs($A559,"W77745895",TEXT($B$1,"yyyy/mm/dd"),1),"")</f>
        <v>775368565.33000004</v>
      </c>
      <c r="M559">
        <f>IFERROR([1]!S_FA_EPS_basic2($A559,$B$1,"Cur=CNY"),"")</f>
        <v>0.77</v>
      </c>
      <c r="N559">
        <f>IFERROR([1]!s_fa_arturndays($A559,TEXT($B$1,"yyyy/mm/dd")),"")</f>
        <v>101.5945</v>
      </c>
      <c r="O559" t="str">
        <f>IFERROR([1]!fa_apturndays($A559,TEXT($B$1,"yyyy/mm/dd")),"")</f>
        <v>Fetch...</v>
      </c>
      <c r="P559">
        <f>IFERROR([1]!s_fa_invturndays($A559,TEXT($B$1,"yyyy/mm/dd")),"")</f>
        <v>121.7244</v>
      </c>
    </row>
    <row r="560" spans="1:16">
      <c r="A560" t="s">
        <v>573</v>
      </c>
      <c r="B560">
        <f>IFERROR([1]!s_stm07_is($A560,"W70156729",TEXT($B$1,"yyyy/mm/dd"),1),"")</f>
        <v>68692672430.480003</v>
      </c>
      <c r="C560">
        <f>IFERROR([1]!s_stm07_is($A560,"W75682424",TEXT($B$1,"yyyy/mm/dd"),1),"")</f>
        <v>66883606663.580002</v>
      </c>
      <c r="D560">
        <f>IFERROR([1]!s_stm07_is($A560,"W76031679",TEXT($B$1,"yyyy/mm/dd"),1),"")</f>
        <v>774410694.65999997</v>
      </c>
      <c r="E560">
        <f>IFERROR([1]!s_stm07_is($A560,"W70752487",TEXT($B$1,"yyyy/mm/dd"),1),"")</f>
        <v>553643601.62</v>
      </c>
      <c r="F560">
        <f>IFERROR([1]!s_stm07_is_103($A560,TEXT($B$1,"yyyy/mm/dd"),1),"")</f>
        <v>95208404.069999993</v>
      </c>
      <c r="G560">
        <f>IFERROR([1]!s_stm07_is_104($A560,TEXT($B$1,"yyyy/mm/dd"),1),"")</f>
        <v>89750702.849999994</v>
      </c>
      <c r="H560">
        <f>IFERROR([1]!s_stm07_is_105($A560,TEXT($B$1,"yyyy/mm/dd"),1),"")</f>
        <v>84613120.469999999</v>
      </c>
      <c r="I560">
        <f>IFERROR([1]!s_stm07_is($A560,"W72946623",TEXT($B$1,"yyyy/mm/dd"),1),"")</f>
        <v>286137806.23000002</v>
      </c>
      <c r="J560">
        <f>IFERROR([1]!s_stm07_is($A560,"W30028333",TEXT($B$1,"yyyy/mm/dd"),1),"")</f>
        <v>224665777.93000001</v>
      </c>
      <c r="K560">
        <f>IFERROR([1]!s_stm07_cs($A560,"W77130581",TEXT($B$1,"yyyy/mm/dd"),1),"")</f>
        <v>631571513.55999994</v>
      </c>
      <c r="L560">
        <f>IFERROR([1]!s_stm07_cs($A560,"W77745895",TEXT($B$1,"yyyy/mm/dd"),1),"")</f>
        <v>4142031.03</v>
      </c>
      <c r="M560">
        <f>IFERROR([1]!S_FA_EPS_basic2($A560,$B$1,"Cur=CNY"),"")</f>
        <v>6.3E-2</v>
      </c>
      <c r="N560">
        <f>IFERROR([1]!s_fa_arturndays($A560,TEXT($B$1,"yyyy/mm/dd")),"")</f>
        <v>65.638300000000001</v>
      </c>
      <c r="O560" t="str">
        <f>IFERROR([1]!fa_apturndays($A560,TEXT($B$1,"yyyy/mm/dd")),"")</f>
        <v>Fetch...</v>
      </c>
      <c r="P560">
        <f>IFERROR([1]!s_fa_invturndays($A560,TEXT($B$1,"yyyy/mm/dd")),"")</f>
        <v>0.81559999999999999</v>
      </c>
    </row>
    <row r="561" spans="1:16">
      <c r="A561" t="s">
        <v>574</v>
      </c>
      <c r="B561">
        <f>IFERROR([1]!s_stm07_is($A561,"W70156729",TEXT($B$1,"yyyy/mm/dd"),1),"")</f>
        <v>16067741039.51</v>
      </c>
      <c r="C561">
        <f>IFERROR([1]!s_stm07_is($A561,"W75682424",TEXT($B$1,"yyyy/mm/dd"),1),"")</f>
        <v>548085104.95000005</v>
      </c>
      <c r="D561">
        <f>IFERROR([1]!s_stm07_is($A561,"W76031679",TEXT($B$1,"yyyy/mm/dd"),1),"")</f>
        <v>384984747.38</v>
      </c>
      <c r="E561">
        <f>IFERROR([1]!s_stm07_is($A561,"W70752487",TEXT($B$1,"yyyy/mm/dd"),1),"")</f>
        <v>2721420204.02</v>
      </c>
      <c r="F561">
        <f>IFERROR([1]!s_stm07_is_103($A561,TEXT($B$1,"yyyy/mm/dd"),1),"")</f>
        <v>1066549339.24</v>
      </c>
      <c r="G561">
        <f>IFERROR([1]!s_stm07_is_104($A561,TEXT($B$1,"yyyy/mm/dd"),1),"")</f>
        <v>59548471.5</v>
      </c>
      <c r="H561">
        <f>IFERROR([1]!s_stm07_is_105($A561,TEXT($B$1,"yyyy/mm/dd"),1),"")</f>
        <v>157309260.22999999</v>
      </c>
      <c r="I561">
        <f>IFERROR([1]!s_stm07_is($A561,"W72946623",TEXT($B$1,"yyyy/mm/dd"),1),"")</f>
        <v>14016451780.809999</v>
      </c>
      <c r="J561">
        <f>IFERROR([1]!s_stm07_is($A561,"W30028333",TEXT($B$1,"yyyy/mm/dd"),1),"")</f>
        <v>12084594947.219999</v>
      </c>
      <c r="K561">
        <f>IFERROR([1]!s_stm07_cs($A561,"W77130581",TEXT($B$1,"yyyy/mm/dd"),1),"")</f>
        <v>-10222245645.139999</v>
      </c>
      <c r="L561">
        <f>IFERROR([1]!s_stm07_cs($A561,"W77745895",TEXT($B$1,"yyyy/mm/dd"),1),"")</f>
        <v>156571877.22</v>
      </c>
      <c r="M561">
        <f>IFERROR([1]!S_FA_EPS_basic2($A561,$B$1,"Cur=CNY"),"")</f>
        <v>0.76500000000000001</v>
      </c>
      <c r="N561">
        <f>IFERROR([1]!s_fa_arturndays($A561,TEXT($B$1,"yyyy/mm/dd")),"")</f>
        <v>84.532799999999995</v>
      </c>
      <c r="O561" t="str">
        <f>IFERROR([1]!fa_apturndays($A561,TEXT($B$1,"yyyy/mm/dd")),"")</f>
        <v>Fetch...</v>
      </c>
      <c r="P561">
        <f>IFERROR([1]!s_fa_invturndays($A561,TEXT($B$1,"yyyy/mm/dd")),"")</f>
        <v>0</v>
      </c>
    </row>
    <row r="562" spans="1:16">
      <c r="A562" t="s">
        <v>575</v>
      </c>
      <c r="B562">
        <f>IFERROR([1]!s_stm07_is($A562,"W70156729",TEXT($B$1,"yyyy/mm/dd"),1),"")</f>
        <v>716324793.77999997</v>
      </c>
      <c r="C562">
        <f>IFERROR([1]!s_stm07_is($A562,"W75682424",TEXT($B$1,"yyyy/mm/dd"),1),"")</f>
        <v>510736213.29000002</v>
      </c>
      <c r="D562">
        <f>IFERROR([1]!s_stm07_is($A562,"W76031679",TEXT($B$1,"yyyy/mm/dd"),1),"")</f>
        <v>59793241.340000004</v>
      </c>
      <c r="E562">
        <f>IFERROR([1]!s_stm07_is($A562,"W70752487",TEXT($B$1,"yyyy/mm/dd"),1),"")</f>
        <v>84013874.640000001</v>
      </c>
      <c r="F562">
        <f>IFERROR([1]!s_stm07_is_103($A562,TEXT($B$1,"yyyy/mm/dd"),1),"")</f>
        <v>65140327.549999997</v>
      </c>
      <c r="G562">
        <f>IFERROR([1]!s_stm07_is_104($A562,TEXT($B$1,"yyyy/mm/dd"),1),"")</f>
        <v>1344200.93</v>
      </c>
      <c r="H562">
        <f>IFERROR([1]!s_stm07_is_105($A562,TEXT($B$1,"yyyy/mm/dd"),1),"")</f>
        <v>1408679.68</v>
      </c>
      <c r="I562">
        <f>IFERROR([1]!s_stm07_is($A562,"W72946623",TEXT($B$1,"yyyy/mm/dd"),1),"")</f>
        <v>35746197.590000004</v>
      </c>
      <c r="J562">
        <f>IFERROR([1]!s_stm07_is($A562,"W30028333",TEXT($B$1,"yyyy/mm/dd"),1),"")</f>
        <v>40287278.310000002</v>
      </c>
      <c r="K562">
        <f>IFERROR([1]!s_stm07_cs($A562,"W77130581",TEXT($B$1,"yyyy/mm/dd"),1),"")</f>
        <v>128483753.34</v>
      </c>
      <c r="L562">
        <f>IFERROR([1]!s_stm07_cs($A562,"W77745895",TEXT($B$1,"yyyy/mm/dd"),1),"")</f>
        <v>158992208.15000001</v>
      </c>
      <c r="M562">
        <f>IFERROR([1]!S_FA_EPS_basic2($A562,$B$1,"Cur=CNY"),"")</f>
        <v>5.5899999999999998E-2</v>
      </c>
      <c r="N562">
        <f>IFERROR([1]!s_fa_arturndays($A562,TEXT($B$1,"yyyy/mm/dd")),"")</f>
        <v>182.68549999999999</v>
      </c>
      <c r="O562" t="str">
        <f>IFERROR([1]!fa_apturndays($A562,TEXT($B$1,"yyyy/mm/dd")),"")</f>
        <v>Fetch...</v>
      </c>
      <c r="P562">
        <f>IFERROR([1]!s_fa_invturndays($A562,TEXT($B$1,"yyyy/mm/dd")),"")</f>
        <v>157.51480000000001</v>
      </c>
    </row>
    <row r="563" spans="1:16">
      <c r="A563" t="s">
        <v>576</v>
      </c>
      <c r="B563">
        <f>IFERROR([1]!s_stm07_is($A563,"W70156729",TEXT($B$1,"yyyy/mm/dd"),1),"")</f>
        <v>7784271102.8199997</v>
      </c>
      <c r="C563">
        <f>IFERROR([1]!s_stm07_is($A563,"W75682424",TEXT($B$1,"yyyy/mm/dd"),1),"")</f>
        <v>5874996664.3599997</v>
      </c>
      <c r="D563">
        <f>IFERROR([1]!s_stm07_is($A563,"W76031679",TEXT($B$1,"yyyy/mm/dd"),1),"")</f>
        <v>164857960.15000001</v>
      </c>
      <c r="E563">
        <f>IFERROR([1]!s_stm07_is($A563,"W70752487",TEXT($B$1,"yyyy/mm/dd"),1),"")</f>
        <v>337142692.61000001</v>
      </c>
      <c r="F563">
        <f>IFERROR([1]!s_stm07_is_103($A563,TEXT($B$1,"yyyy/mm/dd"),1),"")</f>
        <v>248892774.66</v>
      </c>
      <c r="G563">
        <f>IFERROR([1]!s_stm07_is_104($A563,TEXT($B$1,"yyyy/mm/dd"),1),"")</f>
        <v>987334195.14999998</v>
      </c>
      <c r="H563">
        <f>IFERROR([1]!s_stm07_is_105($A563,TEXT($B$1,"yyyy/mm/dd"),1),"")</f>
        <v>970610933.98000002</v>
      </c>
      <c r="I563">
        <f>IFERROR([1]!s_stm07_is($A563,"W72946623",TEXT($B$1,"yyyy/mm/dd"),1),"")</f>
        <v>274785202.67000002</v>
      </c>
      <c r="J563">
        <f>IFERROR([1]!s_stm07_is($A563,"W30028333",TEXT($B$1,"yyyy/mm/dd"),1),"")</f>
        <v>60983085.700000003</v>
      </c>
      <c r="K563">
        <f>IFERROR([1]!s_stm07_cs($A563,"W77130581",TEXT($B$1,"yyyy/mm/dd"),1),"")</f>
        <v>1210716436.4000001</v>
      </c>
      <c r="L563">
        <f>IFERROR([1]!s_stm07_cs($A563,"W77745895",TEXT($B$1,"yyyy/mm/dd"),1),"")</f>
        <v>2168538814.8800001</v>
      </c>
      <c r="M563">
        <f>IFERROR([1]!S_FA_EPS_basic2($A563,$B$1,"Cur=CNY"),"")</f>
        <v>1.6799999999999999E-2</v>
      </c>
      <c r="N563">
        <f>IFERROR([1]!s_fa_arturndays($A563,TEXT($B$1,"yyyy/mm/dd")),"")</f>
        <v>568.36120000000005</v>
      </c>
      <c r="O563" t="str">
        <f>IFERROR([1]!fa_apturndays($A563,TEXT($B$1,"yyyy/mm/dd")),"")</f>
        <v>Fetch...</v>
      </c>
      <c r="P563">
        <f>IFERROR([1]!s_fa_invturndays($A563,TEXT($B$1,"yyyy/mm/dd")),"")</f>
        <v>339.84710000000001</v>
      </c>
    </row>
    <row r="564" spans="1:16">
      <c r="A564" t="s">
        <v>577</v>
      </c>
      <c r="B564">
        <f>IFERROR([1]!s_stm07_is($A564,"W70156729",TEXT($B$1,"yyyy/mm/dd"),1),"")</f>
        <v>10374236039.299999</v>
      </c>
      <c r="C564">
        <f>IFERROR([1]!s_stm07_is($A564,"W75682424",TEXT($B$1,"yyyy/mm/dd"),1),"")</f>
        <v>9053321922</v>
      </c>
      <c r="D564">
        <f>IFERROR([1]!s_stm07_is($A564,"W76031679",TEXT($B$1,"yyyy/mm/dd"),1),"")</f>
        <v>42406183.829999998</v>
      </c>
      <c r="E564">
        <f>IFERROR([1]!s_stm07_is($A564,"W70752487",TEXT($B$1,"yyyy/mm/dd"),1),"")</f>
        <v>263655714.38</v>
      </c>
      <c r="F564">
        <f>IFERROR([1]!s_stm07_is_103($A564,TEXT($B$1,"yyyy/mm/dd"),1),"")</f>
        <v>485606421.02999997</v>
      </c>
      <c r="G564">
        <f>IFERROR([1]!s_stm07_is_104($A564,TEXT($B$1,"yyyy/mm/dd"),1),"")</f>
        <v>785626.86</v>
      </c>
      <c r="H564">
        <f>IFERROR([1]!s_stm07_is_105($A564,TEXT($B$1,"yyyy/mm/dd"),1),"")</f>
        <v>105069924</v>
      </c>
      <c r="I564">
        <f>IFERROR([1]!s_stm07_is($A564,"W72946623",TEXT($B$1,"yyyy/mm/dd"),1),"")</f>
        <v>728961449.42999995</v>
      </c>
      <c r="J564">
        <f>IFERROR([1]!s_stm07_is($A564,"W30028333",TEXT($B$1,"yyyy/mm/dd"),1),"")</f>
        <v>632330006.17999995</v>
      </c>
      <c r="K564">
        <f>IFERROR([1]!s_stm07_cs($A564,"W77130581",TEXT($B$1,"yyyy/mm/dd"),1),"")</f>
        <v>1149551754.72</v>
      </c>
      <c r="L564">
        <f>IFERROR([1]!s_stm07_cs($A564,"W77745895",TEXT($B$1,"yyyy/mm/dd"),1),"")</f>
        <v>1922874324.97</v>
      </c>
      <c r="M564">
        <f>IFERROR([1]!S_FA_EPS_basic2($A564,$B$1,"Cur=CNY"),"")</f>
        <v>1.2108000000000001</v>
      </c>
      <c r="N564">
        <f>IFERROR([1]!s_fa_arturndays($A564,TEXT($B$1,"yyyy/mm/dd")),"")</f>
        <v>87.461399999999998</v>
      </c>
      <c r="O564" t="str">
        <f>IFERROR([1]!fa_apturndays($A564,TEXT($B$1,"yyyy/mm/dd")),"")</f>
        <v>Fetch...</v>
      </c>
      <c r="P564">
        <f>IFERROR([1]!s_fa_invturndays($A564,TEXT($B$1,"yyyy/mm/dd")),"")</f>
        <v>78.859200000000001</v>
      </c>
    </row>
    <row r="565" spans="1:16">
      <c r="A565" t="s">
        <v>578</v>
      </c>
      <c r="B565">
        <f>IFERROR([1]!s_stm07_is($A565,"W70156729",TEXT($B$1,"yyyy/mm/dd"),1),"")</f>
        <v>601737836.13999999</v>
      </c>
      <c r="C565">
        <f>IFERROR([1]!s_stm07_is($A565,"W75682424",TEXT($B$1,"yyyy/mm/dd"),1),"")</f>
        <v>475906251.95999998</v>
      </c>
      <c r="D565">
        <f>IFERROR([1]!s_stm07_is($A565,"W76031679",TEXT($B$1,"yyyy/mm/dd"),1),"")</f>
        <v>100156158.23</v>
      </c>
      <c r="E565">
        <f>IFERROR([1]!s_stm07_is($A565,"W70752487",TEXT($B$1,"yyyy/mm/dd"),1),"")</f>
        <v>101458018.90000001</v>
      </c>
      <c r="F565">
        <f>IFERROR([1]!s_stm07_is_103($A565,TEXT($B$1,"yyyy/mm/dd"),1),"")</f>
        <v>93983639.010000005</v>
      </c>
      <c r="G565">
        <f>IFERROR([1]!s_stm07_is_104($A565,TEXT($B$1,"yyyy/mm/dd"),1),"")</f>
        <v>1225807.4099999999</v>
      </c>
      <c r="H565">
        <f>IFERROR([1]!s_stm07_is_105($A565,TEXT($B$1,"yyyy/mm/dd"),1),"")</f>
        <v>8129564.8300000001</v>
      </c>
      <c r="I565">
        <f>IFERROR([1]!s_stm07_is($A565,"W72946623",TEXT($B$1,"yyyy/mm/dd"),1),"")</f>
        <v>-404363444.26999998</v>
      </c>
      <c r="J565">
        <f>IFERROR([1]!s_stm07_is($A565,"W30028333",TEXT($B$1,"yyyy/mm/dd"),1),"")</f>
        <v>-378834022.19999999</v>
      </c>
      <c r="K565">
        <f>IFERROR([1]!s_stm07_cs($A565,"W77130581",TEXT($B$1,"yyyy/mm/dd"),1),"")</f>
        <v>45704117.700000003</v>
      </c>
      <c r="L565">
        <f>IFERROR([1]!s_stm07_cs($A565,"W77745895",TEXT($B$1,"yyyy/mm/dd"),1),"")</f>
        <v>329589993.47000003</v>
      </c>
      <c r="M565">
        <f>IFERROR([1]!S_FA_EPS_basic2($A565,$B$1,"Cur=CNY"),"")</f>
        <v>-0.61</v>
      </c>
      <c r="N565">
        <f>IFERROR([1]!s_fa_arturndays($A565,TEXT($B$1,"yyyy/mm/dd")),"")</f>
        <v>741.80920000000003</v>
      </c>
      <c r="O565" t="str">
        <f>IFERROR([1]!fa_apturndays($A565,TEXT($B$1,"yyyy/mm/dd")),"")</f>
        <v>Fetch...</v>
      </c>
      <c r="P565">
        <f>IFERROR([1]!s_fa_invturndays($A565,TEXT($B$1,"yyyy/mm/dd")),"")</f>
        <v>149.26609999999999</v>
      </c>
    </row>
    <row r="566" spans="1:16">
      <c r="A566" t="s">
        <v>579</v>
      </c>
      <c r="B566">
        <f>IFERROR([1]!s_stm07_is($A566,"W70156729",TEXT($B$1,"yyyy/mm/dd"),1),"")</f>
        <v>1360265565.0999999</v>
      </c>
      <c r="C566">
        <f>IFERROR([1]!s_stm07_is($A566,"W75682424",TEXT($B$1,"yyyy/mm/dd"),1),"")</f>
        <v>1088156300.01</v>
      </c>
      <c r="D566">
        <f>IFERROR([1]!s_stm07_is($A566,"W76031679",TEXT($B$1,"yyyy/mm/dd"),1),"")</f>
        <v>48662392.990000002</v>
      </c>
      <c r="E566">
        <f>IFERROR([1]!s_stm07_is($A566,"W70752487",TEXT($B$1,"yyyy/mm/dd"),1),"")</f>
        <v>107950747.28</v>
      </c>
      <c r="F566">
        <f>IFERROR([1]!s_stm07_is_103($A566,TEXT($B$1,"yyyy/mm/dd"),1),"")</f>
        <v>165599874.69999999</v>
      </c>
      <c r="G566">
        <f>IFERROR([1]!s_stm07_is_104($A566,TEXT($B$1,"yyyy/mm/dd"),1),"")</f>
        <v>76730957.920000002</v>
      </c>
      <c r="H566">
        <f>IFERROR([1]!s_stm07_is_105($A566,TEXT($B$1,"yyyy/mm/dd"),1),"")</f>
        <v>2736980.62</v>
      </c>
      <c r="I566">
        <f>IFERROR([1]!s_stm07_is($A566,"W72946623",TEXT($B$1,"yyyy/mm/dd"),1),"")</f>
        <v>-130077923.95999999</v>
      </c>
      <c r="J566">
        <f>IFERROR([1]!s_stm07_is($A566,"W30028333",TEXT($B$1,"yyyy/mm/dd"),1),"")</f>
        <v>-115418159.63</v>
      </c>
      <c r="K566">
        <f>IFERROR([1]!s_stm07_cs($A566,"W77130581",TEXT($B$1,"yyyy/mm/dd"),1),"")</f>
        <v>674624.83</v>
      </c>
      <c r="L566">
        <f>IFERROR([1]!s_stm07_cs($A566,"W77745895",TEXT($B$1,"yyyy/mm/dd"),1),"")</f>
        <v>214240034.99000001</v>
      </c>
      <c r="M566">
        <f>IFERROR([1]!S_FA_EPS_basic2($A566,$B$1,"Cur=CNY"),"")</f>
        <v>-0.2</v>
      </c>
      <c r="N566">
        <f>IFERROR([1]!s_fa_arturndays($A566,TEXT($B$1,"yyyy/mm/dd")),"")</f>
        <v>78.240499999999997</v>
      </c>
      <c r="O566" t="str">
        <f>IFERROR([1]!fa_apturndays($A566,TEXT($B$1,"yyyy/mm/dd")),"")</f>
        <v>Fetch...</v>
      </c>
      <c r="P566">
        <f>IFERROR([1]!s_fa_invturndays($A566,TEXT($B$1,"yyyy/mm/dd")),"")</f>
        <v>206.0086</v>
      </c>
    </row>
    <row r="567" spans="1:16">
      <c r="A567" t="s">
        <v>580</v>
      </c>
      <c r="B567">
        <f>IFERROR([1]!s_stm07_is($A567,"W70156729",TEXT($B$1,"yyyy/mm/dd"),1),"")</f>
        <v>733198956.39999998</v>
      </c>
      <c r="C567">
        <f>IFERROR([1]!s_stm07_is($A567,"W75682424",TEXT($B$1,"yyyy/mm/dd"),1),"")</f>
        <v>382843835.64999998</v>
      </c>
      <c r="D567">
        <f>IFERROR([1]!s_stm07_is($A567,"W76031679",TEXT($B$1,"yyyy/mm/dd"),1),"")</f>
        <v>126912043.77</v>
      </c>
      <c r="E567">
        <f>IFERROR([1]!s_stm07_is($A567,"W70752487",TEXT($B$1,"yyyy/mm/dd"),1),"")</f>
        <v>179871321.87</v>
      </c>
      <c r="F567">
        <f>IFERROR([1]!s_stm07_is_103($A567,TEXT($B$1,"yyyy/mm/dd"),1),"")</f>
        <v>78317009.510000005</v>
      </c>
      <c r="G567">
        <f>IFERROR([1]!s_stm07_is_104($A567,TEXT($B$1,"yyyy/mm/dd"),1),"")</f>
        <v>92794.75</v>
      </c>
      <c r="H567">
        <f>IFERROR([1]!s_stm07_is_105($A567,TEXT($B$1,"yyyy/mm/dd"),1),"")</f>
        <v>57992455.270000003</v>
      </c>
      <c r="I567">
        <f>IFERROR([1]!s_stm07_is($A567,"W72946623",TEXT($B$1,"yyyy/mm/dd"),1),"")</f>
        <v>43056268.490000002</v>
      </c>
      <c r="J567">
        <f>IFERROR([1]!s_stm07_is($A567,"W30028333",TEXT($B$1,"yyyy/mm/dd"),1),"")</f>
        <v>33175076.48</v>
      </c>
      <c r="K567">
        <f>IFERROR([1]!s_stm07_cs($A567,"W77130581",TEXT($B$1,"yyyy/mm/dd"),1),"")</f>
        <v>57812035.520000003</v>
      </c>
      <c r="L567">
        <f>IFERROR([1]!s_stm07_cs($A567,"W77745895",TEXT($B$1,"yyyy/mm/dd"),1),"")</f>
        <v>21043387.059999999</v>
      </c>
      <c r="M567">
        <f>IFERROR([1]!S_FA_EPS_basic2($A567,$B$1,"Cur=CNY"),"")</f>
        <v>2.3300000000000001E-2</v>
      </c>
      <c r="N567">
        <f>IFERROR([1]!s_fa_arturndays($A567,TEXT($B$1,"yyyy/mm/dd")),"")</f>
        <v>111.711</v>
      </c>
      <c r="O567" t="str">
        <f>IFERROR([1]!fa_apturndays($A567,TEXT($B$1,"yyyy/mm/dd")),"")</f>
        <v>Fetch...</v>
      </c>
      <c r="P567">
        <f>IFERROR([1]!s_fa_invturndays($A567,TEXT($B$1,"yyyy/mm/dd")),"")</f>
        <v>215.33680000000001</v>
      </c>
    </row>
    <row r="568" spans="1:16">
      <c r="A568" t="s">
        <v>581</v>
      </c>
      <c r="B568">
        <f>IFERROR([1]!s_stm07_is($A568,"W70156729",TEXT($B$1,"yyyy/mm/dd"),1),"")</f>
        <v>3534836244.29</v>
      </c>
      <c r="C568">
        <f>IFERROR([1]!s_stm07_is($A568,"W75682424",TEXT($B$1,"yyyy/mm/dd"),1),"")</f>
        <v>3410632512.3000002</v>
      </c>
      <c r="D568">
        <f>IFERROR([1]!s_stm07_is($A568,"W76031679",TEXT($B$1,"yyyy/mm/dd"),1),"")</f>
        <v>19358343.07</v>
      </c>
      <c r="E568">
        <f>IFERROR([1]!s_stm07_is($A568,"W70752487",TEXT($B$1,"yyyy/mm/dd"),1),"")</f>
        <v>312603813.93000001</v>
      </c>
      <c r="F568">
        <f>IFERROR([1]!s_stm07_is_103($A568,TEXT($B$1,"yyyy/mm/dd"),1),"")</f>
        <v>136086108.16</v>
      </c>
      <c r="G568">
        <f>IFERROR([1]!s_stm07_is_104($A568,TEXT($B$1,"yyyy/mm/dd"),1),"")</f>
        <v>236763956.44</v>
      </c>
      <c r="H568">
        <f>IFERROR([1]!s_stm07_is_105($A568,TEXT($B$1,"yyyy/mm/dd"),1),"")</f>
        <v>18867783.620000001</v>
      </c>
      <c r="I568">
        <f>IFERROR([1]!s_stm07_is($A568,"W72946623",TEXT($B$1,"yyyy/mm/dd"),1),"")</f>
        <v>-787833886.23000002</v>
      </c>
      <c r="J568">
        <f>IFERROR([1]!s_stm07_is($A568,"W30028333",TEXT($B$1,"yyyy/mm/dd"),1),"")</f>
        <v>-669390499.44000006</v>
      </c>
      <c r="K568">
        <f>IFERROR([1]!s_stm07_cs($A568,"W77130581",TEXT($B$1,"yyyy/mm/dd"),1),"")</f>
        <v>-337488855.39999998</v>
      </c>
      <c r="L568">
        <f>IFERROR([1]!s_stm07_cs($A568,"W77745895",TEXT($B$1,"yyyy/mm/dd"),1),"")</f>
        <v>312549380.58999997</v>
      </c>
      <c r="M568">
        <f>IFERROR([1]!S_FA_EPS_basic2($A568,$B$1,"Cur=CNY"),"")</f>
        <v>-0.35730000000000001</v>
      </c>
      <c r="N568">
        <f>IFERROR([1]!s_fa_arturndays($A568,TEXT($B$1,"yyyy/mm/dd")),"")</f>
        <v>174.26660000000001</v>
      </c>
      <c r="O568" t="str">
        <f>IFERROR([1]!fa_apturndays($A568,TEXT($B$1,"yyyy/mm/dd")),"")</f>
        <v>Fetch...</v>
      </c>
      <c r="P568">
        <f>IFERROR([1]!s_fa_invturndays($A568,TEXT($B$1,"yyyy/mm/dd")),"")</f>
        <v>220.29130000000001</v>
      </c>
    </row>
    <row r="569" spans="1:16">
      <c r="A569" t="s">
        <v>582</v>
      </c>
      <c r="B569">
        <f>IFERROR([1]!s_stm07_is($A569,"W70156729",TEXT($B$1,"yyyy/mm/dd"),1),"")</f>
        <v>5320296624.9799995</v>
      </c>
      <c r="C569">
        <f>IFERROR([1]!s_stm07_is($A569,"W75682424",TEXT($B$1,"yyyy/mm/dd"),1),"")</f>
        <v>3994998271.27</v>
      </c>
      <c r="D569">
        <f>IFERROR([1]!s_stm07_is($A569,"W76031679",TEXT($B$1,"yyyy/mm/dd"),1),"")</f>
        <v>229241029.69</v>
      </c>
      <c r="E569">
        <f>IFERROR([1]!s_stm07_is($A569,"W70752487",TEXT($B$1,"yyyy/mm/dd"),1),"")</f>
        <v>277376450.69</v>
      </c>
      <c r="F569">
        <f>IFERROR([1]!s_stm07_is_103($A569,TEXT($B$1,"yyyy/mm/dd"),1),"")</f>
        <v>157767223.09</v>
      </c>
      <c r="G569">
        <f>IFERROR([1]!s_stm07_is_104($A569,TEXT($B$1,"yyyy/mm/dd"),1),"")</f>
        <v>46066529.700000003</v>
      </c>
      <c r="H569">
        <f>IFERROR([1]!s_stm07_is_105($A569,TEXT($B$1,"yyyy/mm/dd"),1),"")</f>
        <v>39435557.409999996</v>
      </c>
      <c r="I569">
        <f>IFERROR([1]!s_stm07_is($A569,"W72946623",TEXT($B$1,"yyyy/mm/dd"),1),"")</f>
        <v>154583757.63</v>
      </c>
      <c r="J569">
        <f>IFERROR([1]!s_stm07_is($A569,"W30028333",TEXT($B$1,"yyyy/mm/dd"),1),"")</f>
        <v>143252612.46000001</v>
      </c>
      <c r="K569">
        <f>IFERROR([1]!s_stm07_cs($A569,"W77130581",TEXT($B$1,"yyyy/mm/dd"),1),"")</f>
        <v>133297799.13</v>
      </c>
      <c r="L569">
        <f>IFERROR([1]!s_stm07_cs($A569,"W77745895",TEXT($B$1,"yyyy/mm/dd"),1),"")</f>
        <v>99099131.400000006</v>
      </c>
      <c r="M569">
        <f>IFERROR([1]!S_FA_EPS_basic2($A569,$B$1,"Cur=CNY"),"")</f>
        <v>0.09</v>
      </c>
      <c r="N569">
        <f>IFERROR([1]!s_fa_arturndays($A569,TEXT($B$1,"yyyy/mm/dd")),"")</f>
        <v>107.61369999999999</v>
      </c>
      <c r="O569" t="str">
        <f>IFERROR([1]!fa_apturndays($A569,TEXT($B$1,"yyyy/mm/dd")),"")</f>
        <v>Fetch...</v>
      </c>
      <c r="P569">
        <f>IFERROR([1]!s_fa_invturndays($A569,TEXT($B$1,"yyyy/mm/dd")),"")</f>
        <v>237.51400000000001</v>
      </c>
    </row>
    <row r="570" spans="1:16">
      <c r="A570" t="s">
        <v>583</v>
      </c>
      <c r="B570">
        <f>IFERROR([1]!s_stm07_is($A570,"W70156729",TEXT($B$1,"yyyy/mm/dd"),1),"")</f>
        <v>758456843.57000005</v>
      </c>
      <c r="C570">
        <f>IFERROR([1]!s_stm07_is($A570,"W75682424",TEXT($B$1,"yyyy/mm/dd"),1),"")</f>
        <v>529310971.69</v>
      </c>
      <c r="D570">
        <f>IFERROR([1]!s_stm07_is($A570,"W76031679",TEXT($B$1,"yyyy/mm/dd"),1),"")</f>
        <v>151181462.72</v>
      </c>
      <c r="E570">
        <f>IFERROR([1]!s_stm07_is($A570,"W70752487",TEXT($B$1,"yyyy/mm/dd"),1),"")</f>
        <v>88094679.040000007</v>
      </c>
      <c r="F570">
        <f>IFERROR([1]!s_stm07_is_103($A570,TEXT($B$1,"yyyy/mm/dd"),1),"")</f>
        <v>84935131.519999996</v>
      </c>
      <c r="G570">
        <f>IFERROR([1]!s_stm07_is_104($A570,TEXT($B$1,"yyyy/mm/dd"),1),"")</f>
        <v>9824897.6600000001</v>
      </c>
      <c r="H570">
        <f>IFERROR([1]!s_stm07_is_105($A570,TEXT($B$1,"yyyy/mm/dd"),1),"")</f>
        <v>2392597.9</v>
      </c>
      <c r="I570">
        <f>IFERROR([1]!s_stm07_is($A570,"W72946623",TEXT($B$1,"yyyy/mm/dd"),1),"")</f>
        <v>-128540534.23999999</v>
      </c>
      <c r="J570">
        <f>IFERROR([1]!s_stm07_is($A570,"W30028333",TEXT($B$1,"yyyy/mm/dd"),1),"")</f>
        <v>-132891536.47</v>
      </c>
      <c r="K570">
        <f>IFERROR([1]!s_stm07_cs($A570,"W77130581",TEXT($B$1,"yyyy/mm/dd"),1),"")</f>
        <v>80931098.129999995</v>
      </c>
      <c r="L570">
        <f>IFERROR([1]!s_stm07_cs($A570,"W77745895",TEXT($B$1,"yyyy/mm/dd"),1),"")</f>
        <v>2442620.5699999998</v>
      </c>
      <c r="M570">
        <f>IFERROR([1]!S_FA_EPS_basic2($A570,$B$1,"Cur=CNY"),"")</f>
        <v>-0.18809999999999999</v>
      </c>
      <c r="N570">
        <f>IFERROR([1]!s_fa_arturndays($A570,TEXT($B$1,"yyyy/mm/dd")),"")</f>
        <v>79.020200000000003</v>
      </c>
      <c r="O570" t="str">
        <f>IFERROR([1]!fa_apturndays($A570,TEXT($B$1,"yyyy/mm/dd")),"")</f>
        <v>Fetch...</v>
      </c>
      <c r="P570">
        <f>IFERROR([1]!s_fa_invturndays($A570,TEXT($B$1,"yyyy/mm/dd")),"")</f>
        <v>71.296999999999997</v>
      </c>
    </row>
    <row r="571" spans="1:16">
      <c r="A571" t="s">
        <v>584</v>
      </c>
      <c r="B571">
        <f>IFERROR([1]!s_stm07_is($A571,"W70156729",TEXT($B$1,"yyyy/mm/dd"),1),"")</f>
        <v>4494628277.29</v>
      </c>
      <c r="C571">
        <f>IFERROR([1]!s_stm07_is($A571,"W75682424",TEXT($B$1,"yyyy/mm/dd"),1),"")</f>
        <v>3527943271.48</v>
      </c>
      <c r="D571">
        <f>IFERROR([1]!s_stm07_is($A571,"W76031679",TEXT($B$1,"yyyy/mm/dd"),1),"")</f>
        <v>418312399.70999998</v>
      </c>
      <c r="E571">
        <f>IFERROR([1]!s_stm07_is($A571,"W70752487",TEXT($B$1,"yyyy/mm/dd"),1),"")</f>
        <v>251606662.91999999</v>
      </c>
      <c r="F571">
        <f>IFERROR([1]!s_stm07_is_103($A571,TEXT($B$1,"yyyy/mm/dd"),1),"")</f>
        <v>168177456.75999999</v>
      </c>
      <c r="G571">
        <f>IFERROR([1]!s_stm07_is_104($A571,TEXT($B$1,"yyyy/mm/dd"),1),"")</f>
        <v>64971103.009999998</v>
      </c>
      <c r="H571">
        <f>IFERROR([1]!s_stm07_is_105($A571,TEXT($B$1,"yyyy/mm/dd"),1),"")</f>
        <v>5546752.6600000001</v>
      </c>
      <c r="I571">
        <f>IFERROR([1]!s_stm07_is($A571,"W72946623",TEXT($B$1,"yyyy/mm/dd"),1),"")</f>
        <v>-170137163.93000001</v>
      </c>
      <c r="J571">
        <f>IFERROR([1]!s_stm07_is($A571,"W30028333",TEXT($B$1,"yyyy/mm/dd"),1),"")</f>
        <v>-211652620.80000001</v>
      </c>
      <c r="K571">
        <f>IFERROR([1]!s_stm07_cs($A571,"W77130581",TEXT($B$1,"yyyy/mm/dd"),1),"")</f>
        <v>198564262.72999999</v>
      </c>
      <c r="L571">
        <f>IFERROR([1]!s_stm07_cs($A571,"W77745895",TEXT($B$1,"yyyy/mm/dd"),1),"")</f>
        <v>253136399.80000001</v>
      </c>
      <c r="M571">
        <f>IFERROR([1]!S_FA_EPS_basic2($A571,$B$1,"Cur=CNY"),"")</f>
        <v>-0.22</v>
      </c>
      <c r="N571">
        <f>IFERROR([1]!s_fa_arturndays($A571,TEXT($B$1,"yyyy/mm/dd")),"")</f>
        <v>44.845799999999997</v>
      </c>
      <c r="O571" t="str">
        <f>IFERROR([1]!fa_apturndays($A571,TEXT($B$1,"yyyy/mm/dd")),"")</f>
        <v>Fetch...</v>
      </c>
      <c r="P571">
        <f>IFERROR([1]!s_fa_invturndays($A571,TEXT($B$1,"yyyy/mm/dd")),"")</f>
        <v>301.15440000000001</v>
      </c>
    </row>
    <row r="572" spans="1:16">
      <c r="A572" t="s">
        <v>585</v>
      </c>
      <c r="B572">
        <f>IFERROR([1]!s_stm07_is($A572,"W70156729",TEXT($B$1,"yyyy/mm/dd"),1),"")</f>
        <v>11572840773</v>
      </c>
      <c r="C572">
        <f>IFERROR([1]!s_stm07_is($A572,"W75682424",TEXT($B$1,"yyyy/mm/dd"),1),"")</f>
        <v>10327928319.76</v>
      </c>
      <c r="D572">
        <f>IFERROR([1]!s_stm07_is($A572,"W76031679",TEXT($B$1,"yyyy/mm/dd"),1),"")</f>
        <v>78282566.230000004</v>
      </c>
      <c r="E572">
        <f>IFERROR([1]!s_stm07_is($A572,"W70752487",TEXT($B$1,"yyyy/mm/dd"),1),"")</f>
        <v>289998372.73000002</v>
      </c>
      <c r="F572">
        <f>IFERROR([1]!s_stm07_is_103($A572,TEXT($B$1,"yyyy/mm/dd"),1),"")</f>
        <v>465356851.82999998</v>
      </c>
      <c r="G572">
        <f>IFERROR([1]!s_stm07_is_104($A572,TEXT($B$1,"yyyy/mm/dd"),1),"")</f>
        <v>79310127.640000001</v>
      </c>
      <c r="H572">
        <f>IFERROR([1]!s_stm07_is_105($A572,TEXT($B$1,"yyyy/mm/dd"),1),"")</f>
        <v>21235990.710000001</v>
      </c>
      <c r="I572">
        <f>IFERROR([1]!s_stm07_is($A572,"W72946623",TEXT($B$1,"yyyy/mm/dd"),1),"")</f>
        <v>244040121.86000001</v>
      </c>
      <c r="J572">
        <f>IFERROR([1]!s_stm07_is($A572,"W30028333",TEXT($B$1,"yyyy/mm/dd"),1),"")</f>
        <v>203595367.81</v>
      </c>
      <c r="K572">
        <f>IFERROR([1]!s_stm07_cs($A572,"W77130581",TEXT($B$1,"yyyy/mm/dd"),1),"")</f>
        <v>799336503.33000004</v>
      </c>
      <c r="L572">
        <f>IFERROR([1]!s_stm07_cs($A572,"W77745895",TEXT($B$1,"yyyy/mm/dd"),1),"")</f>
        <v>764090119.28999996</v>
      </c>
      <c r="M572">
        <f>IFERROR([1]!S_FA_EPS_basic2($A572,$B$1,"Cur=CNY"),"")</f>
        <v>0.08</v>
      </c>
      <c r="N572">
        <f>IFERROR([1]!s_fa_arturndays($A572,TEXT($B$1,"yyyy/mm/dd")),"")</f>
        <v>115.6515</v>
      </c>
      <c r="O572" t="str">
        <f>IFERROR([1]!fa_apturndays($A572,TEXT($B$1,"yyyy/mm/dd")),"")</f>
        <v>Fetch...</v>
      </c>
      <c r="P572">
        <f>IFERROR([1]!s_fa_invturndays($A572,TEXT($B$1,"yyyy/mm/dd")),"")</f>
        <v>50.149099999999997</v>
      </c>
    </row>
    <row r="573" spans="1:16">
      <c r="A573" t="s">
        <v>586</v>
      </c>
      <c r="B573">
        <f>IFERROR([1]!s_stm07_is($A573,"W70156729",TEXT($B$1,"yyyy/mm/dd"),1),"")</f>
        <v>1988863118.72</v>
      </c>
      <c r="C573">
        <f>IFERROR([1]!s_stm07_is($A573,"W75682424",TEXT($B$1,"yyyy/mm/dd"),1),"")</f>
        <v>1330470842.28</v>
      </c>
      <c r="D573">
        <f>IFERROR([1]!s_stm07_is($A573,"W76031679",TEXT($B$1,"yyyy/mm/dd"),1),"")</f>
        <v>228202071.43000001</v>
      </c>
      <c r="E573">
        <f>IFERROR([1]!s_stm07_is($A573,"W70752487",TEXT($B$1,"yyyy/mm/dd"),1),"")</f>
        <v>153847154.53999999</v>
      </c>
      <c r="F573">
        <f>IFERROR([1]!s_stm07_is_103($A573,TEXT($B$1,"yyyy/mm/dd"),1),"")</f>
        <v>257421031.78</v>
      </c>
      <c r="G573">
        <f>IFERROR([1]!s_stm07_is_104($A573,TEXT($B$1,"yyyy/mm/dd"),1),"")</f>
        <v>6157554.0199999996</v>
      </c>
      <c r="H573">
        <f>IFERROR([1]!s_stm07_is_105($A573,TEXT($B$1,"yyyy/mm/dd"),1),"")</f>
        <v>31396064.25</v>
      </c>
      <c r="I573">
        <f>IFERROR([1]!s_stm07_is($A573,"W72946623",TEXT($B$1,"yyyy/mm/dd"),1),"")</f>
        <v>-6094700.46</v>
      </c>
      <c r="J573">
        <f>IFERROR([1]!s_stm07_is($A573,"W30028333",TEXT($B$1,"yyyy/mm/dd"),1),"")</f>
        <v>-32309407.350000001</v>
      </c>
      <c r="K573">
        <f>IFERROR([1]!s_stm07_cs($A573,"W77130581",TEXT($B$1,"yyyy/mm/dd"),1),"")</f>
        <v>157297786.87</v>
      </c>
      <c r="L573">
        <f>IFERROR([1]!s_stm07_cs($A573,"W77745895",TEXT($B$1,"yyyy/mm/dd"),1),"")</f>
        <v>191260068.63999999</v>
      </c>
      <c r="M573">
        <f>IFERROR([1]!S_FA_EPS_basic2($A573,$B$1,"Cur=CNY"),"")</f>
        <v>-0.02</v>
      </c>
      <c r="N573">
        <f>IFERROR([1]!s_fa_arturndays($A573,TEXT($B$1,"yyyy/mm/dd")),"")</f>
        <v>271.78019999999998</v>
      </c>
      <c r="O573" t="str">
        <f>IFERROR([1]!fa_apturndays($A573,TEXT($B$1,"yyyy/mm/dd")),"")</f>
        <v>Fetch...</v>
      </c>
      <c r="P573">
        <f>IFERROR([1]!s_fa_invturndays($A573,TEXT($B$1,"yyyy/mm/dd")),"")</f>
        <v>143.7929</v>
      </c>
    </row>
    <row r="574" spans="1:16">
      <c r="A574" t="s">
        <v>587</v>
      </c>
      <c r="B574">
        <f>IFERROR([1]!s_stm07_is($A574,"W70156729",TEXT($B$1,"yyyy/mm/dd"),1),"")</f>
        <v>5483697832.7299995</v>
      </c>
      <c r="C574">
        <f>IFERROR([1]!s_stm07_is($A574,"W75682424",TEXT($B$1,"yyyy/mm/dd"),1),"")</f>
        <v>4335357304.5699997</v>
      </c>
      <c r="D574">
        <f>IFERROR([1]!s_stm07_is($A574,"W76031679",TEXT($B$1,"yyyy/mm/dd"),1),"")</f>
        <v>43040654.710000001</v>
      </c>
      <c r="E574">
        <f>IFERROR([1]!s_stm07_is($A574,"W70752487",TEXT($B$1,"yyyy/mm/dd"),1),"")</f>
        <v>347200471.10000002</v>
      </c>
      <c r="F574">
        <f>IFERROR([1]!s_stm07_is_103($A574,TEXT($B$1,"yyyy/mm/dd"),1),"")</f>
        <v>220277732.09999999</v>
      </c>
      <c r="G574">
        <f>IFERROR([1]!s_stm07_is_104($A574,TEXT($B$1,"yyyy/mm/dd"),1),"")</f>
        <v>20344051.460000001</v>
      </c>
      <c r="H574">
        <f>IFERROR([1]!s_stm07_is_105($A574,TEXT($B$1,"yyyy/mm/dd"),1),"")</f>
        <v>7663801.0099999998</v>
      </c>
      <c r="I574">
        <f>IFERROR([1]!s_stm07_is($A574,"W72946623",TEXT($B$1,"yyyy/mm/dd"),1),"")</f>
        <v>551493835.38999999</v>
      </c>
      <c r="J574">
        <f>IFERROR([1]!s_stm07_is($A574,"W30028333",TEXT($B$1,"yyyy/mm/dd"),1),"")</f>
        <v>503229934.67000002</v>
      </c>
      <c r="K574">
        <f>IFERROR([1]!s_stm07_cs($A574,"W77130581",TEXT($B$1,"yyyy/mm/dd"),1),"")</f>
        <v>781443725.19000006</v>
      </c>
      <c r="L574">
        <f>IFERROR([1]!s_stm07_cs($A574,"W77745895",TEXT($B$1,"yyyy/mm/dd"),1),"")</f>
        <v>408061806.11000001</v>
      </c>
      <c r="M574">
        <f>IFERROR([1]!S_FA_EPS_basic2($A574,$B$1,"Cur=CNY"),"")</f>
        <v>0.89</v>
      </c>
      <c r="N574">
        <f>IFERROR([1]!s_fa_arturndays($A574,TEXT($B$1,"yyyy/mm/dd")),"")</f>
        <v>91.442499999999995</v>
      </c>
      <c r="O574" t="str">
        <f>IFERROR([1]!fa_apturndays($A574,TEXT($B$1,"yyyy/mm/dd")),"")</f>
        <v>Fetch...</v>
      </c>
      <c r="P574">
        <f>IFERROR([1]!s_fa_invturndays($A574,TEXT($B$1,"yyyy/mm/dd")),"")</f>
        <v>84.238100000000003</v>
      </c>
    </row>
    <row r="575" spans="1:16">
      <c r="A575" t="s">
        <v>588</v>
      </c>
      <c r="B575">
        <f>IFERROR([1]!s_stm07_is($A575,"W70156729",TEXT($B$1,"yyyy/mm/dd"),1),"")</f>
        <v>955098491.12</v>
      </c>
      <c r="C575">
        <f>IFERROR([1]!s_stm07_is($A575,"W75682424",TEXT($B$1,"yyyy/mm/dd"),1),"")</f>
        <v>435608209.07999998</v>
      </c>
      <c r="D575">
        <f>IFERROR([1]!s_stm07_is($A575,"W76031679",TEXT($B$1,"yyyy/mm/dd"),1),"")</f>
        <v>71901644.650000006</v>
      </c>
      <c r="E575">
        <f>IFERROR([1]!s_stm07_is($A575,"W70752487",TEXT($B$1,"yyyy/mm/dd"),1),"")</f>
        <v>179901696.97999999</v>
      </c>
      <c r="F575">
        <f>IFERROR([1]!s_stm07_is_103($A575,TEXT($B$1,"yyyy/mm/dd"),1),"")</f>
        <v>155989928.84999999</v>
      </c>
      <c r="G575">
        <f>IFERROR([1]!s_stm07_is_104($A575,TEXT($B$1,"yyyy/mm/dd"),1),"")</f>
        <v>9903889.9600000009</v>
      </c>
      <c r="H575">
        <f>IFERROR([1]!s_stm07_is_105($A575,TEXT($B$1,"yyyy/mm/dd"),1),"")</f>
        <v>1668318.7</v>
      </c>
      <c r="I575">
        <f>IFERROR([1]!s_stm07_is($A575,"W72946623",TEXT($B$1,"yyyy/mm/dd"),1),"")</f>
        <v>30762418.300000001</v>
      </c>
      <c r="J575">
        <f>IFERROR([1]!s_stm07_is($A575,"W30028333",TEXT($B$1,"yyyy/mm/dd"),1),"")</f>
        <v>28306788.870000001</v>
      </c>
      <c r="K575">
        <f>IFERROR([1]!s_stm07_cs($A575,"W77130581",TEXT($B$1,"yyyy/mm/dd"),1),"")</f>
        <v>22934401.82</v>
      </c>
      <c r="L575">
        <f>IFERROR([1]!s_stm07_cs($A575,"W77745895",TEXT($B$1,"yyyy/mm/dd"),1),"")</f>
        <v>210038470.43000001</v>
      </c>
      <c r="M575">
        <f>IFERROR([1]!S_FA_EPS_basic2($A575,$B$1,"Cur=CNY"),"")</f>
        <v>4.99E-2</v>
      </c>
      <c r="N575">
        <f>IFERROR([1]!s_fa_arturndays($A575,TEXT($B$1,"yyyy/mm/dd")),"")</f>
        <v>409.09089999999998</v>
      </c>
      <c r="O575" t="str">
        <f>IFERROR([1]!fa_apturndays($A575,TEXT($B$1,"yyyy/mm/dd")),"")</f>
        <v>Fetch...</v>
      </c>
      <c r="P575">
        <f>IFERROR([1]!s_fa_invturndays($A575,TEXT($B$1,"yyyy/mm/dd")),"")</f>
        <v>441.0684</v>
      </c>
    </row>
    <row r="576" spans="1:16">
      <c r="A576" t="s">
        <v>589</v>
      </c>
      <c r="B576">
        <f>IFERROR([1]!s_stm07_is($A576,"W70156729",TEXT($B$1,"yyyy/mm/dd"),1),"")</f>
        <v>3400885319.71</v>
      </c>
      <c r="C576">
        <f>IFERROR([1]!s_stm07_is($A576,"W75682424",TEXT($B$1,"yyyy/mm/dd"),1),"")</f>
        <v>3013752473.4299998</v>
      </c>
      <c r="D576">
        <f>IFERROR([1]!s_stm07_is($A576,"W76031679",TEXT($B$1,"yyyy/mm/dd"),1),"")</f>
        <v>27346919.050000001</v>
      </c>
      <c r="E576">
        <f>IFERROR([1]!s_stm07_is($A576,"W70752487",TEXT($B$1,"yyyy/mm/dd"),1),"")</f>
        <v>150831438.08000001</v>
      </c>
      <c r="F576">
        <f>IFERROR([1]!s_stm07_is_103($A576,TEXT($B$1,"yyyy/mm/dd"),1),"")</f>
        <v>163631770.16</v>
      </c>
      <c r="G576">
        <f>IFERROR([1]!s_stm07_is_104($A576,TEXT($B$1,"yyyy/mm/dd"),1),"")</f>
        <v>32311015.48</v>
      </c>
      <c r="H576">
        <f>IFERROR([1]!s_stm07_is_105($A576,TEXT($B$1,"yyyy/mm/dd"),1),"")</f>
        <v>5247048.1900000004</v>
      </c>
      <c r="I576">
        <f>IFERROR([1]!s_stm07_is($A576,"W72946623",TEXT($B$1,"yyyy/mm/dd"),1),"")</f>
        <v>99640802</v>
      </c>
      <c r="J576">
        <f>IFERROR([1]!s_stm07_is($A576,"W30028333",TEXT($B$1,"yyyy/mm/dd"),1),"")</f>
        <v>114650106.22</v>
      </c>
      <c r="K576">
        <f>IFERROR([1]!s_stm07_cs($A576,"W77130581",TEXT($B$1,"yyyy/mm/dd"),1),"")</f>
        <v>559853282.27999997</v>
      </c>
      <c r="L576">
        <f>IFERROR([1]!s_stm07_cs($A576,"W77745895",TEXT($B$1,"yyyy/mm/dd"),1),"")</f>
        <v>150724867.84999999</v>
      </c>
      <c r="M576">
        <f>IFERROR([1]!S_FA_EPS_basic2($A576,$B$1,"Cur=CNY"),"")</f>
        <v>0.12</v>
      </c>
      <c r="N576">
        <f>IFERROR([1]!s_fa_arturndays($A576,TEXT($B$1,"yyyy/mm/dd")),"")</f>
        <v>93.4191</v>
      </c>
      <c r="O576" t="str">
        <f>IFERROR([1]!fa_apturndays($A576,TEXT($B$1,"yyyy/mm/dd")),"")</f>
        <v>Fetch...</v>
      </c>
      <c r="P576">
        <f>IFERROR([1]!s_fa_invturndays($A576,TEXT($B$1,"yyyy/mm/dd")),"")</f>
        <v>82.5745</v>
      </c>
    </row>
    <row r="577" spans="1:16">
      <c r="A577" t="s">
        <v>590</v>
      </c>
      <c r="B577">
        <f>IFERROR([1]!s_stm07_is($A577,"W70156729",TEXT($B$1,"yyyy/mm/dd"),1),"")</f>
        <v>1744282609.6900001</v>
      </c>
      <c r="C577">
        <f>IFERROR([1]!s_stm07_is($A577,"W75682424",TEXT($B$1,"yyyy/mm/dd"),1),"")</f>
        <v>898971812.38</v>
      </c>
      <c r="D577">
        <f>IFERROR([1]!s_stm07_is($A577,"W76031679",TEXT($B$1,"yyyy/mm/dd"),1),"")</f>
        <v>122980672.67</v>
      </c>
      <c r="E577">
        <f>IFERROR([1]!s_stm07_is($A577,"W70752487",TEXT($B$1,"yyyy/mm/dd"),1),"")</f>
        <v>175323140.66999999</v>
      </c>
      <c r="F577">
        <f>IFERROR([1]!s_stm07_is_103($A577,TEXT($B$1,"yyyy/mm/dd"),1),"")</f>
        <v>152623903.24000001</v>
      </c>
      <c r="G577">
        <f>IFERROR([1]!s_stm07_is_104($A577,TEXT($B$1,"yyyy/mm/dd"),1),"")</f>
        <v>3406867.55</v>
      </c>
      <c r="H577">
        <f>IFERROR([1]!s_stm07_is_105($A577,TEXT($B$1,"yyyy/mm/dd"),1),"")</f>
        <v>1918881.77</v>
      </c>
      <c r="I577">
        <f>IFERROR([1]!s_stm07_is($A577,"W72946623",TEXT($B$1,"yyyy/mm/dd"),1),"")</f>
        <v>497554557.30000001</v>
      </c>
      <c r="J577">
        <f>IFERROR([1]!s_stm07_is($A577,"W30028333",TEXT($B$1,"yyyy/mm/dd"),1),"")</f>
        <v>417633880.79000002</v>
      </c>
      <c r="K577">
        <f>IFERROR([1]!s_stm07_cs($A577,"W77130581",TEXT($B$1,"yyyy/mm/dd"),1),"")</f>
        <v>366854683.35000002</v>
      </c>
      <c r="L577">
        <f>IFERROR([1]!s_stm07_cs($A577,"W77745895",TEXT($B$1,"yyyy/mm/dd"),1),"")</f>
        <v>44244448.840000004</v>
      </c>
      <c r="M577">
        <f>IFERROR([1]!S_FA_EPS_basic2($A577,$B$1,"Cur=CNY"),"")</f>
        <v>0.62</v>
      </c>
      <c r="N577">
        <f>IFERROR([1]!s_fa_arturndays($A577,TEXT($B$1,"yyyy/mm/dd")),"")</f>
        <v>20.456099999999999</v>
      </c>
      <c r="O577" t="str">
        <f>IFERROR([1]!fa_apturndays($A577,TEXT($B$1,"yyyy/mm/dd")),"")</f>
        <v>Fetch...</v>
      </c>
      <c r="P577">
        <f>IFERROR([1]!s_fa_invturndays($A577,TEXT($B$1,"yyyy/mm/dd")),"")</f>
        <v>6.9177999999999997</v>
      </c>
    </row>
    <row r="578" spans="1:16">
      <c r="A578" t="s">
        <v>591</v>
      </c>
      <c r="B578">
        <f>IFERROR([1]!s_stm07_is($A578,"W70156729",TEXT($B$1,"yyyy/mm/dd"),1),"")</f>
        <v>18818693525.669998</v>
      </c>
      <c r="C578">
        <f>IFERROR([1]!s_stm07_is($A578,"W75682424",TEXT($B$1,"yyyy/mm/dd"),1),"")</f>
        <v>15251673632.049999</v>
      </c>
      <c r="D578">
        <f>IFERROR([1]!s_stm07_is($A578,"W76031679",TEXT($B$1,"yyyy/mm/dd"),1),"")</f>
        <v>141459725.25</v>
      </c>
      <c r="E578">
        <f>IFERROR([1]!s_stm07_is($A578,"W70752487",TEXT($B$1,"yyyy/mm/dd"),1),"")</f>
        <v>953330724.89999998</v>
      </c>
      <c r="F578">
        <f>IFERROR([1]!s_stm07_is_103($A578,TEXT($B$1,"yyyy/mm/dd"),1),"")</f>
        <v>1393677376.6700001</v>
      </c>
      <c r="G578">
        <f>IFERROR([1]!s_stm07_is_104($A578,TEXT($B$1,"yyyy/mm/dd"),1),"")</f>
        <v>165704944.84999999</v>
      </c>
      <c r="H578">
        <f>IFERROR([1]!s_stm07_is_105($A578,TEXT($B$1,"yyyy/mm/dd"),1),"")</f>
        <v>32402079.649999999</v>
      </c>
      <c r="I578">
        <f>IFERROR([1]!s_stm07_is($A578,"W72946623",TEXT($B$1,"yyyy/mm/dd"),1),"")</f>
        <v>750543000.70000005</v>
      </c>
      <c r="J578">
        <f>IFERROR([1]!s_stm07_is($A578,"W30028333",TEXT($B$1,"yyyy/mm/dd"),1),"")</f>
        <v>597666576.59000003</v>
      </c>
      <c r="K578">
        <f>IFERROR([1]!s_stm07_cs($A578,"W77130581",TEXT($B$1,"yyyy/mm/dd"),1),"")</f>
        <v>561735479.83000004</v>
      </c>
      <c r="L578">
        <f>IFERROR([1]!s_stm07_cs($A578,"W77745895",TEXT($B$1,"yyyy/mm/dd"),1),"")</f>
        <v>2827305548.0500002</v>
      </c>
      <c r="M578">
        <f>IFERROR([1]!S_FA_EPS_basic2($A578,$B$1,"Cur=CNY"),"")</f>
        <v>0.44</v>
      </c>
      <c r="N578">
        <f>IFERROR([1]!s_fa_arturndays($A578,TEXT($B$1,"yyyy/mm/dd")),"")</f>
        <v>73.402000000000001</v>
      </c>
      <c r="O578" t="str">
        <f>IFERROR([1]!fa_apturndays($A578,TEXT($B$1,"yyyy/mm/dd")),"")</f>
        <v>Fetch...</v>
      </c>
      <c r="P578">
        <f>IFERROR([1]!s_fa_invturndays($A578,TEXT($B$1,"yyyy/mm/dd")),"")</f>
        <v>98.9392</v>
      </c>
    </row>
    <row r="579" spans="1:16">
      <c r="A579" t="s">
        <v>592</v>
      </c>
      <c r="B579">
        <f>IFERROR([1]!s_stm07_is($A579,"W70156729",TEXT($B$1,"yyyy/mm/dd"),1),"")</f>
        <v>3398458452.8299999</v>
      </c>
      <c r="C579">
        <f>IFERROR([1]!s_stm07_is($A579,"W75682424",TEXT($B$1,"yyyy/mm/dd"),1),"")</f>
        <v>1995662711.3299999</v>
      </c>
      <c r="D579">
        <f>IFERROR([1]!s_stm07_is($A579,"W76031679",TEXT($B$1,"yyyy/mm/dd"),1),"")</f>
        <v>503814789.01999998</v>
      </c>
      <c r="E579">
        <f>IFERROR([1]!s_stm07_is($A579,"W70752487",TEXT($B$1,"yyyy/mm/dd"),1),"")</f>
        <v>204913175.43000001</v>
      </c>
      <c r="F579">
        <f>IFERROR([1]!s_stm07_is_103($A579,TEXT($B$1,"yyyy/mm/dd"),1),"")</f>
        <v>253019299.62</v>
      </c>
      <c r="G579">
        <f>IFERROR([1]!s_stm07_is_104($A579,TEXT($B$1,"yyyy/mm/dd"),1),"")</f>
        <v>35158001.140000001</v>
      </c>
      <c r="H579">
        <f>IFERROR([1]!s_stm07_is_105($A579,TEXT($B$1,"yyyy/mm/dd"),1),"")</f>
        <v>2489936.5099999998</v>
      </c>
      <c r="I579">
        <f>IFERROR([1]!s_stm07_is($A579,"W72946623",TEXT($B$1,"yyyy/mm/dd"),1),"")</f>
        <v>470690631.31999999</v>
      </c>
      <c r="J579">
        <f>IFERROR([1]!s_stm07_is($A579,"W30028333",TEXT($B$1,"yyyy/mm/dd"),1),"")</f>
        <v>400513483.63999999</v>
      </c>
      <c r="K579">
        <f>IFERROR([1]!s_stm07_cs($A579,"W77130581",TEXT($B$1,"yyyy/mm/dd"),1),"")</f>
        <v>297533618.39999998</v>
      </c>
      <c r="L579">
        <f>IFERROR([1]!s_stm07_cs($A579,"W77745895",TEXT($B$1,"yyyy/mm/dd"),1),"")</f>
        <v>176103686.05000001</v>
      </c>
      <c r="M579">
        <f>IFERROR([1]!S_FA_EPS_basic2($A579,$B$1,"Cur=CNY"),"")</f>
        <v>0.88149999999999995</v>
      </c>
      <c r="N579">
        <f>IFERROR([1]!s_fa_arturndays($A579,TEXT($B$1,"yyyy/mm/dd")),"")</f>
        <v>107.16840000000001</v>
      </c>
      <c r="O579" t="str">
        <f>IFERROR([1]!fa_apturndays($A579,TEXT($B$1,"yyyy/mm/dd")),"")</f>
        <v>Fetch...</v>
      </c>
      <c r="P579">
        <f>IFERROR([1]!s_fa_invturndays($A579,TEXT($B$1,"yyyy/mm/dd")),"")</f>
        <v>90.347800000000007</v>
      </c>
    </row>
    <row r="580" spans="1:16">
      <c r="A580" t="s">
        <v>593</v>
      </c>
      <c r="B580">
        <f>IFERROR([1]!s_stm07_is($A580,"W70156729",TEXT($B$1,"yyyy/mm/dd"),1),"")</f>
        <v>8958435384.9599991</v>
      </c>
      <c r="C580">
        <f>IFERROR([1]!s_stm07_is($A580,"W75682424",TEXT($B$1,"yyyy/mm/dd"),1),"")</f>
        <v>8255694581.9700003</v>
      </c>
      <c r="D580">
        <f>IFERROR([1]!s_stm07_is($A580,"W76031679",TEXT($B$1,"yyyy/mm/dd"),1),"")</f>
        <v>2386453403.3800001</v>
      </c>
      <c r="E580">
        <f>IFERROR([1]!s_stm07_is($A580,"W70752487",TEXT($B$1,"yyyy/mm/dd"),1),"")</f>
        <v>413645708.87</v>
      </c>
      <c r="F580">
        <f>IFERROR([1]!s_stm07_is_103($A580,TEXT($B$1,"yyyy/mm/dd"),1),"")</f>
        <v>932298240.65999997</v>
      </c>
      <c r="G580">
        <f>IFERROR([1]!s_stm07_is_104($A580,TEXT($B$1,"yyyy/mm/dd"),1),"")</f>
        <v>331042166.51999998</v>
      </c>
      <c r="H580">
        <f>IFERROR([1]!s_stm07_is_105($A580,TEXT($B$1,"yyyy/mm/dd"),1),"")</f>
        <v>24654559.370000001</v>
      </c>
      <c r="I580">
        <f>IFERROR([1]!s_stm07_is($A580,"W72946623",TEXT($B$1,"yyyy/mm/dd"),1),"")</f>
        <v>-17492662390.75</v>
      </c>
      <c r="J580">
        <f>IFERROR([1]!s_stm07_is($A580,"W30028333",TEXT($B$1,"yyyy/mm/dd"),1),"")</f>
        <v>-14723152851.99</v>
      </c>
      <c r="K580">
        <f>IFERROR([1]!s_stm07_cs($A580,"W77130581",TEXT($B$1,"yyyy/mm/dd"),1),"")</f>
        <v>5167319683.6899996</v>
      </c>
      <c r="L580">
        <f>IFERROR([1]!s_stm07_cs($A580,"W77745895",TEXT($B$1,"yyyy/mm/dd"),1),"")</f>
        <v>619186865.20000005</v>
      </c>
      <c r="M580">
        <f>IFERROR([1]!S_FA_EPS_basic2($A580,$B$1,"Cur=CNY"),"")</f>
        <v>-6.1505999999999998</v>
      </c>
      <c r="N580">
        <f>IFERROR([1]!s_fa_arturndays($A580,TEXT($B$1,"yyyy/mm/dd")),"")</f>
        <v>551.89329999999995</v>
      </c>
      <c r="O580" t="str">
        <f>IFERROR([1]!fa_apturndays($A580,TEXT($B$1,"yyyy/mm/dd")),"")</f>
        <v>Fetch...</v>
      </c>
      <c r="P580">
        <f>IFERROR([1]!s_fa_invturndays($A580,TEXT($B$1,"yyyy/mm/dd")),"")</f>
        <v>593.56970000000001</v>
      </c>
    </row>
    <row r="581" spans="1:16">
      <c r="A581" t="s">
        <v>594</v>
      </c>
      <c r="B581">
        <f>IFERROR([1]!s_stm07_is($A581,"W70156729",TEXT($B$1,"yyyy/mm/dd"),1),"")</f>
        <v>45104844200.129997</v>
      </c>
      <c r="C581">
        <f>IFERROR([1]!s_stm07_is($A581,"W75682424",TEXT($B$1,"yyyy/mm/dd"),1),"")</f>
        <v>32044938847.240002</v>
      </c>
      <c r="D581">
        <f>IFERROR([1]!s_stm07_is($A581,"W76031679",TEXT($B$1,"yyyy/mm/dd"),1),"")</f>
        <v>1535569362.25</v>
      </c>
      <c r="E581">
        <f>IFERROR([1]!s_stm07_is($A581,"W70752487",TEXT($B$1,"yyyy/mm/dd"),1),"")</f>
        <v>1825083023.76</v>
      </c>
      <c r="F581">
        <f>IFERROR([1]!s_stm07_is_103($A581,TEXT($B$1,"yyyy/mm/dd"),1),"")</f>
        <v>4255773574.6700001</v>
      </c>
      <c r="G581">
        <f>IFERROR([1]!s_stm07_is_104($A581,TEXT($B$1,"yyyy/mm/dd"),1),"")</f>
        <v>170396213.43000001</v>
      </c>
      <c r="H581">
        <f>IFERROR([1]!s_stm07_is_105($A581,TEXT($B$1,"yyyy/mm/dd"),1),"")</f>
        <v>229526367.93000001</v>
      </c>
      <c r="I581">
        <f>IFERROR([1]!s_stm07_is($A581,"W72946623",TEXT($B$1,"yyyy/mm/dd"),1),"")</f>
        <v>5433395350.7700005</v>
      </c>
      <c r="J581">
        <f>IFERROR([1]!s_stm07_is($A581,"W30028333",TEXT($B$1,"yyyy/mm/dd"),1),"")</f>
        <v>5050002089.8900003</v>
      </c>
      <c r="K581">
        <f>IFERROR([1]!s_stm07_cs($A581,"W77130581",TEXT($B$1,"yyyy/mm/dd"),1),"")</f>
        <v>6681025417.1599998</v>
      </c>
      <c r="L581">
        <f>IFERROR([1]!s_stm07_cs($A581,"W77745895",TEXT($B$1,"yyyy/mm/dd"),1),"")</f>
        <v>3023932076.0599999</v>
      </c>
      <c r="M581">
        <f>IFERROR([1]!S_FA_EPS_basic2($A581,$B$1,"Cur=CNY"),"")</f>
        <v>1.87</v>
      </c>
      <c r="N581">
        <f>IFERROR([1]!s_fa_arturndays($A581,TEXT($B$1,"yyyy/mm/dd")),"")</f>
        <v>88.724599999999995</v>
      </c>
      <c r="O581" t="str">
        <f>IFERROR([1]!fa_apturndays($A581,TEXT($B$1,"yyyy/mm/dd")),"")</f>
        <v>Fetch...</v>
      </c>
      <c r="P581">
        <f>IFERROR([1]!s_fa_invturndays($A581,TEXT($B$1,"yyyy/mm/dd")),"")</f>
        <v>85.506600000000006</v>
      </c>
    </row>
    <row r="582" spans="1:16">
      <c r="A582" t="s">
        <v>595</v>
      </c>
      <c r="B582">
        <f>IFERROR([1]!s_stm07_is($A582,"W70156729",TEXT($B$1,"yyyy/mm/dd"),1),"")</f>
        <v>857899006.75999999</v>
      </c>
      <c r="C582">
        <f>IFERROR([1]!s_stm07_is($A582,"W75682424",TEXT($B$1,"yyyy/mm/dd"),1),"")</f>
        <v>556281815.94000006</v>
      </c>
      <c r="D582">
        <f>IFERROR([1]!s_stm07_is($A582,"W76031679",TEXT($B$1,"yyyy/mm/dd"),1),"")</f>
        <v>11104180.93</v>
      </c>
      <c r="E582">
        <f>IFERROR([1]!s_stm07_is($A582,"W70752487",TEXT($B$1,"yyyy/mm/dd"),1),"")</f>
        <v>47693010.270000003</v>
      </c>
      <c r="F582">
        <f>IFERROR([1]!s_stm07_is_103($A582,TEXT($B$1,"yyyy/mm/dd"),1),"")</f>
        <v>50130628.159999996</v>
      </c>
      <c r="G582">
        <f>IFERROR([1]!s_stm07_is_104($A582,TEXT($B$1,"yyyy/mm/dd"),1),"")</f>
        <v>959386.12</v>
      </c>
      <c r="H582">
        <f>IFERROR([1]!s_stm07_is_105($A582,TEXT($B$1,"yyyy/mm/dd"),1),"")</f>
        <v>11473188.48</v>
      </c>
      <c r="I582">
        <f>IFERROR([1]!s_stm07_is($A582,"W72946623",TEXT($B$1,"yyyy/mm/dd"),1),"")</f>
        <v>200652921.80000001</v>
      </c>
      <c r="J582">
        <f>IFERROR([1]!s_stm07_is($A582,"W30028333",TEXT($B$1,"yyyy/mm/dd"),1),"")</f>
        <v>177723769.66999999</v>
      </c>
      <c r="K582">
        <f>IFERROR([1]!s_stm07_cs($A582,"W77130581",TEXT($B$1,"yyyy/mm/dd"),1),"")</f>
        <v>99662193.780000001</v>
      </c>
      <c r="L582">
        <f>IFERROR([1]!s_stm07_cs($A582,"W77745895",TEXT($B$1,"yyyy/mm/dd"),1),"")</f>
        <v>80861160.030000001</v>
      </c>
      <c r="M582">
        <f>IFERROR([1]!S_FA_EPS_basic2($A582,$B$1,"Cur=CNY"),"")</f>
        <v>0.55000000000000004</v>
      </c>
      <c r="N582">
        <f>IFERROR([1]!s_fa_arturndays($A582,TEXT($B$1,"yyyy/mm/dd")),"")</f>
        <v>111.46550000000001</v>
      </c>
      <c r="O582" t="str">
        <f>IFERROR([1]!fa_apturndays($A582,TEXT($B$1,"yyyy/mm/dd")),"")</f>
        <v>Fetch...</v>
      </c>
      <c r="P582">
        <f>IFERROR([1]!s_fa_invturndays($A582,TEXT($B$1,"yyyy/mm/dd")),"")</f>
        <v>170.93209999999999</v>
      </c>
    </row>
    <row r="583" spans="1:16">
      <c r="A583" t="s">
        <v>596</v>
      </c>
      <c r="B583">
        <f>IFERROR([1]!s_stm07_is($A583,"W70156729",TEXT($B$1,"yyyy/mm/dd"),1),"")</f>
        <v>3179898428.8099999</v>
      </c>
      <c r="C583">
        <f>IFERROR([1]!s_stm07_is($A583,"W75682424",TEXT($B$1,"yyyy/mm/dd"),1),"")</f>
        <v>2087394798.7</v>
      </c>
      <c r="D583">
        <f>IFERROR([1]!s_stm07_is($A583,"W76031679",TEXT($B$1,"yyyy/mm/dd"),1),"")</f>
        <v>151118101.34</v>
      </c>
      <c r="E583">
        <f>IFERROR([1]!s_stm07_is($A583,"W70752487",TEXT($B$1,"yyyy/mm/dd"),1),"")</f>
        <v>235249789.81999999</v>
      </c>
      <c r="F583">
        <f>IFERROR([1]!s_stm07_is_103($A583,TEXT($B$1,"yyyy/mm/dd"),1),"")</f>
        <v>286790299.17000002</v>
      </c>
      <c r="G583">
        <f>IFERROR([1]!s_stm07_is_104($A583,TEXT($B$1,"yyyy/mm/dd"),1),"")</f>
        <v>3040452.08</v>
      </c>
      <c r="H583">
        <f>IFERROR([1]!s_stm07_is_105($A583,TEXT($B$1,"yyyy/mm/dd"),1),"")</f>
        <v>58463687.909999996</v>
      </c>
      <c r="I583">
        <f>IFERROR([1]!s_stm07_is($A583,"W72946623",TEXT($B$1,"yyyy/mm/dd"),1),"")</f>
        <v>490900830.00999999</v>
      </c>
      <c r="J583">
        <f>IFERROR([1]!s_stm07_is($A583,"W30028333",TEXT($B$1,"yyyy/mm/dd"),1),"")</f>
        <v>468814770.93000001</v>
      </c>
      <c r="K583">
        <f>IFERROR([1]!s_stm07_cs($A583,"W77130581",TEXT($B$1,"yyyy/mm/dd"),1),"")</f>
        <v>405586312.26999998</v>
      </c>
      <c r="L583">
        <f>IFERROR([1]!s_stm07_cs($A583,"W77745895",TEXT($B$1,"yyyy/mm/dd"),1),"")</f>
        <v>44539510.140000001</v>
      </c>
      <c r="M583">
        <f>IFERROR([1]!S_FA_EPS_basic2($A583,$B$1,"Cur=CNY"),"")</f>
        <v>0.83</v>
      </c>
      <c r="N583">
        <f>IFERROR([1]!s_fa_arturndays($A583,TEXT($B$1,"yyyy/mm/dd")),"")</f>
        <v>32.561500000000002</v>
      </c>
      <c r="O583" t="str">
        <f>IFERROR([1]!fa_apturndays($A583,TEXT($B$1,"yyyy/mm/dd")),"")</f>
        <v>Fetch...</v>
      </c>
      <c r="P583">
        <f>IFERROR([1]!s_fa_invturndays($A583,TEXT($B$1,"yyyy/mm/dd")),"")</f>
        <v>21.360800000000001</v>
      </c>
    </row>
    <row r="584" spans="1:16">
      <c r="A584" t="s">
        <v>597</v>
      </c>
      <c r="B584">
        <f>IFERROR([1]!s_stm07_is($A584,"W70156729",TEXT($B$1,"yyyy/mm/dd"),1),"")</f>
        <v>5585829073.6099997</v>
      </c>
      <c r="C584">
        <f>IFERROR([1]!s_stm07_is($A584,"W75682424",TEXT($B$1,"yyyy/mm/dd"),1),"")</f>
        <v>5164266652.0500002</v>
      </c>
      <c r="D584">
        <f>IFERROR([1]!s_stm07_is($A584,"W76031679",TEXT($B$1,"yyyy/mm/dd"),1),"")</f>
        <v>92516734.819999993</v>
      </c>
      <c r="E584">
        <f>IFERROR([1]!s_stm07_is($A584,"W70752487",TEXT($B$1,"yyyy/mm/dd"),1),"")</f>
        <v>133670655.23999999</v>
      </c>
      <c r="F584">
        <f>IFERROR([1]!s_stm07_is_103($A584,TEXT($B$1,"yyyy/mm/dd"),1),"")</f>
        <v>94454944.920000002</v>
      </c>
      <c r="G584">
        <f>IFERROR([1]!s_stm07_is_104($A584,TEXT($B$1,"yyyy/mm/dd"),1),"")</f>
        <v>62876221.460000001</v>
      </c>
      <c r="H584">
        <f>IFERROR([1]!s_stm07_is_105($A584,TEXT($B$1,"yyyy/mm/dd"),1),"")</f>
        <v>6484081.6299999999</v>
      </c>
      <c r="I584">
        <f>IFERROR([1]!s_stm07_is($A584,"W72946623",TEXT($B$1,"yyyy/mm/dd"),1),"")</f>
        <v>42328708.850000001</v>
      </c>
      <c r="J584">
        <f>IFERROR([1]!s_stm07_is($A584,"W30028333",TEXT($B$1,"yyyy/mm/dd"),1),"")</f>
        <v>26414289.5</v>
      </c>
      <c r="K584">
        <f>IFERROR([1]!s_stm07_cs($A584,"W77130581",TEXT($B$1,"yyyy/mm/dd"),1),"")</f>
        <v>8826265.2100000009</v>
      </c>
      <c r="L584">
        <f>IFERROR([1]!s_stm07_cs($A584,"W77745895",TEXT($B$1,"yyyy/mm/dd"),1),"")</f>
        <v>148958206.13999999</v>
      </c>
      <c r="M584">
        <f>IFERROR([1]!S_FA_EPS_basic2($A584,$B$1,"Cur=CNY"),"")</f>
        <v>0.02</v>
      </c>
      <c r="N584">
        <f>IFERROR([1]!s_fa_arturndays($A584,TEXT($B$1,"yyyy/mm/dd")),"")</f>
        <v>56.370699999999999</v>
      </c>
      <c r="O584" t="str">
        <f>IFERROR([1]!fa_apturndays($A584,TEXT($B$1,"yyyy/mm/dd")),"")</f>
        <v>Fetch...</v>
      </c>
      <c r="P584">
        <f>IFERROR([1]!s_fa_invturndays($A584,TEXT($B$1,"yyyy/mm/dd")),"")</f>
        <v>42.238599999999998</v>
      </c>
    </row>
    <row r="585" spans="1:16">
      <c r="A585" t="s">
        <v>598</v>
      </c>
      <c r="B585">
        <f>IFERROR([1]!s_stm07_is($A585,"W70156729",TEXT($B$1,"yyyy/mm/dd"),1),"")</f>
        <v>2828466281.3000002</v>
      </c>
      <c r="C585">
        <f>IFERROR([1]!s_stm07_is($A585,"W75682424",TEXT($B$1,"yyyy/mm/dd"),1),"")</f>
        <v>2166668025.5100002</v>
      </c>
      <c r="D585">
        <f>IFERROR([1]!s_stm07_is($A585,"W76031679",TEXT($B$1,"yyyy/mm/dd"),1),"")</f>
        <v>183976182.65000001</v>
      </c>
      <c r="E585">
        <f>IFERROR([1]!s_stm07_is($A585,"W70752487",TEXT($B$1,"yyyy/mm/dd"),1),"")</f>
        <v>168233996.11000001</v>
      </c>
      <c r="F585">
        <f>IFERROR([1]!s_stm07_is_103($A585,TEXT($B$1,"yyyy/mm/dd"),1),"")</f>
        <v>30219558.75</v>
      </c>
      <c r="G585">
        <f>IFERROR([1]!s_stm07_is_104($A585,TEXT($B$1,"yyyy/mm/dd"),1),"")</f>
        <v>61407806.619999997</v>
      </c>
      <c r="H585">
        <f>IFERROR([1]!s_stm07_is_105($A585,TEXT($B$1,"yyyy/mm/dd"),1),"")</f>
        <v>73867500.489999995</v>
      </c>
      <c r="I585">
        <f>IFERROR([1]!s_stm07_is($A585,"W72946623",TEXT($B$1,"yyyy/mm/dd"),1),"")</f>
        <v>336305178</v>
      </c>
      <c r="J585">
        <f>IFERROR([1]!s_stm07_is($A585,"W30028333",TEXT($B$1,"yyyy/mm/dd"),1),"")</f>
        <v>191136778.91</v>
      </c>
      <c r="K585">
        <f>IFERROR([1]!s_stm07_cs($A585,"W77130581",TEXT($B$1,"yyyy/mm/dd"),1),"")</f>
        <v>322000395.00999999</v>
      </c>
      <c r="L585">
        <f>IFERROR([1]!s_stm07_cs($A585,"W77745895",TEXT($B$1,"yyyy/mm/dd"),1),"")</f>
        <v>672793777.21000004</v>
      </c>
      <c r="M585">
        <f>IFERROR([1]!S_FA_EPS_basic2($A585,$B$1,"Cur=CNY"),"")</f>
        <v>0.1</v>
      </c>
      <c r="N585">
        <f>IFERROR([1]!s_fa_arturndays($A585,TEXT($B$1,"yyyy/mm/dd")),"")</f>
        <v>145.39580000000001</v>
      </c>
      <c r="O585" t="str">
        <f>IFERROR([1]!fa_apturndays($A585,TEXT($B$1,"yyyy/mm/dd")),"")</f>
        <v>Fetch...</v>
      </c>
      <c r="P585">
        <f>IFERROR([1]!s_fa_invturndays($A585,TEXT($B$1,"yyyy/mm/dd")),"")</f>
        <v>388.76889999999997</v>
      </c>
    </row>
    <row r="586" spans="1:16">
      <c r="A586" t="s">
        <v>599</v>
      </c>
      <c r="B586">
        <f>IFERROR([1]!s_stm07_is($A586,"W70156729",TEXT($B$1,"yyyy/mm/dd"),1),"")</f>
        <v>2457827653.48</v>
      </c>
      <c r="C586">
        <f>IFERROR([1]!s_stm07_is($A586,"W75682424",TEXT($B$1,"yyyy/mm/dd"),1),"")</f>
        <v>2152954991.54</v>
      </c>
      <c r="D586">
        <f>IFERROR([1]!s_stm07_is($A586,"W76031679",TEXT($B$1,"yyyy/mm/dd"),1),"")</f>
        <v>59425820.409999996</v>
      </c>
      <c r="E586">
        <f>IFERROR([1]!s_stm07_is($A586,"W70752487",TEXT($B$1,"yyyy/mm/dd"),1),"")</f>
        <v>260964716.75999999</v>
      </c>
      <c r="F586">
        <f>IFERROR([1]!s_stm07_is_103($A586,TEXT($B$1,"yyyy/mm/dd"),1),"")</f>
        <v>243598004.22999999</v>
      </c>
      <c r="G586">
        <f>IFERROR([1]!s_stm07_is_104($A586,TEXT($B$1,"yyyy/mm/dd"),1),"")</f>
        <v>26261687.199999999</v>
      </c>
      <c r="H586">
        <f>IFERROR([1]!s_stm07_is_105($A586,TEXT($B$1,"yyyy/mm/dd"),1),"")</f>
        <v>3995017.09</v>
      </c>
      <c r="I586">
        <f>IFERROR([1]!s_stm07_is($A586,"W72946623",TEXT($B$1,"yyyy/mm/dd"),1),"")</f>
        <v>-332134528.08999997</v>
      </c>
      <c r="J586">
        <f>IFERROR([1]!s_stm07_is($A586,"W30028333",TEXT($B$1,"yyyy/mm/dd"),1),"")</f>
        <v>-269639214.66000003</v>
      </c>
      <c r="K586">
        <f>IFERROR([1]!s_stm07_cs($A586,"W77130581",TEXT($B$1,"yyyy/mm/dd"),1),"")</f>
        <v>68471322.019999996</v>
      </c>
      <c r="L586">
        <f>IFERROR([1]!s_stm07_cs($A586,"W77745895",TEXT($B$1,"yyyy/mm/dd"),1),"")</f>
        <v>105111058.23999999</v>
      </c>
      <c r="M586">
        <f>IFERROR([1]!S_FA_EPS_basic2($A586,$B$1,"Cur=CNY"),"")</f>
        <v>-0.35</v>
      </c>
      <c r="N586">
        <f>IFERROR([1]!s_fa_arturndays($A586,TEXT($B$1,"yyyy/mm/dd")),"")</f>
        <v>92.440399999999997</v>
      </c>
      <c r="O586" t="str">
        <f>IFERROR([1]!fa_apturndays($A586,TEXT($B$1,"yyyy/mm/dd")),"")</f>
        <v>Fetch...</v>
      </c>
      <c r="P586">
        <f>IFERROR([1]!s_fa_invturndays($A586,TEXT($B$1,"yyyy/mm/dd")),"")</f>
        <v>117.7856</v>
      </c>
    </row>
    <row r="587" spans="1:16">
      <c r="A587" t="s">
        <v>600</v>
      </c>
      <c r="B587">
        <f>IFERROR([1]!s_stm07_is($A587,"W70156729",TEXT($B$1,"yyyy/mm/dd"),1),"")</f>
        <v>8909779803.9300003</v>
      </c>
      <c r="C587">
        <f>IFERROR([1]!s_stm07_is($A587,"W75682424",TEXT($B$1,"yyyy/mm/dd"),1),"")</f>
        <v>6879338079.6300001</v>
      </c>
      <c r="D587">
        <f>IFERROR([1]!s_stm07_is($A587,"W76031679",TEXT($B$1,"yyyy/mm/dd"),1),"")</f>
        <v>89557344.040000007</v>
      </c>
      <c r="E587">
        <f>IFERROR([1]!s_stm07_is($A587,"W70752487",TEXT($B$1,"yyyy/mm/dd"),1),"")</f>
        <v>431784903.38999999</v>
      </c>
      <c r="F587">
        <f>IFERROR([1]!s_stm07_is_103($A587,TEXT($B$1,"yyyy/mm/dd"),1),"")</f>
        <v>606218810.37</v>
      </c>
      <c r="G587">
        <f>IFERROR([1]!s_stm07_is_104($A587,TEXT($B$1,"yyyy/mm/dd"),1),"")</f>
        <v>74809723.959999993</v>
      </c>
      <c r="H587">
        <f>IFERROR([1]!s_stm07_is_105($A587,TEXT($B$1,"yyyy/mm/dd"),1),"")</f>
        <v>24219447.27</v>
      </c>
      <c r="I587">
        <f>IFERROR([1]!s_stm07_is($A587,"W72946623",TEXT($B$1,"yyyy/mm/dd"),1),"")</f>
        <v>852195705.42999995</v>
      </c>
      <c r="J587">
        <f>IFERROR([1]!s_stm07_is($A587,"W30028333",TEXT($B$1,"yyyy/mm/dd"),1),"")</f>
        <v>708686269.05999994</v>
      </c>
      <c r="K587">
        <f>IFERROR([1]!s_stm07_cs($A587,"W77130581",TEXT($B$1,"yyyy/mm/dd"),1),"")</f>
        <v>1689294218.1800001</v>
      </c>
      <c r="L587">
        <f>IFERROR([1]!s_stm07_cs($A587,"W77745895",TEXT($B$1,"yyyy/mm/dd"),1),"")</f>
        <v>1233592900.9100001</v>
      </c>
      <c r="M587">
        <f>IFERROR([1]!S_FA_EPS_basic2($A587,$B$1,"Cur=CNY"),"")</f>
        <v>0.74409999999999998</v>
      </c>
      <c r="N587">
        <f>IFERROR([1]!s_fa_arturndays($A587,TEXT($B$1,"yyyy/mm/dd")),"")</f>
        <v>95.210400000000007</v>
      </c>
      <c r="O587" t="str">
        <f>IFERROR([1]!fa_apturndays($A587,TEXT($B$1,"yyyy/mm/dd")),"")</f>
        <v>Fetch...</v>
      </c>
      <c r="P587">
        <f>IFERROR([1]!s_fa_invturndays($A587,TEXT($B$1,"yyyy/mm/dd")),"")</f>
        <v>73.379499999999993</v>
      </c>
    </row>
    <row r="588" spans="1:16">
      <c r="A588" t="s">
        <v>601</v>
      </c>
      <c r="B588">
        <f>IFERROR([1]!s_stm07_is($A588,"W70156729",TEXT($B$1,"yyyy/mm/dd"),1),"")</f>
        <v>5987380008.8800001</v>
      </c>
      <c r="C588">
        <f>IFERROR([1]!s_stm07_is($A588,"W75682424",TEXT($B$1,"yyyy/mm/dd"),1),"")</f>
        <v>3802404588.77</v>
      </c>
      <c r="D588">
        <f>IFERROR([1]!s_stm07_is($A588,"W76031679",TEXT($B$1,"yyyy/mm/dd"),1),"")</f>
        <v>30168022.949999999</v>
      </c>
      <c r="E588">
        <f>IFERROR([1]!s_stm07_is($A588,"W70752487",TEXT($B$1,"yyyy/mm/dd"),1),"")</f>
        <v>483256669.56999999</v>
      </c>
      <c r="F588">
        <f>IFERROR([1]!s_stm07_is_103($A588,TEXT($B$1,"yyyy/mm/dd"),1),"")</f>
        <v>83520255.319999993</v>
      </c>
      <c r="G588">
        <f>IFERROR([1]!s_stm07_is_104($A588,TEXT($B$1,"yyyy/mm/dd"),1),"")</f>
        <v>363097665.50999999</v>
      </c>
      <c r="H588">
        <f>IFERROR([1]!s_stm07_is_105($A588,TEXT($B$1,"yyyy/mm/dd"),1),"")</f>
        <v>26071287.609999999</v>
      </c>
      <c r="I588">
        <f>IFERROR([1]!s_stm07_is($A588,"W72946623",TEXT($B$1,"yyyy/mm/dd"),1),"")</f>
        <v>1110473187.3699999</v>
      </c>
      <c r="J588">
        <f>IFERROR([1]!s_stm07_is($A588,"W30028333",TEXT($B$1,"yyyy/mm/dd"),1),"")</f>
        <v>871168510.25</v>
      </c>
      <c r="K588">
        <f>IFERROR([1]!s_stm07_cs($A588,"W77130581",TEXT($B$1,"yyyy/mm/dd"),1),"")</f>
        <v>2199976148</v>
      </c>
      <c r="L588">
        <f>IFERROR([1]!s_stm07_cs($A588,"W77745895",TEXT($B$1,"yyyy/mm/dd"),1),"")</f>
        <v>540366425.33000004</v>
      </c>
      <c r="M588">
        <f>IFERROR([1]!S_FA_EPS_basic2($A588,$B$1,"Cur=CNY"),"")</f>
        <v>0.28110000000000002</v>
      </c>
      <c r="N588">
        <f>IFERROR([1]!s_fa_arturndays($A588,TEXT($B$1,"yyyy/mm/dd")),"")</f>
        <v>288.64659999999998</v>
      </c>
      <c r="O588" t="str">
        <f>IFERROR([1]!fa_apturndays($A588,TEXT($B$1,"yyyy/mm/dd")),"")</f>
        <v>Fetch...</v>
      </c>
      <c r="P588">
        <f>IFERROR([1]!s_fa_invturndays($A588,TEXT($B$1,"yyyy/mm/dd")),"")</f>
        <v>174.8252</v>
      </c>
    </row>
    <row r="589" spans="1:16">
      <c r="A589" t="s">
        <v>602</v>
      </c>
      <c r="B589">
        <f>IFERROR([1]!s_stm07_is($A589,"W70156729",TEXT($B$1,"yyyy/mm/dd"),1),"")</f>
        <v>2418234933.46</v>
      </c>
      <c r="C589">
        <f>IFERROR([1]!s_stm07_is($A589,"W75682424",TEXT($B$1,"yyyy/mm/dd"),1),"")</f>
        <v>615248686.86000001</v>
      </c>
      <c r="D589">
        <f>IFERROR([1]!s_stm07_is($A589,"W76031679",TEXT($B$1,"yyyy/mm/dd"),1),"")</f>
        <v>854091902.74000001</v>
      </c>
      <c r="E589">
        <f>IFERROR([1]!s_stm07_is($A589,"W70752487",TEXT($B$1,"yyyy/mm/dd"),1),"")</f>
        <v>392125961.18000001</v>
      </c>
      <c r="F589">
        <f>IFERROR([1]!s_stm07_is_103($A589,TEXT($B$1,"yyyy/mm/dd"),1),"")</f>
        <v>291877572.39999998</v>
      </c>
      <c r="G589">
        <f>IFERROR([1]!s_stm07_is_104($A589,TEXT($B$1,"yyyy/mm/dd"),1),"")</f>
        <v>-2217643.94</v>
      </c>
      <c r="H589">
        <f>IFERROR([1]!s_stm07_is_105($A589,TEXT($B$1,"yyyy/mm/dd"),1),"")</f>
        <v>67238667.680000007</v>
      </c>
      <c r="I589">
        <f>IFERROR([1]!s_stm07_is($A589,"W72946623",TEXT($B$1,"yyyy/mm/dd"),1),"")</f>
        <v>166112393.22999999</v>
      </c>
      <c r="J589">
        <f>IFERROR([1]!s_stm07_is($A589,"W30028333",TEXT($B$1,"yyyy/mm/dd"),1),"")</f>
        <v>177741534.69999999</v>
      </c>
      <c r="K589">
        <f>IFERROR([1]!s_stm07_cs($A589,"W77130581",TEXT($B$1,"yyyy/mm/dd"),1),"")</f>
        <v>490926166.16000003</v>
      </c>
      <c r="L589">
        <f>IFERROR([1]!s_stm07_cs($A589,"W77745895",TEXT($B$1,"yyyy/mm/dd"),1),"")</f>
        <v>509544939.64999998</v>
      </c>
      <c r="M589">
        <f>IFERROR([1]!S_FA_EPS_basic2($A589,$B$1,"Cur=CNY"),"")</f>
        <v>0.1111</v>
      </c>
      <c r="N589">
        <f>IFERROR([1]!s_fa_arturndays($A589,TEXT($B$1,"yyyy/mm/dd")),"")</f>
        <v>339.04689999999999</v>
      </c>
      <c r="O589" t="str">
        <f>IFERROR([1]!fa_apturndays($A589,TEXT($B$1,"yyyy/mm/dd")),"")</f>
        <v>Fetch...</v>
      </c>
      <c r="P589">
        <f>IFERROR([1]!s_fa_invturndays($A589,TEXT($B$1,"yyyy/mm/dd")),"")</f>
        <v>388.14019999999999</v>
      </c>
    </row>
    <row r="590" spans="1:16">
      <c r="A590" t="s">
        <v>603</v>
      </c>
      <c r="B590">
        <f>IFERROR([1]!s_stm07_is($A590,"W70156729",TEXT($B$1,"yyyy/mm/dd"),1),"")</f>
        <v>2257598020.98</v>
      </c>
      <c r="C590">
        <f>IFERROR([1]!s_stm07_is($A590,"W75682424",TEXT($B$1,"yyyy/mm/dd"),1),"")</f>
        <v>795681788.70000005</v>
      </c>
      <c r="D590">
        <f>IFERROR([1]!s_stm07_is($A590,"W76031679",TEXT($B$1,"yyyy/mm/dd"),1),"")</f>
        <v>212986227.02000001</v>
      </c>
      <c r="E590">
        <f>IFERROR([1]!s_stm07_is($A590,"W70752487",TEXT($B$1,"yyyy/mm/dd"),1),"")</f>
        <v>157637259.47</v>
      </c>
      <c r="F590">
        <f>IFERROR([1]!s_stm07_is_103($A590,TEXT($B$1,"yyyy/mm/dd"),1),"")</f>
        <v>39029021.509999998</v>
      </c>
      <c r="G590">
        <f>IFERROR([1]!s_stm07_is_104($A590,TEXT($B$1,"yyyy/mm/dd"),1),"")</f>
        <v>17516416.84</v>
      </c>
      <c r="H590">
        <f>IFERROR([1]!s_stm07_is_105($A590,TEXT($B$1,"yyyy/mm/dd"),1),"")</f>
        <v>22439904.68</v>
      </c>
      <c r="I590">
        <f>IFERROR([1]!s_stm07_is($A590,"W72946623",TEXT($B$1,"yyyy/mm/dd"),1),"")</f>
        <v>1064367262.3200001</v>
      </c>
      <c r="J590">
        <f>IFERROR([1]!s_stm07_is($A590,"W30028333",TEXT($B$1,"yyyy/mm/dd"),1),"")</f>
        <v>817670474.30999994</v>
      </c>
      <c r="K590">
        <f>IFERROR([1]!s_stm07_cs($A590,"W77130581",TEXT($B$1,"yyyy/mm/dd"),1),"")</f>
        <v>1545931208</v>
      </c>
      <c r="L590">
        <f>IFERROR([1]!s_stm07_cs($A590,"W77745895",TEXT($B$1,"yyyy/mm/dd"),1),"")</f>
        <v>267554801.13</v>
      </c>
      <c r="M590">
        <f>IFERROR([1]!S_FA_EPS_basic2($A590,$B$1,"Cur=CNY"),"")</f>
        <v>0.312</v>
      </c>
      <c r="N590">
        <f>IFERROR([1]!s_fa_arturndays($A590,TEXT($B$1,"yyyy/mm/dd")),"")</f>
        <v>0.66059999999999997</v>
      </c>
      <c r="O590" t="str">
        <f>IFERROR([1]!fa_apturndays($A590,TEXT($B$1,"yyyy/mm/dd")),"")</f>
        <v>Fetch...</v>
      </c>
      <c r="P590">
        <f>IFERROR([1]!s_fa_invturndays($A590,TEXT($B$1,"yyyy/mm/dd")),"")</f>
        <v>3.2071999999999998</v>
      </c>
    </row>
    <row r="591" spans="1:16">
      <c r="A591" t="s">
        <v>604</v>
      </c>
      <c r="B591">
        <f>IFERROR([1]!s_stm07_is($A591,"W70156729",TEXT($B$1,"yyyy/mm/dd"),1),"")</f>
        <v>6265470820.5</v>
      </c>
      <c r="C591">
        <f>IFERROR([1]!s_stm07_is($A591,"W75682424",TEXT($B$1,"yyyy/mm/dd"),1),"")</f>
        <v>2011472652.29</v>
      </c>
      <c r="D591">
        <f>IFERROR([1]!s_stm07_is($A591,"W76031679",TEXT($B$1,"yyyy/mm/dd"),1),"")</f>
        <v>2681965763.1599998</v>
      </c>
      <c r="E591">
        <f>IFERROR([1]!s_stm07_is($A591,"W70752487",TEXT($B$1,"yyyy/mm/dd"),1),"")</f>
        <v>505931041.60000002</v>
      </c>
      <c r="F591">
        <f>IFERROR([1]!s_stm07_is_103($A591,TEXT($B$1,"yyyy/mm/dd"),1),"")</f>
        <v>88954176.680000007</v>
      </c>
      <c r="G591">
        <f>IFERROR([1]!s_stm07_is_104($A591,TEXT($B$1,"yyyy/mm/dd"),1),"")</f>
        <v>14405815.550000001</v>
      </c>
      <c r="H591">
        <f>IFERROR([1]!s_stm07_is_105($A591,TEXT($B$1,"yyyy/mm/dd"),1),"")</f>
        <v>41992723.670000002</v>
      </c>
      <c r="I591">
        <f>IFERROR([1]!s_stm07_is($A591,"W72946623",TEXT($B$1,"yyyy/mm/dd"),1),"")</f>
        <v>1008425201.11</v>
      </c>
      <c r="J591">
        <f>IFERROR([1]!s_stm07_is($A591,"W30028333",TEXT($B$1,"yyyy/mm/dd"),1),"")</f>
        <v>782150543.65999997</v>
      </c>
      <c r="K591">
        <f>IFERROR([1]!s_stm07_cs($A591,"W77130581",TEXT($B$1,"yyyy/mm/dd"),1),"")</f>
        <v>1213699380.0999999</v>
      </c>
      <c r="L591">
        <f>IFERROR([1]!s_stm07_cs($A591,"W77745895",TEXT($B$1,"yyyy/mm/dd"),1),"")</f>
        <v>133377559.13</v>
      </c>
      <c r="M591">
        <f>IFERROR([1]!S_FA_EPS_basic2($A591,$B$1,"Cur=CNY"),"")</f>
        <v>0.47</v>
      </c>
      <c r="N591">
        <f>IFERROR([1]!s_fa_arturndays($A591,TEXT($B$1,"yyyy/mm/dd")),"")</f>
        <v>12.657</v>
      </c>
      <c r="O591" t="str">
        <f>IFERROR([1]!fa_apturndays($A591,TEXT($B$1,"yyyy/mm/dd")),"")</f>
        <v>Fetch...</v>
      </c>
      <c r="P591">
        <f>IFERROR([1]!s_fa_invturndays($A591,TEXT($B$1,"yyyy/mm/dd")),"")</f>
        <v>115.8078</v>
      </c>
    </row>
    <row r="592" spans="1:16">
      <c r="A592" t="s">
        <v>605</v>
      </c>
      <c r="B592">
        <f>IFERROR([1]!s_stm07_is($A592,"W70156729",TEXT($B$1,"yyyy/mm/dd"),1),"")</f>
        <v>993783622.64999998</v>
      </c>
      <c r="C592">
        <f>IFERROR([1]!s_stm07_is($A592,"W75682424",TEXT($B$1,"yyyy/mm/dd"),1),"")</f>
        <v>740697432.09000003</v>
      </c>
      <c r="D592">
        <f>IFERROR([1]!s_stm07_is($A592,"W76031679",TEXT($B$1,"yyyy/mm/dd"),1),"")</f>
        <v>20413905.760000002</v>
      </c>
      <c r="E592">
        <f>IFERROR([1]!s_stm07_is($A592,"W70752487",TEXT($B$1,"yyyy/mm/dd"),1),"")</f>
        <v>115229864.8</v>
      </c>
      <c r="F592">
        <f>IFERROR([1]!s_stm07_is_103($A592,TEXT($B$1,"yyyy/mm/dd"),1),"")</f>
        <v>49156956.469999999</v>
      </c>
      <c r="G592">
        <f>IFERROR([1]!s_stm07_is_104($A592,TEXT($B$1,"yyyy/mm/dd"),1),"")</f>
        <v>28482687.350000001</v>
      </c>
      <c r="H592">
        <f>IFERROR([1]!s_stm07_is_105($A592,TEXT($B$1,"yyyy/mm/dd"),1),"")</f>
        <v>9419912.6099999994</v>
      </c>
      <c r="I592">
        <f>IFERROR([1]!s_stm07_is($A592,"W72946623",TEXT($B$1,"yyyy/mm/dd"),1),"")</f>
        <v>69439988.209999993</v>
      </c>
      <c r="J592">
        <f>IFERROR([1]!s_stm07_is($A592,"W30028333",TEXT($B$1,"yyyy/mm/dd"),1),"")</f>
        <v>64588118.539999999</v>
      </c>
      <c r="K592">
        <f>IFERROR([1]!s_stm07_cs($A592,"W77130581",TEXT($B$1,"yyyy/mm/dd"),1),"")</f>
        <v>188195616.15000001</v>
      </c>
      <c r="L592">
        <f>IFERROR([1]!s_stm07_cs($A592,"W77745895",TEXT($B$1,"yyyy/mm/dd"),1),"")</f>
        <v>252466103.69</v>
      </c>
      <c r="M592">
        <f>IFERROR([1]!S_FA_EPS_basic2($A592,$B$1,"Cur=CNY"),"")</f>
        <v>0.12</v>
      </c>
      <c r="N592">
        <f>IFERROR([1]!s_fa_arturndays($A592,TEXT($B$1,"yyyy/mm/dd")),"")</f>
        <v>75.104799999999997</v>
      </c>
      <c r="O592" t="str">
        <f>IFERROR([1]!fa_apturndays($A592,TEXT($B$1,"yyyy/mm/dd")),"")</f>
        <v>Fetch...</v>
      </c>
      <c r="P592">
        <f>IFERROR([1]!s_fa_invturndays($A592,TEXT($B$1,"yyyy/mm/dd")),"")</f>
        <v>82.466700000000003</v>
      </c>
    </row>
    <row r="593" spans="1:16">
      <c r="A593" t="s">
        <v>606</v>
      </c>
      <c r="B593">
        <f>IFERROR([1]!s_stm07_is($A593,"W70156729",TEXT($B$1,"yyyy/mm/dd"),1),"")</f>
        <v>2606654076.5700002</v>
      </c>
      <c r="C593">
        <f>IFERROR([1]!s_stm07_is($A593,"W75682424",TEXT($B$1,"yyyy/mm/dd"),1),"")</f>
        <v>1942484380.6400001</v>
      </c>
      <c r="D593">
        <f>IFERROR([1]!s_stm07_is($A593,"W76031679",TEXT($B$1,"yyyy/mm/dd"),1),"")</f>
        <v>91069893.359999999</v>
      </c>
      <c r="E593">
        <f>IFERROR([1]!s_stm07_is($A593,"W70752487",TEXT($B$1,"yyyy/mm/dd"),1),"")</f>
        <v>148494188.59</v>
      </c>
      <c r="F593">
        <f>IFERROR([1]!s_stm07_is_103($A593,TEXT($B$1,"yyyy/mm/dd"),1),"")</f>
        <v>579821418.67999995</v>
      </c>
      <c r="G593">
        <f>IFERROR([1]!s_stm07_is_104($A593,TEXT($B$1,"yyyy/mm/dd"),1),"")</f>
        <v>49011120.369999997</v>
      </c>
      <c r="H593">
        <f>IFERROR([1]!s_stm07_is_105($A593,TEXT($B$1,"yyyy/mm/dd"),1),"")</f>
        <v>5064528.26</v>
      </c>
      <c r="I593">
        <f>IFERROR([1]!s_stm07_is($A593,"W72946623",TEXT($B$1,"yyyy/mm/dd"),1),"")</f>
        <v>-207817094.41999999</v>
      </c>
      <c r="J593">
        <f>IFERROR([1]!s_stm07_is($A593,"W30028333",TEXT($B$1,"yyyy/mm/dd"),1),"")</f>
        <v>-219364847.75999999</v>
      </c>
      <c r="K593">
        <f>IFERROR([1]!s_stm07_cs($A593,"W77130581",TEXT($B$1,"yyyy/mm/dd"),1),"")</f>
        <v>560375976.30999994</v>
      </c>
      <c r="L593">
        <f>IFERROR([1]!s_stm07_cs($A593,"W77745895",TEXT($B$1,"yyyy/mm/dd"),1),"")</f>
        <v>1795344766.26</v>
      </c>
      <c r="M593">
        <f>IFERROR([1]!S_FA_EPS_basic2($A593,$B$1,"Cur=CNY"),"")</f>
        <v>-0.19</v>
      </c>
      <c r="N593">
        <f>IFERROR([1]!s_fa_arturndays($A593,TEXT($B$1,"yyyy/mm/dd")),"")</f>
        <v>167.62899999999999</v>
      </c>
      <c r="O593" t="str">
        <f>IFERROR([1]!fa_apturndays($A593,TEXT($B$1,"yyyy/mm/dd")),"")</f>
        <v>Fetch...</v>
      </c>
      <c r="P593">
        <f>IFERROR([1]!s_fa_invturndays($A593,TEXT($B$1,"yyyy/mm/dd")),"")</f>
        <v>223.02070000000001</v>
      </c>
    </row>
    <row r="594" spans="1:16">
      <c r="A594" t="s">
        <v>607</v>
      </c>
      <c r="B594">
        <f>IFERROR([1]!s_stm07_is($A594,"W70156729",TEXT($B$1,"yyyy/mm/dd"),1),"")</f>
        <v>3415369690.98</v>
      </c>
      <c r="C594">
        <f>IFERROR([1]!s_stm07_is($A594,"W75682424",TEXT($B$1,"yyyy/mm/dd"),1),"")</f>
        <v>2197252350.4099998</v>
      </c>
      <c r="D594">
        <f>IFERROR([1]!s_stm07_is($A594,"W76031679",TEXT($B$1,"yyyy/mm/dd"),1),"")</f>
        <v>255732479.53999999</v>
      </c>
      <c r="E594">
        <f>IFERROR([1]!s_stm07_is($A594,"W70752487",TEXT($B$1,"yyyy/mm/dd"),1),"")</f>
        <v>431186866.68000001</v>
      </c>
      <c r="F594">
        <f>IFERROR([1]!s_stm07_is_103($A594,TEXT($B$1,"yyyy/mm/dd"),1),"")</f>
        <v>243978067.63</v>
      </c>
      <c r="G594">
        <f>IFERROR([1]!s_stm07_is_104($A594,TEXT($B$1,"yyyy/mm/dd"),1),"")</f>
        <v>11878577.289999999</v>
      </c>
      <c r="H594">
        <f>IFERROR([1]!s_stm07_is_105($A594,TEXT($B$1,"yyyy/mm/dd"),1),"")</f>
        <v>37660381.539999999</v>
      </c>
      <c r="I594">
        <f>IFERROR([1]!s_stm07_is($A594,"W72946623",TEXT($B$1,"yyyy/mm/dd"),1),"")</f>
        <v>235286923.16</v>
      </c>
      <c r="J594">
        <f>IFERROR([1]!s_stm07_is($A594,"W30028333",TEXT($B$1,"yyyy/mm/dd"),1),"")</f>
        <v>226598784.09</v>
      </c>
      <c r="K594">
        <f>IFERROR([1]!s_stm07_cs($A594,"W77130581",TEXT($B$1,"yyyy/mm/dd"),1),"")</f>
        <v>479474713.41000003</v>
      </c>
      <c r="L594">
        <f>IFERROR([1]!s_stm07_cs($A594,"W77745895",TEXT($B$1,"yyyy/mm/dd"),1),"")</f>
        <v>226541950.66999999</v>
      </c>
      <c r="M594">
        <f>IFERROR([1]!S_FA_EPS_basic2($A594,$B$1,"Cur=CNY"),"")</f>
        <v>0.23</v>
      </c>
      <c r="N594">
        <f>IFERROR([1]!s_fa_arturndays($A594,TEXT($B$1,"yyyy/mm/dd")),"")</f>
        <v>147.25129999999999</v>
      </c>
      <c r="O594" t="str">
        <f>IFERROR([1]!fa_apturndays($A594,TEXT($B$1,"yyyy/mm/dd")),"")</f>
        <v>Fetch...</v>
      </c>
      <c r="P594">
        <f>IFERROR([1]!s_fa_invturndays($A594,TEXT($B$1,"yyyy/mm/dd")),"")</f>
        <v>80.607200000000006</v>
      </c>
    </row>
    <row r="595" spans="1:16">
      <c r="A595" t="s">
        <v>608</v>
      </c>
      <c r="B595">
        <f>IFERROR([1]!s_stm07_is($A595,"W70156729",TEXT($B$1,"yyyy/mm/dd"),1),"")</f>
        <v>5232922975.7399998</v>
      </c>
      <c r="C595">
        <f>IFERROR([1]!s_stm07_is($A595,"W75682424",TEXT($B$1,"yyyy/mm/dd"),1),"")</f>
        <v>3697138129.6500001</v>
      </c>
      <c r="D595">
        <f>IFERROR([1]!s_stm07_is($A595,"W76031679",TEXT($B$1,"yyyy/mm/dd"),1),"")</f>
        <v>288983039.94</v>
      </c>
      <c r="E595">
        <f>IFERROR([1]!s_stm07_is($A595,"W70752487",TEXT($B$1,"yyyy/mm/dd"),1),"")</f>
        <v>601334899.08000004</v>
      </c>
      <c r="F595">
        <f>IFERROR([1]!s_stm07_is_103($A595,TEXT($B$1,"yyyy/mm/dd"),1),"")</f>
        <v>337664172.26999998</v>
      </c>
      <c r="G595">
        <f>IFERROR([1]!s_stm07_is_104($A595,TEXT($B$1,"yyyy/mm/dd"),1),"")</f>
        <v>1657250.54</v>
      </c>
      <c r="H595">
        <f>IFERROR([1]!s_stm07_is_105($A595,TEXT($B$1,"yyyy/mm/dd"),1),"")</f>
        <v>37840794.590000004</v>
      </c>
      <c r="I595">
        <f>IFERROR([1]!s_stm07_is($A595,"W72946623",TEXT($B$1,"yyyy/mm/dd"),1),"")</f>
        <v>264170020.36000001</v>
      </c>
      <c r="J595">
        <f>IFERROR([1]!s_stm07_is($A595,"W30028333",TEXT($B$1,"yyyy/mm/dd"),1),"")</f>
        <v>200377381.25</v>
      </c>
      <c r="K595">
        <f>IFERROR([1]!s_stm07_cs($A595,"W77130581",TEXT($B$1,"yyyy/mm/dd"),1),"")</f>
        <v>730814414.48000002</v>
      </c>
      <c r="L595">
        <f>IFERROR([1]!s_stm07_cs($A595,"W77745895",TEXT($B$1,"yyyy/mm/dd"),1),"")</f>
        <v>271181458.74000001</v>
      </c>
      <c r="M595">
        <f>IFERROR([1]!S_FA_EPS_basic2($A595,$B$1,"Cur=CNY"),"")</f>
        <v>0.26</v>
      </c>
      <c r="N595">
        <f>IFERROR([1]!s_fa_arturndays($A595,TEXT($B$1,"yyyy/mm/dd")),"")</f>
        <v>108.5187</v>
      </c>
      <c r="O595" t="str">
        <f>IFERROR([1]!fa_apturndays($A595,TEXT($B$1,"yyyy/mm/dd")),"")</f>
        <v>Fetch...</v>
      </c>
      <c r="P595">
        <f>IFERROR([1]!s_fa_invturndays($A595,TEXT($B$1,"yyyy/mm/dd")),"")</f>
        <v>345.09199999999998</v>
      </c>
    </row>
    <row r="596" spans="1:16">
      <c r="A596" t="s">
        <v>609</v>
      </c>
      <c r="B596">
        <f>IFERROR([1]!s_stm07_is($A596,"W70156729",TEXT($B$1,"yyyy/mm/dd"),1),"")</f>
        <v>3998411173.02</v>
      </c>
      <c r="C596">
        <f>IFERROR([1]!s_stm07_is($A596,"W75682424",TEXT($B$1,"yyyy/mm/dd"),1),"")</f>
        <v>3395533735.3099999</v>
      </c>
      <c r="D596">
        <f>IFERROR([1]!s_stm07_is($A596,"W76031679",TEXT($B$1,"yyyy/mm/dd"),1),"")</f>
        <v>95631882.099999994</v>
      </c>
      <c r="E596">
        <f>IFERROR([1]!s_stm07_is($A596,"W70752487",TEXT($B$1,"yyyy/mm/dd"),1),"")</f>
        <v>208633550.58000001</v>
      </c>
      <c r="F596">
        <f>IFERROR([1]!s_stm07_is_103($A596,TEXT($B$1,"yyyy/mm/dd"),1),"")</f>
        <v>153213542.78999999</v>
      </c>
      <c r="G596">
        <f>IFERROR([1]!s_stm07_is_104($A596,TEXT($B$1,"yyyy/mm/dd"),1),"")</f>
        <v>19639381.170000002</v>
      </c>
      <c r="H596">
        <f>IFERROR([1]!s_stm07_is_105($A596,TEXT($B$1,"yyyy/mm/dd"),1),"")</f>
        <v>5320472.7699999996</v>
      </c>
      <c r="I596">
        <f>IFERROR([1]!s_stm07_is($A596,"W72946623",TEXT($B$1,"yyyy/mm/dd"),1),"")</f>
        <v>74517800.319999993</v>
      </c>
      <c r="J596">
        <f>IFERROR([1]!s_stm07_is($A596,"W30028333",TEXT($B$1,"yyyy/mm/dd"),1),"")</f>
        <v>66766575.18</v>
      </c>
      <c r="K596">
        <f>IFERROR([1]!s_stm07_cs($A596,"W77130581",TEXT($B$1,"yyyy/mm/dd"),1),"")</f>
        <v>644034830.98000002</v>
      </c>
      <c r="L596">
        <f>IFERROR([1]!s_stm07_cs($A596,"W77745895",TEXT($B$1,"yyyy/mm/dd"),1),"")</f>
        <v>94330098.439999998</v>
      </c>
      <c r="M596">
        <f>IFERROR([1]!S_FA_EPS_basic2($A596,$B$1,"Cur=CNY"),"")</f>
        <v>3.7900000000000003E-2</v>
      </c>
      <c r="N596">
        <f>IFERROR([1]!s_fa_arturndays($A596,TEXT($B$1,"yyyy/mm/dd")),"")</f>
        <v>52.945799999999998</v>
      </c>
      <c r="O596" t="str">
        <f>IFERROR([1]!fa_apturndays($A596,TEXT($B$1,"yyyy/mm/dd")),"")</f>
        <v>Fetch...</v>
      </c>
      <c r="P596">
        <f>IFERROR([1]!s_fa_invturndays($A596,TEXT($B$1,"yyyy/mm/dd")),"")</f>
        <v>82.510099999999994</v>
      </c>
    </row>
    <row r="597" spans="1:16">
      <c r="A597" t="s">
        <v>610</v>
      </c>
      <c r="B597">
        <f>IFERROR([1]!s_stm07_is($A597,"W70156729",TEXT($B$1,"yyyy/mm/dd"),1),"")</f>
        <v>3040763497.8699999</v>
      </c>
      <c r="C597">
        <f>IFERROR([1]!s_stm07_is($A597,"W75682424",TEXT($B$1,"yyyy/mm/dd"),1),"")</f>
        <v>1167641885.3399999</v>
      </c>
      <c r="D597">
        <f>IFERROR([1]!s_stm07_is($A597,"W76031679",TEXT($B$1,"yyyy/mm/dd"),1),"")</f>
        <v>961455041.94000006</v>
      </c>
      <c r="E597">
        <f>IFERROR([1]!s_stm07_is($A597,"W70752487",TEXT($B$1,"yyyy/mm/dd"),1),"")</f>
        <v>128982642.17</v>
      </c>
      <c r="F597">
        <f>IFERROR([1]!s_stm07_is_103($A597,TEXT($B$1,"yyyy/mm/dd"),1),"")</f>
        <v>69419299.590000004</v>
      </c>
      <c r="G597">
        <f>IFERROR([1]!s_stm07_is_104($A597,TEXT($B$1,"yyyy/mm/dd"),1),"")</f>
        <v>14441280.720000001</v>
      </c>
      <c r="H597">
        <f>IFERROR([1]!s_stm07_is_105($A597,TEXT($B$1,"yyyy/mm/dd"),1),"")</f>
        <v>4780637.12</v>
      </c>
      <c r="I597">
        <f>IFERROR([1]!s_stm07_is($A597,"W72946623",TEXT($B$1,"yyyy/mm/dd"),1),"")</f>
        <v>755667884.65999997</v>
      </c>
      <c r="J597">
        <f>IFERROR([1]!s_stm07_is($A597,"W30028333",TEXT($B$1,"yyyy/mm/dd"),1),"")</f>
        <v>631933709</v>
      </c>
      <c r="K597">
        <f>IFERROR([1]!s_stm07_cs($A597,"W77130581",TEXT($B$1,"yyyy/mm/dd"),1),"")</f>
        <v>411801734.92000002</v>
      </c>
      <c r="L597">
        <f>IFERROR([1]!s_stm07_cs($A597,"W77745895",TEXT($B$1,"yyyy/mm/dd"),1),"")</f>
        <v>287143322.97000003</v>
      </c>
      <c r="M597">
        <f>IFERROR([1]!S_FA_EPS_basic2($A597,$B$1,"Cur=CNY"),"")</f>
        <v>0.92</v>
      </c>
      <c r="N597">
        <f>IFERROR([1]!s_fa_arturndays($A597,TEXT($B$1,"yyyy/mm/dd")),"")</f>
        <v>81.527299999999997</v>
      </c>
      <c r="O597" t="str">
        <f>IFERROR([1]!fa_apturndays($A597,TEXT($B$1,"yyyy/mm/dd")),"")</f>
        <v>Fetch...</v>
      </c>
      <c r="P597">
        <f>IFERROR([1]!s_fa_invturndays($A597,TEXT($B$1,"yyyy/mm/dd")),"")</f>
        <v>162.7192</v>
      </c>
    </row>
    <row r="598" spans="1:16">
      <c r="A598" t="s">
        <v>611</v>
      </c>
      <c r="B598">
        <f>IFERROR([1]!s_stm07_is($A598,"W70156729",TEXT($B$1,"yyyy/mm/dd"),1),"")</f>
        <v>2644564288.71</v>
      </c>
      <c r="C598">
        <f>IFERROR([1]!s_stm07_is($A598,"W75682424",TEXT($B$1,"yyyy/mm/dd"),1),"")</f>
        <v>2077757161.55</v>
      </c>
      <c r="D598">
        <f>IFERROR([1]!s_stm07_is($A598,"W76031679",TEXT($B$1,"yyyy/mm/dd"),1),"")</f>
        <v>86503230.540000007</v>
      </c>
      <c r="E598">
        <f>IFERROR([1]!s_stm07_is($A598,"W70752487",TEXT($B$1,"yyyy/mm/dd"),1),"")</f>
        <v>144135715.38999999</v>
      </c>
      <c r="F598">
        <f>IFERROR([1]!s_stm07_is_103($A598,TEXT($B$1,"yyyy/mm/dd"),1),"")</f>
        <v>28470588.84</v>
      </c>
      <c r="G598">
        <f>IFERROR([1]!s_stm07_is_104($A598,TEXT($B$1,"yyyy/mm/dd"),1),"")</f>
        <v>42061534.409999996</v>
      </c>
      <c r="H598">
        <f>IFERROR([1]!s_stm07_is_105($A598,TEXT($B$1,"yyyy/mm/dd"),1),"")</f>
        <v>117036.48</v>
      </c>
      <c r="I598">
        <f>IFERROR([1]!s_stm07_is($A598,"W72946623",TEXT($B$1,"yyyy/mm/dd"),1),"")</f>
        <v>128841303.43000001</v>
      </c>
      <c r="J598">
        <f>IFERROR([1]!s_stm07_is($A598,"W30028333",TEXT($B$1,"yyyy/mm/dd"),1),"")</f>
        <v>190328976.15000001</v>
      </c>
      <c r="K598">
        <f>IFERROR([1]!s_stm07_cs($A598,"W77130581",TEXT($B$1,"yyyy/mm/dd"),1),"")</f>
        <v>1493276549.26</v>
      </c>
      <c r="L598">
        <f>IFERROR([1]!s_stm07_cs($A598,"W77745895",TEXT($B$1,"yyyy/mm/dd"),1),"")</f>
        <v>1577386803.8299999</v>
      </c>
      <c r="M598">
        <f>IFERROR([1]!S_FA_EPS_basic2($A598,$B$1,"Cur=CNY"),"")</f>
        <v>7.1800000000000003E-2</v>
      </c>
      <c r="N598">
        <f>IFERROR([1]!s_fa_arturndays($A598,TEXT($B$1,"yyyy/mm/dd")),"")</f>
        <v>248.2587</v>
      </c>
      <c r="O598" t="str">
        <f>IFERROR([1]!fa_apturndays($A598,TEXT($B$1,"yyyy/mm/dd")),"")</f>
        <v>Fetch...</v>
      </c>
      <c r="P598">
        <f>IFERROR([1]!s_fa_invturndays($A598,TEXT($B$1,"yyyy/mm/dd")),"")</f>
        <v>60.973500000000001</v>
      </c>
    </row>
    <row r="599" spans="1:16">
      <c r="A599" t="s">
        <v>612</v>
      </c>
      <c r="B599">
        <f>IFERROR([1]!s_stm07_is($A599,"W70156729",TEXT($B$1,"yyyy/mm/dd"),1),"")</f>
        <v>1051619093.83</v>
      </c>
      <c r="C599">
        <f>IFERROR([1]!s_stm07_is($A599,"W75682424",TEXT($B$1,"yyyy/mm/dd"),1),"")</f>
        <v>755528040.27999997</v>
      </c>
      <c r="D599">
        <f>IFERROR([1]!s_stm07_is($A599,"W76031679",TEXT($B$1,"yyyy/mm/dd"),1),"")</f>
        <v>60034126.920000002</v>
      </c>
      <c r="E599">
        <f>IFERROR([1]!s_stm07_is($A599,"W70752487",TEXT($B$1,"yyyy/mm/dd"),1),"")</f>
        <v>97145965.609999999</v>
      </c>
      <c r="F599">
        <f>IFERROR([1]!s_stm07_is_103($A599,TEXT($B$1,"yyyy/mm/dd"),1),"")</f>
        <v>142956734.86000001</v>
      </c>
      <c r="G599">
        <f>IFERROR([1]!s_stm07_is_104($A599,TEXT($B$1,"yyyy/mm/dd"),1),"")</f>
        <v>0</v>
      </c>
      <c r="H599">
        <f>IFERROR([1]!s_stm07_is_105($A599,TEXT($B$1,"yyyy/mm/dd"),1),"")</f>
        <v>23340882.300000001</v>
      </c>
      <c r="I599">
        <f>IFERROR([1]!s_stm07_is($A599,"W72946623",TEXT($B$1,"yyyy/mm/dd"),1),"")</f>
        <v>22536371.09</v>
      </c>
      <c r="J599">
        <f>IFERROR([1]!s_stm07_is($A599,"W30028333",TEXT($B$1,"yyyy/mm/dd"),1),"")</f>
        <v>10476287.640000001</v>
      </c>
      <c r="K599">
        <f>IFERROR([1]!s_stm07_cs($A599,"W77130581",TEXT($B$1,"yyyy/mm/dd"),1),"")</f>
        <v>70931745.609999999</v>
      </c>
      <c r="L599">
        <f>IFERROR([1]!s_stm07_cs($A599,"W77745895",TEXT($B$1,"yyyy/mm/dd"),1),"")</f>
        <v>333101244.23000002</v>
      </c>
      <c r="M599">
        <f>IFERROR([1]!S_FA_EPS_basic2($A599,$B$1,"Cur=CNY"),"")</f>
        <v>2.2599999999999999E-2</v>
      </c>
      <c r="N599">
        <f>IFERROR([1]!s_fa_arturndays($A599,TEXT($B$1,"yyyy/mm/dd")),"")</f>
        <v>115.886</v>
      </c>
      <c r="O599" t="str">
        <f>IFERROR([1]!fa_apturndays($A599,TEXT($B$1,"yyyy/mm/dd")),"")</f>
        <v>Fetch...</v>
      </c>
      <c r="P599">
        <f>IFERROR([1]!s_fa_invturndays($A599,TEXT($B$1,"yyyy/mm/dd")),"")</f>
        <v>144.5899</v>
      </c>
    </row>
    <row r="600" spans="1:16">
      <c r="A600" t="s">
        <v>613</v>
      </c>
      <c r="B600">
        <f>IFERROR([1]!s_stm07_is($A600,"W70156729",TEXT($B$1,"yyyy/mm/dd"),1),"")</f>
        <v>8866820810.3799992</v>
      </c>
      <c r="C600">
        <f>IFERROR([1]!s_stm07_is($A600,"W75682424",TEXT($B$1,"yyyy/mm/dd"),1),"")</f>
        <v>7962779353.7200003</v>
      </c>
      <c r="D600">
        <f>IFERROR([1]!s_stm07_is($A600,"W76031679",TEXT($B$1,"yyyy/mm/dd"),1),"")</f>
        <v>353595986.93000001</v>
      </c>
      <c r="E600">
        <f>IFERROR([1]!s_stm07_is($A600,"W70752487",TEXT($B$1,"yyyy/mm/dd"),1),"")</f>
        <v>140033430.19</v>
      </c>
      <c r="F600">
        <f>IFERROR([1]!s_stm07_is_103($A600,TEXT($B$1,"yyyy/mm/dd"),1),"")</f>
        <v>38156564.609999999</v>
      </c>
      <c r="G600">
        <f>IFERROR([1]!s_stm07_is_104($A600,TEXT($B$1,"yyyy/mm/dd"),1),"")</f>
        <v>46259694.240000002</v>
      </c>
      <c r="H600">
        <f>IFERROR([1]!s_stm07_is_105($A600,TEXT($B$1,"yyyy/mm/dd"),1),"")</f>
        <v>11944181.65</v>
      </c>
      <c r="I600">
        <f>IFERROR([1]!s_stm07_is($A600,"W72946623",TEXT($B$1,"yyyy/mm/dd"),1),"")</f>
        <v>255683224.40000001</v>
      </c>
      <c r="J600">
        <f>IFERROR([1]!s_stm07_is($A600,"W30028333",TEXT($B$1,"yyyy/mm/dd"),1),"")</f>
        <v>171942473.63</v>
      </c>
      <c r="K600">
        <f>IFERROR([1]!s_stm07_cs($A600,"W77130581",TEXT($B$1,"yyyy/mm/dd"),1),"")</f>
        <v>-90848370.989999995</v>
      </c>
      <c r="L600">
        <f>IFERROR([1]!s_stm07_cs($A600,"W77745895",TEXT($B$1,"yyyy/mm/dd"),1),"")</f>
        <v>6589314.9800000004</v>
      </c>
      <c r="M600">
        <f>IFERROR([1]!S_FA_EPS_basic2($A600,$B$1,"Cur=CNY"),"")</f>
        <v>0.14899999999999999</v>
      </c>
      <c r="N600">
        <f>IFERROR([1]!s_fa_arturndays($A600,TEXT($B$1,"yyyy/mm/dd")),"")</f>
        <v>82.2012</v>
      </c>
      <c r="O600" t="str">
        <f>IFERROR([1]!fa_apturndays($A600,TEXT($B$1,"yyyy/mm/dd")),"")</f>
        <v>Fetch...</v>
      </c>
      <c r="P600">
        <f>IFERROR([1]!s_fa_invturndays($A600,TEXT($B$1,"yyyy/mm/dd")),"")</f>
        <v>82.561199999999999</v>
      </c>
    </row>
    <row r="601" spans="1:16">
      <c r="A601" t="s">
        <v>614</v>
      </c>
      <c r="B601">
        <f>IFERROR([1]!s_stm07_is($A601,"W70156729",TEXT($B$1,"yyyy/mm/dd"),1),"")</f>
        <v>6587878902.7299995</v>
      </c>
      <c r="C601">
        <f>IFERROR([1]!s_stm07_is($A601,"W75682424",TEXT($B$1,"yyyy/mm/dd"),1),"")</f>
        <v>5696399787.5600004</v>
      </c>
      <c r="D601">
        <f>IFERROR([1]!s_stm07_is($A601,"W76031679",TEXT($B$1,"yyyy/mm/dd"),1),"")</f>
        <v>72637733.909999996</v>
      </c>
      <c r="E601">
        <f>IFERROR([1]!s_stm07_is($A601,"W70752487",TEXT($B$1,"yyyy/mm/dd"),1),"")</f>
        <v>233521425.63999999</v>
      </c>
      <c r="F601">
        <f>IFERROR([1]!s_stm07_is_103($A601,TEXT($B$1,"yyyy/mm/dd"),1),"")</f>
        <v>176576981.78</v>
      </c>
      <c r="G601">
        <f>IFERROR([1]!s_stm07_is_104($A601,TEXT($B$1,"yyyy/mm/dd"),1),"")</f>
        <v>141611209.69999999</v>
      </c>
      <c r="H601">
        <f>IFERROR([1]!s_stm07_is_105($A601,TEXT($B$1,"yyyy/mm/dd"),1),"")</f>
        <v>12638325.9</v>
      </c>
      <c r="I601">
        <f>IFERROR([1]!s_stm07_is($A601,"W72946623",TEXT($B$1,"yyyy/mm/dd"),1),"")</f>
        <v>119281927.14</v>
      </c>
      <c r="J601">
        <f>IFERROR([1]!s_stm07_is($A601,"W30028333",TEXT($B$1,"yyyy/mm/dd"),1),"")</f>
        <v>65489681.93</v>
      </c>
      <c r="K601">
        <f>IFERROR([1]!s_stm07_cs($A601,"W77130581",TEXT($B$1,"yyyy/mm/dd"),1),"")</f>
        <v>1007648544.05</v>
      </c>
      <c r="L601">
        <f>IFERROR([1]!s_stm07_cs($A601,"W77745895",TEXT($B$1,"yyyy/mm/dd"),1),"")</f>
        <v>395705902.08999997</v>
      </c>
      <c r="M601">
        <f>IFERROR([1]!S_FA_EPS_basic2($A601,$B$1,"Cur=CNY"),"")</f>
        <v>0.02</v>
      </c>
      <c r="N601">
        <f>IFERROR([1]!s_fa_arturndays($A601,TEXT($B$1,"yyyy/mm/dd")),"")</f>
        <v>113.5898</v>
      </c>
      <c r="O601" t="str">
        <f>IFERROR([1]!fa_apturndays($A601,TEXT($B$1,"yyyy/mm/dd")),"")</f>
        <v>Fetch...</v>
      </c>
      <c r="P601">
        <f>IFERROR([1]!s_fa_invturndays($A601,TEXT($B$1,"yyyy/mm/dd")),"")</f>
        <v>211.18090000000001</v>
      </c>
    </row>
    <row r="602" spans="1:16">
      <c r="A602" t="s">
        <v>615</v>
      </c>
      <c r="B602">
        <f>IFERROR([1]!s_stm07_is($A602,"W70156729",TEXT($B$1,"yyyy/mm/dd"),1),"")</f>
        <v>1411279845.8800001</v>
      </c>
      <c r="C602">
        <f>IFERROR([1]!s_stm07_is($A602,"W75682424",TEXT($B$1,"yyyy/mm/dd"),1),"")</f>
        <v>959877739.35000002</v>
      </c>
      <c r="D602">
        <f>IFERROR([1]!s_stm07_is($A602,"W76031679",TEXT($B$1,"yyyy/mm/dd"),1),"")</f>
        <v>355065833.97000003</v>
      </c>
      <c r="E602">
        <f>IFERROR([1]!s_stm07_is($A602,"W70752487",TEXT($B$1,"yyyy/mm/dd"),1),"")</f>
        <v>333773104.12</v>
      </c>
      <c r="F602">
        <f>IFERROR([1]!s_stm07_is_103($A602,TEXT($B$1,"yyyy/mm/dd"),1),"")</f>
        <v>181311660.03999999</v>
      </c>
      <c r="G602">
        <f>IFERROR([1]!s_stm07_is_104($A602,TEXT($B$1,"yyyy/mm/dd"),1),"")</f>
        <v>10232227.01</v>
      </c>
      <c r="H602">
        <f>IFERROR([1]!s_stm07_is_105($A602,TEXT($B$1,"yyyy/mm/dd"),1),"")</f>
        <v>17451532.48</v>
      </c>
      <c r="I602">
        <f>IFERROR([1]!s_stm07_is($A602,"W72946623",TEXT($B$1,"yyyy/mm/dd"),1),"")</f>
        <v>-738948267.38</v>
      </c>
      <c r="J602">
        <f>IFERROR([1]!s_stm07_is($A602,"W30028333",TEXT($B$1,"yyyy/mm/dd"),1),"")</f>
        <v>-781952227.32000005</v>
      </c>
      <c r="K602">
        <f>IFERROR([1]!s_stm07_cs($A602,"W77130581",TEXT($B$1,"yyyy/mm/dd"),1),"")</f>
        <v>275881206.04000002</v>
      </c>
      <c r="L602">
        <f>IFERROR([1]!s_stm07_cs($A602,"W77745895",TEXT($B$1,"yyyy/mm/dd"),1),"")</f>
        <v>248816694.66999999</v>
      </c>
      <c r="M602">
        <f>IFERROR([1]!S_FA_EPS_basic2($A602,$B$1,"Cur=CNY"),"")</f>
        <v>-0.91</v>
      </c>
      <c r="N602">
        <f>IFERROR([1]!s_fa_arturndays($A602,TEXT($B$1,"yyyy/mm/dd")),"")</f>
        <v>234.60409999999999</v>
      </c>
      <c r="O602" t="str">
        <f>IFERROR([1]!fa_apturndays($A602,TEXT($B$1,"yyyy/mm/dd")),"")</f>
        <v>Fetch...</v>
      </c>
      <c r="P602">
        <f>IFERROR([1]!s_fa_invturndays($A602,TEXT($B$1,"yyyy/mm/dd")),"")</f>
        <v>229.709</v>
      </c>
    </row>
    <row r="603" spans="1:16">
      <c r="A603" t="s">
        <v>616</v>
      </c>
      <c r="B603">
        <f>IFERROR([1]!s_stm07_is($A603,"W70156729",TEXT($B$1,"yyyy/mm/dd"),1),"")</f>
        <v>966352079.70000005</v>
      </c>
      <c r="C603">
        <f>IFERROR([1]!s_stm07_is($A603,"W75682424",TEXT($B$1,"yyyy/mm/dd"),1),"")</f>
        <v>402355317.17000002</v>
      </c>
      <c r="D603">
        <f>IFERROR([1]!s_stm07_is($A603,"W76031679",TEXT($B$1,"yyyy/mm/dd"),1),"")</f>
        <v>106964190.05</v>
      </c>
      <c r="E603">
        <f>IFERROR([1]!s_stm07_is($A603,"W70752487",TEXT($B$1,"yyyy/mm/dd"),1),"")</f>
        <v>123977508.28</v>
      </c>
      <c r="F603">
        <f>IFERROR([1]!s_stm07_is_103($A603,TEXT($B$1,"yyyy/mm/dd"),1),"")</f>
        <v>126850998.84999999</v>
      </c>
      <c r="G603">
        <f>IFERROR([1]!s_stm07_is_104($A603,TEXT($B$1,"yyyy/mm/dd"),1),"")</f>
        <v>98036096.840000004</v>
      </c>
      <c r="H603">
        <f>IFERROR([1]!s_stm07_is_105($A603,TEXT($B$1,"yyyy/mm/dd"),1),"")</f>
        <v>559476.03</v>
      </c>
      <c r="I603">
        <f>IFERROR([1]!s_stm07_is($A603,"W72946623",TEXT($B$1,"yyyy/mm/dd"),1),"")</f>
        <v>64229892.829999998</v>
      </c>
      <c r="J603">
        <f>IFERROR([1]!s_stm07_is($A603,"W30028333",TEXT($B$1,"yyyy/mm/dd"),1),"")</f>
        <v>36569897.149999999</v>
      </c>
      <c r="K603">
        <f>IFERROR([1]!s_stm07_cs($A603,"W77130581",TEXT($B$1,"yyyy/mm/dd"),1),"")</f>
        <v>233903508.28</v>
      </c>
      <c r="L603">
        <f>IFERROR([1]!s_stm07_cs($A603,"W77745895",TEXT($B$1,"yyyy/mm/dd"),1),"")</f>
        <v>234353262.94999999</v>
      </c>
      <c r="M603">
        <f>IFERROR([1]!S_FA_EPS_basic2($A603,$B$1,"Cur=CNY"),"")</f>
        <v>0.04</v>
      </c>
      <c r="N603">
        <f>IFERROR([1]!s_fa_arturndays($A603,TEXT($B$1,"yyyy/mm/dd")),"")</f>
        <v>40.481299999999997</v>
      </c>
      <c r="O603" t="str">
        <f>IFERROR([1]!fa_apturndays($A603,TEXT($B$1,"yyyy/mm/dd")),"")</f>
        <v>Fetch...</v>
      </c>
      <c r="P603">
        <f>IFERROR([1]!s_fa_invturndays($A603,TEXT($B$1,"yyyy/mm/dd")),"")</f>
        <v>223.6858</v>
      </c>
    </row>
    <row r="604" spans="1:16">
      <c r="A604" t="s">
        <v>617</v>
      </c>
      <c r="B604">
        <f>IFERROR([1]!s_stm07_is($A604,"W70156729",TEXT($B$1,"yyyy/mm/dd"),1),"")</f>
        <v>63246252072.730003</v>
      </c>
      <c r="C604">
        <f>IFERROR([1]!s_stm07_is($A604,"W75682424",TEXT($B$1,"yyyy/mm/dd"),1),"")</f>
        <v>54429259848.68</v>
      </c>
      <c r="D604">
        <f>IFERROR([1]!s_stm07_is($A604,"W76031679",TEXT($B$1,"yyyy/mm/dd"),1),"")</f>
        <v>607664585.98000002</v>
      </c>
      <c r="E604">
        <f>IFERROR([1]!s_stm07_is($A604,"W70752487",TEXT($B$1,"yyyy/mm/dd"),1),"")</f>
        <v>3712697967.27</v>
      </c>
      <c r="F604">
        <f>IFERROR([1]!s_stm07_is_103($A604,TEXT($B$1,"yyyy/mm/dd"),1),"")</f>
        <v>4378755013.8900003</v>
      </c>
      <c r="G604">
        <f>IFERROR([1]!s_stm07_is_104($A604,TEXT($B$1,"yyyy/mm/dd"),1),"")</f>
        <v>767792857.38</v>
      </c>
      <c r="H604">
        <f>IFERROR([1]!s_stm07_is_105($A604,TEXT($B$1,"yyyy/mm/dd"),1),"")</f>
        <v>358772047.30000001</v>
      </c>
      <c r="I604">
        <f>IFERROR([1]!s_stm07_is($A604,"W72946623",TEXT($B$1,"yyyy/mm/dd"),1),"")</f>
        <v>-429498901.77999997</v>
      </c>
      <c r="J604">
        <f>IFERROR([1]!s_stm07_is($A604,"W30028333",TEXT($B$1,"yyyy/mm/dd"),1),"")</f>
        <v>1057234512.6799999</v>
      </c>
      <c r="K604">
        <f>IFERROR([1]!s_stm07_cs($A604,"W77130581",TEXT($B$1,"yyyy/mm/dd"),1),"")</f>
        <v>3631973166.3800001</v>
      </c>
      <c r="L604">
        <f>IFERROR([1]!s_stm07_cs($A604,"W77745895",TEXT($B$1,"yyyy/mm/dd"),1),"")</f>
        <v>8410599486.9499998</v>
      </c>
      <c r="M604">
        <f>IFERROR([1]!S_FA_EPS_basic2($A604,$B$1,"Cur=CNY"),"")</f>
        <v>0.57999999999999996</v>
      </c>
      <c r="N604">
        <f>IFERROR([1]!s_fa_arturndays($A604,TEXT($B$1,"yyyy/mm/dd")),"")</f>
        <v>99.513499999999993</v>
      </c>
      <c r="O604" t="str">
        <f>IFERROR([1]!fa_apturndays($A604,TEXT($B$1,"yyyy/mm/dd")),"")</f>
        <v>Fetch...</v>
      </c>
      <c r="P604">
        <f>IFERROR([1]!s_fa_invturndays($A604,TEXT($B$1,"yyyy/mm/dd")),"")</f>
        <v>60.561199999999999</v>
      </c>
    </row>
    <row r="605" spans="1:16">
      <c r="A605" t="s">
        <v>618</v>
      </c>
      <c r="B605">
        <f>IFERROR([1]!s_stm07_is($A605,"W70156729",TEXT($B$1,"yyyy/mm/dd"),1),"")</f>
        <v>4741007597.96</v>
      </c>
      <c r="C605">
        <f>IFERROR([1]!s_stm07_is($A605,"W75682424",TEXT($B$1,"yyyy/mm/dd"),1),"")</f>
        <v>3124966134.7399998</v>
      </c>
      <c r="D605">
        <f>IFERROR([1]!s_stm07_is($A605,"W76031679",TEXT($B$1,"yyyy/mm/dd"),1),"")</f>
        <v>319833698.94</v>
      </c>
      <c r="E605">
        <f>IFERROR([1]!s_stm07_is($A605,"W70752487",TEXT($B$1,"yyyy/mm/dd"),1),"")</f>
        <v>268144047.84999999</v>
      </c>
      <c r="F605">
        <f>IFERROR([1]!s_stm07_is_103($A605,TEXT($B$1,"yyyy/mm/dd"),1),"")</f>
        <v>712026562.16999996</v>
      </c>
      <c r="G605">
        <f>IFERROR([1]!s_stm07_is_104($A605,TEXT($B$1,"yyyy/mm/dd"),1),"")</f>
        <v>865703.21</v>
      </c>
      <c r="H605">
        <f>IFERROR([1]!s_stm07_is_105($A605,TEXT($B$1,"yyyy/mm/dd"),1),"")</f>
        <v>90984362.540000007</v>
      </c>
      <c r="I605">
        <f>IFERROR([1]!s_stm07_is($A605,"W72946623",TEXT($B$1,"yyyy/mm/dd"),1),"")</f>
        <v>413679530.85000002</v>
      </c>
      <c r="J605">
        <f>IFERROR([1]!s_stm07_is($A605,"W30028333",TEXT($B$1,"yyyy/mm/dd"),1),"")</f>
        <v>376226023.06</v>
      </c>
      <c r="K605">
        <f>IFERROR([1]!s_stm07_cs($A605,"W77130581",TEXT($B$1,"yyyy/mm/dd"),1),"")</f>
        <v>622602778.07000005</v>
      </c>
      <c r="L605">
        <f>IFERROR([1]!s_stm07_cs($A605,"W77745895",TEXT($B$1,"yyyy/mm/dd"),1),"")</f>
        <v>96866344.700000003</v>
      </c>
      <c r="M605">
        <f>IFERROR([1]!S_FA_EPS_basic2($A605,$B$1,"Cur=CNY"),"")</f>
        <v>0.78029999999999999</v>
      </c>
      <c r="N605">
        <f>IFERROR([1]!s_fa_arturndays($A605,TEXT($B$1,"yyyy/mm/dd")),"")</f>
        <v>32.471299999999999</v>
      </c>
      <c r="O605" t="str">
        <f>IFERROR([1]!fa_apturndays($A605,TEXT($B$1,"yyyy/mm/dd")),"")</f>
        <v>Fetch...</v>
      </c>
      <c r="P605">
        <f>IFERROR([1]!s_fa_invturndays($A605,TEXT($B$1,"yyyy/mm/dd")),"")</f>
        <v>325.262</v>
      </c>
    </row>
    <row r="606" spans="1:16">
      <c r="A606" t="s">
        <v>619</v>
      </c>
      <c r="B606">
        <f>IFERROR([1]!s_stm07_is($A606,"W70156729",TEXT($B$1,"yyyy/mm/dd"),1),"")</f>
        <v>7031091154.1700001</v>
      </c>
      <c r="C606">
        <f>IFERROR([1]!s_stm07_is($A606,"W75682424",TEXT($B$1,"yyyy/mm/dd"),1),"")</f>
        <v>6113817139.8800001</v>
      </c>
      <c r="D606">
        <f>IFERROR([1]!s_stm07_is($A606,"W76031679",TEXT($B$1,"yyyy/mm/dd"),1),"")</f>
        <v>43488567.93</v>
      </c>
      <c r="E606">
        <f>IFERROR([1]!s_stm07_is($A606,"W70752487",TEXT($B$1,"yyyy/mm/dd"),1),"")</f>
        <v>104402018.40000001</v>
      </c>
      <c r="F606">
        <f>IFERROR([1]!s_stm07_is_103($A606,TEXT($B$1,"yyyy/mm/dd"),1),"")</f>
        <v>394105647.75</v>
      </c>
      <c r="G606">
        <f>IFERROR([1]!s_stm07_is_104($A606,TEXT($B$1,"yyyy/mm/dd"),1),"")</f>
        <v>40989674.890000001</v>
      </c>
      <c r="H606">
        <f>IFERROR([1]!s_stm07_is_105($A606,TEXT($B$1,"yyyy/mm/dd"),1),"")</f>
        <v>12500752.84</v>
      </c>
      <c r="I606">
        <f>IFERROR([1]!s_stm07_is($A606,"W72946623",TEXT($B$1,"yyyy/mm/dd"),1),"")</f>
        <v>310732155.56999999</v>
      </c>
      <c r="J606">
        <f>IFERROR([1]!s_stm07_is($A606,"W30028333",TEXT($B$1,"yyyy/mm/dd"),1),"")</f>
        <v>307357817.95999998</v>
      </c>
      <c r="K606">
        <f>IFERROR([1]!s_stm07_cs($A606,"W77130581",TEXT($B$1,"yyyy/mm/dd"),1),"")</f>
        <v>121617630.09999999</v>
      </c>
      <c r="L606">
        <f>IFERROR([1]!s_stm07_cs($A606,"W77745895",TEXT($B$1,"yyyy/mm/dd"),1),"")</f>
        <v>86845860.709999993</v>
      </c>
      <c r="M606">
        <f>IFERROR([1]!S_FA_EPS_basic2($A606,$B$1,"Cur=CNY"),"")</f>
        <v>0.36</v>
      </c>
      <c r="N606">
        <f>IFERROR([1]!s_fa_arturndays($A606,TEXT($B$1,"yyyy/mm/dd")),"")</f>
        <v>81.227400000000003</v>
      </c>
      <c r="O606" t="str">
        <f>IFERROR([1]!fa_apturndays($A606,TEXT($B$1,"yyyy/mm/dd")),"")</f>
        <v>Fetch...</v>
      </c>
      <c r="P606">
        <f>IFERROR([1]!s_fa_invturndays($A606,TEXT($B$1,"yyyy/mm/dd")),"")</f>
        <v>106.1164</v>
      </c>
    </row>
    <row r="607" spans="1:16">
      <c r="A607" t="s">
        <v>620</v>
      </c>
      <c r="B607">
        <f>IFERROR([1]!s_stm07_is($A607,"W70156729",TEXT($B$1,"yyyy/mm/dd"),1),"")</f>
        <v>70693375708.339996</v>
      </c>
      <c r="C607">
        <f>IFERROR([1]!s_stm07_is($A607,"W75682424",TEXT($B$1,"yyyy/mm/dd"),1),"")</f>
        <v>69746230554.039993</v>
      </c>
      <c r="D607">
        <f>IFERROR([1]!s_stm07_is($A607,"W76031679",TEXT($B$1,"yyyy/mm/dd"),1),"")</f>
        <v>382863761.31999999</v>
      </c>
      <c r="E607">
        <f>IFERROR([1]!s_stm07_is($A607,"W70752487",TEXT($B$1,"yyyy/mm/dd"),1),"")</f>
        <v>165313931.28999999</v>
      </c>
      <c r="F607">
        <f>IFERROR([1]!s_stm07_is_103($A607,TEXT($B$1,"yyyy/mm/dd"),1),"")</f>
        <v>90223040.819999993</v>
      </c>
      <c r="G607">
        <f>IFERROR([1]!s_stm07_is_104($A607,TEXT($B$1,"yyyy/mm/dd"),1),"")</f>
        <v>6315810.54</v>
      </c>
      <c r="H607">
        <f>IFERROR([1]!s_stm07_is_105($A607,TEXT($B$1,"yyyy/mm/dd"),1),"")</f>
        <v>8753822.3499999996</v>
      </c>
      <c r="I607">
        <f>IFERROR([1]!s_stm07_is($A607,"W72946623",TEXT($B$1,"yyyy/mm/dd"),1),"")</f>
        <v>473361041.19999999</v>
      </c>
      <c r="J607">
        <f>IFERROR([1]!s_stm07_is($A607,"W30028333",TEXT($B$1,"yyyy/mm/dd"),1),"")</f>
        <v>212749338.94999999</v>
      </c>
      <c r="K607">
        <f>IFERROR([1]!s_stm07_cs($A607,"W77130581",TEXT($B$1,"yyyy/mm/dd"),1),"")</f>
        <v>-440845150.91000003</v>
      </c>
      <c r="L607">
        <f>IFERROR([1]!s_stm07_cs($A607,"W77745895",TEXT($B$1,"yyyy/mm/dd"),1),"")</f>
        <v>16411278.699999999</v>
      </c>
      <c r="M607">
        <f>IFERROR([1]!S_FA_EPS_basic2($A607,$B$1,"Cur=CNY"),"")</f>
        <v>0.67</v>
      </c>
      <c r="N607">
        <f>IFERROR([1]!s_fa_arturndays($A607,TEXT($B$1,"yyyy/mm/dd")),"")</f>
        <v>5.5655999999999999</v>
      </c>
      <c r="O607" t="str">
        <f>IFERROR([1]!fa_apturndays($A607,TEXT($B$1,"yyyy/mm/dd")),"")</f>
        <v>Fetch...</v>
      </c>
      <c r="P607">
        <f>IFERROR([1]!s_fa_invturndays($A607,TEXT($B$1,"yyyy/mm/dd")),"")</f>
        <v>9.7574000000000005</v>
      </c>
    </row>
    <row r="608" spans="1:16">
      <c r="A608" t="s">
        <v>621</v>
      </c>
      <c r="B608">
        <f>IFERROR([1]!s_stm07_is($A608,"W70156729",TEXT($B$1,"yyyy/mm/dd"),1),"")</f>
        <v>511344793.44999999</v>
      </c>
      <c r="C608">
        <f>IFERROR([1]!s_stm07_is($A608,"W75682424",TEXT($B$1,"yyyy/mm/dd"),1),"")</f>
        <v>197147437.30000001</v>
      </c>
      <c r="D608">
        <f>IFERROR([1]!s_stm07_is($A608,"W76031679",TEXT($B$1,"yyyy/mm/dd"),1),"")</f>
        <v>143907918.13</v>
      </c>
      <c r="E608">
        <f>IFERROR([1]!s_stm07_is($A608,"W70752487",TEXT($B$1,"yyyy/mm/dd"),1),"")</f>
        <v>212402028.97999999</v>
      </c>
      <c r="F608">
        <f>IFERROR([1]!s_stm07_is_103($A608,TEXT($B$1,"yyyy/mm/dd"),1),"")</f>
        <v>127823272.51000001</v>
      </c>
      <c r="G608">
        <f>IFERROR([1]!s_stm07_is_104($A608,TEXT($B$1,"yyyy/mm/dd"),1),"")</f>
        <v>690104.38</v>
      </c>
      <c r="H608">
        <f>IFERROR([1]!s_stm07_is_105($A608,TEXT($B$1,"yyyy/mm/dd"),1),"")</f>
        <v>13759256.92</v>
      </c>
      <c r="I608">
        <f>IFERROR([1]!s_stm07_is($A608,"W72946623",TEXT($B$1,"yyyy/mm/dd"),1),"")</f>
        <v>-297207797.69999999</v>
      </c>
      <c r="J608">
        <f>IFERROR([1]!s_stm07_is($A608,"W30028333",TEXT($B$1,"yyyy/mm/dd"),1),"")</f>
        <v>-293749397.56</v>
      </c>
      <c r="K608">
        <f>IFERROR([1]!s_stm07_cs($A608,"W77130581",TEXT($B$1,"yyyy/mm/dd"),1),"")</f>
        <v>197978468.33000001</v>
      </c>
      <c r="L608">
        <f>IFERROR([1]!s_stm07_cs($A608,"W77745895",TEXT($B$1,"yyyy/mm/dd"),1),"")</f>
        <v>171252287.52000001</v>
      </c>
      <c r="M608">
        <f>IFERROR([1]!S_FA_EPS_basic2($A608,$B$1,"Cur=CNY"),"")</f>
        <v>-0.3362</v>
      </c>
      <c r="N608">
        <f>IFERROR([1]!s_fa_arturndays($A608,TEXT($B$1,"yyyy/mm/dd")),"")</f>
        <v>180.16210000000001</v>
      </c>
      <c r="O608" t="str">
        <f>IFERROR([1]!fa_apturndays($A608,TEXT($B$1,"yyyy/mm/dd")),"")</f>
        <v>Fetch...</v>
      </c>
      <c r="P608">
        <f>IFERROR([1]!s_fa_invturndays($A608,TEXT($B$1,"yyyy/mm/dd")),"")</f>
        <v>593.96140000000003</v>
      </c>
    </row>
    <row r="609" spans="1:16">
      <c r="A609" t="s">
        <v>622</v>
      </c>
      <c r="B609">
        <f>IFERROR([1]!s_stm07_is($A609,"W70156729",TEXT($B$1,"yyyy/mm/dd"),1),"")</f>
        <v>8093468586.1800003</v>
      </c>
      <c r="C609">
        <f>IFERROR([1]!s_stm07_is($A609,"W75682424",TEXT($B$1,"yyyy/mm/dd"),1),"")</f>
        <v>5996566824.6300001</v>
      </c>
      <c r="D609">
        <f>IFERROR([1]!s_stm07_is($A609,"W76031679",TEXT($B$1,"yyyy/mm/dd"),1),"")</f>
        <v>968278944.60000002</v>
      </c>
      <c r="E609">
        <f>IFERROR([1]!s_stm07_is($A609,"W70752487",TEXT($B$1,"yyyy/mm/dd"),1),"")</f>
        <v>403662778.87</v>
      </c>
      <c r="F609">
        <f>IFERROR([1]!s_stm07_is_103($A609,TEXT($B$1,"yyyy/mm/dd"),1),"")</f>
        <v>380482776.07999998</v>
      </c>
      <c r="G609">
        <f>IFERROR([1]!s_stm07_is_104($A609,TEXT($B$1,"yyyy/mm/dd"),1),"")</f>
        <v>17663438.949999999</v>
      </c>
      <c r="H609">
        <f>IFERROR([1]!s_stm07_is_105($A609,TEXT($B$1,"yyyy/mm/dd"),1),"")</f>
        <v>12390442.15</v>
      </c>
      <c r="I609">
        <f>IFERROR([1]!s_stm07_is($A609,"W72946623",TEXT($B$1,"yyyy/mm/dd"),1),"")</f>
        <v>127505089.94</v>
      </c>
      <c r="J609">
        <f>IFERROR([1]!s_stm07_is($A609,"W30028333",TEXT($B$1,"yyyy/mm/dd"),1),"")</f>
        <v>63162028.289999999</v>
      </c>
      <c r="K609">
        <f>IFERROR([1]!s_stm07_cs($A609,"W77130581",TEXT($B$1,"yyyy/mm/dd"),1),"")</f>
        <v>469584440.81</v>
      </c>
      <c r="L609">
        <f>IFERROR([1]!s_stm07_cs($A609,"W77745895",TEXT($B$1,"yyyy/mm/dd"),1),"")</f>
        <v>259342834.02000001</v>
      </c>
      <c r="M609">
        <f>IFERROR([1]!S_FA_EPS_basic2($A609,$B$1,"Cur=CNY"),"")</f>
        <v>5.8200000000000002E-2</v>
      </c>
      <c r="N609">
        <f>IFERROR([1]!s_fa_arturndays($A609,TEXT($B$1,"yyyy/mm/dd")),"")</f>
        <v>86.091399999999993</v>
      </c>
      <c r="O609" t="str">
        <f>IFERROR([1]!fa_apturndays($A609,TEXT($B$1,"yyyy/mm/dd")),"")</f>
        <v>Fetch...</v>
      </c>
      <c r="P609">
        <f>IFERROR([1]!s_fa_invturndays($A609,TEXT($B$1,"yyyy/mm/dd")),"")</f>
        <v>113.5539</v>
      </c>
    </row>
    <row r="610" spans="1:16">
      <c r="A610" t="s">
        <v>623</v>
      </c>
      <c r="B610">
        <f>IFERROR([1]!s_stm07_is($A610,"W70156729",TEXT($B$1,"yyyy/mm/dd"),1),"")</f>
        <v>1936684874.79</v>
      </c>
      <c r="C610">
        <f>IFERROR([1]!s_stm07_is($A610,"W75682424",TEXT($B$1,"yyyy/mm/dd"),1),"")</f>
        <v>1142674349.6500001</v>
      </c>
      <c r="D610">
        <f>IFERROR([1]!s_stm07_is($A610,"W76031679",TEXT($B$1,"yyyy/mm/dd"),1),"")</f>
        <v>93072649.709999993</v>
      </c>
      <c r="E610">
        <f>IFERROR([1]!s_stm07_is($A610,"W70752487",TEXT($B$1,"yyyy/mm/dd"),1),"")</f>
        <v>158230152.31</v>
      </c>
      <c r="F610">
        <f>IFERROR([1]!s_stm07_is_103($A610,TEXT($B$1,"yyyy/mm/dd"),1),"")</f>
        <v>269365340.04000002</v>
      </c>
      <c r="G610">
        <f>IFERROR([1]!s_stm07_is_104($A610,TEXT($B$1,"yyyy/mm/dd"),1),"")</f>
        <v>12287982.83</v>
      </c>
      <c r="H610">
        <f>IFERROR([1]!s_stm07_is_105($A610,TEXT($B$1,"yyyy/mm/dd"),1),"")</f>
        <v>11193394.550000001</v>
      </c>
      <c r="I610">
        <f>IFERROR([1]!s_stm07_is($A610,"W72946623",TEXT($B$1,"yyyy/mm/dd"),1),"")</f>
        <v>308237108.38</v>
      </c>
      <c r="J610">
        <f>IFERROR([1]!s_stm07_is($A610,"W30028333",TEXT($B$1,"yyyy/mm/dd"),1),"")</f>
        <v>300672947.5</v>
      </c>
      <c r="K610">
        <f>IFERROR([1]!s_stm07_cs($A610,"W77130581",TEXT($B$1,"yyyy/mm/dd"),1),"")</f>
        <v>475102085.77999997</v>
      </c>
      <c r="L610">
        <f>IFERROR([1]!s_stm07_cs($A610,"W77745895",TEXT($B$1,"yyyy/mm/dd"),1),"")</f>
        <v>468553637.12</v>
      </c>
      <c r="M610">
        <f>IFERROR([1]!S_FA_EPS_basic2($A610,$B$1,"Cur=CNY"),"")</f>
        <v>0.9647</v>
      </c>
      <c r="N610">
        <f>IFERROR([1]!s_fa_arturndays($A610,TEXT($B$1,"yyyy/mm/dd")),"")</f>
        <v>117.89749999999999</v>
      </c>
      <c r="O610" t="str">
        <f>IFERROR([1]!fa_apturndays($A610,TEXT($B$1,"yyyy/mm/dd")),"")</f>
        <v>Fetch...</v>
      </c>
      <c r="P610">
        <f>IFERROR([1]!s_fa_invturndays($A610,TEXT($B$1,"yyyy/mm/dd")),"")</f>
        <v>114.6022</v>
      </c>
    </row>
    <row r="611" spans="1:16">
      <c r="A611" t="s">
        <v>624</v>
      </c>
      <c r="B611">
        <f>IFERROR([1]!s_stm07_is($A611,"W70156729",TEXT($B$1,"yyyy/mm/dd"),1),"")</f>
        <v>10096031634.52</v>
      </c>
      <c r="C611">
        <f>IFERROR([1]!s_stm07_is($A611,"W75682424",TEXT($B$1,"yyyy/mm/dd"),1),"")</f>
        <v>7222145881.8999996</v>
      </c>
      <c r="D611">
        <f>IFERROR([1]!s_stm07_is($A611,"W76031679",TEXT($B$1,"yyyy/mm/dd"),1),"")</f>
        <v>1158888351.5699999</v>
      </c>
      <c r="E611">
        <f>IFERROR([1]!s_stm07_is($A611,"W70752487",TEXT($B$1,"yyyy/mm/dd"),1),"")</f>
        <v>715468670.25999999</v>
      </c>
      <c r="F611">
        <f>IFERROR([1]!s_stm07_is_103($A611,TEXT($B$1,"yyyy/mm/dd"),1),"")</f>
        <v>254541633.24000001</v>
      </c>
      <c r="G611">
        <f>IFERROR([1]!s_stm07_is_104($A611,TEXT($B$1,"yyyy/mm/dd"),1),"")</f>
        <v>161458593.11000001</v>
      </c>
      <c r="H611">
        <f>IFERROR([1]!s_stm07_is_105($A611,TEXT($B$1,"yyyy/mm/dd"),1),"")</f>
        <v>24344435.43</v>
      </c>
      <c r="I611">
        <f>IFERROR([1]!s_stm07_is($A611,"W72946623",TEXT($B$1,"yyyy/mm/dd"),1),"")</f>
        <v>256189820.63</v>
      </c>
      <c r="J611">
        <f>IFERROR([1]!s_stm07_is($A611,"W30028333",TEXT($B$1,"yyyy/mm/dd"),1),"")</f>
        <v>44052664.100000001</v>
      </c>
      <c r="K611">
        <f>IFERROR([1]!s_stm07_cs($A611,"W77130581",TEXT($B$1,"yyyy/mm/dd"),1),"")</f>
        <v>2028332871.52</v>
      </c>
      <c r="L611">
        <f>IFERROR([1]!s_stm07_cs($A611,"W77745895",TEXT($B$1,"yyyy/mm/dd"),1),"")</f>
        <v>285316928.87</v>
      </c>
      <c r="M611">
        <f>IFERROR([1]!S_FA_EPS_basic2($A611,$B$1,"Cur=CNY"),"")</f>
        <v>7.2099999999999997E-2</v>
      </c>
      <c r="N611">
        <f>IFERROR([1]!s_fa_arturndays($A611,TEXT($B$1,"yyyy/mm/dd")),"")</f>
        <v>235.30950000000001</v>
      </c>
      <c r="O611" t="str">
        <f>IFERROR([1]!fa_apturndays($A611,TEXT($B$1,"yyyy/mm/dd")),"")</f>
        <v>Fetch...</v>
      </c>
      <c r="P611">
        <f>IFERROR([1]!s_fa_invturndays($A611,TEXT($B$1,"yyyy/mm/dd")),"")</f>
        <v>79.856300000000005</v>
      </c>
    </row>
    <row r="612" spans="1:16">
      <c r="A612" t="s">
        <v>625</v>
      </c>
      <c r="B612">
        <f>IFERROR([1]!s_stm07_is($A612,"W70156729",TEXT($B$1,"yyyy/mm/dd"),1),"")</f>
        <v>4039915135.02</v>
      </c>
      <c r="C612">
        <f>IFERROR([1]!s_stm07_is($A612,"W75682424",TEXT($B$1,"yyyy/mm/dd"),1),"")</f>
        <v>1368410313.5699999</v>
      </c>
      <c r="D612">
        <f>IFERROR([1]!s_stm07_is($A612,"W76031679",TEXT($B$1,"yyyy/mm/dd"),1),"")</f>
        <v>1577288.73</v>
      </c>
      <c r="E612">
        <f>IFERROR([1]!s_stm07_is($A612,"W70752487",TEXT($B$1,"yyyy/mm/dd"),1),"")</f>
        <v>141815979.24000001</v>
      </c>
      <c r="F612">
        <f>IFERROR([1]!s_stm07_is_103($A612,TEXT($B$1,"yyyy/mm/dd"),1),"")</f>
        <v>41568594.789999999</v>
      </c>
      <c r="G612">
        <f>IFERROR([1]!s_stm07_is_104($A612,TEXT($B$1,"yyyy/mm/dd"),1),"")</f>
        <v>3040203.05</v>
      </c>
      <c r="H612">
        <f>IFERROR([1]!s_stm07_is_105($A612,TEXT($B$1,"yyyy/mm/dd"),1),"")</f>
        <v>29025649.710000001</v>
      </c>
      <c r="I612">
        <f>IFERROR([1]!s_stm07_is($A612,"W72946623",TEXT($B$1,"yyyy/mm/dd"),1),"")</f>
        <v>1979925032.1900001</v>
      </c>
      <c r="J612">
        <f>IFERROR([1]!s_stm07_is($A612,"W30028333",TEXT($B$1,"yyyy/mm/dd"),1),"")</f>
        <v>1672149337.8699999</v>
      </c>
      <c r="K612">
        <f>IFERROR([1]!s_stm07_cs($A612,"W77130581",TEXT($B$1,"yyyy/mm/dd"),1),"")</f>
        <v>2634555758.4699998</v>
      </c>
      <c r="L612">
        <f>IFERROR([1]!s_stm07_cs($A612,"W77745895",TEXT($B$1,"yyyy/mm/dd"),1),"")</f>
        <v>1256723538.45</v>
      </c>
      <c r="M612">
        <f>IFERROR([1]!S_FA_EPS_basic2($A612,$B$1,"Cur=CNY"),"")</f>
        <v>0.56999999999999995</v>
      </c>
      <c r="N612">
        <f>IFERROR([1]!s_fa_arturndays($A612,TEXT($B$1,"yyyy/mm/dd")),"")</f>
        <v>21.460799999999999</v>
      </c>
      <c r="O612" t="str">
        <f>IFERROR([1]!fa_apturndays($A612,TEXT($B$1,"yyyy/mm/dd")),"")</f>
        <v>Fetch...</v>
      </c>
      <c r="P612">
        <f>IFERROR([1]!s_fa_invturndays($A612,TEXT($B$1,"yyyy/mm/dd")),"")</f>
        <v>259.34730000000002</v>
      </c>
    </row>
    <row r="613" spans="1:16">
      <c r="A613" t="s">
        <v>626</v>
      </c>
      <c r="B613">
        <f>IFERROR([1]!s_stm07_is($A613,"W70156729",TEXT($B$1,"yyyy/mm/dd"),1),"")</f>
        <v>2106166908.5899999</v>
      </c>
      <c r="C613">
        <f>IFERROR([1]!s_stm07_is($A613,"W75682424",TEXT($B$1,"yyyy/mm/dd"),1),"")</f>
        <v>1414739619.03</v>
      </c>
      <c r="D613">
        <f>IFERROR([1]!s_stm07_is($A613,"W76031679",TEXT($B$1,"yyyy/mm/dd"),1),"")</f>
        <v>319760538.72000003</v>
      </c>
      <c r="E613">
        <f>IFERROR([1]!s_stm07_is($A613,"W70752487",TEXT($B$1,"yyyy/mm/dd"),1),"")</f>
        <v>178034643.59999999</v>
      </c>
      <c r="F613">
        <f>IFERROR([1]!s_stm07_is_103($A613,TEXT($B$1,"yyyy/mm/dd"),1),"")</f>
        <v>333543196.22000003</v>
      </c>
      <c r="G613">
        <f>IFERROR([1]!s_stm07_is_104($A613,TEXT($B$1,"yyyy/mm/dd"),1),"")</f>
        <v>68600185.439999998</v>
      </c>
      <c r="H613">
        <f>IFERROR([1]!s_stm07_is_105($A613,TEXT($B$1,"yyyy/mm/dd"),1),"")</f>
        <v>6920521.8600000003</v>
      </c>
      <c r="I613">
        <f>IFERROR([1]!s_stm07_is($A613,"W72946623",TEXT($B$1,"yyyy/mm/dd"),1),"")</f>
        <v>-442476712.76999998</v>
      </c>
      <c r="J613">
        <f>IFERROR([1]!s_stm07_is($A613,"W30028333",TEXT($B$1,"yyyy/mm/dd"),1),"")</f>
        <v>-373882252.64999998</v>
      </c>
      <c r="K613">
        <f>IFERROR([1]!s_stm07_cs($A613,"W77130581",TEXT($B$1,"yyyy/mm/dd"),1),"")</f>
        <v>555365519.82000005</v>
      </c>
      <c r="L613">
        <f>IFERROR([1]!s_stm07_cs($A613,"W77745895",TEXT($B$1,"yyyy/mm/dd"),1),"")</f>
        <v>220351654.59</v>
      </c>
      <c r="M613">
        <f>IFERROR([1]!S_FA_EPS_basic2($A613,$B$1,"Cur=CNY"),"")</f>
        <v>-0.16919999999999999</v>
      </c>
      <c r="N613">
        <f>IFERROR([1]!s_fa_arturndays($A613,TEXT($B$1,"yyyy/mm/dd")),"")</f>
        <v>190.1944</v>
      </c>
      <c r="O613" t="str">
        <f>IFERROR([1]!fa_apturndays($A613,TEXT($B$1,"yyyy/mm/dd")),"")</f>
        <v>Fetch...</v>
      </c>
      <c r="P613">
        <f>IFERROR([1]!s_fa_invturndays($A613,TEXT($B$1,"yyyy/mm/dd")),"")</f>
        <v>531.67920000000004</v>
      </c>
    </row>
    <row r="614" spans="1:16">
      <c r="A614" t="s">
        <v>627</v>
      </c>
      <c r="B614">
        <f>IFERROR([1]!s_stm07_is($A614,"W70156729",TEXT($B$1,"yyyy/mm/dd"),1),"")</f>
        <v>4724153910.9799995</v>
      </c>
      <c r="C614">
        <f>IFERROR([1]!s_stm07_is($A614,"W75682424",TEXT($B$1,"yyyy/mm/dd"),1),"")</f>
        <v>3044712147.7600002</v>
      </c>
      <c r="D614">
        <f>IFERROR([1]!s_stm07_is($A614,"W76031679",TEXT($B$1,"yyyy/mm/dd"),1),"")</f>
        <v>232533483.13</v>
      </c>
      <c r="E614">
        <f>IFERROR([1]!s_stm07_is($A614,"W70752487",TEXT($B$1,"yyyy/mm/dd"),1),"")</f>
        <v>415358071.02999997</v>
      </c>
      <c r="F614">
        <f>IFERROR([1]!s_stm07_is_103($A614,TEXT($B$1,"yyyy/mm/dd"),1),"")</f>
        <v>124656076.25</v>
      </c>
      <c r="G614">
        <f>IFERROR([1]!s_stm07_is_104($A614,TEXT($B$1,"yyyy/mm/dd"),1),"")</f>
        <v>374282627.97000003</v>
      </c>
      <c r="H614">
        <f>IFERROR([1]!s_stm07_is_105($A614,TEXT($B$1,"yyyy/mm/dd"),1),"")</f>
        <v>85004672.599999994</v>
      </c>
      <c r="I614">
        <f>IFERROR([1]!s_stm07_is($A614,"W72946623",TEXT($B$1,"yyyy/mm/dd"),1),"")</f>
        <v>437329809.70999998</v>
      </c>
      <c r="J614">
        <f>IFERROR([1]!s_stm07_is($A614,"W30028333",TEXT($B$1,"yyyy/mm/dd"),1),"")</f>
        <v>364165324.56</v>
      </c>
      <c r="K614">
        <f>IFERROR([1]!s_stm07_cs($A614,"W77130581",TEXT($B$1,"yyyy/mm/dd"),1),"")</f>
        <v>925572095.86000001</v>
      </c>
      <c r="L614">
        <f>IFERROR([1]!s_stm07_cs($A614,"W77745895",TEXT($B$1,"yyyy/mm/dd"),1),"")</f>
        <v>670070910.14999998</v>
      </c>
      <c r="M614">
        <f>IFERROR([1]!S_FA_EPS_basic2($A614,$B$1,"Cur=CNY"),"")</f>
        <v>0.37</v>
      </c>
      <c r="N614">
        <f>IFERROR([1]!s_fa_arturndays($A614,TEXT($B$1,"yyyy/mm/dd")),"")</f>
        <v>64.816999999999993</v>
      </c>
      <c r="O614" t="str">
        <f>IFERROR([1]!fa_apturndays($A614,TEXT($B$1,"yyyy/mm/dd")),"")</f>
        <v>Fetch...</v>
      </c>
      <c r="P614">
        <f>IFERROR([1]!s_fa_invturndays($A614,TEXT($B$1,"yyyy/mm/dd")),"")</f>
        <v>194.66829999999999</v>
      </c>
    </row>
    <row r="615" spans="1:16">
      <c r="A615" t="s">
        <v>628</v>
      </c>
      <c r="B615">
        <f>IFERROR([1]!s_stm07_is($A615,"W70156729",TEXT($B$1,"yyyy/mm/dd"),1),"")</f>
        <v>2997713013.96</v>
      </c>
      <c r="C615">
        <f>IFERROR([1]!s_stm07_is($A615,"W75682424",TEXT($B$1,"yyyy/mm/dd"),1),"")</f>
        <v>2253047093.4000001</v>
      </c>
      <c r="D615">
        <f>IFERROR([1]!s_stm07_is($A615,"W76031679",TEXT($B$1,"yyyy/mm/dd"),1),"")</f>
        <v>190976079.25</v>
      </c>
      <c r="E615">
        <f>IFERROR([1]!s_stm07_is($A615,"W70752487",TEXT($B$1,"yyyy/mm/dd"),1),"")</f>
        <v>147215988.05000001</v>
      </c>
      <c r="F615">
        <f>IFERROR([1]!s_stm07_is_103($A615,TEXT($B$1,"yyyy/mm/dd"),1),"")</f>
        <v>132288101.48999999</v>
      </c>
      <c r="G615">
        <f>IFERROR([1]!s_stm07_is_104($A615,TEXT($B$1,"yyyy/mm/dd"),1),"")</f>
        <v>49720653.109999999</v>
      </c>
      <c r="H615">
        <f>IFERROR([1]!s_stm07_is_105($A615,TEXT($B$1,"yyyy/mm/dd"),1),"")</f>
        <v>8423362.2899999991</v>
      </c>
      <c r="I615">
        <f>IFERROR([1]!s_stm07_is($A615,"W72946623",TEXT($B$1,"yyyy/mm/dd"),1),"")</f>
        <v>193907643.86000001</v>
      </c>
      <c r="J615">
        <f>IFERROR([1]!s_stm07_is($A615,"W30028333",TEXT($B$1,"yyyy/mm/dd"),1),"")</f>
        <v>175062842.87</v>
      </c>
      <c r="K615">
        <f>IFERROR([1]!s_stm07_cs($A615,"W77130581",TEXT($B$1,"yyyy/mm/dd"),1),"")</f>
        <v>219165613.09</v>
      </c>
      <c r="L615">
        <f>IFERROR([1]!s_stm07_cs($A615,"W77745895",TEXT($B$1,"yyyy/mm/dd"),1),"")</f>
        <v>428792887.88999999</v>
      </c>
      <c r="M615">
        <f>IFERROR([1]!S_FA_EPS_basic2($A615,$B$1,"Cur=CNY"),"")</f>
        <v>0.44</v>
      </c>
      <c r="N615">
        <f>IFERROR([1]!s_fa_arturndays($A615,TEXT($B$1,"yyyy/mm/dd")),"")</f>
        <v>97.991200000000006</v>
      </c>
      <c r="O615" t="str">
        <f>IFERROR([1]!fa_apturndays($A615,TEXT($B$1,"yyyy/mm/dd")),"")</f>
        <v>Fetch...</v>
      </c>
      <c r="P615">
        <f>IFERROR([1]!s_fa_invturndays($A615,TEXT($B$1,"yyyy/mm/dd")),"")</f>
        <v>256.5016</v>
      </c>
    </row>
    <row r="616" spans="1:16">
      <c r="A616" t="s">
        <v>629</v>
      </c>
      <c r="B616">
        <f>IFERROR([1]!s_stm07_is($A616,"W70156729",TEXT($B$1,"yyyy/mm/dd"),1),"")</f>
        <v>89184357325.770004</v>
      </c>
      <c r="C616">
        <f>IFERROR([1]!s_stm07_is($A616,"W75682424",TEXT($B$1,"yyyy/mm/dd"),1),"")</f>
        <v>60795459298.160004</v>
      </c>
      <c r="D616">
        <f>IFERROR([1]!s_stm07_is($A616,"W76031679",TEXT($B$1,"yyyy/mm/dd"),1),"")</f>
        <v>4831817218.29</v>
      </c>
      <c r="E616">
        <f>IFERROR([1]!s_stm07_is($A616,"W70752487",TEXT($B$1,"yyyy/mm/dd"),1),"")</f>
        <v>1714657812.21</v>
      </c>
      <c r="F616">
        <f>IFERROR([1]!s_stm07_is_103($A616,TEXT($B$1,"yyyy/mm/dd"),1),"")</f>
        <v>4174970413.8099999</v>
      </c>
      <c r="G616">
        <f>IFERROR([1]!s_stm07_is_104($A616,TEXT($B$1,"yyyy/mm/dd"),1),"")</f>
        <v>346953688.5</v>
      </c>
      <c r="H616">
        <f>IFERROR([1]!s_stm07_is_105($A616,TEXT($B$1,"yyyy/mm/dd"),1),"")</f>
        <v>392523338.58999997</v>
      </c>
      <c r="I616">
        <f>IFERROR([1]!s_stm07_is($A616,"W72946623",TEXT($B$1,"yyyy/mm/dd"),1),"")</f>
        <v>16259966657.59</v>
      </c>
      <c r="J616">
        <f>IFERROR([1]!s_stm07_is($A616,"W30028333",TEXT($B$1,"yyyy/mm/dd"),1),"")</f>
        <v>13461279955.370001</v>
      </c>
      <c r="K616">
        <f>IFERROR([1]!s_stm07_cs($A616,"W77130581",TEXT($B$1,"yyyy/mm/dd"),1),"")</f>
        <v>16917778579.110001</v>
      </c>
      <c r="L616">
        <f>IFERROR([1]!s_stm07_cs($A616,"W77745895",TEXT($B$1,"yyyy/mm/dd"),1),"")</f>
        <v>3008018823.5999999</v>
      </c>
      <c r="M616">
        <f>IFERROR([1]!S_FA_EPS_basic2($A616,$B$1,"Cur=CNY"),"")</f>
        <v>6.55</v>
      </c>
      <c r="N616">
        <f>IFERROR([1]!s_fa_arturndays($A616,TEXT($B$1,"yyyy/mm/dd")),"")</f>
        <v>103.214</v>
      </c>
      <c r="O616" t="str">
        <f>IFERROR([1]!fa_apturndays($A616,TEXT($B$1,"yyyy/mm/dd")),"")</f>
        <v>Fetch...</v>
      </c>
      <c r="P616">
        <f>IFERROR([1]!s_fa_invturndays($A616,TEXT($B$1,"yyyy/mm/dd")),"")</f>
        <v>176.3323</v>
      </c>
    </row>
    <row r="617" spans="1:16">
      <c r="A617" t="s">
        <v>630</v>
      </c>
      <c r="B617">
        <f>IFERROR([1]!s_stm07_is($A617,"W70156729",TEXT($B$1,"yyyy/mm/dd"),1),"")</f>
        <v>1769334909.24</v>
      </c>
      <c r="C617">
        <f>IFERROR([1]!s_stm07_is($A617,"W75682424",TEXT($B$1,"yyyy/mm/dd"),1),"")</f>
        <v>1536698127.1400001</v>
      </c>
      <c r="D617">
        <f>IFERROR([1]!s_stm07_is($A617,"W76031679",TEXT($B$1,"yyyy/mm/dd"),1),"")</f>
        <v>25806380.640000001</v>
      </c>
      <c r="E617">
        <f>IFERROR([1]!s_stm07_is($A617,"W70752487",TEXT($B$1,"yyyy/mm/dd"),1),"")</f>
        <v>104466645.37</v>
      </c>
      <c r="F617">
        <f>IFERROR([1]!s_stm07_is_103($A617,TEXT($B$1,"yyyy/mm/dd"),1),"")</f>
        <v>65536989.82</v>
      </c>
      <c r="G617">
        <f>IFERROR([1]!s_stm07_is_104($A617,TEXT($B$1,"yyyy/mm/dd"),1),"")</f>
        <v>2543203.54</v>
      </c>
      <c r="H617">
        <f>IFERROR([1]!s_stm07_is_105($A617,TEXT($B$1,"yyyy/mm/dd"),1),"")</f>
        <v>947128.21</v>
      </c>
      <c r="I617">
        <f>IFERROR([1]!s_stm07_is($A617,"W72946623",TEXT($B$1,"yyyy/mm/dd"),1),"")</f>
        <v>-200037237.78</v>
      </c>
      <c r="J617">
        <f>IFERROR([1]!s_stm07_is($A617,"W30028333",TEXT($B$1,"yyyy/mm/dd"),1),"")</f>
        <v>-186248256.72999999</v>
      </c>
      <c r="K617">
        <f>IFERROR([1]!s_stm07_cs($A617,"W77130581",TEXT($B$1,"yyyy/mm/dd"),1),"")</f>
        <v>209867531.58000001</v>
      </c>
      <c r="L617">
        <f>IFERROR([1]!s_stm07_cs($A617,"W77745895",TEXT($B$1,"yyyy/mm/dd"),1),"")</f>
        <v>9935042.0199999996</v>
      </c>
      <c r="M617">
        <f>IFERROR([1]!S_FA_EPS_basic2($A617,$B$1,"Cur=CNY"),"")</f>
        <v>-0.13289999999999999</v>
      </c>
      <c r="N617">
        <f>IFERROR([1]!s_fa_arturndays($A617,TEXT($B$1,"yyyy/mm/dd")),"")</f>
        <v>102.29600000000001</v>
      </c>
      <c r="O617" t="str">
        <f>IFERROR([1]!fa_apturndays($A617,TEXT($B$1,"yyyy/mm/dd")),"")</f>
        <v>Fetch...</v>
      </c>
      <c r="P617">
        <f>IFERROR([1]!s_fa_invturndays($A617,TEXT($B$1,"yyyy/mm/dd")),"")</f>
        <v>595.13969999999995</v>
      </c>
    </row>
    <row r="618" spans="1:16">
      <c r="A618" t="s">
        <v>631</v>
      </c>
      <c r="B618">
        <f>IFERROR([1]!s_stm07_is($A618,"W70156729",TEXT($B$1,"yyyy/mm/dd"),1),"")</f>
        <v>4168397711.8299999</v>
      </c>
      <c r="C618">
        <f>IFERROR([1]!s_stm07_is($A618,"W75682424",TEXT($B$1,"yyyy/mm/dd"),1),"")</f>
        <v>2828464494.1399999</v>
      </c>
      <c r="D618">
        <f>IFERROR([1]!s_stm07_is($A618,"W76031679",TEXT($B$1,"yyyy/mm/dd"),1),"")</f>
        <v>87794687.400000006</v>
      </c>
      <c r="E618">
        <f>IFERROR([1]!s_stm07_is($A618,"W70752487",TEXT($B$1,"yyyy/mm/dd"),1),"")</f>
        <v>496057549.17000002</v>
      </c>
      <c r="F618">
        <f>IFERROR([1]!s_stm07_is_103($A618,TEXT($B$1,"yyyy/mm/dd"),1),"")</f>
        <v>218709342.59</v>
      </c>
      <c r="G618">
        <f>IFERROR([1]!s_stm07_is_104($A618,TEXT($B$1,"yyyy/mm/dd"),1),"")</f>
        <v>78487019.370000005</v>
      </c>
      <c r="H618">
        <f>IFERROR([1]!s_stm07_is_105($A618,TEXT($B$1,"yyyy/mm/dd"),1),"")</f>
        <v>76515453.390000001</v>
      </c>
      <c r="I618">
        <f>IFERROR([1]!s_stm07_is($A618,"W72946623",TEXT($B$1,"yyyy/mm/dd"),1),"")</f>
        <v>52105634.799999997</v>
      </c>
      <c r="J618">
        <f>IFERROR([1]!s_stm07_is($A618,"W30028333",TEXT($B$1,"yyyy/mm/dd"),1),"")</f>
        <v>23514679.920000002</v>
      </c>
      <c r="K618">
        <f>IFERROR([1]!s_stm07_cs($A618,"W77130581",TEXT($B$1,"yyyy/mm/dd"),1),"")</f>
        <v>451820077.73000002</v>
      </c>
      <c r="L618">
        <f>IFERROR([1]!s_stm07_cs($A618,"W77745895",TEXT($B$1,"yyyy/mm/dd"),1),"")</f>
        <v>97046427.049999997</v>
      </c>
      <c r="M618">
        <f>IFERROR([1]!S_FA_EPS_basic2($A618,$B$1,"Cur=CNY"),"")</f>
        <v>1.8599999999999998E-2</v>
      </c>
      <c r="N618">
        <f>IFERROR([1]!s_fa_arturndays($A618,TEXT($B$1,"yyyy/mm/dd")),"")</f>
        <v>390.75220000000002</v>
      </c>
      <c r="O618" t="str">
        <f>IFERROR([1]!fa_apturndays($A618,TEXT($B$1,"yyyy/mm/dd")),"")</f>
        <v>Fetch...</v>
      </c>
      <c r="P618">
        <f>IFERROR([1]!s_fa_invturndays($A618,TEXT($B$1,"yyyy/mm/dd")),"")</f>
        <v>426.33819999999997</v>
      </c>
    </row>
    <row r="619" spans="1:16">
      <c r="A619" t="s">
        <v>632</v>
      </c>
      <c r="B619">
        <f>IFERROR([1]!s_stm07_is($A619,"W70156729",TEXT($B$1,"yyyy/mm/dd"),1),"")</f>
        <v>4582554451.6000004</v>
      </c>
      <c r="C619">
        <f>IFERROR([1]!s_stm07_is($A619,"W75682424",TEXT($B$1,"yyyy/mm/dd"),1),"")</f>
        <v>2860757388.54</v>
      </c>
      <c r="D619">
        <f>IFERROR([1]!s_stm07_is($A619,"W76031679",TEXT($B$1,"yyyy/mm/dd"),1),"")</f>
        <v>248227421.75</v>
      </c>
      <c r="E619">
        <f>IFERROR([1]!s_stm07_is($A619,"W70752487",TEXT($B$1,"yyyy/mm/dd"),1),"")</f>
        <v>311900441.42000002</v>
      </c>
      <c r="F619">
        <f>IFERROR([1]!s_stm07_is_103($A619,TEXT($B$1,"yyyy/mm/dd"),1),"")</f>
        <v>317712239.88</v>
      </c>
      <c r="G619">
        <f>IFERROR([1]!s_stm07_is_104($A619,TEXT($B$1,"yyyy/mm/dd"),1),"")</f>
        <v>12022884.869999999</v>
      </c>
      <c r="H619">
        <f>IFERROR([1]!s_stm07_is_105($A619,TEXT($B$1,"yyyy/mm/dd"),1),"")</f>
        <v>14508672.9</v>
      </c>
      <c r="I619">
        <f>IFERROR([1]!s_stm07_is($A619,"W72946623",TEXT($B$1,"yyyy/mm/dd"),1),"")</f>
        <v>760390586.75999999</v>
      </c>
      <c r="J619">
        <f>IFERROR([1]!s_stm07_is($A619,"W30028333",TEXT($B$1,"yyyy/mm/dd"),1),"")</f>
        <v>610319127.59000003</v>
      </c>
      <c r="K619">
        <f>IFERROR([1]!s_stm07_cs($A619,"W77130581",TEXT($B$1,"yyyy/mm/dd"),1),"")</f>
        <v>804193024.70000005</v>
      </c>
      <c r="L619">
        <f>IFERROR([1]!s_stm07_cs($A619,"W77745895",TEXT($B$1,"yyyy/mm/dd"),1),"")</f>
        <v>405793216.33999997</v>
      </c>
      <c r="M619">
        <f>IFERROR([1]!S_FA_EPS_basic2($A619,$B$1,"Cur=CNY"),"")</f>
        <v>0.62</v>
      </c>
      <c r="N619">
        <f>IFERROR([1]!s_fa_arturndays($A619,TEXT($B$1,"yyyy/mm/dd")),"")</f>
        <v>141.68209999999999</v>
      </c>
      <c r="O619" t="str">
        <f>IFERROR([1]!fa_apturndays($A619,TEXT($B$1,"yyyy/mm/dd")),"")</f>
        <v>Fetch...</v>
      </c>
      <c r="P619">
        <f>IFERROR([1]!s_fa_invturndays($A619,TEXT($B$1,"yyyy/mm/dd")),"")</f>
        <v>103.76130000000001</v>
      </c>
    </row>
    <row r="620" spans="1:16">
      <c r="A620" t="s">
        <v>633</v>
      </c>
      <c r="B620">
        <f>IFERROR([1]!s_stm07_is($A620,"W70156729",TEXT($B$1,"yyyy/mm/dd"),1),"")</f>
        <v>2059088027.1700001</v>
      </c>
      <c r="C620">
        <f>IFERROR([1]!s_stm07_is($A620,"W75682424",TEXT($B$1,"yyyy/mm/dd"),1),"")</f>
        <v>1031721835.1799999</v>
      </c>
      <c r="D620">
        <f>IFERROR([1]!s_stm07_is($A620,"W76031679",TEXT($B$1,"yyyy/mm/dd"),1),"")</f>
        <v>412671829.13999999</v>
      </c>
      <c r="E620">
        <f>IFERROR([1]!s_stm07_is($A620,"W70752487",TEXT($B$1,"yyyy/mm/dd"),1),"")</f>
        <v>239178310.56</v>
      </c>
      <c r="F620">
        <f>IFERROR([1]!s_stm07_is_103($A620,TEXT($B$1,"yyyy/mm/dd"),1),"")</f>
        <v>54554236.590000004</v>
      </c>
      <c r="G620">
        <f>IFERROR([1]!s_stm07_is_104($A620,TEXT($B$1,"yyyy/mm/dd"),1),"")</f>
        <v>1161725.54</v>
      </c>
      <c r="H620">
        <f>IFERROR([1]!s_stm07_is_105($A620,TEXT($B$1,"yyyy/mm/dd"),1),"")</f>
        <v>13615107.1</v>
      </c>
      <c r="I620">
        <f>IFERROR([1]!s_stm07_is($A620,"W72946623",TEXT($B$1,"yyyy/mm/dd"),1),"")</f>
        <v>103878495.08</v>
      </c>
      <c r="J620">
        <f>IFERROR([1]!s_stm07_is($A620,"W30028333",TEXT($B$1,"yyyy/mm/dd"),1),"")</f>
        <v>112698348.56</v>
      </c>
      <c r="K620">
        <f>IFERROR([1]!s_stm07_cs($A620,"W77130581",TEXT($B$1,"yyyy/mm/dd"),1),"")</f>
        <v>61162687.579999998</v>
      </c>
      <c r="L620">
        <f>IFERROR([1]!s_stm07_cs($A620,"W77745895",TEXT($B$1,"yyyy/mm/dd"),1),"")</f>
        <v>535308549.06999999</v>
      </c>
      <c r="M620">
        <f>IFERROR([1]!S_FA_EPS_basic2($A620,$B$1,"Cur=CNY"),"")</f>
        <v>0.22</v>
      </c>
      <c r="N620">
        <f>IFERROR([1]!s_fa_arturndays($A620,TEXT($B$1,"yyyy/mm/dd")),"")</f>
        <v>108.03019999999999</v>
      </c>
      <c r="O620" t="str">
        <f>IFERROR([1]!fa_apturndays($A620,TEXT($B$1,"yyyy/mm/dd")),"")</f>
        <v>Fetch...</v>
      </c>
      <c r="P620">
        <f>IFERROR([1]!s_fa_invturndays($A620,TEXT($B$1,"yyyy/mm/dd")),"")</f>
        <v>347.45679999999999</v>
      </c>
    </row>
    <row r="621" spans="1:16">
      <c r="A621" t="s">
        <v>634</v>
      </c>
      <c r="B621">
        <f>IFERROR([1]!s_stm07_is($A621,"W70156729",TEXT($B$1,"yyyy/mm/dd"),1),"")</f>
        <v>7063687182.5799999</v>
      </c>
      <c r="C621">
        <f>IFERROR([1]!s_stm07_is($A621,"W75682424",TEXT($B$1,"yyyy/mm/dd"),1),"")</f>
        <v>4844642569.5699997</v>
      </c>
      <c r="D621">
        <f>IFERROR([1]!s_stm07_is($A621,"W76031679",TEXT($B$1,"yyyy/mm/dd"),1),"")</f>
        <v>750624015.87</v>
      </c>
      <c r="E621">
        <f>IFERROR([1]!s_stm07_is($A621,"W70752487",TEXT($B$1,"yyyy/mm/dd"),1),"")</f>
        <v>462462867.69999999</v>
      </c>
      <c r="F621">
        <f>IFERROR([1]!s_stm07_is_103($A621,TEXT($B$1,"yyyy/mm/dd"),1),"")</f>
        <v>403789662.02999997</v>
      </c>
      <c r="G621">
        <f>IFERROR([1]!s_stm07_is_104($A621,TEXT($B$1,"yyyy/mm/dd"),1),"")</f>
        <v>30300736.98</v>
      </c>
      <c r="H621">
        <f>IFERROR([1]!s_stm07_is_105($A621,TEXT($B$1,"yyyy/mm/dd"),1),"")</f>
        <v>63888935.960000001</v>
      </c>
      <c r="I621">
        <f>IFERROR([1]!s_stm07_is($A621,"W72946623",TEXT($B$1,"yyyy/mm/dd"),1),"")</f>
        <v>407182956.13</v>
      </c>
      <c r="J621">
        <f>IFERROR([1]!s_stm07_is($A621,"W30028333",TEXT($B$1,"yyyy/mm/dd"),1),"")</f>
        <v>307211098.94</v>
      </c>
      <c r="K621">
        <f>IFERROR([1]!s_stm07_cs($A621,"W77130581",TEXT($B$1,"yyyy/mm/dd"),1),"")</f>
        <v>1065542052.17</v>
      </c>
      <c r="L621">
        <f>IFERROR([1]!s_stm07_cs($A621,"W77745895",TEXT($B$1,"yyyy/mm/dd"),1),"")</f>
        <v>246217043.87</v>
      </c>
      <c r="M621">
        <f>IFERROR([1]!S_FA_EPS_basic2($A621,$B$1,"Cur=CNY"),"")</f>
        <v>0.11</v>
      </c>
      <c r="N621">
        <f>IFERROR([1]!s_fa_arturndays($A621,TEXT($B$1,"yyyy/mm/dd")),"")</f>
        <v>155.15899999999999</v>
      </c>
      <c r="O621" t="str">
        <f>IFERROR([1]!fa_apturndays($A621,TEXT($B$1,"yyyy/mm/dd")),"")</f>
        <v>Fetch...</v>
      </c>
      <c r="P621">
        <f>IFERROR([1]!s_fa_invturndays($A621,TEXT($B$1,"yyyy/mm/dd")),"")</f>
        <v>277.54219999999998</v>
      </c>
    </row>
    <row r="622" spans="1:16">
      <c r="A622" t="s">
        <v>635</v>
      </c>
      <c r="B622">
        <f>IFERROR([1]!s_stm07_is($A622,"W70156729",TEXT($B$1,"yyyy/mm/dd"),1),"")</f>
        <v>4659335913.5</v>
      </c>
      <c r="C622">
        <f>IFERROR([1]!s_stm07_is($A622,"W75682424",TEXT($B$1,"yyyy/mm/dd"),1),"")</f>
        <v>2388466450.1999998</v>
      </c>
      <c r="D622">
        <f>IFERROR([1]!s_stm07_is($A622,"W76031679",TEXT($B$1,"yyyy/mm/dd"),1),"")</f>
        <v>1258301474.99</v>
      </c>
      <c r="E622">
        <f>IFERROR([1]!s_stm07_is($A622,"W70752487",TEXT($B$1,"yyyy/mm/dd"),1),"")</f>
        <v>456821095.98000002</v>
      </c>
      <c r="F622">
        <f>IFERROR([1]!s_stm07_is_103($A622,TEXT($B$1,"yyyy/mm/dd"),1),"")</f>
        <v>274631109.45999998</v>
      </c>
      <c r="G622">
        <f>IFERROR([1]!s_stm07_is_104($A622,TEXT($B$1,"yyyy/mm/dd"),1),"")</f>
        <v>38881795.299999997</v>
      </c>
      <c r="H622">
        <f>IFERROR([1]!s_stm07_is_105($A622,TEXT($B$1,"yyyy/mm/dd"),1),"")</f>
        <v>21556449.100000001</v>
      </c>
      <c r="I622">
        <f>IFERROR([1]!s_stm07_is($A622,"W72946623",TEXT($B$1,"yyyy/mm/dd"),1),"")</f>
        <v>74054037.069999993</v>
      </c>
      <c r="J622">
        <f>IFERROR([1]!s_stm07_is($A622,"W30028333",TEXT($B$1,"yyyy/mm/dd"),1),"")</f>
        <v>92648858.689999998</v>
      </c>
      <c r="K622">
        <f>IFERROR([1]!s_stm07_cs($A622,"W77130581",TEXT($B$1,"yyyy/mm/dd"),1),"")</f>
        <v>605144568.58000004</v>
      </c>
      <c r="L622">
        <f>IFERROR([1]!s_stm07_cs($A622,"W77745895",TEXT($B$1,"yyyy/mm/dd"),1),"")</f>
        <v>198871579.44999999</v>
      </c>
      <c r="M622">
        <f>IFERROR([1]!S_FA_EPS_basic2($A622,$B$1,"Cur=CNY"),"")</f>
        <v>0.16850000000000001</v>
      </c>
      <c r="N622">
        <f>IFERROR([1]!s_fa_arturndays($A622,TEXT($B$1,"yyyy/mm/dd")),"")</f>
        <v>43.788200000000003</v>
      </c>
      <c r="O622" t="str">
        <f>IFERROR([1]!fa_apturndays($A622,TEXT($B$1,"yyyy/mm/dd")),"")</f>
        <v>Fetch...</v>
      </c>
      <c r="P622">
        <f>IFERROR([1]!s_fa_invturndays($A622,TEXT($B$1,"yyyy/mm/dd")),"")</f>
        <v>107.2418</v>
      </c>
    </row>
    <row r="623" spans="1:16">
      <c r="A623" t="s">
        <v>636</v>
      </c>
      <c r="B623">
        <f>IFERROR([1]!s_stm07_is($A623,"W70156729",TEXT($B$1,"yyyy/mm/dd"),1),"")</f>
        <v>3449316963.4200001</v>
      </c>
      <c r="C623">
        <f>IFERROR([1]!s_stm07_is($A623,"W75682424",TEXT($B$1,"yyyy/mm/dd"),1),"")</f>
        <v>2717604585.52</v>
      </c>
      <c r="D623">
        <f>IFERROR([1]!s_stm07_is($A623,"W76031679",TEXT($B$1,"yyyy/mm/dd"),1),"")</f>
        <v>68501267.989999995</v>
      </c>
      <c r="E623">
        <f>IFERROR([1]!s_stm07_is($A623,"W70752487",TEXT($B$1,"yyyy/mm/dd"),1),"")</f>
        <v>173208234.53999999</v>
      </c>
      <c r="F623">
        <f>IFERROR([1]!s_stm07_is_103($A623,TEXT($B$1,"yyyy/mm/dd"),1),"")</f>
        <v>202181465.19999999</v>
      </c>
      <c r="G623">
        <f>IFERROR([1]!s_stm07_is_104($A623,TEXT($B$1,"yyyy/mm/dd"),1),"")</f>
        <v>-250402.79</v>
      </c>
      <c r="H623">
        <f>IFERROR([1]!s_stm07_is_105($A623,TEXT($B$1,"yyyy/mm/dd"),1),"")</f>
        <v>24398543.399999999</v>
      </c>
      <c r="I623">
        <f>IFERROR([1]!s_stm07_is($A623,"W72946623",TEXT($B$1,"yyyy/mm/dd"),1),"")</f>
        <v>340485868.22000003</v>
      </c>
      <c r="J623">
        <f>IFERROR([1]!s_stm07_is($A623,"W30028333",TEXT($B$1,"yyyy/mm/dd"),1),"")</f>
        <v>304973710.56</v>
      </c>
      <c r="K623">
        <f>IFERROR([1]!s_stm07_cs($A623,"W77130581",TEXT($B$1,"yyyy/mm/dd"),1),"")</f>
        <v>611840044.12</v>
      </c>
      <c r="L623">
        <f>IFERROR([1]!s_stm07_cs($A623,"W77745895",TEXT($B$1,"yyyy/mm/dd"),1),"")</f>
        <v>366202845.62</v>
      </c>
      <c r="M623">
        <f>IFERROR([1]!S_FA_EPS_basic2($A623,$B$1,"Cur=CNY"),"")</f>
        <v>0.22</v>
      </c>
      <c r="N623">
        <f>IFERROR([1]!s_fa_arturndays($A623,TEXT($B$1,"yyyy/mm/dd")),"")</f>
        <v>126.9349</v>
      </c>
      <c r="O623" t="str">
        <f>IFERROR([1]!fa_apturndays($A623,TEXT($B$1,"yyyy/mm/dd")),"")</f>
        <v>Fetch...</v>
      </c>
      <c r="P623">
        <f>IFERROR([1]!s_fa_invturndays($A623,TEXT($B$1,"yyyy/mm/dd")),"")</f>
        <v>49.712800000000001</v>
      </c>
    </row>
    <row r="624" spans="1:16">
      <c r="A624" t="s">
        <v>637</v>
      </c>
      <c r="B624">
        <f>IFERROR([1]!s_stm07_is($A624,"W70156729",TEXT($B$1,"yyyy/mm/dd"),1),"")</f>
        <v>38239935640.669998</v>
      </c>
      <c r="C624">
        <f>IFERROR([1]!s_stm07_is($A624,"W75682424",TEXT($B$1,"yyyy/mm/dd"),1),"")</f>
        <v>22165537126.77</v>
      </c>
      <c r="D624">
        <f>IFERROR([1]!s_stm07_is($A624,"W76031679",TEXT($B$1,"yyyy/mm/dd"),1),"")</f>
        <v>226175162.00999999</v>
      </c>
      <c r="E624">
        <f>IFERROR([1]!s_stm07_is($A624,"W70752487",TEXT($B$1,"yyyy/mm/dd"),1),"")</f>
        <v>760874544.38999999</v>
      </c>
      <c r="F624">
        <f>IFERROR([1]!s_stm07_is_103($A624,TEXT($B$1,"yyyy/mm/dd"),1),"")</f>
        <v>1615281749.3800001</v>
      </c>
      <c r="G624">
        <f>IFERROR([1]!s_stm07_is_104($A624,TEXT($B$1,"yyyy/mm/dd"),1),"")</f>
        <v>62592858.170000002</v>
      </c>
      <c r="H624">
        <f>IFERROR([1]!s_stm07_is_105($A624,TEXT($B$1,"yyyy/mm/dd"),1),"")</f>
        <v>244309511.03</v>
      </c>
      <c r="I624">
        <f>IFERROR([1]!s_stm07_is($A624,"W72946623",TEXT($B$1,"yyyy/mm/dd"),1),"")</f>
        <v>13599623819.76</v>
      </c>
      <c r="J624">
        <f>IFERROR([1]!s_stm07_is($A624,"W30028333",TEXT($B$1,"yyyy/mm/dd"),1),"")</f>
        <v>10797254300.450001</v>
      </c>
      <c r="K624">
        <f>IFERROR([1]!s_stm07_cs($A624,"W77130581",TEXT($B$1,"yyyy/mm/dd"),1),"")</f>
        <v>10896126160.030001</v>
      </c>
      <c r="L624">
        <f>IFERROR([1]!s_stm07_cs($A624,"W77745895",TEXT($B$1,"yyyy/mm/dd"),1),"")</f>
        <v>2759994695.9099998</v>
      </c>
      <c r="M624">
        <f>IFERROR([1]!S_FA_EPS_basic2($A624,$B$1,"Cur=CNY"),"")</f>
        <v>9.8000000000000007</v>
      </c>
      <c r="N624">
        <f>IFERROR([1]!s_fa_arturndays($A624,TEXT($B$1,"yyyy/mm/dd")),"")</f>
        <v>51.215699999999998</v>
      </c>
      <c r="O624" t="str">
        <f>IFERROR([1]!fa_apturndays($A624,TEXT($B$1,"yyyy/mm/dd")),"")</f>
        <v>Fetch...</v>
      </c>
      <c r="P624">
        <f>IFERROR([1]!s_fa_invturndays($A624,TEXT($B$1,"yyyy/mm/dd")),"")</f>
        <v>160.23500000000001</v>
      </c>
    </row>
    <row r="625" spans="1:16">
      <c r="A625" t="s">
        <v>638</v>
      </c>
      <c r="B625">
        <f>IFERROR([1]!s_stm07_is($A625,"W70156729",TEXT($B$1,"yyyy/mm/dd"),1),"")</f>
        <v>706058793.75</v>
      </c>
      <c r="C625">
        <f>IFERROR([1]!s_stm07_is($A625,"W75682424",TEXT($B$1,"yyyy/mm/dd"),1),"")</f>
        <v>185760283.53</v>
      </c>
      <c r="D625">
        <f>IFERROR([1]!s_stm07_is($A625,"W76031679",TEXT($B$1,"yyyy/mm/dd"),1),"")</f>
        <v>189130379.16</v>
      </c>
      <c r="E625">
        <f>IFERROR([1]!s_stm07_is($A625,"W70752487",TEXT($B$1,"yyyy/mm/dd"),1),"")</f>
        <v>110936101.72</v>
      </c>
      <c r="F625">
        <f>IFERROR([1]!s_stm07_is_103($A625,TEXT($B$1,"yyyy/mm/dd"),1),"")</f>
        <v>260751681.06</v>
      </c>
      <c r="G625">
        <f>IFERROR([1]!s_stm07_is_104($A625,TEXT($B$1,"yyyy/mm/dd"),1),"")</f>
        <v>2526707.9500000002</v>
      </c>
      <c r="H625">
        <f>IFERROR([1]!s_stm07_is_105($A625,TEXT($B$1,"yyyy/mm/dd"),1),"")</f>
        <v>107366342.17</v>
      </c>
      <c r="I625">
        <f>IFERROR([1]!s_stm07_is($A625,"W72946623",TEXT($B$1,"yyyy/mm/dd"),1),"")</f>
        <v>-138683805.02000001</v>
      </c>
      <c r="J625">
        <f>IFERROR([1]!s_stm07_is($A625,"W30028333",TEXT($B$1,"yyyy/mm/dd"),1),"")</f>
        <v>-157013244.44999999</v>
      </c>
      <c r="K625">
        <f>IFERROR([1]!s_stm07_cs($A625,"W77130581",TEXT($B$1,"yyyy/mm/dd"),1),"")</f>
        <v>-6882751.9199999999</v>
      </c>
      <c r="L625">
        <f>IFERROR([1]!s_stm07_cs($A625,"W77745895",TEXT($B$1,"yyyy/mm/dd"),1),"")</f>
        <v>4620789.37</v>
      </c>
      <c r="M625">
        <f>IFERROR([1]!S_FA_EPS_basic2($A625,$B$1,"Cur=CNY"),"")</f>
        <v>-0.06</v>
      </c>
      <c r="N625">
        <f>IFERROR([1]!s_fa_arturndays($A625,TEXT($B$1,"yyyy/mm/dd")),"")</f>
        <v>55.534100000000002</v>
      </c>
      <c r="O625" t="str">
        <f>IFERROR([1]!fa_apturndays($A625,TEXT($B$1,"yyyy/mm/dd")),"")</f>
        <v>Fetch...</v>
      </c>
      <c r="P625">
        <f>IFERROR([1]!s_fa_invturndays($A625,TEXT($B$1,"yyyy/mm/dd")),"")</f>
        <v>22.592099999999999</v>
      </c>
    </row>
    <row r="626" spans="1:16">
      <c r="A626" t="s">
        <v>639</v>
      </c>
      <c r="B626">
        <f>IFERROR([1]!s_stm07_is($A626,"W70156729",TEXT($B$1,"yyyy/mm/dd"),1),"")</f>
        <v>11357487102.93</v>
      </c>
      <c r="C626">
        <f>IFERROR([1]!s_stm07_is($A626,"W75682424",TEXT($B$1,"yyyy/mm/dd"),1),"")</f>
        <v>8077412556.5</v>
      </c>
      <c r="D626">
        <f>IFERROR([1]!s_stm07_is($A626,"W76031679",TEXT($B$1,"yyyy/mm/dd"),1),"")</f>
        <v>85029924.430000007</v>
      </c>
      <c r="E626">
        <f>IFERROR([1]!s_stm07_is($A626,"W70752487",TEXT($B$1,"yyyy/mm/dd"),1),"")</f>
        <v>496051998.37</v>
      </c>
      <c r="F626">
        <f>IFERROR([1]!s_stm07_is_103($A626,TEXT($B$1,"yyyy/mm/dd"),1),"")</f>
        <v>954983771.10000002</v>
      </c>
      <c r="G626">
        <f>IFERROR([1]!s_stm07_is_104($A626,TEXT($B$1,"yyyy/mm/dd"),1),"")</f>
        <v>39584202.579999998</v>
      </c>
      <c r="H626">
        <f>IFERROR([1]!s_stm07_is_105($A626,TEXT($B$1,"yyyy/mm/dd"),1),"")</f>
        <v>20661824.27</v>
      </c>
      <c r="I626">
        <f>IFERROR([1]!s_stm07_is($A626,"W72946623",TEXT($B$1,"yyyy/mm/dd"),1),"")</f>
        <v>1132336091.99</v>
      </c>
      <c r="J626">
        <f>IFERROR([1]!s_stm07_is($A626,"W30028333",TEXT($B$1,"yyyy/mm/dd"),1),"")</f>
        <v>884734667.28999996</v>
      </c>
      <c r="K626">
        <f>IFERROR([1]!s_stm07_cs($A626,"W77130581",TEXT($B$1,"yyyy/mm/dd"),1),"")</f>
        <v>738937931.88</v>
      </c>
      <c r="L626">
        <f>IFERROR([1]!s_stm07_cs($A626,"W77745895",TEXT($B$1,"yyyy/mm/dd"),1),"")</f>
        <v>559207780.16999996</v>
      </c>
      <c r="M626">
        <f>IFERROR([1]!S_FA_EPS_basic2($A626,$B$1,"Cur=CNY"),"")</f>
        <v>0.68</v>
      </c>
      <c r="N626">
        <f>IFERROR([1]!s_fa_arturndays($A626,TEXT($B$1,"yyyy/mm/dd")),"")</f>
        <v>92.274600000000007</v>
      </c>
      <c r="O626" t="str">
        <f>IFERROR([1]!fa_apturndays($A626,TEXT($B$1,"yyyy/mm/dd")),"")</f>
        <v>Fetch...</v>
      </c>
      <c r="P626">
        <f>IFERROR([1]!s_fa_invturndays($A626,TEXT($B$1,"yyyy/mm/dd")),"")</f>
        <v>413.79309999999998</v>
      </c>
    </row>
    <row r="627" spans="1:16">
      <c r="A627" t="s">
        <v>640</v>
      </c>
      <c r="B627">
        <f>IFERROR([1]!s_stm07_is($A627,"W70156729",TEXT($B$1,"yyyy/mm/dd"),1),"")</f>
        <v>3793892570.4200001</v>
      </c>
      <c r="C627">
        <f>IFERROR([1]!s_stm07_is($A627,"W75682424",TEXT($B$1,"yyyy/mm/dd"),1),"")</f>
        <v>3167482400.9200001</v>
      </c>
      <c r="D627">
        <f>IFERROR([1]!s_stm07_is($A627,"W76031679",TEXT($B$1,"yyyy/mm/dd"),1),"")</f>
        <v>45307757.549999997</v>
      </c>
      <c r="E627">
        <f>IFERROR([1]!s_stm07_is($A627,"W70752487",TEXT($B$1,"yyyy/mm/dd"),1),"")</f>
        <v>106237711.14</v>
      </c>
      <c r="F627">
        <f>IFERROR([1]!s_stm07_is_103($A627,TEXT($B$1,"yyyy/mm/dd"),1),"")</f>
        <v>170356983.05000001</v>
      </c>
      <c r="G627">
        <f>IFERROR([1]!s_stm07_is_104($A627,TEXT($B$1,"yyyy/mm/dd"),1),"")</f>
        <v>6451793.1100000003</v>
      </c>
      <c r="H627">
        <f>IFERROR([1]!s_stm07_is_105($A627,TEXT($B$1,"yyyy/mm/dd"),1),"")</f>
        <v>33629572.780000001</v>
      </c>
      <c r="I627">
        <f>IFERROR([1]!s_stm07_is($A627,"W72946623",TEXT($B$1,"yyyy/mm/dd"),1),"")</f>
        <v>345854091.93000001</v>
      </c>
      <c r="J627">
        <f>IFERROR([1]!s_stm07_is($A627,"W30028333",TEXT($B$1,"yyyy/mm/dd"),1),"")</f>
        <v>316329411.44999999</v>
      </c>
      <c r="K627">
        <f>IFERROR([1]!s_stm07_cs($A627,"W77130581",TEXT($B$1,"yyyy/mm/dd"),1),"")</f>
        <v>603104798.98000002</v>
      </c>
      <c r="L627">
        <f>IFERROR([1]!s_stm07_cs($A627,"W77745895",TEXT($B$1,"yyyy/mm/dd"),1),"")</f>
        <v>513905545.5</v>
      </c>
      <c r="M627">
        <f>IFERROR([1]!S_FA_EPS_basic2($A627,$B$1,"Cur=CNY"),"")</f>
        <v>0.35970000000000002</v>
      </c>
      <c r="N627">
        <f>IFERROR([1]!s_fa_arturndays($A627,TEXT($B$1,"yyyy/mm/dd")),"")</f>
        <v>109.3527</v>
      </c>
      <c r="O627" t="str">
        <f>IFERROR([1]!fa_apturndays($A627,TEXT($B$1,"yyyy/mm/dd")),"")</f>
        <v>Fetch...</v>
      </c>
      <c r="P627">
        <f>IFERROR([1]!s_fa_invturndays($A627,TEXT($B$1,"yyyy/mm/dd")),"")</f>
        <v>61.780299999999997</v>
      </c>
    </row>
    <row r="628" spans="1:16">
      <c r="A628" t="s">
        <v>641</v>
      </c>
      <c r="B628">
        <f>IFERROR([1]!s_stm07_is($A628,"W70156729",TEXT($B$1,"yyyy/mm/dd"),1),"")</f>
        <v>5408015472.3599997</v>
      </c>
      <c r="C628">
        <f>IFERROR([1]!s_stm07_is($A628,"W75682424",TEXT($B$1,"yyyy/mm/dd"),1),"")</f>
        <v>5073049848.2200003</v>
      </c>
      <c r="D628">
        <f>IFERROR([1]!s_stm07_is($A628,"W76031679",TEXT($B$1,"yyyy/mm/dd"),1),"")</f>
        <v>47821128.420000002</v>
      </c>
      <c r="E628">
        <f>IFERROR([1]!s_stm07_is($A628,"W70752487",TEXT($B$1,"yyyy/mm/dd"),1),"")</f>
        <v>270766598.26999998</v>
      </c>
      <c r="F628">
        <f>IFERROR([1]!s_stm07_is_103($A628,TEXT($B$1,"yyyy/mm/dd"),1),"")</f>
        <v>222984494.81999999</v>
      </c>
      <c r="G628">
        <f>IFERROR([1]!s_stm07_is_104($A628,TEXT($B$1,"yyyy/mm/dd"),1),"")</f>
        <v>123195215.78</v>
      </c>
      <c r="H628">
        <f>IFERROR([1]!s_stm07_is_105($A628,TEXT($B$1,"yyyy/mm/dd"),1),"")</f>
        <v>4043868.6</v>
      </c>
      <c r="I628">
        <f>IFERROR([1]!s_stm07_is($A628,"W72946623",TEXT($B$1,"yyyy/mm/dd"),1),"")</f>
        <v>-507328581.87</v>
      </c>
      <c r="J628">
        <f>IFERROR([1]!s_stm07_is($A628,"W30028333",TEXT($B$1,"yyyy/mm/dd"),1),"")</f>
        <v>-438075274.79000002</v>
      </c>
      <c r="K628">
        <f>IFERROR([1]!s_stm07_cs($A628,"W77130581",TEXT($B$1,"yyyy/mm/dd"),1),"")</f>
        <v>-645412057.92999995</v>
      </c>
      <c r="L628">
        <f>IFERROR([1]!s_stm07_cs($A628,"W77745895",TEXT($B$1,"yyyy/mm/dd"),1),"")</f>
        <v>1151027691.96</v>
      </c>
      <c r="M628">
        <f>IFERROR([1]!S_FA_EPS_basic2($A628,$B$1,"Cur=CNY"),"")</f>
        <v>-0.27</v>
      </c>
      <c r="N628">
        <f>IFERROR([1]!s_fa_arturndays($A628,TEXT($B$1,"yyyy/mm/dd")),"")</f>
        <v>75.743200000000002</v>
      </c>
      <c r="O628" t="str">
        <f>IFERROR([1]!fa_apturndays($A628,TEXT($B$1,"yyyy/mm/dd")),"")</f>
        <v>Fetch...</v>
      </c>
      <c r="P628">
        <f>IFERROR([1]!s_fa_invturndays($A628,TEXT($B$1,"yyyy/mm/dd")),"")</f>
        <v>105.5997</v>
      </c>
    </row>
    <row r="629" spans="1:16">
      <c r="A629" t="s">
        <v>642</v>
      </c>
      <c r="B629">
        <f>IFERROR([1]!s_stm07_is($A629,"W70156729",TEXT($B$1,"yyyy/mm/dd"),1),"")</f>
        <v>1284188766.8800001</v>
      </c>
      <c r="C629">
        <f>IFERROR([1]!s_stm07_is($A629,"W75682424",TEXT($B$1,"yyyy/mm/dd"),1),"")</f>
        <v>879570958.50999999</v>
      </c>
      <c r="D629">
        <f>IFERROR([1]!s_stm07_is($A629,"W76031679",TEXT($B$1,"yyyy/mm/dd"),1),"")</f>
        <v>14534634.060000001</v>
      </c>
      <c r="E629">
        <f>IFERROR([1]!s_stm07_is($A629,"W70752487",TEXT($B$1,"yyyy/mm/dd"),1),"")</f>
        <v>56891051.880000003</v>
      </c>
      <c r="F629">
        <f>IFERROR([1]!s_stm07_is_103($A629,TEXT($B$1,"yyyy/mm/dd"),1),"")</f>
        <v>298772726.76999998</v>
      </c>
      <c r="G629">
        <f>IFERROR([1]!s_stm07_is_104($A629,TEXT($B$1,"yyyy/mm/dd"),1),"")</f>
        <v>1906977.41</v>
      </c>
      <c r="H629">
        <f>IFERROR([1]!s_stm07_is_105($A629,TEXT($B$1,"yyyy/mm/dd"),1),"")</f>
        <v>6546986.2000000002</v>
      </c>
      <c r="I629">
        <f>IFERROR([1]!s_stm07_is($A629,"W72946623",TEXT($B$1,"yyyy/mm/dd"),1),"")</f>
        <v>15876314.43</v>
      </c>
      <c r="J629">
        <f>IFERROR([1]!s_stm07_is($A629,"W30028333",TEXT($B$1,"yyyy/mm/dd"),1),"")</f>
        <v>60163558.880000003</v>
      </c>
      <c r="K629">
        <f>IFERROR([1]!s_stm07_cs($A629,"W77130581",TEXT($B$1,"yyyy/mm/dd"),1),"")</f>
        <v>195032707.91999999</v>
      </c>
      <c r="L629">
        <f>IFERROR([1]!s_stm07_cs($A629,"W77745895",TEXT($B$1,"yyyy/mm/dd"),1),"")</f>
        <v>46874293.490000002</v>
      </c>
      <c r="M629">
        <f>IFERROR([1]!S_FA_EPS_basic2($A629,$B$1,"Cur=CNY"),"")</f>
        <v>0.1769</v>
      </c>
      <c r="N629">
        <f>IFERROR([1]!s_fa_arturndays($A629,TEXT($B$1,"yyyy/mm/dd")),"")</f>
        <v>49.878799999999998</v>
      </c>
      <c r="O629" t="str">
        <f>IFERROR([1]!fa_apturndays($A629,TEXT($B$1,"yyyy/mm/dd")),"")</f>
        <v>Fetch...</v>
      </c>
      <c r="P629">
        <f>IFERROR([1]!s_fa_invturndays($A629,TEXT($B$1,"yyyy/mm/dd")),"")</f>
        <v>218.3141</v>
      </c>
    </row>
    <row r="630" spans="1:16">
      <c r="A630" t="s">
        <v>643</v>
      </c>
      <c r="B630">
        <f>IFERROR([1]!s_stm07_is($A630,"W70156729",TEXT($B$1,"yyyy/mm/dd"),1),"")</f>
        <v>6394990633.1400003</v>
      </c>
      <c r="C630">
        <f>IFERROR([1]!s_stm07_is($A630,"W75682424",TEXT($B$1,"yyyy/mm/dd"),1),"")</f>
        <v>5762920574.3699999</v>
      </c>
      <c r="D630">
        <f>IFERROR([1]!s_stm07_is($A630,"W76031679",TEXT($B$1,"yyyy/mm/dd"),1),"")</f>
        <v>26152226.48</v>
      </c>
      <c r="E630">
        <f>IFERROR([1]!s_stm07_is($A630,"W70752487",TEXT($B$1,"yyyy/mm/dd"),1),"")</f>
        <v>72781938.709999993</v>
      </c>
      <c r="F630">
        <f>IFERROR([1]!s_stm07_is_103($A630,TEXT($B$1,"yyyy/mm/dd"),1),"")</f>
        <v>305831729.26999998</v>
      </c>
      <c r="G630">
        <f>IFERROR([1]!s_stm07_is_104($A630,TEXT($B$1,"yyyy/mm/dd"),1),"")</f>
        <v>130153044.68000001</v>
      </c>
      <c r="H630">
        <f>IFERROR([1]!s_stm07_is_105($A630,TEXT($B$1,"yyyy/mm/dd"),1),"")</f>
        <v>9977269.9800000004</v>
      </c>
      <c r="I630">
        <f>IFERROR([1]!s_stm07_is($A630,"W72946623",TEXT($B$1,"yyyy/mm/dd"),1),"")</f>
        <v>63070170.640000001</v>
      </c>
      <c r="J630">
        <f>IFERROR([1]!s_stm07_is($A630,"W30028333",TEXT($B$1,"yyyy/mm/dd"),1),"")</f>
        <v>46259642.509999998</v>
      </c>
      <c r="K630">
        <f>IFERROR([1]!s_stm07_cs($A630,"W77130581",TEXT($B$1,"yyyy/mm/dd"),1),"")</f>
        <v>-504480910.25999999</v>
      </c>
      <c r="L630">
        <f>IFERROR([1]!s_stm07_cs($A630,"W77745895",TEXT($B$1,"yyyy/mm/dd"),1),"")</f>
        <v>189912085.93000001</v>
      </c>
      <c r="M630">
        <f>IFERROR([1]!S_FA_EPS_basic2($A630,$B$1,"Cur=CNY"),"")</f>
        <v>5.6300000000000003E-2</v>
      </c>
      <c r="N630">
        <f>IFERROR([1]!s_fa_arturndays($A630,TEXT($B$1,"yyyy/mm/dd")),"")</f>
        <v>63.756300000000003</v>
      </c>
      <c r="O630" t="str">
        <f>IFERROR([1]!fa_apturndays($A630,TEXT($B$1,"yyyy/mm/dd")),"")</f>
        <v>Fetch...</v>
      </c>
      <c r="P630">
        <f>IFERROR([1]!s_fa_invturndays($A630,TEXT($B$1,"yyyy/mm/dd")),"")</f>
        <v>111.6348</v>
      </c>
    </row>
    <row r="631" spans="1:16">
      <c r="A631" t="s">
        <v>644</v>
      </c>
      <c r="B631">
        <f>IFERROR([1]!s_stm07_is($A631,"W70156729",TEXT($B$1,"yyyy/mm/dd"),1),"")</f>
        <v>3982200512.5500002</v>
      </c>
      <c r="C631">
        <f>IFERROR([1]!s_stm07_is($A631,"W75682424",TEXT($B$1,"yyyy/mm/dd"),1),"")</f>
        <v>3056274845.4400001</v>
      </c>
      <c r="D631">
        <f>IFERROR([1]!s_stm07_is($A631,"W76031679",TEXT($B$1,"yyyy/mm/dd"),1),"")</f>
        <v>105344451.45</v>
      </c>
      <c r="E631">
        <f>IFERROR([1]!s_stm07_is($A631,"W70752487",TEXT($B$1,"yyyy/mm/dd"),1),"")</f>
        <v>282849297.39999998</v>
      </c>
      <c r="F631">
        <f>IFERROR([1]!s_stm07_is_103($A631,TEXT($B$1,"yyyy/mm/dd"),1),"")</f>
        <v>289828227.73000002</v>
      </c>
      <c r="G631">
        <f>IFERROR([1]!s_stm07_is_104($A631,TEXT($B$1,"yyyy/mm/dd"),1),"")</f>
        <v>36021132.770000003</v>
      </c>
      <c r="H631">
        <f>IFERROR([1]!s_stm07_is_105($A631,TEXT($B$1,"yyyy/mm/dd"),1),"")</f>
        <v>4041761.41</v>
      </c>
      <c r="I631">
        <f>IFERROR([1]!s_stm07_is($A631,"W72946623",TEXT($B$1,"yyyy/mm/dd"),1),"")</f>
        <v>103867329.38</v>
      </c>
      <c r="J631">
        <f>IFERROR([1]!s_stm07_is($A631,"W30028333",TEXT($B$1,"yyyy/mm/dd"),1),"")</f>
        <v>96972274.200000003</v>
      </c>
      <c r="K631">
        <f>IFERROR([1]!s_stm07_cs($A631,"W77130581",TEXT($B$1,"yyyy/mm/dd"),1),"")</f>
        <v>146299058.77000001</v>
      </c>
      <c r="L631">
        <f>IFERROR([1]!s_stm07_cs($A631,"W77745895",TEXT($B$1,"yyyy/mm/dd"),1),"")</f>
        <v>110191739.83</v>
      </c>
      <c r="M631">
        <f>IFERROR([1]!S_FA_EPS_basic2($A631,$B$1,"Cur=CNY"),"")</f>
        <v>0.12</v>
      </c>
      <c r="N631">
        <f>IFERROR([1]!s_fa_arturndays($A631,TEXT($B$1,"yyyy/mm/dd")),"")</f>
        <v>186.62520000000001</v>
      </c>
      <c r="O631" t="str">
        <f>IFERROR([1]!fa_apturndays($A631,TEXT($B$1,"yyyy/mm/dd")),"")</f>
        <v>Fetch...</v>
      </c>
      <c r="P631">
        <f>IFERROR([1]!s_fa_invturndays($A631,TEXT($B$1,"yyyy/mm/dd")),"")</f>
        <v>43.289499999999997</v>
      </c>
    </row>
    <row r="632" spans="1:16">
      <c r="A632" t="s">
        <v>645</v>
      </c>
      <c r="B632">
        <f>IFERROR([1]!s_stm07_is($A632,"W70156729",TEXT($B$1,"yyyy/mm/dd"),1),"")</f>
        <v>1522512790.6400001</v>
      </c>
      <c r="C632">
        <f>IFERROR([1]!s_stm07_is($A632,"W75682424",TEXT($B$1,"yyyy/mm/dd"),1),"")</f>
        <v>906346896.94000006</v>
      </c>
      <c r="D632">
        <f>IFERROR([1]!s_stm07_is($A632,"W76031679",TEXT($B$1,"yyyy/mm/dd"),1),"")</f>
        <v>135343452.25</v>
      </c>
      <c r="E632">
        <f>IFERROR([1]!s_stm07_is($A632,"W70752487",TEXT($B$1,"yyyy/mm/dd"),1),"")</f>
        <v>198584630.80000001</v>
      </c>
      <c r="F632">
        <f>IFERROR([1]!s_stm07_is_103($A632,TEXT($B$1,"yyyy/mm/dd"),1),"")</f>
        <v>84607858.390000001</v>
      </c>
      <c r="G632">
        <f>IFERROR([1]!s_stm07_is_104($A632,TEXT($B$1,"yyyy/mm/dd"),1),"")</f>
        <v>3117983.28</v>
      </c>
      <c r="H632">
        <f>IFERROR([1]!s_stm07_is_105($A632,TEXT($B$1,"yyyy/mm/dd"),1),"")</f>
        <v>15391861.949999999</v>
      </c>
      <c r="I632">
        <f>IFERROR([1]!s_stm07_is($A632,"W72946623",TEXT($B$1,"yyyy/mm/dd"),1),"")</f>
        <v>177665821.46000001</v>
      </c>
      <c r="J632">
        <f>IFERROR([1]!s_stm07_is($A632,"W30028333",TEXT($B$1,"yyyy/mm/dd"),1),"")</f>
        <v>171621758.78999999</v>
      </c>
      <c r="K632">
        <f>IFERROR([1]!s_stm07_cs($A632,"W77130581",TEXT($B$1,"yyyy/mm/dd"),1),"")</f>
        <v>146614879.86000001</v>
      </c>
      <c r="L632">
        <f>IFERROR([1]!s_stm07_cs($A632,"W77745895",TEXT($B$1,"yyyy/mm/dd"),1),"")</f>
        <v>84913766.730000004</v>
      </c>
      <c r="M632">
        <f>IFERROR([1]!S_FA_EPS_basic2($A632,$B$1,"Cur=CNY"),"")</f>
        <v>0.33169999999999999</v>
      </c>
      <c r="N632">
        <f>IFERROR([1]!s_fa_arturndays($A632,TEXT($B$1,"yyyy/mm/dd")),"")</f>
        <v>150.9434</v>
      </c>
      <c r="O632" t="str">
        <f>IFERROR([1]!fa_apturndays($A632,TEXT($B$1,"yyyy/mm/dd")),"")</f>
        <v>Fetch...</v>
      </c>
      <c r="P632">
        <f>IFERROR([1]!s_fa_invturndays($A632,TEXT($B$1,"yyyy/mm/dd")),"")</f>
        <v>138.08449999999999</v>
      </c>
    </row>
    <row r="633" spans="1:16">
      <c r="A633" t="s">
        <v>646</v>
      </c>
      <c r="B633">
        <f>IFERROR([1]!s_stm07_is($A633,"W70156729",TEXT($B$1,"yyyy/mm/dd"),1),"")</f>
        <v>2585462641.1799998</v>
      </c>
      <c r="C633">
        <f>IFERROR([1]!s_stm07_is($A633,"W75682424",TEXT($B$1,"yyyy/mm/dd"),1),"")</f>
        <v>1561088285.9000001</v>
      </c>
      <c r="D633">
        <f>IFERROR([1]!s_stm07_is($A633,"W76031679",TEXT($B$1,"yyyy/mm/dd"),1),"")</f>
        <v>79888752.590000004</v>
      </c>
      <c r="E633">
        <f>IFERROR([1]!s_stm07_is($A633,"W70752487",TEXT($B$1,"yyyy/mm/dd"),1),"")</f>
        <v>225583930.96000001</v>
      </c>
      <c r="F633">
        <f>IFERROR([1]!s_stm07_is_103($A633,TEXT($B$1,"yyyy/mm/dd"),1),"")</f>
        <v>207328790.03</v>
      </c>
      <c r="G633">
        <f>IFERROR([1]!s_stm07_is_104($A633,TEXT($B$1,"yyyy/mm/dd"),1),"")</f>
        <v>28465254.579999998</v>
      </c>
      <c r="H633">
        <f>IFERROR([1]!s_stm07_is_105($A633,TEXT($B$1,"yyyy/mm/dd"),1),"")</f>
        <v>10190399.98</v>
      </c>
      <c r="I633">
        <f>IFERROR([1]!s_stm07_is($A633,"W72946623",TEXT($B$1,"yyyy/mm/dd"),1),"")</f>
        <v>469271530.76999998</v>
      </c>
      <c r="J633">
        <f>IFERROR([1]!s_stm07_is($A633,"W30028333",TEXT($B$1,"yyyy/mm/dd"),1),"")</f>
        <v>319755424.08999997</v>
      </c>
      <c r="K633">
        <f>IFERROR([1]!s_stm07_cs($A633,"W77130581",TEXT($B$1,"yyyy/mm/dd"),1),"")</f>
        <v>732522948.58000004</v>
      </c>
      <c r="L633">
        <f>IFERROR([1]!s_stm07_cs($A633,"W77745895",TEXT($B$1,"yyyy/mm/dd"),1),"")</f>
        <v>170036383.15000001</v>
      </c>
      <c r="M633">
        <f>IFERROR([1]!S_FA_EPS_basic2($A633,$B$1,"Cur=CNY"),"")</f>
        <v>0.46</v>
      </c>
      <c r="N633">
        <f>IFERROR([1]!s_fa_arturndays($A633,TEXT($B$1,"yyyy/mm/dd")),"")</f>
        <v>89.641400000000004</v>
      </c>
      <c r="O633" t="str">
        <f>IFERROR([1]!fa_apturndays($A633,TEXT($B$1,"yyyy/mm/dd")),"")</f>
        <v>Fetch...</v>
      </c>
      <c r="P633">
        <f>IFERROR([1]!s_fa_invturndays($A633,TEXT($B$1,"yyyy/mm/dd")),"")</f>
        <v>180.46019999999999</v>
      </c>
    </row>
    <row r="634" spans="1:16">
      <c r="A634" t="s">
        <v>647</v>
      </c>
      <c r="B634">
        <f>IFERROR([1]!s_stm07_is($A634,"W70156729",TEXT($B$1,"yyyy/mm/dd"),1),"")</f>
        <v>6832800615.3500004</v>
      </c>
      <c r="C634">
        <f>IFERROR([1]!s_stm07_is($A634,"W75682424",TEXT($B$1,"yyyy/mm/dd"),1),"")</f>
        <v>4959606315.7700005</v>
      </c>
      <c r="D634">
        <f>IFERROR([1]!s_stm07_is($A634,"W76031679",TEXT($B$1,"yyyy/mm/dd"),1),"")</f>
        <v>234658095.13</v>
      </c>
      <c r="E634">
        <f>IFERROR([1]!s_stm07_is($A634,"W70752487",TEXT($B$1,"yyyy/mm/dd"),1),"")</f>
        <v>725906444.88999999</v>
      </c>
      <c r="F634">
        <f>IFERROR([1]!s_stm07_is_103($A634,TEXT($B$1,"yyyy/mm/dd"),1),"")</f>
        <v>257643569.77000001</v>
      </c>
      <c r="G634">
        <f>IFERROR([1]!s_stm07_is_104($A634,TEXT($B$1,"yyyy/mm/dd"),1),"")</f>
        <v>90559390.819999993</v>
      </c>
      <c r="H634">
        <f>IFERROR([1]!s_stm07_is_105($A634,TEXT($B$1,"yyyy/mm/dd"),1),"")</f>
        <v>15126062.26</v>
      </c>
      <c r="I634">
        <f>IFERROR([1]!s_stm07_is($A634,"W72946623",TEXT($B$1,"yyyy/mm/dd"),1),"")</f>
        <v>1003215119.99</v>
      </c>
      <c r="J634">
        <f>IFERROR([1]!s_stm07_is($A634,"W30028333",TEXT($B$1,"yyyy/mm/dd"),1),"")</f>
        <v>887890076.30999994</v>
      </c>
      <c r="K634">
        <f>IFERROR([1]!s_stm07_cs($A634,"W77130581",TEXT($B$1,"yyyy/mm/dd"),1),"")</f>
        <v>1118084770.54</v>
      </c>
      <c r="L634">
        <f>IFERROR([1]!s_stm07_cs($A634,"W77745895",TEXT($B$1,"yyyy/mm/dd"),1),"")</f>
        <v>214369102.47999999</v>
      </c>
      <c r="M634">
        <f>IFERROR([1]!S_FA_EPS_basic2($A634,$B$1,"Cur=CNY"),"")</f>
        <v>1.04</v>
      </c>
      <c r="N634">
        <f>IFERROR([1]!s_fa_arturndays($A634,TEXT($B$1,"yyyy/mm/dd")),"")</f>
        <v>72.852400000000003</v>
      </c>
      <c r="O634" t="str">
        <f>IFERROR([1]!fa_apturndays($A634,TEXT($B$1,"yyyy/mm/dd")),"")</f>
        <v>Fetch...</v>
      </c>
      <c r="P634">
        <f>IFERROR([1]!s_fa_invturndays($A634,TEXT($B$1,"yyyy/mm/dd")),"")</f>
        <v>187.38290000000001</v>
      </c>
    </row>
    <row r="635" spans="1:16">
      <c r="A635" t="s">
        <v>648</v>
      </c>
      <c r="B635">
        <f>IFERROR([1]!s_stm07_is($A635,"W70156729",TEXT($B$1,"yyyy/mm/dd"),1),"")</f>
        <v>1957934999.0899999</v>
      </c>
      <c r="C635">
        <f>IFERROR([1]!s_stm07_is($A635,"W75682424",TEXT($B$1,"yyyy/mm/dd"),1),"")</f>
        <v>1465687930.8499999</v>
      </c>
      <c r="D635">
        <f>IFERROR([1]!s_stm07_is($A635,"W76031679",TEXT($B$1,"yyyy/mm/dd"),1),"")</f>
        <v>140799132.47</v>
      </c>
      <c r="E635">
        <f>IFERROR([1]!s_stm07_is($A635,"W70752487",TEXT($B$1,"yyyy/mm/dd"),1),"")</f>
        <v>210212195.46000001</v>
      </c>
      <c r="F635">
        <f>IFERROR([1]!s_stm07_is_103($A635,TEXT($B$1,"yyyy/mm/dd"),1),"")</f>
        <v>98569732.920000002</v>
      </c>
      <c r="G635">
        <f>IFERROR([1]!s_stm07_is_104($A635,TEXT($B$1,"yyyy/mm/dd"),1),"")</f>
        <v>5201554.1500000004</v>
      </c>
      <c r="H635">
        <f>IFERROR([1]!s_stm07_is_105($A635,TEXT($B$1,"yyyy/mm/dd"),1),"")</f>
        <v>5751151.3300000001</v>
      </c>
      <c r="I635">
        <f>IFERROR([1]!s_stm07_is($A635,"W72946623",TEXT($B$1,"yyyy/mm/dd"),1),"")</f>
        <v>34761085.530000001</v>
      </c>
      <c r="J635">
        <f>IFERROR([1]!s_stm07_is($A635,"W30028333",TEXT($B$1,"yyyy/mm/dd"),1),"")</f>
        <v>20596720.59</v>
      </c>
      <c r="K635">
        <f>IFERROR([1]!s_stm07_cs($A635,"W77130581",TEXT($B$1,"yyyy/mm/dd"),1),"")</f>
        <v>147982356.91999999</v>
      </c>
      <c r="L635">
        <f>IFERROR([1]!s_stm07_cs($A635,"W77745895",TEXT($B$1,"yyyy/mm/dd"),1),"")</f>
        <v>97892762.819999993</v>
      </c>
      <c r="M635">
        <f>IFERROR([1]!S_FA_EPS_basic2($A635,$B$1,"Cur=CNY"),"")</f>
        <v>2.5399999999999999E-2</v>
      </c>
      <c r="N635">
        <f>IFERROR([1]!s_fa_arturndays($A635,TEXT($B$1,"yyyy/mm/dd")),"")</f>
        <v>150.73480000000001</v>
      </c>
      <c r="O635" t="str">
        <f>IFERROR([1]!fa_apturndays($A635,TEXT($B$1,"yyyy/mm/dd")),"")</f>
        <v>Fetch...</v>
      </c>
      <c r="P635">
        <f>IFERROR([1]!s_fa_invturndays($A635,TEXT($B$1,"yyyy/mm/dd")),"")</f>
        <v>191.50970000000001</v>
      </c>
    </row>
    <row r="636" spans="1:16">
      <c r="A636" t="s">
        <v>649</v>
      </c>
      <c r="B636">
        <f>IFERROR([1]!s_stm07_is($A636,"W70156729",TEXT($B$1,"yyyy/mm/dd"),1),"")</f>
        <v>1062404471.4299999</v>
      </c>
      <c r="C636">
        <f>IFERROR([1]!s_stm07_is($A636,"W75682424",TEXT($B$1,"yyyy/mm/dd"),1),"")</f>
        <v>50582171.210000001</v>
      </c>
      <c r="D636">
        <f>IFERROR([1]!s_stm07_is($A636,"W76031679",TEXT($B$1,"yyyy/mm/dd"),1),"")</f>
        <v>397842380.83999997</v>
      </c>
      <c r="E636">
        <f>IFERROR([1]!s_stm07_is($A636,"W70752487",TEXT($B$1,"yyyy/mm/dd"),1),"")</f>
        <v>81262692.079999998</v>
      </c>
      <c r="F636">
        <f>IFERROR([1]!s_stm07_is_103($A636,TEXT($B$1,"yyyy/mm/dd"),1),"")</f>
        <v>117102467.92</v>
      </c>
      <c r="G636">
        <f>IFERROR([1]!s_stm07_is_104($A636,TEXT($B$1,"yyyy/mm/dd"),1),"")</f>
        <v>792851.32</v>
      </c>
      <c r="H636">
        <f>IFERROR([1]!s_stm07_is_105($A636,TEXT($B$1,"yyyy/mm/dd"),1),"")</f>
        <v>23724510.41</v>
      </c>
      <c r="I636">
        <f>IFERROR([1]!s_stm07_is($A636,"W72946623",TEXT($B$1,"yyyy/mm/dd"),1),"")</f>
        <v>432705375</v>
      </c>
      <c r="J636">
        <f>IFERROR([1]!s_stm07_is($A636,"W30028333",TEXT($B$1,"yyyy/mm/dd"),1),"")</f>
        <v>380940984.33999997</v>
      </c>
      <c r="K636">
        <f>IFERROR([1]!s_stm07_cs($A636,"W77130581",TEXT($B$1,"yyyy/mm/dd"),1),"")</f>
        <v>423195746.61000001</v>
      </c>
      <c r="L636">
        <f>IFERROR([1]!s_stm07_cs($A636,"W77745895",TEXT($B$1,"yyyy/mm/dd"),1),"")</f>
        <v>119347815.69</v>
      </c>
      <c r="M636">
        <f>IFERROR([1]!S_FA_EPS_basic2($A636,$B$1,"Cur=CNY"),"")</f>
        <v>0.72760000000000002</v>
      </c>
      <c r="N636">
        <f>IFERROR([1]!s_fa_arturndays($A636,TEXT($B$1,"yyyy/mm/dd")),"")</f>
        <v>53.578600000000002</v>
      </c>
      <c r="O636" t="str">
        <f>IFERROR([1]!fa_apturndays($A636,TEXT($B$1,"yyyy/mm/dd")),"")</f>
        <v>Fetch...</v>
      </c>
      <c r="P636">
        <f>IFERROR([1]!s_fa_invturndays($A636,TEXT($B$1,"yyyy/mm/dd")),"")</f>
        <v>400.31139999999999</v>
      </c>
    </row>
    <row r="637" spans="1:16">
      <c r="A637" t="s">
        <v>650</v>
      </c>
      <c r="B637">
        <f>IFERROR([1]!s_stm07_is($A637,"W70156729",TEXT($B$1,"yyyy/mm/dd"),1),"")</f>
        <v>1686995898.5899999</v>
      </c>
      <c r="C637">
        <f>IFERROR([1]!s_stm07_is($A637,"W75682424",TEXT($B$1,"yyyy/mm/dd"),1),"")</f>
        <v>959892729.98000002</v>
      </c>
      <c r="D637">
        <f>IFERROR([1]!s_stm07_is($A637,"W76031679",TEXT($B$1,"yyyy/mm/dd"),1),"")</f>
        <v>59485191.590000004</v>
      </c>
      <c r="E637">
        <f>IFERROR([1]!s_stm07_is($A637,"W70752487",TEXT($B$1,"yyyy/mm/dd"),1),"")</f>
        <v>73394146.560000002</v>
      </c>
      <c r="F637">
        <f>IFERROR([1]!s_stm07_is_103($A637,TEXT($B$1,"yyyy/mm/dd"),1),"")</f>
        <v>137758244.40000001</v>
      </c>
      <c r="G637">
        <f>IFERROR([1]!s_stm07_is_104($A637,TEXT($B$1,"yyyy/mm/dd"),1),"")</f>
        <v>113207.38</v>
      </c>
      <c r="H637">
        <f>IFERROR([1]!s_stm07_is_105($A637,TEXT($B$1,"yyyy/mm/dd"),1),"")</f>
        <v>78440062.359999999</v>
      </c>
      <c r="I637">
        <f>IFERROR([1]!s_stm07_is($A637,"W72946623",TEXT($B$1,"yyyy/mm/dd"),1),"")</f>
        <v>669318222.29999995</v>
      </c>
      <c r="J637">
        <f>IFERROR([1]!s_stm07_is($A637,"W30028333",TEXT($B$1,"yyyy/mm/dd"),1),"")</f>
        <v>566795972.25</v>
      </c>
      <c r="K637">
        <f>IFERROR([1]!s_stm07_cs($A637,"W77130581",TEXT($B$1,"yyyy/mm/dd"),1),"")</f>
        <v>507093704.44999999</v>
      </c>
      <c r="L637">
        <f>IFERROR([1]!s_stm07_cs($A637,"W77745895",TEXT($B$1,"yyyy/mm/dd"),1),"")</f>
        <v>69770930.340000004</v>
      </c>
      <c r="M637">
        <f>IFERROR([1]!S_FA_EPS_basic2($A637,$B$1,"Cur=CNY"),"")</f>
        <v>1.0972999999999999</v>
      </c>
      <c r="N637">
        <f>IFERROR([1]!s_fa_arturndays($A637,TEXT($B$1,"yyyy/mm/dd")),"")</f>
        <v>103.3176</v>
      </c>
      <c r="O637" t="str">
        <f>IFERROR([1]!fa_apturndays($A637,TEXT($B$1,"yyyy/mm/dd")),"")</f>
        <v>Fetch...</v>
      </c>
      <c r="P637">
        <f>IFERROR([1]!s_fa_invturndays($A637,TEXT($B$1,"yyyy/mm/dd")),"")</f>
        <v>151.84110000000001</v>
      </c>
    </row>
    <row r="638" spans="1:16">
      <c r="A638" t="s">
        <v>651</v>
      </c>
      <c r="B638">
        <f>IFERROR([1]!s_stm07_is($A638,"W70156729",TEXT($B$1,"yyyy/mm/dd"),1),"")</f>
        <v>3419829520.9699998</v>
      </c>
      <c r="C638">
        <f>IFERROR([1]!s_stm07_is($A638,"W75682424",TEXT($B$1,"yyyy/mm/dd"),1),"")</f>
        <v>2395983390.5900002</v>
      </c>
      <c r="D638">
        <f>IFERROR([1]!s_stm07_is($A638,"W76031679",TEXT($B$1,"yyyy/mm/dd"),1),"")</f>
        <v>175052320.81</v>
      </c>
      <c r="E638">
        <f>IFERROR([1]!s_stm07_is($A638,"W70752487",TEXT($B$1,"yyyy/mm/dd"),1),"")</f>
        <v>384325471</v>
      </c>
      <c r="F638">
        <f>IFERROR([1]!s_stm07_is_103($A638,TEXT($B$1,"yyyy/mm/dd"),1),"")</f>
        <v>267580772.44999999</v>
      </c>
      <c r="G638">
        <f>IFERROR([1]!s_stm07_is_104($A638,TEXT($B$1,"yyyy/mm/dd"),1),"")</f>
        <v>50477851.869999997</v>
      </c>
      <c r="H638">
        <f>IFERROR([1]!s_stm07_is_105($A638,TEXT($B$1,"yyyy/mm/dd"),1),"")</f>
        <v>9066880.9199999999</v>
      </c>
      <c r="I638">
        <f>IFERROR([1]!s_stm07_is($A638,"W72946623",TEXT($B$1,"yyyy/mm/dd"),1),"")</f>
        <v>82675877.810000002</v>
      </c>
      <c r="J638">
        <f>IFERROR([1]!s_stm07_is($A638,"W30028333",TEXT($B$1,"yyyy/mm/dd"),1),"")</f>
        <v>96339888.879999995</v>
      </c>
      <c r="K638">
        <f>IFERROR([1]!s_stm07_cs($A638,"W77130581",TEXT($B$1,"yyyy/mm/dd"),1),"")</f>
        <v>757012818.79999995</v>
      </c>
      <c r="L638">
        <f>IFERROR([1]!s_stm07_cs($A638,"W77745895",TEXT($B$1,"yyyy/mm/dd"),1),"")</f>
        <v>292566619.38999999</v>
      </c>
      <c r="M638">
        <f>IFERROR([1]!S_FA_EPS_basic2($A638,$B$1,"Cur=CNY"),"")</f>
        <v>0.18</v>
      </c>
      <c r="N638">
        <f>IFERROR([1]!s_fa_arturndays($A638,TEXT($B$1,"yyyy/mm/dd")),"")</f>
        <v>82.041899999999998</v>
      </c>
      <c r="O638" t="str">
        <f>IFERROR([1]!fa_apturndays($A638,TEXT($B$1,"yyyy/mm/dd")),"")</f>
        <v>Fetch...</v>
      </c>
      <c r="P638">
        <f>IFERROR([1]!s_fa_invturndays($A638,TEXT($B$1,"yyyy/mm/dd")),"")</f>
        <v>116.21899999999999</v>
      </c>
    </row>
    <row r="639" spans="1:16">
      <c r="A639" t="s">
        <v>652</v>
      </c>
      <c r="B639">
        <f>IFERROR([1]!s_stm07_is($A639,"W70156729",TEXT($B$1,"yyyy/mm/dd"),1),"")</f>
        <v>7130199236.29</v>
      </c>
      <c r="C639">
        <f>IFERROR([1]!s_stm07_is($A639,"W75682424",TEXT($B$1,"yyyy/mm/dd"),1),"")</f>
        <v>4686477567.5200005</v>
      </c>
      <c r="D639">
        <f>IFERROR([1]!s_stm07_is($A639,"W76031679",TEXT($B$1,"yyyy/mm/dd"),1),"")</f>
        <v>291063334.26999998</v>
      </c>
      <c r="E639">
        <f>IFERROR([1]!s_stm07_is($A639,"W70752487",TEXT($B$1,"yyyy/mm/dd"),1),"")</f>
        <v>389716415.50999999</v>
      </c>
      <c r="F639">
        <f>IFERROR([1]!s_stm07_is_103($A639,TEXT($B$1,"yyyy/mm/dd"),1),"")</f>
        <v>471056470.14999998</v>
      </c>
      <c r="G639">
        <f>IFERROR([1]!s_stm07_is_104($A639,TEXT($B$1,"yyyy/mm/dd"),1),"")</f>
        <v>67154875.939999998</v>
      </c>
      <c r="H639">
        <f>IFERROR([1]!s_stm07_is_105($A639,TEXT($B$1,"yyyy/mm/dd"),1),"")</f>
        <v>166469465.56999999</v>
      </c>
      <c r="I639">
        <f>IFERROR([1]!s_stm07_is($A639,"W72946623",TEXT($B$1,"yyyy/mm/dd"),1),"")</f>
        <v>1420238677.8900001</v>
      </c>
      <c r="J639">
        <f>IFERROR([1]!s_stm07_is($A639,"W30028333",TEXT($B$1,"yyyy/mm/dd"),1),"")</f>
        <v>1258583297.6400001</v>
      </c>
      <c r="K639">
        <f>IFERROR([1]!s_stm07_cs($A639,"W77130581",TEXT($B$1,"yyyy/mm/dd"),1),"")</f>
        <v>1703172402.8199999</v>
      </c>
      <c r="L639">
        <f>IFERROR([1]!s_stm07_cs($A639,"W77745895",TEXT($B$1,"yyyy/mm/dd"),1),"")</f>
        <v>1018565573.4</v>
      </c>
      <c r="M639">
        <f>IFERROR([1]!S_FA_EPS_basic2($A639,$B$1,"Cur=CNY"),"")</f>
        <v>2.33</v>
      </c>
      <c r="N639">
        <f>IFERROR([1]!s_fa_arturndays($A639,TEXT($B$1,"yyyy/mm/dd")),"")</f>
        <v>94.272900000000007</v>
      </c>
      <c r="O639" t="str">
        <f>IFERROR([1]!fa_apturndays($A639,TEXT($B$1,"yyyy/mm/dd")),"")</f>
        <v>Fetch...</v>
      </c>
      <c r="P639">
        <f>IFERROR([1]!s_fa_invturndays($A639,TEXT($B$1,"yyyy/mm/dd")),"")</f>
        <v>109.9002</v>
      </c>
    </row>
    <row r="640" spans="1:16">
      <c r="A640" t="s">
        <v>653</v>
      </c>
      <c r="B640">
        <f>IFERROR([1]!s_stm07_is($A640,"W70156729",TEXT($B$1,"yyyy/mm/dd"),1),"")</f>
        <v>2433076802.7600002</v>
      </c>
      <c r="C640">
        <f>IFERROR([1]!s_stm07_is($A640,"W75682424",TEXT($B$1,"yyyy/mm/dd"),1),"")</f>
        <v>1008561747.54</v>
      </c>
      <c r="D640">
        <f>IFERROR([1]!s_stm07_is($A640,"W76031679",TEXT($B$1,"yyyy/mm/dd"),1),"")</f>
        <v>738708428.86000001</v>
      </c>
      <c r="E640">
        <f>IFERROR([1]!s_stm07_is($A640,"W70752487",TEXT($B$1,"yyyy/mm/dd"),1),"")</f>
        <v>242286385.21000001</v>
      </c>
      <c r="F640">
        <f>IFERROR([1]!s_stm07_is_103($A640,TEXT($B$1,"yyyy/mm/dd"),1),"")</f>
        <v>180094466</v>
      </c>
      <c r="G640">
        <f>IFERROR([1]!s_stm07_is_104($A640,TEXT($B$1,"yyyy/mm/dd"),1),"")</f>
        <v>7039125.71</v>
      </c>
      <c r="H640">
        <f>IFERROR([1]!s_stm07_is_105($A640,TEXT($B$1,"yyyy/mm/dd"),1),"")</f>
        <v>3602449.16</v>
      </c>
      <c r="I640">
        <f>IFERROR([1]!s_stm07_is($A640,"W72946623",TEXT($B$1,"yyyy/mm/dd"),1),"")</f>
        <v>244838966.30000001</v>
      </c>
      <c r="J640">
        <f>IFERROR([1]!s_stm07_is($A640,"W30028333",TEXT($B$1,"yyyy/mm/dd"),1),"")</f>
        <v>163485528.43000001</v>
      </c>
      <c r="K640">
        <f>IFERROR([1]!s_stm07_cs($A640,"W77130581",TEXT($B$1,"yyyy/mm/dd"),1),"")</f>
        <v>332355829.45999998</v>
      </c>
      <c r="L640">
        <f>IFERROR([1]!s_stm07_cs($A640,"W77745895",TEXT($B$1,"yyyy/mm/dd"),1),"")</f>
        <v>318669096.44</v>
      </c>
      <c r="M640">
        <f>IFERROR([1]!S_FA_EPS_basic2($A640,$B$1,"Cur=CNY"),"")</f>
        <v>0.61</v>
      </c>
      <c r="N640">
        <f>IFERROR([1]!s_fa_arturndays($A640,TEXT($B$1,"yyyy/mm/dd")),"")</f>
        <v>94.587500000000006</v>
      </c>
      <c r="O640" t="str">
        <f>IFERROR([1]!fa_apturndays($A640,TEXT($B$1,"yyyy/mm/dd")),"")</f>
        <v>Fetch...</v>
      </c>
      <c r="P640">
        <f>IFERROR([1]!s_fa_invturndays($A640,TEXT($B$1,"yyyy/mm/dd")),"")</f>
        <v>35.829099999999997</v>
      </c>
    </row>
    <row r="641" spans="1:16">
      <c r="A641" t="s">
        <v>654</v>
      </c>
      <c r="B641">
        <f>IFERROR([1]!s_stm07_is($A641,"W70156729",TEXT($B$1,"yyyy/mm/dd"),1),"")</f>
        <v>7177649991.0799999</v>
      </c>
      <c r="C641">
        <f>IFERROR([1]!s_stm07_is($A641,"W75682424",TEXT($B$1,"yyyy/mm/dd"),1),"")</f>
        <v>6174585751.3599997</v>
      </c>
      <c r="D641">
        <f>IFERROR([1]!s_stm07_is($A641,"W76031679",TEXT($B$1,"yyyy/mm/dd"),1),"")</f>
        <v>45156979.979999997</v>
      </c>
      <c r="E641">
        <f>IFERROR([1]!s_stm07_is($A641,"W70752487",TEXT($B$1,"yyyy/mm/dd"),1),"")</f>
        <v>286743067.13999999</v>
      </c>
      <c r="F641">
        <f>IFERROR([1]!s_stm07_is_103($A641,TEXT($B$1,"yyyy/mm/dd"),1),"")</f>
        <v>280298473.00999999</v>
      </c>
      <c r="G641">
        <f>IFERROR([1]!s_stm07_is_104($A641,TEXT($B$1,"yyyy/mm/dd"),1),"")</f>
        <v>150560457.12</v>
      </c>
      <c r="H641">
        <f>IFERROR([1]!s_stm07_is_105($A641,TEXT($B$1,"yyyy/mm/dd"),1),"")</f>
        <v>12559828.08</v>
      </c>
      <c r="I641">
        <f>IFERROR([1]!s_stm07_is($A641,"W72946623",TEXT($B$1,"yyyy/mm/dd"),1),"")</f>
        <v>-681026829.62</v>
      </c>
      <c r="J641">
        <f>IFERROR([1]!s_stm07_is($A641,"W30028333",TEXT($B$1,"yyyy/mm/dd"),1),"")</f>
        <v>-759207720.63</v>
      </c>
      <c r="K641">
        <f>IFERROR([1]!s_stm07_cs($A641,"W77130581",TEXT($B$1,"yyyy/mm/dd"),1),"")</f>
        <v>1618863862.55</v>
      </c>
      <c r="L641">
        <f>IFERROR([1]!s_stm07_cs($A641,"W77745895",TEXT($B$1,"yyyy/mm/dd"),1),"")</f>
        <v>2441169038.2800002</v>
      </c>
      <c r="M641">
        <f>IFERROR([1]!S_FA_EPS_basic2($A641,$B$1,"Cur=CNY"),"")</f>
        <v>-0.42</v>
      </c>
      <c r="N641">
        <f>IFERROR([1]!s_fa_arturndays($A641,TEXT($B$1,"yyyy/mm/dd")),"")</f>
        <v>105.74550000000001</v>
      </c>
      <c r="O641" t="str">
        <f>IFERROR([1]!fa_apturndays($A641,TEXT($B$1,"yyyy/mm/dd")),"")</f>
        <v>Fetch...</v>
      </c>
      <c r="P641">
        <f>IFERROR([1]!s_fa_invturndays($A641,TEXT($B$1,"yyyy/mm/dd")),"")</f>
        <v>0.76190000000000002</v>
      </c>
    </row>
    <row r="642" spans="1:16">
      <c r="A642" t="s">
        <v>655</v>
      </c>
      <c r="B642">
        <f>IFERROR([1]!s_stm07_is($A642,"W70156729",TEXT($B$1,"yyyy/mm/dd"),1),"")</f>
        <v>7548826104.54</v>
      </c>
      <c r="C642">
        <f>IFERROR([1]!s_stm07_is($A642,"W75682424",TEXT($B$1,"yyyy/mm/dd"),1),"")</f>
        <v>6453044880.1300001</v>
      </c>
      <c r="D642">
        <f>IFERROR([1]!s_stm07_is($A642,"W76031679",TEXT($B$1,"yyyy/mm/dd"),1),"")</f>
        <v>56837777.329999998</v>
      </c>
      <c r="E642">
        <f>IFERROR([1]!s_stm07_is($A642,"W70752487",TEXT($B$1,"yyyy/mm/dd"),1),"")</f>
        <v>384582554.66000003</v>
      </c>
      <c r="F642">
        <f>IFERROR([1]!s_stm07_is_103($A642,TEXT($B$1,"yyyy/mm/dd"),1),"")</f>
        <v>124815055.5</v>
      </c>
      <c r="G642">
        <f>IFERROR([1]!s_stm07_is_104($A642,TEXT($B$1,"yyyy/mm/dd"),1),"")</f>
        <v>89185229.129999995</v>
      </c>
      <c r="H642">
        <f>IFERROR([1]!s_stm07_is_105($A642,TEXT($B$1,"yyyy/mm/dd"),1),"")</f>
        <v>109332278.95999999</v>
      </c>
      <c r="I642">
        <f>IFERROR([1]!s_stm07_is($A642,"W72946623",TEXT($B$1,"yyyy/mm/dd"),1),"")</f>
        <v>533464760.87</v>
      </c>
      <c r="J642">
        <f>IFERROR([1]!s_stm07_is($A642,"W30028333",TEXT($B$1,"yyyy/mm/dd"),1),"")</f>
        <v>402189233.13</v>
      </c>
      <c r="K642">
        <f>IFERROR([1]!s_stm07_cs($A642,"W77130581",TEXT($B$1,"yyyy/mm/dd"),1),"")</f>
        <v>-321825657.49000001</v>
      </c>
      <c r="L642">
        <f>IFERROR([1]!s_stm07_cs($A642,"W77745895",TEXT($B$1,"yyyy/mm/dd"),1),"")</f>
        <v>3356754027.0700002</v>
      </c>
      <c r="M642">
        <f>IFERROR([1]!S_FA_EPS_basic2($A642,$B$1,"Cur=CNY"),"")</f>
        <v>0.48</v>
      </c>
      <c r="N642">
        <f>IFERROR([1]!s_fa_arturndays($A642,TEXT($B$1,"yyyy/mm/dd")),"")</f>
        <v>25.831099999999999</v>
      </c>
      <c r="O642" t="str">
        <f>IFERROR([1]!fa_apturndays($A642,TEXT($B$1,"yyyy/mm/dd")),"")</f>
        <v>Fetch...</v>
      </c>
      <c r="P642">
        <f>IFERROR([1]!s_fa_invturndays($A642,TEXT($B$1,"yyyy/mm/dd")),"")</f>
        <v>128.70009999999999</v>
      </c>
    </row>
    <row r="643" spans="1:16">
      <c r="A643" t="s">
        <v>656</v>
      </c>
      <c r="B643">
        <f>IFERROR([1]!s_stm07_is($A643,"W70156729",TEXT($B$1,"yyyy/mm/dd"),1),"")</f>
        <v>5163432471.1599998</v>
      </c>
      <c r="C643">
        <f>IFERROR([1]!s_stm07_is($A643,"W75682424",TEXT($B$1,"yyyy/mm/dd"),1),"")</f>
        <v>2377104884.1599998</v>
      </c>
      <c r="D643">
        <f>IFERROR([1]!s_stm07_is($A643,"W76031679",TEXT($B$1,"yyyy/mm/dd"),1),"")</f>
        <v>21284676.280000001</v>
      </c>
      <c r="E643">
        <f>IFERROR([1]!s_stm07_is($A643,"W70752487",TEXT($B$1,"yyyy/mm/dd"),1),"")</f>
        <v>131194805.92</v>
      </c>
      <c r="F643">
        <f>IFERROR([1]!s_stm07_is_103($A643,TEXT($B$1,"yyyy/mm/dd"),1),"")</f>
        <v>266580928.65000001</v>
      </c>
      <c r="G643">
        <f>IFERROR([1]!s_stm07_is_104($A643,TEXT($B$1,"yyyy/mm/dd"),1),"")</f>
        <v>1180956.44</v>
      </c>
      <c r="H643">
        <f>IFERROR([1]!s_stm07_is_105($A643,TEXT($B$1,"yyyy/mm/dd"),1),"")</f>
        <v>81248917.829999998</v>
      </c>
      <c r="I643">
        <f>IFERROR([1]!s_stm07_is($A643,"W72946623",TEXT($B$1,"yyyy/mm/dd"),1),"")</f>
        <v>2343876181.1500001</v>
      </c>
      <c r="J643">
        <f>IFERROR([1]!s_stm07_is($A643,"W30028333",TEXT($B$1,"yyyy/mm/dd"),1),"")</f>
        <v>2017266034.0799999</v>
      </c>
      <c r="K643">
        <f>IFERROR([1]!s_stm07_cs($A643,"W77130581",TEXT($B$1,"yyyy/mm/dd"),1),"")</f>
        <v>1868203465.9300001</v>
      </c>
      <c r="L643">
        <f>IFERROR([1]!s_stm07_cs($A643,"W77745895",TEXT($B$1,"yyyy/mm/dd"),1),"")</f>
        <v>417510390.23000002</v>
      </c>
      <c r="M643">
        <f>IFERROR([1]!S_FA_EPS_basic2($A643,$B$1,"Cur=CNY"),"")</f>
        <v>2.5958000000000001</v>
      </c>
      <c r="N643">
        <f>IFERROR([1]!s_fa_arturndays($A643,TEXT($B$1,"yyyy/mm/dd")),"")</f>
        <v>66.176500000000004</v>
      </c>
      <c r="O643" t="str">
        <f>IFERROR([1]!fa_apturndays($A643,TEXT($B$1,"yyyy/mm/dd")),"")</f>
        <v>Fetch...</v>
      </c>
      <c r="P643">
        <f>IFERROR([1]!s_fa_invturndays($A643,TEXT($B$1,"yyyy/mm/dd")),"")</f>
        <v>61.133000000000003</v>
      </c>
    </row>
    <row r="644" spans="1:16">
      <c r="A644" t="s">
        <v>657</v>
      </c>
      <c r="B644">
        <f>IFERROR([1]!s_stm07_is($A644,"W70156729",TEXT($B$1,"yyyy/mm/dd"),1),"")</f>
        <v>2016348883.02</v>
      </c>
      <c r="C644">
        <f>IFERROR([1]!s_stm07_is($A644,"W75682424",TEXT($B$1,"yyyy/mm/dd"),1),"")</f>
        <v>1061072282.5</v>
      </c>
      <c r="D644">
        <f>IFERROR([1]!s_stm07_is($A644,"W76031679",TEXT($B$1,"yyyy/mm/dd"),1),"")</f>
        <v>31484794.34</v>
      </c>
      <c r="E644">
        <f>IFERROR([1]!s_stm07_is($A644,"W70752487",TEXT($B$1,"yyyy/mm/dd"),1),"")</f>
        <v>179223787.53</v>
      </c>
      <c r="F644">
        <f>IFERROR([1]!s_stm07_is_103($A644,TEXT($B$1,"yyyy/mm/dd"),1),"")</f>
        <v>282276944.62</v>
      </c>
      <c r="G644">
        <f>IFERROR([1]!s_stm07_is_104($A644,TEXT($B$1,"yyyy/mm/dd"),1),"")</f>
        <v>9339559.1099999994</v>
      </c>
      <c r="H644">
        <f>IFERROR([1]!s_stm07_is_105($A644,TEXT($B$1,"yyyy/mm/dd"),1),"")</f>
        <v>9668008.3000000007</v>
      </c>
      <c r="I644">
        <f>IFERROR([1]!s_stm07_is($A644,"W72946623",TEXT($B$1,"yyyy/mm/dd"),1),"")</f>
        <v>466529002.95999998</v>
      </c>
      <c r="J644">
        <f>IFERROR([1]!s_stm07_is($A644,"W30028333",TEXT($B$1,"yyyy/mm/dd"),1),"")</f>
        <v>443181969.44</v>
      </c>
      <c r="K644">
        <f>IFERROR([1]!s_stm07_cs($A644,"W77130581",TEXT($B$1,"yyyy/mm/dd"),1),"")</f>
        <v>261865783.25</v>
      </c>
      <c r="L644">
        <f>IFERROR([1]!s_stm07_cs($A644,"W77745895",TEXT($B$1,"yyyy/mm/dd"),1),"")</f>
        <v>558956800.47000003</v>
      </c>
      <c r="M644">
        <f>IFERROR([1]!S_FA_EPS_basic2($A644,$B$1,"Cur=CNY"),"")</f>
        <v>0.85129999999999995</v>
      </c>
      <c r="N644">
        <f>IFERROR([1]!s_fa_arturndays($A644,TEXT($B$1,"yyyy/mm/dd")),"")</f>
        <v>108.69889999999999</v>
      </c>
      <c r="O644" t="str">
        <f>IFERROR([1]!fa_apturndays($A644,TEXT($B$1,"yyyy/mm/dd")),"")</f>
        <v>Fetch...</v>
      </c>
      <c r="P644">
        <f>IFERROR([1]!s_fa_invturndays($A644,TEXT($B$1,"yyyy/mm/dd")),"")</f>
        <v>281.4699</v>
      </c>
    </row>
    <row r="645" spans="1:16">
      <c r="A645" t="s">
        <v>658</v>
      </c>
      <c r="B645">
        <f>IFERROR([1]!s_stm07_is($A645,"W70156729",TEXT($B$1,"yyyy/mm/dd"),1),"")</f>
        <v>3225652656.7199998</v>
      </c>
      <c r="C645">
        <f>IFERROR([1]!s_stm07_is($A645,"W75682424",TEXT($B$1,"yyyy/mm/dd"),1),"")</f>
        <v>2051183788.3199999</v>
      </c>
      <c r="D645">
        <f>IFERROR([1]!s_stm07_is($A645,"W76031679",TEXT($B$1,"yyyy/mm/dd"),1),"")</f>
        <v>182559237.30000001</v>
      </c>
      <c r="E645">
        <f>IFERROR([1]!s_stm07_is($A645,"W70752487",TEXT($B$1,"yyyy/mm/dd"),1),"")</f>
        <v>283551118.14999998</v>
      </c>
      <c r="F645">
        <f>IFERROR([1]!s_stm07_is_103($A645,TEXT($B$1,"yyyy/mm/dd"),1),"")</f>
        <v>208590965.08000001</v>
      </c>
      <c r="G645">
        <f>IFERROR([1]!s_stm07_is_104($A645,TEXT($B$1,"yyyy/mm/dd"),1),"")</f>
        <v>30806161.379999999</v>
      </c>
      <c r="H645">
        <f>IFERROR([1]!s_stm07_is_105($A645,TEXT($B$1,"yyyy/mm/dd"),1),"")</f>
        <v>7115540.46</v>
      </c>
      <c r="I645">
        <f>IFERROR([1]!s_stm07_is($A645,"W72946623",TEXT($B$1,"yyyy/mm/dd"),1),"")</f>
        <v>470193600.56999999</v>
      </c>
      <c r="J645">
        <f>IFERROR([1]!s_stm07_is($A645,"W30028333",TEXT($B$1,"yyyy/mm/dd"),1),"")</f>
        <v>390396542.86000001</v>
      </c>
      <c r="K645">
        <f>IFERROR([1]!s_stm07_cs($A645,"W77130581",TEXT($B$1,"yyyy/mm/dd"),1),"")</f>
        <v>669177664.04999995</v>
      </c>
      <c r="L645">
        <f>IFERROR([1]!s_stm07_cs($A645,"W77745895",TEXT($B$1,"yyyy/mm/dd"),1),"")</f>
        <v>493901370.63</v>
      </c>
      <c r="M645">
        <f>IFERROR([1]!S_FA_EPS_basic2($A645,$B$1,"Cur=CNY"),"")</f>
        <v>0.71</v>
      </c>
      <c r="N645">
        <f>IFERROR([1]!s_fa_arturndays($A645,TEXT($B$1,"yyyy/mm/dd")),"")</f>
        <v>108.2902</v>
      </c>
      <c r="O645" t="str">
        <f>IFERROR([1]!fa_apturndays($A645,TEXT($B$1,"yyyy/mm/dd")),"")</f>
        <v>Fetch...</v>
      </c>
      <c r="P645">
        <f>IFERROR([1]!s_fa_invturndays($A645,TEXT($B$1,"yyyy/mm/dd")),"")</f>
        <v>118.1878</v>
      </c>
    </row>
    <row r="646" spans="1:16">
      <c r="A646" t="s">
        <v>659</v>
      </c>
      <c r="B646">
        <f>IFERROR([1]!s_stm07_is($A646,"W70156729",TEXT($B$1,"yyyy/mm/dd"),1),"")</f>
        <v>1237398520.9100001</v>
      </c>
      <c r="C646">
        <f>IFERROR([1]!s_stm07_is($A646,"W75682424",TEXT($B$1,"yyyy/mm/dd"),1),"")</f>
        <v>549062452.11000001</v>
      </c>
      <c r="D646">
        <f>IFERROR([1]!s_stm07_is($A646,"W76031679",TEXT($B$1,"yyyy/mm/dd"),1),"")</f>
        <v>139059833.84999999</v>
      </c>
      <c r="E646">
        <f>IFERROR([1]!s_stm07_is($A646,"W70752487",TEXT($B$1,"yyyy/mm/dd"),1),"")</f>
        <v>97889332.319999993</v>
      </c>
      <c r="F646">
        <f>IFERROR([1]!s_stm07_is_103($A646,TEXT($B$1,"yyyy/mm/dd"),1),"")</f>
        <v>65458521.649999999</v>
      </c>
      <c r="G646">
        <f>IFERROR([1]!s_stm07_is_104($A646,TEXT($B$1,"yyyy/mm/dd"),1),"")</f>
        <v>32469237.039999999</v>
      </c>
      <c r="H646">
        <f>IFERROR([1]!s_stm07_is_105($A646,TEXT($B$1,"yyyy/mm/dd"),1),"")</f>
        <v>8236921</v>
      </c>
      <c r="I646">
        <f>IFERROR([1]!s_stm07_is($A646,"W72946623",TEXT($B$1,"yyyy/mm/dd"),1),"")</f>
        <v>352501057.10000002</v>
      </c>
      <c r="J646">
        <f>IFERROR([1]!s_stm07_is($A646,"W30028333",TEXT($B$1,"yyyy/mm/dd"),1),"")</f>
        <v>304864608.69</v>
      </c>
      <c r="K646">
        <f>IFERROR([1]!s_stm07_cs($A646,"W77130581",TEXT($B$1,"yyyy/mm/dd"),1),"")</f>
        <v>474738253.77999997</v>
      </c>
      <c r="L646">
        <f>IFERROR([1]!s_stm07_cs($A646,"W77745895",TEXT($B$1,"yyyy/mm/dd"),1),"")</f>
        <v>361956910.67000002</v>
      </c>
      <c r="M646">
        <f>IFERROR([1]!S_FA_EPS_basic2($A646,$B$1,"Cur=CNY"),"")</f>
        <v>0.56000000000000005</v>
      </c>
      <c r="N646">
        <f>IFERROR([1]!s_fa_arturndays($A646,TEXT($B$1,"yyyy/mm/dd")),"")</f>
        <v>55.265599999999999</v>
      </c>
      <c r="O646" t="str">
        <f>IFERROR([1]!fa_apturndays($A646,TEXT($B$1,"yyyy/mm/dd")),"")</f>
        <v>Fetch...</v>
      </c>
      <c r="P646">
        <f>IFERROR([1]!s_fa_invturndays($A646,TEXT($B$1,"yyyy/mm/dd")),"")</f>
        <v>520.68269999999995</v>
      </c>
    </row>
    <row r="647" spans="1:16">
      <c r="A647" t="s">
        <v>660</v>
      </c>
      <c r="B647">
        <f>IFERROR([1]!s_stm07_is($A647,"W70156729",TEXT($B$1,"yyyy/mm/dd"),1),"")</f>
        <v>1355507324.47</v>
      </c>
      <c r="C647">
        <f>IFERROR([1]!s_stm07_is($A647,"W75682424",TEXT($B$1,"yyyy/mm/dd"),1),"")</f>
        <v>279921068.94</v>
      </c>
      <c r="D647">
        <f>IFERROR([1]!s_stm07_is($A647,"W76031679",TEXT($B$1,"yyyy/mm/dd"),1),"")</f>
        <v>271336755.67000002</v>
      </c>
      <c r="E647">
        <f>IFERROR([1]!s_stm07_is($A647,"W70752487",TEXT($B$1,"yyyy/mm/dd"),1),"")</f>
        <v>137545457.88</v>
      </c>
      <c r="F647">
        <f>IFERROR([1]!s_stm07_is_103($A647,TEXT($B$1,"yyyy/mm/dd"),1),"")</f>
        <v>181731734.41999999</v>
      </c>
      <c r="G647">
        <f>IFERROR([1]!s_stm07_is_104($A647,TEXT($B$1,"yyyy/mm/dd"),1),"")</f>
        <v>49443237.049999997</v>
      </c>
      <c r="H647">
        <f>IFERROR([1]!s_stm07_is_105($A647,TEXT($B$1,"yyyy/mm/dd"),1),"")</f>
        <v>10435527.73</v>
      </c>
      <c r="I647">
        <f>IFERROR([1]!s_stm07_is($A647,"W72946623",TEXT($B$1,"yyyy/mm/dd"),1),"")</f>
        <v>236252138.81999999</v>
      </c>
      <c r="J647">
        <f>IFERROR([1]!s_stm07_is($A647,"W30028333",TEXT($B$1,"yyyy/mm/dd"),1),"")</f>
        <v>189874176.06</v>
      </c>
      <c r="K647">
        <f>IFERROR([1]!s_stm07_cs($A647,"W77130581",TEXT($B$1,"yyyy/mm/dd"),1),"")</f>
        <v>565109750.97000003</v>
      </c>
      <c r="L647">
        <f>IFERROR([1]!s_stm07_cs($A647,"W77745895",TEXT($B$1,"yyyy/mm/dd"),1),"")</f>
        <v>39240751.189999998</v>
      </c>
      <c r="M647">
        <f>IFERROR([1]!S_FA_EPS_basic2($A647,$B$1,"Cur=CNY"),"")</f>
        <v>0.32</v>
      </c>
      <c r="N647">
        <f>IFERROR([1]!s_fa_arturndays($A647,TEXT($B$1,"yyyy/mm/dd")),"")</f>
        <v>277.1789</v>
      </c>
      <c r="O647" t="str">
        <f>IFERROR([1]!fa_apturndays($A647,TEXT($B$1,"yyyy/mm/dd")),"")</f>
        <v>Fetch...</v>
      </c>
      <c r="P647">
        <f>IFERROR([1]!s_fa_invturndays($A647,TEXT($B$1,"yyyy/mm/dd")),"")</f>
        <v>262.21870000000001</v>
      </c>
    </row>
    <row r="648" spans="1:16">
      <c r="A648" t="s">
        <v>661</v>
      </c>
      <c r="B648">
        <f>IFERROR([1]!s_stm07_is($A648,"W70156729",TEXT($B$1,"yyyy/mm/dd"),1),"")</f>
        <v>9007153894.1100006</v>
      </c>
      <c r="C648">
        <f>IFERROR([1]!s_stm07_is($A648,"W75682424",TEXT($B$1,"yyyy/mm/dd"),1),"")</f>
        <v>5211761650.8699999</v>
      </c>
      <c r="D648">
        <f>IFERROR([1]!s_stm07_is($A648,"W76031679",TEXT($B$1,"yyyy/mm/dd"),1),"")</f>
        <v>93199272.760000005</v>
      </c>
      <c r="E648">
        <f>IFERROR([1]!s_stm07_is($A648,"W70752487",TEXT($B$1,"yyyy/mm/dd"),1),"")</f>
        <v>480950153.24000001</v>
      </c>
      <c r="F648">
        <f>IFERROR([1]!s_stm07_is_103($A648,TEXT($B$1,"yyyy/mm/dd"),1),"")</f>
        <v>653436680.10000002</v>
      </c>
      <c r="G648">
        <f>IFERROR([1]!s_stm07_is_104($A648,TEXT($B$1,"yyyy/mm/dd"),1),"")</f>
        <v>20395986.899999999</v>
      </c>
      <c r="H648">
        <f>IFERROR([1]!s_stm07_is_105($A648,TEXT($B$1,"yyyy/mm/dd"),1),"")</f>
        <v>196879964.38999999</v>
      </c>
      <c r="I648">
        <f>IFERROR([1]!s_stm07_is($A648,"W72946623",TEXT($B$1,"yyyy/mm/dd"),1),"")</f>
        <v>3008176444.8800001</v>
      </c>
      <c r="J648">
        <f>IFERROR([1]!s_stm07_is($A648,"W30028333",TEXT($B$1,"yyyy/mm/dd"),1),"")</f>
        <v>2618384303.8400002</v>
      </c>
      <c r="K648">
        <f>IFERROR([1]!s_stm07_cs($A648,"W77130581",TEXT($B$1,"yyyy/mm/dd"),1),"")</f>
        <v>2877609076.6500001</v>
      </c>
      <c r="L648">
        <f>IFERROR([1]!s_stm07_cs($A648,"W77745895",TEXT($B$1,"yyyy/mm/dd"),1),"")</f>
        <v>580091972.01999998</v>
      </c>
      <c r="M648">
        <f>IFERROR([1]!S_FA_EPS_basic2($A648,$B$1,"Cur=CNY"),"")</f>
        <v>1.37</v>
      </c>
      <c r="N648">
        <f>IFERROR([1]!s_fa_arturndays($A648,TEXT($B$1,"yyyy/mm/dd")),"")</f>
        <v>80.560299999999998</v>
      </c>
      <c r="O648" t="str">
        <f>IFERROR([1]!fa_apturndays($A648,TEXT($B$1,"yyyy/mm/dd")),"")</f>
        <v>Fetch...</v>
      </c>
      <c r="P648">
        <f>IFERROR([1]!s_fa_invturndays($A648,TEXT($B$1,"yyyy/mm/dd")),"")</f>
        <v>157.92240000000001</v>
      </c>
    </row>
    <row r="649" spans="1:16">
      <c r="A649" t="s">
        <v>662</v>
      </c>
      <c r="B649">
        <f>IFERROR([1]!s_stm07_is($A649,"W70156729",TEXT($B$1,"yyyy/mm/dd"),1),"")</f>
        <v>8156205302.7600002</v>
      </c>
      <c r="C649">
        <f>IFERROR([1]!s_stm07_is($A649,"W75682424",TEXT($B$1,"yyyy/mm/dd"),1),"")</f>
        <v>6311983883.4099998</v>
      </c>
      <c r="D649">
        <f>IFERROR([1]!s_stm07_is($A649,"W76031679",TEXT($B$1,"yyyy/mm/dd"),1),"")</f>
        <v>69624420.120000005</v>
      </c>
      <c r="E649">
        <f>IFERROR([1]!s_stm07_is($A649,"W70752487",TEXT($B$1,"yyyy/mm/dd"),1),"")</f>
        <v>566667602.07000005</v>
      </c>
      <c r="F649">
        <f>IFERROR([1]!s_stm07_is_103($A649,TEXT($B$1,"yyyy/mm/dd"),1),"")</f>
        <v>218788883.25</v>
      </c>
      <c r="G649">
        <f>IFERROR([1]!s_stm07_is_104($A649,TEXT($B$1,"yyyy/mm/dd"),1),"")</f>
        <v>114736701.41</v>
      </c>
      <c r="H649">
        <f>IFERROR([1]!s_stm07_is_105($A649,TEXT($B$1,"yyyy/mm/dd"),1),"")</f>
        <v>72928749.659999996</v>
      </c>
      <c r="I649">
        <f>IFERROR([1]!s_stm07_is($A649,"W72946623",TEXT($B$1,"yyyy/mm/dd"),1),"")</f>
        <v>672824967.49000001</v>
      </c>
      <c r="J649">
        <f>IFERROR([1]!s_stm07_is($A649,"W30028333",TEXT($B$1,"yyyy/mm/dd"),1),"")</f>
        <v>506848028.77999997</v>
      </c>
      <c r="K649">
        <f>IFERROR([1]!s_stm07_cs($A649,"W77130581",TEXT($B$1,"yyyy/mm/dd"),1),"")</f>
        <v>1073972506.8800001</v>
      </c>
      <c r="L649">
        <f>IFERROR([1]!s_stm07_cs($A649,"W77745895",TEXT($B$1,"yyyy/mm/dd"),1),"")</f>
        <v>326943065.69999999</v>
      </c>
      <c r="M649">
        <f>IFERROR([1]!S_FA_EPS_basic2($A649,$B$1,"Cur=CNY"),"")</f>
        <v>0.67920000000000003</v>
      </c>
      <c r="N649">
        <f>IFERROR([1]!s_fa_arturndays($A649,TEXT($B$1,"yyyy/mm/dd")),"")</f>
        <v>41.143300000000004</v>
      </c>
      <c r="O649" t="str">
        <f>IFERROR([1]!fa_apturndays($A649,TEXT($B$1,"yyyy/mm/dd")),"")</f>
        <v>Fetch...</v>
      </c>
      <c r="P649">
        <f>IFERROR([1]!s_fa_invturndays($A649,TEXT($B$1,"yyyy/mm/dd")),"")</f>
        <v>152.5359</v>
      </c>
    </row>
    <row r="650" spans="1:16">
      <c r="A650" t="s">
        <v>663</v>
      </c>
      <c r="B650">
        <f>IFERROR([1]!s_stm07_is($A650,"W70156729",TEXT($B$1,"yyyy/mm/dd"),1),"")</f>
        <v>13813480305.41</v>
      </c>
      <c r="C650">
        <f>IFERROR([1]!s_stm07_is($A650,"W75682424",TEXT($B$1,"yyyy/mm/dd"),1),"")</f>
        <v>10623649547.25</v>
      </c>
      <c r="D650">
        <f>IFERROR([1]!s_stm07_is($A650,"W76031679",TEXT($B$1,"yyyy/mm/dd"),1),"")</f>
        <v>2048460339.05</v>
      </c>
      <c r="E650">
        <f>IFERROR([1]!s_stm07_is($A650,"W70752487",TEXT($B$1,"yyyy/mm/dd"),1),"")</f>
        <v>477817447.5</v>
      </c>
      <c r="F650">
        <f>IFERROR([1]!s_stm07_is_103($A650,TEXT($B$1,"yyyy/mm/dd"),1),"")</f>
        <v>284096872.63</v>
      </c>
      <c r="G650">
        <f>IFERROR([1]!s_stm07_is_104($A650,TEXT($B$1,"yyyy/mm/dd"),1),"")</f>
        <v>7386479.5099999998</v>
      </c>
      <c r="H650">
        <f>IFERROR([1]!s_stm07_is_105($A650,TEXT($B$1,"yyyy/mm/dd"),1),"")</f>
        <v>47486992.390000001</v>
      </c>
      <c r="I650">
        <f>IFERROR([1]!s_stm07_is($A650,"W72946623",TEXT($B$1,"yyyy/mm/dd"),1),"")</f>
        <v>900919235.13999999</v>
      </c>
      <c r="J650">
        <f>IFERROR([1]!s_stm07_is($A650,"W30028333",TEXT($B$1,"yyyy/mm/dd"),1),"")</f>
        <v>1227146306.3299999</v>
      </c>
      <c r="K650">
        <f>IFERROR([1]!s_stm07_cs($A650,"W77130581",TEXT($B$1,"yyyy/mm/dd"),1),"")</f>
        <v>1183693380.4300001</v>
      </c>
      <c r="L650">
        <f>IFERROR([1]!s_stm07_cs($A650,"W77745895",TEXT($B$1,"yyyy/mm/dd"),1),"")</f>
        <v>135029125</v>
      </c>
      <c r="M650">
        <f>IFERROR([1]!S_FA_EPS_basic2($A650,$B$1,"Cur=CNY"),"")</f>
        <v>0.66</v>
      </c>
      <c r="N650">
        <f>IFERROR([1]!s_fa_arturndays($A650,TEXT($B$1,"yyyy/mm/dd")),"")</f>
        <v>109.7628</v>
      </c>
      <c r="O650" t="str">
        <f>IFERROR([1]!fa_apturndays($A650,TEXT($B$1,"yyyy/mm/dd")),"")</f>
        <v>Fetch...</v>
      </c>
      <c r="P650">
        <f>IFERROR([1]!s_fa_invturndays($A650,TEXT($B$1,"yyyy/mm/dd")),"")</f>
        <v>78.403999999999996</v>
      </c>
    </row>
    <row r="651" spans="1:16">
      <c r="A651" t="s">
        <v>664</v>
      </c>
      <c r="B651">
        <f>IFERROR([1]!s_stm07_is($A651,"W70156729",TEXT($B$1,"yyyy/mm/dd"),1),"")</f>
        <v>6048211748.4200001</v>
      </c>
      <c r="C651">
        <f>IFERROR([1]!s_stm07_is($A651,"W75682424",TEXT($B$1,"yyyy/mm/dd"),1),"")</f>
        <v>4130467010.0999999</v>
      </c>
      <c r="D651">
        <f>IFERROR([1]!s_stm07_is($A651,"W76031679",TEXT($B$1,"yyyy/mm/dd"),1),"")</f>
        <v>511535423.75999999</v>
      </c>
      <c r="E651">
        <f>IFERROR([1]!s_stm07_is($A651,"W70752487",TEXT($B$1,"yyyy/mm/dd"),1),"")</f>
        <v>314208406.41000003</v>
      </c>
      <c r="F651">
        <f>IFERROR([1]!s_stm07_is_103($A651,TEXT($B$1,"yyyy/mm/dd"),1),"")</f>
        <v>275163282.07999998</v>
      </c>
      <c r="G651">
        <f>IFERROR([1]!s_stm07_is_104($A651,TEXT($B$1,"yyyy/mm/dd"),1),"")</f>
        <v>49036931.32</v>
      </c>
      <c r="H651">
        <f>IFERROR([1]!s_stm07_is_105($A651,TEXT($B$1,"yyyy/mm/dd"),1),"")</f>
        <v>4707692.42</v>
      </c>
      <c r="I651">
        <f>IFERROR([1]!s_stm07_is($A651,"W72946623",TEXT($B$1,"yyyy/mm/dd"),1),"")</f>
        <v>835316617.12</v>
      </c>
      <c r="J651">
        <f>IFERROR([1]!s_stm07_is($A651,"W30028333",TEXT($B$1,"yyyy/mm/dd"),1),"")</f>
        <v>708656668.35000002</v>
      </c>
      <c r="K651">
        <f>IFERROR([1]!s_stm07_cs($A651,"W77130581",TEXT($B$1,"yyyy/mm/dd"),1),"")</f>
        <v>447040436.95999998</v>
      </c>
      <c r="L651">
        <f>IFERROR([1]!s_stm07_cs($A651,"W77745895",TEXT($B$1,"yyyy/mm/dd"),1),"")</f>
        <v>414548782.63999999</v>
      </c>
      <c r="M651">
        <f>IFERROR([1]!S_FA_EPS_basic2($A651,$B$1,"Cur=CNY"),"")</f>
        <v>1.54</v>
      </c>
      <c r="N651">
        <f>IFERROR([1]!s_fa_arturndays($A651,TEXT($B$1,"yyyy/mm/dd")),"")</f>
        <v>90.320599999999999</v>
      </c>
      <c r="O651" t="str">
        <f>IFERROR([1]!fa_apturndays($A651,TEXT($B$1,"yyyy/mm/dd")),"")</f>
        <v>Fetch...</v>
      </c>
      <c r="P651">
        <f>IFERROR([1]!s_fa_invturndays($A651,TEXT($B$1,"yyyy/mm/dd")),"")</f>
        <v>173.03530000000001</v>
      </c>
    </row>
    <row r="652" spans="1:16">
      <c r="A652" t="s">
        <v>665</v>
      </c>
      <c r="B652">
        <f>IFERROR([1]!s_stm07_is($A652,"W70156729",TEXT($B$1,"yyyy/mm/dd"),1),"")</f>
        <v>2247644737.3099999</v>
      </c>
      <c r="C652">
        <f>IFERROR([1]!s_stm07_is($A652,"W75682424",TEXT($B$1,"yyyy/mm/dd"),1),"")</f>
        <v>1308975281.8599999</v>
      </c>
      <c r="D652">
        <f>IFERROR([1]!s_stm07_is($A652,"W76031679",TEXT($B$1,"yyyy/mm/dd"),1),"")</f>
        <v>158317364.12</v>
      </c>
      <c r="E652">
        <f>IFERROR([1]!s_stm07_is($A652,"W70752487",TEXT($B$1,"yyyy/mm/dd"),1),"")</f>
        <v>229144335.44999999</v>
      </c>
      <c r="F652">
        <f>IFERROR([1]!s_stm07_is_103($A652,TEXT($B$1,"yyyy/mm/dd"),1),"")</f>
        <v>174189629.08000001</v>
      </c>
      <c r="G652">
        <f>IFERROR([1]!s_stm07_is_104($A652,TEXT($B$1,"yyyy/mm/dd"),1),"")</f>
        <v>26523753.68</v>
      </c>
      <c r="H652">
        <f>IFERROR([1]!s_stm07_is_105($A652,TEXT($B$1,"yyyy/mm/dd"),1),"")</f>
        <v>7279503.2800000003</v>
      </c>
      <c r="I652">
        <f>IFERROR([1]!s_stm07_is($A652,"W72946623",TEXT($B$1,"yyyy/mm/dd"),1),"")</f>
        <v>320590920.63</v>
      </c>
      <c r="J652">
        <f>IFERROR([1]!s_stm07_is($A652,"W30028333",TEXT($B$1,"yyyy/mm/dd"),1),"")</f>
        <v>257442776.53</v>
      </c>
      <c r="K652">
        <f>IFERROR([1]!s_stm07_cs($A652,"W77130581",TEXT($B$1,"yyyy/mm/dd"),1),"")</f>
        <v>655113502.16999996</v>
      </c>
      <c r="L652">
        <f>IFERROR([1]!s_stm07_cs($A652,"W77745895",TEXT($B$1,"yyyy/mm/dd"),1),"")</f>
        <v>359600575.52999997</v>
      </c>
      <c r="M652">
        <f>IFERROR([1]!S_FA_EPS_basic2($A652,$B$1,"Cur=CNY"),"")</f>
        <v>0.50619999999999998</v>
      </c>
      <c r="N652">
        <f>IFERROR([1]!s_fa_arturndays($A652,TEXT($B$1,"yyyy/mm/dd")),"")</f>
        <v>212.51480000000001</v>
      </c>
      <c r="O652" t="str">
        <f>IFERROR([1]!fa_apturndays($A652,TEXT($B$1,"yyyy/mm/dd")),"")</f>
        <v>Fetch...</v>
      </c>
      <c r="P652">
        <f>IFERROR([1]!s_fa_invturndays($A652,TEXT($B$1,"yyyy/mm/dd")),"")</f>
        <v>114.3402</v>
      </c>
    </row>
    <row r="653" spans="1:16">
      <c r="A653" t="s">
        <v>666</v>
      </c>
      <c r="B653">
        <f>IFERROR([1]!s_stm07_is($A653,"W70156729",TEXT($B$1,"yyyy/mm/dd"),1),"")</f>
        <v>8198142647.7700005</v>
      </c>
      <c r="C653">
        <f>IFERROR([1]!s_stm07_is($A653,"W75682424",TEXT($B$1,"yyyy/mm/dd"),1),"")</f>
        <v>2573623637.0700002</v>
      </c>
      <c r="D653">
        <f>IFERROR([1]!s_stm07_is($A653,"W76031679",TEXT($B$1,"yyyy/mm/dd"),1),"")</f>
        <v>4182080992.7399998</v>
      </c>
      <c r="E653">
        <f>IFERROR([1]!s_stm07_is($A653,"W70752487",TEXT($B$1,"yyyy/mm/dd"),1),"")</f>
        <v>1264131825.53</v>
      </c>
      <c r="F653">
        <f>IFERROR([1]!s_stm07_is_103($A653,TEXT($B$1,"yyyy/mm/dd"),1),"")</f>
        <v>1675548862.3900001</v>
      </c>
      <c r="G653">
        <f>IFERROR([1]!s_stm07_is_104($A653,TEXT($B$1,"yyyy/mm/dd"),1),"")</f>
        <v>62004442.369999997</v>
      </c>
      <c r="H653">
        <f>IFERROR([1]!s_stm07_is_105($A653,TEXT($B$1,"yyyy/mm/dd"),1),"")</f>
        <v>29115993.91</v>
      </c>
      <c r="I653">
        <f>IFERROR([1]!s_stm07_is($A653,"W72946623",TEXT($B$1,"yyyy/mm/dd"),1),"")</f>
        <v>-1823651342.1800001</v>
      </c>
      <c r="J653">
        <f>IFERROR([1]!s_stm07_is($A653,"W30028333",TEXT($B$1,"yyyy/mm/dd"),1),"")</f>
        <v>-1592728558.53</v>
      </c>
      <c r="K653">
        <f>IFERROR([1]!s_stm07_cs($A653,"W77130581",TEXT($B$1,"yyyy/mm/dd"),1),"")</f>
        <v>-735922102.77999997</v>
      </c>
      <c r="L653">
        <f>IFERROR([1]!s_stm07_cs($A653,"W77745895",TEXT($B$1,"yyyy/mm/dd"),1),"")</f>
        <v>204890843.97</v>
      </c>
      <c r="M653">
        <f>IFERROR([1]!S_FA_EPS_basic2($A653,$B$1,"Cur=CNY"),"")</f>
        <v>-1.28</v>
      </c>
      <c r="N653">
        <f>IFERROR([1]!s_fa_arturndays($A653,TEXT($B$1,"yyyy/mm/dd")),"")</f>
        <v>44.241799999999998</v>
      </c>
      <c r="O653" t="str">
        <f>IFERROR([1]!fa_apturndays($A653,TEXT($B$1,"yyyy/mm/dd")),"")</f>
        <v>Fetch...</v>
      </c>
      <c r="P653">
        <f>IFERROR([1]!s_fa_invturndays($A653,TEXT($B$1,"yyyy/mm/dd")),"")</f>
        <v>0</v>
      </c>
    </row>
    <row r="654" spans="1:16">
      <c r="A654" t="s">
        <v>667</v>
      </c>
      <c r="B654">
        <f>IFERROR([1]!s_stm07_is($A654,"W70156729",TEXT($B$1,"yyyy/mm/dd"),1),"")</f>
        <v>32124129119.98</v>
      </c>
      <c r="C654">
        <f>IFERROR([1]!s_stm07_is($A654,"W75682424",TEXT($B$1,"yyyy/mm/dd"),1),"")</f>
        <v>29040506505.470001</v>
      </c>
      <c r="D654">
        <f>IFERROR([1]!s_stm07_is($A654,"W76031679",TEXT($B$1,"yyyy/mm/dd"),1),"")</f>
        <v>372942320.04000002</v>
      </c>
      <c r="E654">
        <f>IFERROR([1]!s_stm07_is($A654,"W70752487",TEXT($B$1,"yyyy/mm/dd"),1),"")</f>
        <v>612897759.79999995</v>
      </c>
      <c r="F654">
        <f>IFERROR([1]!s_stm07_is_103($A654,TEXT($B$1,"yyyy/mm/dd"),1),"")</f>
        <v>1053455026.03</v>
      </c>
      <c r="G654">
        <f>IFERROR([1]!s_stm07_is_104($A654,TEXT($B$1,"yyyy/mm/dd"),1),"")</f>
        <v>300219985.62</v>
      </c>
      <c r="H654">
        <f>IFERROR([1]!s_stm07_is_105($A654,TEXT($B$1,"yyyy/mm/dd"),1),"")</f>
        <v>24063380.149999999</v>
      </c>
      <c r="I654">
        <f>IFERROR([1]!s_stm07_is($A654,"W72946623",TEXT($B$1,"yyyy/mm/dd"),1),"")</f>
        <v>1004456989.3099999</v>
      </c>
      <c r="J654">
        <f>IFERROR([1]!s_stm07_is($A654,"W30028333",TEXT($B$1,"yyyy/mm/dd"),1),"")</f>
        <v>885878524.92999995</v>
      </c>
      <c r="K654">
        <f>IFERROR([1]!s_stm07_cs($A654,"W77130581",TEXT($B$1,"yyyy/mm/dd"),1),"")</f>
        <v>379129404.14999998</v>
      </c>
      <c r="L654">
        <f>IFERROR([1]!s_stm07_cs($A654,"W77745895",TEXT($B$1,"yyyy/mm/dd"),1),"")</f>
        <v>1149634978.46</v>
      </c>
      <c r="M654">
        <f>IFERROR([1]!S_FA_EPS_basic2($A654,$B$1,"Cur=CNY"),"")</f>
        <v>1.39</v>
      </c>
      <c r="N654">
        <f>IFERROR([1]!s_fa_arturndays($A654,TEXT($B$1,"yyyy/mm/dd")),"")</f>
        <v>66.826300000000003</v>
      </c>
      <c r="O654" t="str">
        <f>IFERROR([1]!fa_apturndays($A654,TEXT($B$1,"yyyy/mm/dd")),"")</f>
        <v>Fetch...</v>
      </c>
      <c r="P654">
        <f>IFERROR([1]!s_fa_invturndays($A654,TEXT($B$1,"yyyy/mm/dd")),"")</f>
        <v>61.878</v>
      </c>
    </row>
    <row r="655" spans="1:16">
      <c r="A655" t="s">
        <v>668</v>
      </c>
      <c r="B655">
        <f>IFERROR([1]!s_stm07_is($A655,"W70156729",TEXT($B$1,"yyyy/mm/dd"),1),"")</f>
        <v>13482278092.91</v>
      </c>
      <c r="C655">
        <f>IFERROR([1]!s_stm07_is($A655,"W75682424",TEXT($B$1,"yyyy/mm/dd"),1),"")</f>
        <v>11992516652.120001</v>
      </c>
      <c r="D655">
        <f>IFERROR([1]!s_stm07_is($A655,"W76031679",TEXT($B$1,"yyyy/mm/dd"),1),"")</f>
        <v>180610617.75</v>
      </c>
      <c r="E655">
        <f>IFERROR([1]!s_stm07_is($A655,"W70752487",TEXT($B$1,"yyyy/mm/dd"),1),"")</f>
        <v>298624844.45999998</v>
      </c>
      <c r="F655">
        <f>IFERROR([1]!s_stm07_is_103($A655,TEXT($B$1,"yyyy/mm/dd"),1),"")</f>
        <v>271856002.41000003</v>
      </c>
      <c r="G655">
        <f>IFERROR([1]!s_stm07_is_104($A655,TEXT($B$1,"yyyy/mm/dd"),1),"")</f>
        <v>77521305</v>
      </c>
      <c r="H655">
        <f>IFERROR([1]!s_stm07_is_105($A655,TEXT($B$1,"yyyy/mm/dd"),1),"")</f>
        <v>17394711.550000001</v>
      </c>
      <c r="I655">
        <f>IFERROR([1]!s_stm07_is($A655,"W72946623",TEXT($B$1,"yyyy/mm/dd"),1),"")</f>
        <v>656516743.50999999</v>
      </c>
      <c r="J655">
        <f>IFERROR([1]!s_stm07_is($A655,"W30028333",TEXT($B$1,"yyyy/mm/dd"),1),"")</f>
        <v>427559747.80000001</v>
      </c>
      <c r="K655">
        <f>IFERROR([1]!s_stm07_cs($A655,"W77130581",TEXT($B$1,"yyyy/mm/dd"),1),"")</f>
        <v>896697750.72000003</v>
      </c>
      <c r="L655">
        <f>IFERROR([1]!s_stm07_cs($A655,"W77745895",TEXT($B$1,"yyyy/mm/dd"),1),"")</f>
        <v>1126532787.25</v>
      </c>
      <c r="M655">
        <f>IFERROR([1]!S_FA_EPS_basic2($A655,$B$1,"Cur=CNY"),"")</f>
        <v>0.25009999999999999</v>
      </c>
      <c r="N655">
        <f>IFERROR([1]!s_fa_arturndays($A655,TEXT($B$1,"yyyy/mm/dd")),"")</f>
        <v>56.1982</v>
      </c>
      <c r="O655" t="str">
        <f>IFERROR([1]!fa_apturndays($A655,TEXT($B$1,"yyyy/mm/dd")),"")</f>
        <v>Fetch...</v>
      </c>
      <c r="P655">
        <f>IFERROR([1]!s_fa_invturndays($A655,TEXT($B$1,"yyyy/mm/dd")),"")</f>
        <v>29.099599999999999</v>
      </c>
    </row>
    <row r="656" spans="1:16">
      <c r="A656" t="s">
        <v>669</v>
      </c>
      <c r="B656">
        <f>IFERROR([1]!s_stm07_is($A656,"W70156729",TEXT($B$1,"yyyy/mm/dd"),1),"")</f>
        <v>74409731699.210007</v>
      </c>
      <c r="C656">
        <f>IFERROR([1]!s_stm07_is($A656,"W75682424",TEXT($B$1,"yyyy/mm/dd"),1),"")</f>
        <v>62511453694.769997</v>
      </c>
      <c r="D656">
        <f>IFERROR([1]!s_stm07_is($A656,"W76031679",TEXT($B$1,"yyyy/mm/dd"),1),"")</f>
        <v>586365258.79999995</v>
      </c>
      <c r="E656">
        <f>IFERROR([1]!s_stm07_is($A656,"W70752487",TEXT($B$1,"yyyy/mm/dd"),1),"")</f>
        <v>2891508027.6500001</v>
      </c>
      <c r="F656">
        <f>IFERROR([1]!s_stm07_is_103($A656,TEXT($B$1,"yyyy/mm/dd"),1),"")</f>
        <v>2870604968.0999999</v>
      </c>
      <c r="G656">
        <f>IFERROR([1]!s_stm07_is_104($A656,TEXT($B$1,"yyyy/mm/dd"),1),"")</f>
        <v>264428821.09</v>
      </c>
      <c r="H656">
        <f>IFERROR([1]!s_stm07_is_105($A656,TEXT($B$1,"yyyy/mm/dd"),1),"")</f>
        <v>228352486.59999999</v>
      </c>
      <c r="I656">
        <f>IFERROR([1]!s_stm07_is($A656,"W72946623",TEXT($B$1,"yyyy/mm/dd"),1),"")</f>
        <v>4586002715.8000002</v>
      </c>
      <c r="J656">
        <f>IFERROR([1]!s_stm07_is($A656,"W30028333",TEXT($B$1,"yyyy/mm/dd"),1),"")</f>
        <v>4017827408.8000002</v>
      </c>
      <c r="K656">
        <f>IFERROR([1]!s_stm07_cs($A656,"W77130581",TEXT($B$1,"yyyy/mm/dd"),1),"")</f>
        <v>11464998294.639999</v>
      </c>
      <c r="L656">
        <f>IFERROR([1]!s_stm07_cs($A656,"W77745895",TEXT($B$1,"yyyy/mm/dd"),1),"")</f>
        <v>9443029003.1000004</v>
      </c>
      <c r="M656">
        <f>IFERROR([1]!S_FA_EPS_basic2($A656,$B$1,"Cur=CNY"),"")</f>
        <v>0.79</v>
      </c>
      <c r="N656">
        <f>IFERROR([1]!s_fa_arturndays($A656,TEXT($B$1,"yyyy/mm/dd")),"")</f>
        <v>52.333199999999998</v>
      </c>
      <c r="O656" t="str">
        <f>IFERROR([1]!fa_apturndays($A656,TEXT($B$1,"yyyy/mm/dd")),"")</f>
        <v>Fetch...</v>
      </c>
      <c r="P656">
        <f>IFERROR([1]!s_fa_invturndays($A656,TEXT($B$1,"yyyy/mm/dd")),"")</f>
        <v>40.579799999999999</v>
      </c>
    </row>
    <row r="657" spans="1:16">
      <c r="A657" t="s">
        <v>670</v>
      </c>
      <c r="B657">
        <f>IFERROR([1]!s_stm07_is($A657,"W70156729",TEXT($B$1,"yyyy/mm/dd"),1),"")</f>
        <v>11943958058.129999</v>
      </c>
      <c r="C657">
        <f>IFERROR([1]!s_stm07_is($A657,"W75682424",TEXT($B$1,"yyyy/mm/dd"),1),"")</f>
        <v>10200486740.6</v>
      </c>
      <c r="D657">
        <f>IFERROR([1]!s_stm07_is($A657,"W76031679",TEXT($B$1,"yyyy/mm/dd"),1),"")</f>
        <v>314096427.31999999</v>
      </c>
      <c r="E657">
        <f>IFERROR([1]!s_stm07_is($A657,"W70752487",TEXT($B$1,"yyyy/mm/dd"),1),"")</f>
        <v>404750927.11000001</v>
      </c>
      <c r="F657">
        <f>IFERROR([1]!s_stm07_is_103($A657,TEXT($B$1,"yyyy/mm/dd"),1),"")</f>
        <v>520845536.49000001</v>
      </c>
      <c r="G657">
        <f>IFERROR([1]!s_stm07_is_104($A657,TEXT($B$1,"yyyy/mm/dd"),1),"")</f>
        <v>101894972.15000001</v>
      </c>
      <c r="H657">
        <f>IFERROR([1]!s_stm07_is_105($A657,TEXT($B$1,"yyyy/mm/dd"),1),"")</f>
        <v>16591114.859999999</v>
      </c>
      <c r="I657">
        <f>IFERROR([1]!s_stm07_is($A657,"W72946623",TEXT($B$1,"yyyy/mm/dd"),1),"")</f>
        <v>191347957.66999999</v>
      </c>
      <c r="J657">
        <f>IFERROR([1]!s_stm07_is($A657,"W30028333",TEXT($B$1,"yyyy/mm/dd"),1),"")</f>
        <v>206022522.25</v>
      </c>
      <c r="K657">
        <f>IFERROR([1]!s_stm07_cs($A657,"W77130581",TEXT($B$1,"yyyy/mm/dd"),1),"")</f>
        <v>930119521.79999995</v>
      </c>
      <c r="L657">
        <f>IFERROR([1]!s_stm07_cs($A657,"W77745895",TEXT($B$1,"yyyy/mm/dd"),1),"")</f>
        <v>545826012.13</v>
      </c>
      <c r="M657">
        <f>IFERROR([1]!S_FA_EPS_basic2($A657,$B$1,"Cur=CNY"),"")</f>
        <v>0.41</v>
      </c>
      <c r="N657">
        <f>IFERROR([1]!s_fa_arturndays($A657,TEXT($B$1,"yyyy/mm/dd")),"")</f>
        <v>94.334699999999998</v>
      </c>
      <c r="O657" t="str">
        <f>IFERROR([1]!fa_apturndays($A657,TEXT($B$1,"yyyy/mm/dd")),"")</f>
        <v>Fetch...</v>
      </c>
      <c r="P657">
        <f>IFERROR([1]!s_fa_invturndays($A657,TEXT($B$1,"yyyy/mm/dd")),"")</f>
        <v>126.7427</v>
      </c>
    </row>
    <row r="658" spans="1:16">
      <c r="A658" t="s">
        <v>671</v>
      </c>
      <c r="B658">
        <f>IFERROR([1]!s_stm07_is($A658,"W70156729",TEXT($B$1,"yyyy/mm/dd"),1),"")</f>
        <v>5673679683.8000002</v>
      </c>
      <c r="C658">
        <f>IFERROR([1]!s_stm07_is($A658,"W75682424",TEXT($B$1,"yyyy/mm/dd"),1),"")</f>
        <v>3061242889.5700002</v>
      </c>
      <c r="D658">
        <f>IFERROR([1]!s_stm07_is($A658,"W76031679",TEXT($B$1,"yyyy/mm/dd"),1),"")</f>
        <v>4244549.54</v>
      </c>
      <c r="E658">
        <f>IFERROR([1]!s_stm07_is($A658,"W70752487",TEXT($B$1,"yyyy/mm/dd"),1),"")</f>
        <v>244803980.09999999</v>
      </c>
      <c r="F658">
        <f>IFERROR([1]!s_stm07_is_103($A658,TEXT($B$1,"yyyy/mm/dd"),1),"")</f>
        <v>206377992.25</v>
      </c>
      <c r="G658">
        <f>IFERROR([1]!s_stm07_is_104($A658,TEXT($B$1,"yyyy/mm/dd"),1),"")</f>
        <v>331424913.76999998</v>
      </c>
      <c r="H658">
        <f>IFERROR([1]!s_stm07_is_105($A658,TEXT($B$1,"yyyy/mm/dd"),1),"")</f>
        <v>22327699.280000001</v>
      </c>
      <c r="I658">
        <f>IFERROR([1]!s_stm07_is($A658,"W72946623",TEXT($B$1,"yyyy/mm/dd"),1),"")</f>
        <v>5689364322.1199999</v>
      </c>
      <c r="J658">
        <f>IFERROR([1]!s_stm07_is($A658,"W30028333",TEXT($B$1,"yyyy/mm/dd"),1),"")</f>
        <v>5049938663.9200001</v>
      </c>
      <c r="K658">
        <f>IFERROR([1]!s_stm07_cs($A658,"W77130581",TEXT($B$1,"yyyy/mm/dd"),1),"")</f>
        <v>3291906916.3200002</v>
      </c>
      <c r="L658">
        <f>IFERROR([1]!s_stm07_cs($A658,"W77745895",TEXT($B$1,"yyyy/mm/dd"),1),"")</f>
        <v>12149872616.860001</v>
      </c>
      <c r="M658">
        <f>IFERROR([1]!S_FA_EPS_basic2($A658,$B$1,"Cur=CNY"),"")</f>
        <v>3</v>
      </c>
      <c r="N658">
        <f>IFERROR([1]!s_fa_arturndays($A658,TEXT($B$1,"yyyy/mm/dd")),"")</f>
        <v>89.753200000000007</v>
      </c>
      <c r="O658" t="str">
        <f>IFERROR([1]!fa_apturndays($A658,TEXT($B$1,"yyyy/mm/dd")),"")</f>
        <v>Fetch...</v>
      </c>
      <c r="P658">
        <f>IFERROR([1]!s_fa_invturndays($A658,TEXT($B$1,"yyyy/mm/dd")),"")</f>
        <v>106.64449999999999</v>
      </c>
    </row>
    <row r="659" spans="1:16">
      <c r="A659" t="s">
        <v>672</v>
      </c>
      <c r="B659">
        <f>IFERROR([1]!s_stm07_is($A659,"W70156729",TEXT($B$1,"yyyy/mm/dd"),1),"")</f>
        <v>2489472933.5999999</v>
      </c>
      <c r="C659">
        <f>IFERROR([1]!s_stm07_is($A659,"W75682424",TEXT($B$1,"yyyy/mm/dd"),1),"")</f>
        <v>1798587403.3399999</v>
      </c>
      <c r="D659">
        <f>IFERROR([1]!s_stm07_is($A659,"W76031679",TEXT($B$1,"yyyy/mm/dd"),1),"")</f>
        <v>28343868.77</v>
      </c>
      <c r="E659">
        <f>IFERROR([1]!s_stm07_is($A659,"W70752487",TEXT($B$1,"yyyy/mm/dd"),1),"")</f>
        <v>136673622.63999999</v>
      </c>
      <c r="F659">
        <f>IFERROR([1]!s_stm07_is_103($A659,TEXT($B$1,"yyyy/mm/dd"),1),"")</f>
        <v>119652647.68000001</v>
      </c>
      <c r="G659">
        <f>IFERROR([1]!s_stm07_is_104($A659,TEXT($B$1,"yyyy/mm/dd"),1),"")</f>
        <v>241010.12</v>
      </c>
      <c r="H659">
        <f>IFERROR([1]!s_stm07_is_105($A659,TEXT($B$1,"yyyy/mm/dd"),1),"")</f>
        <v>6218458.7599999998</v>
      </c>
      <c r="I659">
        <f>IFERROR([1]!s_stm07_is($A659,"W72946623",TEXT($B$1,"yyyy/mm/dd"),1),"")</f>
        <v>387046946.14999998</v>
      </c>
      <c r="J659">
        <f>IFERROR([1]!s_stm07_is($A659,"W30028333",TEXT($B$1,"yyyy/mm/dd"),1),"")</f>
        <v>314486526.80000001</v>
      </c>
      <c r="K659">
        <f>IFERROR([1]!s_stm07_cs($A659,"W77130581",TEXT($B$1,"yyyy/mm/dd"),1),"")</f>
        <v>-189598466.15000001</v>
      </c>
      <c r="L659">
        <f>IFERROR([1]!s_stm07_cs($A659,"W77745895",TEXT($B$1,"yyyy/mm/dd"),1),"")</f>
        <v>262339711.99000001</v>
      </c>
      <c r="M659">
        <f>IFERROR([1]!S_FA_EPS_basic2($A659,$B$1,"Cur=CNY"),"")</f>
        <v>0.98699999999999999</v>
      </c>
      <c r="N659">
        <f>IFERROR([1]!s_fa_arturndays($A659,TEXT($B$1,"yyyy/mm/dd")),"")</f>
        <v>124.477</v>
      </c>
      <c r="O659" t="str">
        <f>IFERROR([1]!fa_apturndays($A659,TEXT($B$1,"yyyy/mm/dd")),"")</f>
        <v>Fetch...</v>
      </c>
      <c r="P659">
        <f>IFERROR([1]!s_fa_invturndays($A659,TEXT($B$1,"yyyy/mm/dd")),"")</f>
        <v>183.22479999999999</v>
      </c>
    </row>
    <row r="660" spans="1:16">
      <c r="A660" t="s">
        <v>673</v>
      </c>
      <c r="B660">
        <f>IFERROR([1]!s_stm07_is($A660,"W70156729",TEXT($B$1,"yyyy/mm/dd"),1),"")</f>
        <v>9003495927.0799999</v>
      </c>
      <c r="C660">
        <f>IFERROR([1]!s_stm07_is($A660,"W75682424",TEXT($B$1,"yyyy/mm/dd"),1),"")</f>
        <v>7129610921.7700005</v>
      </c>
      <c r="D660">
        <f>IFERROR([1]!s_stm07_is($A660,"W76031679",TEXT($B$1,"yyyy/mm/dd"),1),"")</f>
        <v>136245065.27000001</v>
      </c>
      <c r="E660">
        <f>IFERROR([1]!s_stm07_is($A660,"W70752487",TEXT($B$1,"yyyy/mm/dd"),1),"")</f>
        <v>325375355.38999999</v>
      </c>
      <c r="F660">
        <f>IFERROR([1]!s_stm07_is_103($A660,TEXT($B$1,"yyyy/mm/dd"),1),"")</f>
        <v>440488655.97000003</v>
      </c>
      <c r="G660">
        <f>IFERROR([1]!s_stm07_is_104($A660,TEXT($B$1,"yyyy/mm/dd"),1),"")</f>
        <v>6406764.7599999998</v>
      </c>
      <c r="H660">
        <f>IFERROR([1]!s_stm07_is_105($A660,TEXT($B$1,"yyyy/mm/dd"),1),"")</f>
        <v>9195569.1199999992</v>
      </c>
      <c r="I660">
        <f>IFERROR([1]!s_stm07_is($A660,"W72946623",TEXT($B$1,"yyyy/mm/dd"),1),"")</f>
        <v>1064756972.88</v>
      </c>
      <c r="J660">
        <f>IFERROR([1]!s_stm07_is($A660,"W30028333",TEXT($B$1,"yyyy/mm/dd"),1),"")</f>
        <v>881085235.54999995</v>
      </c>
      <c r="K660">
        <f>IFERROR([1]!s_stm07_cs($A660,"W77130581",TEXT($B$1,"yyyy/mm/dd"),1),"")</f>
        <v>665785776.24000001</v>
      </c>
      <c r="L660">
        <f>IFERROR([1]!s_stm07_cs($A660,"W77745895",TEXT($B$1,"yyyy/mm/dd"),1),"")</f>
        <v>466873037.63</v>
      </c>
      <c r="M660">
        <f>IFERROR([1]!S_FA_EPS_basic2($A660,$B$1,"Cur=CNY"),"")</f>
        <v>1.0422</v>
      </c>
      <c r="N660">
        <f>IFERROR([1]!s_fa_arturndays($A660,TEXT($B$1,"yyyy/mm/dd")),"")</f>
        <v>70.0976</v>
      </c>
      <c r="O660" t="str">
        <f>IFERROR([1]!fa_apturndays($A660,TEXT($B$1,"yyyy/mm/dd")),"")</f>
        <v>Fetch...</v>
      </c>
      <c r="P660">
        <f>IFERROR([1]!s_fa_invturndays($A660,TEXT($B$1,"yyyy/mm/dd")),"")</f>
        <v>90.977999999999994</v>
      </c>
    </row>
    <row r="661" spans="1:16">
      <c r="A661" t="s">
        <v>674</v>
      </c>
      <c r="B661">
        <f>IFERROR([1]!s_stm07_is($A661,"W70156729",TEXT($B$1,"yyyy/mm/dd"),1),"")</f>
        <v>14443080424.360001</v>
      </c>
      <c r="C661">
        <f>IFERROR([1]!s_stm07_is($A661,"W75682424",TEXT($B$1,"yyyy/mm/dd"),1),"")</f>
        <v>9630409684.9200001</v>
      </c>
      <c r="D661">
        <f>IFERROR([1]!s_stm07_is($A661,"W76031679",TEXT($B$1,"yyyy/mm/dd"),1),"")</f>
        <v>353476633</v>
      </c>
      <c r="E661">
        <f>IFERROR([1]!s_stm07_is($A661,"W70752487",TEXT($B$1,"yyyy/mm/dd"),1),"")</f>
        <v>1063750622.39</v>
      </c>
      <c r="F661">
        <f>IFERROR([1]!s_stm07_is_103($A661,TEXT($B$1,"yyyy/mm/dd"),1),"")</f>
        <v>1605067131.6300001</v>
      </c>
      <c r="G661">
        <f>IFERROR([1]!s_stm07_is_104($A661,TEXT($B$1,"yyyy/mm/dd"),1),"")</f>
        <v>120720244.40000001</v>
      </c>
      <c r="H661">
        <f>IFERROR([1]!s_stm07_is_105($A661,TEXT($B$1,"yyyy/mm/dd"),1),"")</f>
        <v>46272571.189999998</v>
      </c>
      <c r="I661">
        <f>IFERROR([1]!s_stm07_is($A661,"W72946623",TEXT($B$1,"yyyy/mm/dd"),1),"")</f>
        <v>1688847653.3</v>
      </c>
      <c r="J661">
        <f>IFERROR([1]!s_stm07_is($A661,"W30028333",TEXT($B$1,"yyyy/mm/dd"),1),"")</f>
        <v>1563777858.1700001</v>
      </c>
      <c r="K661">
        <f>IFERROR([1]!s_stm07_cs($A661,"W77130581",TEXT($B$1,"yyyy/mm/dd"),1),"")</f>
        <v>4957368505.0100002</v>
      </c>
      <c r="L661">
        <f>IFERROR([1]!s_stm07_cs($A661,"W77745895",TEXT($B$1,"yyyy/mm/dd"),1),"")</f>
        <v>554779763.87</v>
      </c>
      <c r="M661">
        <f>IFERROR([1]!S_FA_EPS_basic2($A661,$B$1,"Cur=CNY"),"")</f>
        <v>1.01</v>
      </c>
      <c r="N661">
        <f>IFERROR([1]!s_fa_arturndays($A661,TEXT($B$1,"yyyy/mm/dd")),"")</f>
        <v>191.1335</v>
      </c>
      <c r="O661" t="str">
        <f>IFERROR([1]!fa_apturndays($A661,TEXT($B$1,"yyyy/mm/dd")),"")</f>
        <v>Fetch...</v>
      </c>
      <c r="P661">
        <f>IFERROR([1]!s_fa_invturndays($A661,TEXT($B$1,"yyyy/mm/dd")),"")</f>
        <v>563.82150000000001</v>
      </c>
    </row>
    <row r="662" spans="1:16">
      <c r="A662" t="s">
        <v>675</v>
      </c>
      <c r="B662">
        <f>IFERROR([1]!s_stm07_is($A662,"W70156729",TEXT($B$1,"yyyy/mm/dd"),1),"")</f>
        <v>1051722248.27</v>
      </c>
      <c r="C662">
        <f>IFERROR([1]!s_stm07_is($A662,"W75682424",TEXT($B$1,"yyyy/mm/dd"),1),"")</f>
        <v>676985568.38999999</v>
      </c>
      <c r="D662">
        <f>IFERROR([1]!s_stm07_is($A662,"W76031679",TEXT($B$1,"yyyy/mm/dd"),1),"")</f>
        <v>88536330.019999996</v>
      </c>
      <c r="E662">
        <f>IFERROR([1]!s_stm07_is($A662,"W70752487",TEXT($B$1,"yyyy/mm/dd"),1),"")</f>
        <v>199247765.56</v>
      </c>
      <c r="F662">
        <f>IFERROR([1]!s_stm07_is_103($A662,TEXT($B$1,"yyyy/mm/dd"),1),"")</f>
        <v>295647429.88999999</v>
      </c>
      <c r="G662">
        <f>IFERROR([1]!s_stm07_is_104($A662,TEXT($B$1,"yyyy/mm/dd"),1),"")</f>
        <v>1055144.3500000001</v>
      </c>
      <c r="H662">
        <f>IFERROR([1]!s_stm07_is_105($A662,TEXT($B$1,"yyyy/mm/dd"),1),"")</f>
        <v>11379324.029999999</v>
      </c>
      <c r="I662">
        <f>IFERROR([1]!s_stm07_is($A662,"W72946623",TEXT($B$1,"yyyy/mm/dd"),1),"")</f>
        <v>-415555602.00999999</v>
      </c>
      <c r="J662">
        <f>IFERROR([1]!s_stm07_is($A662,"W30028333",TEXT($B$1,"yyyy/mm/dd"),1),"")</f>
        <v>-401653589.51999998</v>
      </c>
      <c r="K662">
        <f>IFERROR([1]!s_stm07_cs($A662,"W77130581",TEXT($B$1,"yyyy/mm/dd"),1),"")</f>
        <v>-21199028.23</v>
      </c>
      <c r="L662">
        <f>IFERROR([1]!s_stm07_cs($A662,"W77745895",TEXT($B$1,"yyyy/mm/dd"),1),"")</f>
        <v>172311247.47</v>
      </c>
      <c r="M662">
        <f>IFERROR([1]!S_FA_EPS_basic2($A662,$B$1,"Cur=CNY"),"")</f>
        <v>-0.26</v>
      </c>
      <c r="N662">
        <f>IFERROR([1]!s_fa_arturndays($A662,TEXT($B$1,"yyyy/mm/dd")),"")</f>
        <v>508.69009999999997</v>
      </c>
      <c r="O662" t="str">
        <f>IFERROR([1]!fa_apturndays($A662,TEXT($B$1,"yyyy/mm/dd")),"")</f>
        <v>Fetch...</v>
      </c>
      <c r="P662">
        <f>IFERROR([1]!s_fa_invturndays($A662,TEXT($B$1,"yyyy/mm/dd")),"")</f>
        <v>232.1233</v>
      </c>
    </row>
    <row r="663" spans="1:16">
      <c r="A663" t="s">
        <v>676</v>
      </c>
      <c r="B663">
        <f>IFERROR([1]!s_stm07_is($A663,"W70156729",TEXT($B$1,"yyyy/mm/dd"),1),"")</f>
        <v>8043025023.5</v>
      </c>
      <c r="C663">
        <f>IFERROR([1]!s_stm07_is($A663,"W75682424",TEXT($B$1,"yyyy/mm/dd"),1),"")</f>
        <v>3272980098.25</v>
      </c>
      <c r="D663">
        <f>IFERROR([1]!s_stm07_is($A663,"W76031679",TEXT($B$1,"yyyy/mm/dd"),1),"")</f>
        <v>2553073740.5</v>
      </c>
      <c r="E663">
        <f>IFERROR([1]!s_stm07_is($A663,"W70752487",TEXT($B$1,"yyyy/mm/dd"),1),"")</f>
        <v>340123554.92000002</v>
      </c>
      <c r="F663">
        <f>IFERROR([1]!s_stm07_is_103($A663,TEXT($B$1,"yyyy/mm/dd"),1),"")</f>
        <v>2055107212.03</v>
      </c>
      <c r="G663">
        <f>IFERROR([1]!s_stm07_is_104($A663,TEXT($B$1,"yyyy/mm/dd"),1),"")</f>
        <v>48308994.490000002</v>
      </c>
      <c r="H663">
        <f>IFERROR([1]!s_stm07_is_105($A663,TEXT($B$1,"yyyy/mm/dd"),1),"")</f>
        <v>270871029.83999997</v>
      </c>
      <c r="I663">
        <f>IFERROR([1]!s_stm07_is($A663,"W72946623",TEXT($B$1,"yyyy/mm/dd"),1),"")</f>
        <v>380308639.41000003</v>
      </c>
      <c r="J663">
        <f>IFERROR([1]!s_stm07_is($A663,"W30028333",TEXT($B$1,"yyyy/mm/dd"),1),"")</f>
        <v>392791954.44</v>
      </c>
      <c r="K663">
        <f>IFERROR([1]!s_stm07_cs($A663,"W77130581",TEXT($B$1,"yyyy/mm/dd"),1),"")</f>
        <v>1342011977.5699999</v>
      </c>
      <c r="L663">
        <f>IFERROR([1]!s_stm07_cs($A663,"W77745895",TEXT($B$1,"yyyy/mm/dd"),1),"")</f>
        <v>204362417.55000001</v>
      </c>
      <c r="M663">
        <f>IFERROR([1]!S_FA_EPS_basic2($A663,$B$1,"Cur=CNY"),"")</f>
        <v>0.93</v>
      </c>
      <c r="N663">
        <f>IFERROR([1]!s_fa_arturndays($A663,TEXT($B$1,"yyyy/mm/dd")),"")</f>
        <v>29.262599999999999</v>
      </c>
      <c r="O663" t="str">
        <f>IFERROR([1]!fa_apturndays($A663,TEXT($B$1,"yyyy/mm/dd")),"")</f>
        <v>Fetch...</v>
      </c>
      <c r="P663">
        <f>IFERROR([1]!s_fa_invturndays($A663,TEXT($B$1,"yyyy/mm/dd")),"")</f>
        <v>66.059899999999999</v>
      </c>
    </row>
    <row r="664" spans="1:16">
      <c r="A664" t="s">
        <v>677</v>
      </c>
      <c r="B664">
        <f>IFERROR([1]!s_stm07_is($A664,"W70156729",TEXT($B$1,"yyyy/mm/dd"),1),"")</f>
        <v>1114432296.6099999</v>
      </c>
      <c r="C664">
        <f>IFERROR([1]!s_stm07_is($A664,"W75682424",TEXT($B$1,"yyyy/mm/dd"),1),"")</f>
        <v>1030632210.01</v>
      </c>
      <c r="D664">
        <f>IFERROR([1]!s_stm07_is($A664,"W76031679",TEXT($B$1,"yyyy/mm/dd"),1),"")</f>
        <v>30676136.460000001</v>
      </c>
      <c r="E664">
        <f>IFERROR([1]!s_stm07_is($A664,"W70752487",TEXT($B$1,"yyyy/mm/dd"),1),"")</f>
        <v>89724035.549999997</v>
      </c>
      <c r="F664">
        <f>IFERROR([1]!s_stm07_is_103($A664,TEXT($B$1,"yyyy/mm/dd"),1),"")</f>
        <v>79781212.069999993</v>
      </c>
      <c r="G664">
        <f>IFERROR([1]!s_stm07_is_104($A664,TEXT($B$1,"yyyy/mm/dd"),1),"")</f>
        <v>6974626.5300000003</v>
      </c>
      <c r="H664">
        <f>IFERROR([1]!s_stm07_is_105($A664,TEXT($B$1,"yyyy/mm/dd"),1),"")</f>
        <v>1782460.75</v>
      </c>
      <c r="I664">
        <f>IFERROR([1]!s_stm07_is($A664,"W72946623",TEXT($B$1,"yyyy/mm/dd"),1),"")</f>
        <v>-178796941.09999999</v>
      </c>
      <c r="J664">
        <f>IFERROR([1]!s_stm07_is($A664,"W30028333",TEXT($B$1,"yyyy/mm/dd"),1),"")</f>
        <v>-179948703.05000001</v>
      </c>
      <c r="K664">
        <f>IFERROR([1]!s_stm07_cs($A664,"W77130581",TEXT($B$1,"yyyy/mm/dd"),1),"")</f>
        <v>154798111.03</v>
      </c>
      <c r="L664">
        <f>IFERROR([1]!s_stm07_cs($A664,"W77745895",TEXT($B$1,"yyyy/mm/dd"),1),"")</f>
        <v>8910878.9399999995</v>
      </c>
      <c r="M664">
        <f>IFERROR([1]!S_FA_EPS_basic2($A664,$B$1,"Cur=CNY"),"")</f>
        <v>-0.25069999999999998</v>
      </c>
      <c r="N664">
        <f>IFERROR([1]!s_fa_arturndays($A664,TEXT($B$1,"yyyy/mm/dd")),"")</f>
        <v>200.17789999999999</v>
      </c>
      <c r="O664" t="str">
        <f>IFERROR([1]!fa_apturndays($A664,TEXT($B$1,"yyyy/mm/dd")),"")</f>
        <v>Fetch...</v>
      </c>
      <c r="P664">
        <f>IFERROR([1]!s_fa_invturndays($A664,TEXT($B$1,"yyyy/mm/dd")),"")</f>
        <v>438.0095</v>
      </c>
    </row>
    <row r="665" spans="1:16">
      <c r="A665" t="s">
        <v>678</v>
      </c>
      <c r="B665">
        <f>IFERROR([1]!s_stm07_is($A665,"W70156729",TEXT($B$1,"yyyy/mm/dd"),1),"")</f>
        <v>824105934.17999995</v>
      </c>
      <c r="C665">
        <f>IFERROR([1]!s_stm07_is($A665,"W75682424",TEXT($B$1,"yyyy/mm/dd"),1),"")</f>
        <v>531542520.45999998</v>
      </c>
      <c r="D665">
        <f>IFERROR([1]!s_stm07_is($A665,"W76031679",TEXT($B$1,"yyyy/mm/dd"),1),"")</f>
        <v>20617804.219999999</v>
      </c>
      <c r="E665">
        <f>IFERROR([1]!s_stm07_is($A665,"W70752487",TEXT($B$1,"yyyy/mm/dd"),1),"")</f>
        <v>544849986.96000004</v>
      </c>
      <c r="F665">
        <f>IFERROR([1]!s_stm07_is_103($A665,TEXT($B$1,"yyyy/mm/dd"),1),"")</f>
        <v>392729653.20999998</v>
      </c>
      <c r="G665">
        <f>IFERROR([1]!s_stm07_is_104($A665,TEXT($B$1,"yyyy/mm/dd"),1),"")</f>
        <v>30270754.050000001</v>
      </c>
      <c r="H665">
        <f>IFERROR([1]!s_stm07_is_105($A665,TEXT($B$1,"yyyy/mm/dd"),1),"")</f>
        <v>34906410.020000003</v>
      </c>
      <c r="I665">
        <f>IFERROR([1]!s_stm07_is($A665,"W72946623",TEXT($B$1,"yyyy/mm/dd"),1),"")</f>
        <v>1380105687.73</v>
      </c>
      <c r="J665">
        <f>IFERROR([1]!s_stm07_is($A665,"W30028333",TEXT($B$1,"yyyy/mm/dd"),1),"")</f>
        <v>1473454069.6300001</v>
      </c>
      <c r="K665">
        <f>IFERROR([1]!s_stm07_cs($A665,"W77130581",TEXT($B$1,"yyyy/mm/dd"),1),"")</f>
        <v>-13906760.08</v>
      </c>
      <c r="L665">
        <f>IFERROR([1]!s_stm07_cs($A665,"W77745895",TEXT($B$1,"yyyy/mm/dd"),1),"")</f>
        <v>135308776.44999999</v>
      </c>
      <c r="M665">
        <f>IFERROR([1]!S_FA_EPS_basic2($A665,$B$1,"Cur=CNY"),"")</f>
        <v>2.0123000000000002</v>
      </c>
      <c r="N665">
        <f>IFERROR([1]!s_fa_arturndays($A665,TEXT($B$1,"yyyy/mm/dd")),"")</f>
        <v>175.9273</v>
      </c>
      <c r="O665" t="str">
        <f>IFERROR([1]!fa_apturndays($A665,TEXT($B$1,"yyyy/mm/dd")),"")</f>
        <v>Fetch...</v>
      </c>
      <c r="P665">
        <f>IFERROR([1]!s_fa_invturndays($A665,TEXT($B$1,"yyyy/mm/dd")),"")</f>
        <v>255.5548</v>
      </c>
    </row>
    <row r="666" spans="1:16">
      <c r="A666" t="s">
        <v>679</v>
      </c>
      <c r="B666">
        <f>IFERROR([1]!s_stm07_is($A666,"W70156729",TEXT($B$1,"yyyy/mm/dd"),1),"")</f>
        <v>9445215868.2700005</v>
      </c>
      <c r="C666">
        <f>IFERROR([1]!s_stm07_is($A666,"W75682424",TEXT($B$1,"yyyy/mm/dd"),1),"")</f>
        <v>7143044164.1700001</v>
      </c>
      <c r="D666">
        <f>IFERROR([1]!s_stm07_is($A666,"W76031679",TEXT($B$1,"yyyy/mm/dd"),1),"")</f>
        <v>331123964.44</v>
      </c>
      <c r="E666">
        <f>IFERROR([1]!s_stm07_is($A666,"W70752487",TEXT($B$1,"yyyy/mm/dd"),1),"")</f>
        <v>317140754.01999998</v>
      </c>
      <c r="F666">
        <f>IFERROR([1]!s_stm07_is_103($A666,TEXT($B$1,"yyyy/mm/dd"),1),"")</f>
        <v>612589512.55999994</v>
      </c>
      <c r="G666">
        <f>IFERROR([1]!s_stm07_is_104($A666,TEXT($B$1,"yyyy/mm/dd"),1),"")</f>
        <v>11548173.939999999</v>
      </c>
      <c r="H666">
        <f>IFERROR([1]!s_stm07_is_105($A666,TEXT($B$1,"yyyy/mm/dd"),1),"")</f>
        <v>28712016.649999999</v>
      </c>
      <c r="I666">
        <f>IFERROR([1]!s_stm07_is($A666,"W72946623",TEXT($B$1,"yyyy/mm/dd"),1),"")</f>
        <v>864370304.97000003</v>
      </c>
      <c r="J666">
        <f>IFERROR([1]!s_stm07_is($A666,"W30028333",TEXT($B$1,"yyyy/mm/dd"),1),"")</f>
        <v>538164526.05999994</v>
      </c>
      <c r="K666">
        <f>IFERROR([1]!s_stm07_cs($A666,"W77130581",TEXT($B$1,"yyyy/mm/dd"),1),"")</f>
        <v>795033778.34000003</v>
      </c>
      <c r="L666">
        <f>IFERROR([1]!s_stm07_cs($A666,"W77745895",TEXT($B$1,"yyyy/mm/dd"),1),"")</f>
        <v>176412302.36000001</v>
      </c>
      <c r="M666">
        <f>IFERROR([1]!S_FA_EPS_basic2($A666,$B$1,"Cur=CNY"),"")</f>
        <v>0.84</v>
      </c>
      <c r="N666">
        <f>IFERROR([1]!s_fa_arturndays($A666,TEXT($B$1,"yyyy/mm/dd")),"")</f>
        <v>226.60040000000001</v>
      </c>
      <c r="O666" t="str">
        <f>IFERROR([1]!fa_apturndays($A666,TEXT($B$1,"yyyy/mm/dd")),"")</f>
        <v>Fetch...</v>
      </c>
      <c r="P666">
        <f>IFERROR([1]!s_fa_invturndays($A666,TEXT($B$1,"yyyy/mm/dd")),"")</f>
        <v>200.42310000000001</v>
      </c>
    </row>
    <row r="667" spans="1:16">
      <c r="A667" t="s">
        <v>680</v>
      </c>
      <c r="B667">
        <f>IFERROR([1]!s_stm07_is($A667,"W70156729",TEXT($B$1,"yyyy/mm/dd"),1),"")</f>
        <v>2837953858.5700002</v>
      </c>
      <c r="C667">
        <f>IFERROR([1]!s_stm07_is($A667,"W75682424",TEXT($B$1,"yyyy/mm/dd"),1),"")</f>
        <v>1904936685.04</v>
      </c>
      <c r="D667">
        <f>IFERROR([1]!s_stm07_is($A667,"W76031679",TEXT($B$1,"yyyy/mm/dd"),1),"")</f>
        <v>55755859.780000001</v>
      </c>
      <c r="E667">
        <f>IFERROR([1]!s_stm07_is($A667,"W70752487",TEXT($B$1,"yyyy/mm/dd"),1),"")</f>
        <v>87036257.120000005</v>
      </c>
      <c r="F667">
        <f>IFERROR([1]!s_stm07_is_103($A667,TEXT($B$1,"yyyy/mm/dd"),1),"")</f>
        <v>596936569.72000003</v>
      </c>
      <c r="G667">
        <f>IFERROR([1]!s_stm07_is_104($A667,TEXT($B$1,"yyyy/mm/dd"),1),"")</f>
        <v>5337955.5199999996</v>
      </c>
      <c r="H667">
        <f>IFERROR([1]!s_stm07_is_105($A667,TEXT($B$1,"yyyy/mm/dd"),1),"")</f>
        <v>48606837.090000004</v>
      </c>
      <c r="I667">
        <f>IFERROR([1]!s_stm07_is($A667,"W72946623",TEXT($B$1,"yyyy/mm/dd"),1),"")</f>
        <v>270728100.29000002</v>
      </c>
      <c r="J667">
        <f>IFERROR([1]!s_stm07_is($A667,"W30028333",TEXT($B$1,"yyyy/mm/dd"),1),"")</f>
        <v>262132646.56999999</v>
      </c>
      <c r="K667">
        <f>IFERROR([1]!s_stm07_cs($A667,"W77130581",TEXT($B$1,"yyyy/mm/dd"),1),"")</f>
        <v>283595283.63999999</v>
      </c>
      <c r="L667">
        <f>IFERROR([1]!s_stm07_cs($A667,"W77745895",TEXT($B$1,"yyyy/mm/dd"),1),"")</f>
        <v>150567033.72</v>
      </c>
      <c r="M667">
        <f>IFERROR([1]!S_FA_EPS_basic2($A667,$B$1,"Cur=CNY"),"")</f>
        <v>0.32</v>
      </c>
      <c r="N667">
        <f>IFERROR([1]!s_fa_arturndays($A667,TEXT($B$1,"yyyy/mm/dd")),"")</f>
        <v>4.6425000000000001</v>
      </c>
      <c r="O667" t="str">
        <f>IFERROR([1]!fa_apturndays($A667,TEXT($B$1,"yyyy/mm/dd")),"")</f>
        <v>Fetch...</v>
      </c>
      <c r="P667">
        <f>IFERROR([1]!s_fa_invturndays($A667,TEXT($B$1,"yyyy/mm/dd")),"")</f>
        <v>129.6036</v>
      </c>
    </row>
    <row r="668" spans="1:16">
      <c r="A668" t="s">
        <v>681</v>
      </c>
      <c r="B668">
        <f>IFERROR([1]!s_stm07_is($A668,"W70156729",TEXT($B$1,"yyyy/mm/dd"),1),"")</f>
        <v>926191401.71000004</v>
      </c>
      <c r="C668">
        <f>IFERROR([1]!s_stm07_is($A668,"W75682424",TEXT($B$1,"yyyy/mm/dd"),1),"")</f>
        <v>117222073.26000001</v>
      </c>
      <c r="D668">
        <f>IFERROR([1]!s_stm07_is($A668,"W76031679",TEXT($B$1,"yyyy/mm/dd"),1),"")</f>
        <v>257711071.62</v>
      </c>
      <c r="E668">
        <f>IFERROR([1]!s_stm07_is($A668,"W70752487",TEXT($B$1,"yyyy/mm/dd"),1),"")</f>
        <v>289377638.22000003</v>
      </c>
      <c r="F668">
        <f>IFERROR([1]!s_stm07_is_103($A668,TEXT($B$1,"yyyy/mm/dd"),1),"")</f>
        <v>169333668.09</v>
      </c>
      <c r="G668">
        <f>IFERROR([1]!s_stm07_is_104($A668,TEXT($B$1,"yyyy/mm/dd"),1),"")</f>
        <v>79665225.879999995</v>
      </c>
      <c r="H668">
        <f>IFERROR([1]!s_stm07_is_105($A668,TEXT($B$1,"yyyy/mm/dd"),1),"")</f>
        <v>7011743.9100000001</v>
      </c>
      <c r="I668">
        <f>IFERROR([1]!s_stm07_is($A668,"W72946623",TEXT($B$1,"yyyy/mm/dd"),1),"")</f>
        <v>-1161176975.73</v>
      </c>
      <c r="J668">
        <f>IFERROR([1]!s_stm07_is($A668,"W30028333",TEXT($B$1,"yyyy/mm/dd"),1),"")</f>
        <v>-1204186425.53</v>
      </c>
      <c r="K668">
        <f>IFERROR([1]!s_stm07_cs($A668,"W77130581",TEXT($B$1,"yyyy/mm/dd"),1),"")</f>
        <v>224964981.72999999</v>
      </c>
      <c r="L668">
        <f>IFERROR([1]!s_stm07_cs($A668,"W77745895",TEXT($B$1,"yyyy/mm/dd"),1),"")</f>
        <v>88552764.25</v>
      </c>
      <c r="M668">
        <f>IFERROR([1]!S_FA_EPS_basic2($A668,$B$1,"Cur=CNY"),"")</f>
        <v>-0.34</v>
      </c>
      <c r="N668">
        <f>IFERROR([1]!s_fa_arturndays($A668,TEXT($B$1,"yyyy/mm/dd")),"")</f>
        <v>50.941000000000003</v>
      </c>
      <c r="O668" t="str">
        <f>IFERROR([1]!fa_apturndays($A668,TEXT($B$1,"yyyy/mm/dd")),"")</f>
        <v>Fetch...</v>
      </c>
      <c r="P668">
        <f>IFERROR([1]!s_fa_invturndays($A668,TEXT($B$1,"yyyy/mm/dd")),"")</f>
        <v>21.384799999999998</v>
      </c>
    </row>
    <row r="669" spans="1:16">
      <c r="A669" t="s">
        <v>682</v>
      </c>
      <c r="B669">
        <f>IFERROR([1]!s_stm07_is($A669,"W70156729",TEXT($B$1,"yyyy/mm/dd"),1),"")</f>
        <v>2170468429.2600002</v>
      </c>
      <c r="C669">
        <f>IFERROR([1]!s_stm07_is($A669,"W75682424",TEXT($B$1,"yyyy/mm/dd"),1),"")</f>
        <v>890544630.37</v>
      </c>
      <c r="D669">
        <f>IFERROR([1]!s_stm07_is($A669,"W76031679",TEXT($B$1,"yyyy/mm/dd"),1),"")</f>
        <v>684307986.27999997</v>
      </c>
      <c r="E669">
        <f>IFERROR([1]!s_stm07_is($A669,"W70752487",TEXT($B$1,"yyyy/mm/dd"),1),"")</f>
        <v>219664710.84</v>
      </c>
      <c r="F669">
        <f>IFERROR([1]!s_stm07_is_103($A669,TEXT($B$1,"yyyy/mm/dd"),1),"")</f>
        <v>317943913.33999997</v>
      </c>
      <c r="G669">
        <f>IFERROR([1]!s_stm07_is_104($A669,TEXT($B$1,"yyyy/mm/dd"),1),"")</f>
        <v>21536536.039999999</v>
      </c>
      <c r="H669">
        <f>IFERROR([1]!s_stm07_is_105($A669,TEXT($B$1,"yyyy/mm/dd"),1),"")</f>
        <v>6859619.0199999996</v>
      </c>
      <c r="I669">
        <f>IFERROR([1]!s_stm07_is($A669,"W72946623",TEXT($B$1,"yyyy/mm/dd"),1),"")</f>
        <v>-99537391.469999999</v>
      </c>
      <c r="J669">
        <f>IFERROR([1]!s_stm07_is($A669,"W30028333",TEXT($B$1,"yyyy/mm/dd"),1),"")</f>
        <v>-35826985.880000003</v>
      </c>
      <c r="K669">
        <f>IFERROR([1]!s_stm07_cs($A669,"W77130581",TEXT($B$1,"yyyy/mm/dd"),1),"")</f>
        <v>602332501.19000006</v>
      </c>
      <c r="L669">
        <f>IFERROR([1]!s_stm07_cs($A669,"W77745895",TEXT($B$1,"yyyy/mm/dd"),1),"")</f>
        <v>749069810.40999997</v>
      </c>
      <c r="M669">
        <f>IFERROR([1]!S_FA_EPS_basic2($A669,$B$1,"Cur=CNY"),"")</f>
        <v>-5.9299999999999999E-2</v>
      </c>
      <c r="N669">
        <f>IFERROR([1]!s_fa_arturndays($A669,TEXT($B$1,"yyyy/mm/dd")),"")</f>
        <v>224.01990000000001</v>
      </c>
      <c r="O669" t="str">
        <f>IFERROR([1]!fa_apturndays($A669,TEXT($B$1,"yyyy/mm/dd")),"")</f>
        <v>Fetch...</v>
      </c>
      <c r="P669">
        <f>IFERROR([1]!s_fa_invturndays($A669,TEXT($B$1,"yyyy/mm/dd")),"")</f>
        <v>353.84309999999999</v>
      </c>
    </row>
    <row r="670" spans="1:16">
      <c r="A670" t="s">
        <v>683</v>
      </c>
      <c r="B670">
        <f>IFERROR([1]!s_stm07_is($A670,"W70156729",TEXT($B$1,"yyyy/mm/dd"),1),"")</f>
        <v>631067541.73000002</v>
      </c>
      <c r="C670">
        <f>IFERROR([1]!s_stm07_is($A670,"W75682424",TEXT($B$1,"yyyy/mm/dd"),1),"")</f>
        <v>387603394.75999999</v>
      </c>
      <c r="D670">
        <f>IFERROR([1]!s_stm07_is($A670,"W76031679",TEXT($B$1,"yyyy/mm/dd"),1),"")</f>
        <v>14943384.279999999</v>
      </c>
      <c r="E670">
        <f>IFERROR([1]!s_stm07_is($A670,"W70752487",TEXT($B$1,"yyyy/mm/dd"),1),"")</f>
        <v>83541293.010000005</v>
      </c>
      <c r="F670">
        <f>IFERROR([1]!s_stm07_is_103($A670,TEXT($B$1,"yyyy/mm/dd"),1),"")</f>
        <v>59923361.469999999</v>
      </c>
      <c r="G670">
        <f>IFERROR([1]!s_stm07_is_104($A670,TEXT($B$1,"yyyy/mm/dd"),1),"")</f>
        <v>162397.88</v>
      </c>
      <c r="H670">
        <f>IFERROR([1]!s_stm07_is_105($A670,TEXT($B$1,"yyyy/mm/dd"),1),"")</f>
        <v>24429280.210000001</v>
      </c>
      <c r="I670">
        <f>IFERROR([1]!s_stm07_is($A670,"W72946623",TEXT($B$1,"yyyy/mm/dd"),1),"")</f>
        <v>78804206.810000002</v>
      </c>
      <c r="J670">
        <f>IFERROR([1]!s_stm07_is($A670,"W30028333",TEXT($B$1,"yyyy/mm/dd"),1),"")</f>
        <v>74301281.459999993</v>
      </c>
      <c r="K670">
        <f>IFERROR([1]!s_stm07_cs($A670,"W77130581",TEXT($B$1,"yyyy/mm/dd"),1),"")</f>
        <v>62295046.560000002</v>
      </c>
      <c r="L670">
        <f>IFERROR([1]!s_stm07_cs($A670,"W77745895",TEXT($B$1,"yyyy/mm/dd"),1),"")</f>
        <v>25136595.469999999</v>
      </c>
      <c r="M670">
        <f>IFERROR([1]!S_FA_EPS_basic2($A670,$B$1,"Cur=CNY"),"")</f>
        <v>0.14000000000000001</v>
      </c>
      <c r="N670">
        <f>IFERROR([1]!s_fa_arturndays($A670,TEXT($B$1,"yyyy/mm/dd")),"")</f>
        <v>94.535300000000007</v>
      </c>
      <c r="O670" t="str">
        <f>IFERROR([1]!fa_apturndays($A670,TEXT($B$1,"yyyy/mm/dd")),"")</f>
        <v>Fetch...</v>
      </c>
      <c r="P670">
        <f>IFERROR([1]!s_fa_invturndays($A670,TEXT($B$1,"yyyy/mm/dd")),"")</f>
        <v>36.907200000000003</v>
      </c>
    </row>
    <row r="671" spans="1:16">
      <c r="A671" t="s">
        <v>684</v>
      </c>
      <c r="B671">
        <f>IFERROR([1]!s_stm07_is($A671,"W70156729",TEXT($B$1,"yyyy/mm/dd"),1),"")</f>
        <v>1768839418.6600001</v>
      </c>
      <c r="C671">
        <f>IFERROR([1]!s_stm07_is($A671,"W75682424",TEXT($B$1,"yyyy/mm/dd"),1),"")</f>
        <v>962617562.03999996</v>
      </c>
      <c r="D671">
        <f>IFERROR([1]!s_stm07_is($A671,"W76031679",TEXT($B$1,"yyyy/mm/dd"),1),"")</f>
        <v>152401607.81999999</v>
      </c>
      <c r="E671">
        <f>IFERROR([1]!s_stm07_is($A671,"W70752487",TEXT($B$1,"yyyy/mm/dd"),1),"")</f>
        <v>121309361.83</v>
      </c>
      <c r="F671">
        <f>IFERROR([1]!s_stm07_is_103($A671,TEXT($B$1,"yyyy/mm/dd"),1),"")</f>
        <v>89791844.079999998</v>
      </c>
      <c r="G671">
        <f>IFERROR([1]!s_stm07_is_104($A671,TEXT($B$1,"yyyy/mm/dd"),1),"")</f>
        <v>740353.73</v>
      </c>
      <c r="H671">
        <f>IFERROR([1]!s_stm07_is_105($A671,TEXT($B$1,"yyyy/mm/dd"),1),"")</f>
        <v>6574778.8300000001</v>
      </c>
      <c r="I671">
        <f>IFERROR([1]!s_stm07_is($A671,"W72946623",TEXT($B$1,"yyyy/mm/dd"),1),"")</f>
        <v>444421539.91000003</v>
      </c>
      <c r="J671">
        <f>IFERROR([1]!s_stm07_is($A671,"W30028333",TEXT($B$1,"yyyy/mm/dd"),1),"")</f>
        <v>385398691.04000002</v>
      </c>
      <c r="K671">
        <f>IFERROR([1]!s_stm07_cs($A671,"W77130581",TEXT($B$1,"yyyy/mm/dd"),1),"")</f>
        <v>408804110.04000002</v>
      </c>
      <c r="L671">
        <f>IFERROR([1]!s_stm07_cs($A671,"W77745895",TEXT($B$1,"yyyy/mm/dd"),1),"")</f>
        <v>92697129.049999997</v>
      </c>
      <c r="M671">
        <f>IFERROR([1]!S_FA_EPS_basic2($A671,$B$1,"Cur=CNY"),"")</f>
        <v>1.8725000000000001</v>
      </c>
      <c r="N671">
        <f>IFERROR([1]!s_fa_arturndays($A671,TEXT($B$1,"yyyy/mm/dd")),"")</f>
        <v>132.37729999999999</v>
      </c>
      <c r="O671" t="str">
        <f>IFERROR([1]!fa_apturndays($A671,TEXT($B$1,"yyyy/mm/dd")),"")</f>
        <v>Fetch...</v>
      </c>
      <c r="P671">
        <f>IFERROR([1]!s_fa_invturndays($A671,TEXT($B$1,"yyyy/mm/dd")),"")</f>
        <v>200.73599999999999</v>
      </c>
    </row>
    <row r="672" spans="1:16">
      <c r="A672" t="s">
        <v>685</v>
      </c>
      <c r="B672">
        <f>IFERROR([1]!s_stm07_is($A672,"W70156729",TEXT($B$1,"yyyy/mm/dd"),1),"")</f>
        <v>720064627.79999995</v>
      </c>
      <c r="C672">
        <f>IFERROR([1]!s_stm07_is($A672,"W75682424",TEXT($B$1,"yyyy/mm/dd"),1),"")</f>
        <v>379041542.44999999</v>
      </c>
      <c r="D672">
        <f>IFERROR([1]!s_stm07_is($A672,"W76031679",TEXT($B$1,"yyyy/mm/dd"),1),"")</f>
        <v>44171996.57</v>
      </c>
      <c r="E672">
        <f>IFERROR([1]!s_stm07_is($A672,"W70752487",TEXT($B$1,"yyyy/mm/dd"),1),"")</f>
        <v>138092130.63</v>
      </c>
      <c r="F672">
        <f>IFERROR([1]!s_stm07_is_103($A672,TEXT($B$1,"yyyy/mm/dd"),1),"")</f>
        <v>427633751.31</v>
      </c>
      <c r="G672">
        <f>IFERROR([1]!s_stm07_is_104($A672,TEXT($B$1,"yyyy/mm/dd"),1),"")</f>
        <v>4213973.29</v>
      </c>
      <c r="H672">
        <f>IFERROR([1]!s_stm07_is_105($A672,TEXT($B$1,"yyyy/mm/dd"),1),"")</f>
        <v>27840075.309999999</v>
      </c>
      <c r="I672">
        <f>IFERROR([1]!s_stm07_is($A672,"W72946623",TEXT($B$1,"yyyy/mm/dd"),1),"")</f>
        <v>-296452306.45999998</v>
      </c>
      <c r="J672">
        <f>IFERROR([1]!s_stm07_is($A672,"W30028333",TEXT($B$1,"yyyy/mm/dd"),1),"")</f>
        <v>-164622652.16999999</v>
      </c>
      <c r="K672">
        <f>IFERROR([1]!s_stm07_cs($A672,"W77130581",TEXT($B$1,"yyyy/mm/dd"),1),"")</f>
        <v>-50981332.490000002</v>
      </c>
      <c r="L672">
        <f>IFERROR([1]!s_stm07_cs($A672,"W77745895",TEXT($B$1,"yyyy/mm/dd"),1),"")</f>
        <v>75163458.650000006</v>
      </c>
      <c r="M672">
        <f>IFERROR([1]!S_FA_EPS_basic2($A672,$B$1,"Cur=CNY"),"")</f>
        <v>-0.32</v>
      </c>
      <c r="N672">
        <f>IFERROR([1]!s_fa_arturndays($A672,TEXT($B$1,"yyyy/mm/dd")),"")</f>
        <v>293.32679999999999</v>
      </c>
      <c r="O672" t="str">
        <f>IFERROR([1]!fa_apturndays($A672,TEXT($B$1,"yyyy/mm/dd")),"")</f>
        <v>Fetch...</v>
      </c>
      <c r="P672">
        <f>IFERROR([1]!s_fa_invturndays($A672,TEXT($B$1,"yyyy/mm/dd")),"")</f>
        <v>547.69510000000002</v>
      </c>
    </row>
    <row r="673" spans="1:16">
      <c r="A673" t="s">
        <v>686</v>
      </c>
      <c r="B673">
        <f>IFERROR([1]!s_stm07_is($A673,"W70156729",TEXT($B$1,"yyyy/mm/dd"),1),"")</f>
        <v>35250892429.769997</v>
      </c>
      <c r="C673">
        <f>IFERROR([1]!s_stm07_is($A673,"W75682424",TEXT($B$1,"yyyy/mm/dd"),1),"")</f>
        <v>33849730801.41</v>
      </c>
      <c r="D673">
        <f>IFERROR([1]!s_stm07_is($A673,"W76031679",TEXT($B$1,"yyyy/mm/dd"),1),"")</f>
        <v>90055819.329999998</v>
      </c>
      <c r="E673">
        <f>IFERROR([1]!s_stm07_is($A673,"W70752487",TEXT($B$1,"yyyy/mm/dd"),1),"")</f>
        <v>208508369.88</v>
      </c>
      <c r="F673">
        <f>IFERROR([1]!s_stm07_is_103($A673,TEXT($B$1,"yyyy/mm/dd"),1),"")</f>
        <v>18709995.449999999</v>
      </c>
      <c r="G673">
        <f>IFERROR([1]!s_stm07_is_104($A673,TEXT($B$1,"yyyy/mm/dd"),1),"")</f>
        <v>246886518.90000001</v>
      </c>
      <c r="H673">
        <f>IFERROR([1]!s_stm07_is_105($A673,TEXT($B$1,"yyyy/mm/dd"),1),"")</f>
        <v>20226472.09</v>
      </c>
      <c r="I673">
        <f>IFERROR([1]!s_stm07_is($A673,"W72946623",TEXT($B$1,"yyyy/mm/dd"),1),"")</f>
        <v>856603068.22000003</v>
      </c>
      <c r="J673">
        <f>IFERROR([1]!s_stm07_is($A673,"W30028333",TEXT($B$1,"yyyy/mm/dd"),1),"")</f>
        <v>544594132.23000002</v>
      </c>
      <c r="K673">
        <f>IFERROR([1]!s_stm07_cs($A673,"W77130581",TEXT($B$1,"yyyy/mm/dd"),1),"")</f>
        <v>1438446251.4400001</v>
      </c>
      <c r="L673">
        <f>IFERROR([1]!s_stm07_cs($A673,"W77745895",TEXT($B$1,"yyyy/mm/dd"),1),"")</f>
        <v>10176525.83</v>
      </c>
      <c r="M673">
        <f>IFERROR([1]!S_FA_EPS_basic2($A673,$B$1,"Cur=CNY"),"")</f>
        <v>1.18</v>
      </c>
      <c r="N673">
        <f>IFERROR([1]!s_fa_arturndays($A673,TEXT($B$1,"yyyy/mm/dd")),"")</f>
        <v>23.475200000000001</v>
      </c>
      <c r="O673" t="str">
        <f>IFERROR([1]!fa_apturndays($A673,TEXT($B$1,"yyyy/mm/dd")),"")</f>
        <v>Fetch...</v>
      </c>
      <c r="P673">
        <f>IFERROR([1]!s_fa_invturndays($A673,TEXT($B$1,"yyyy/mm/dd")),"")</f>
        <v>29.0138</v>
      </c>
    </row>
    <row r="674" spans="1:16">
      <c r="A674" t="s">
        <v>687</v>
      </c>
      <c r="B674">
        <f>IFERROR([1]!s_stm07_is($A674,"W70156729",TEXT($B$1,"yyyy/mm/dd"),1),"")</f>
        <v>19292313457.360001</v>
      </c>
      <c r="C674">
        <f>IFERROR([1]!s_stm07_is($A674,"W75682424",TEXT($B$1,"yyyy/mm/dd"),1),"")</f>
        <v>12496889291.870001</v>
      </c>
      <c r="D674">
        <f>IFERROR([1]!s_stm07_is($A674,"W76031679",TEXT($B$1,"yyyy/mm/dd"),1),"")</f>
        <v>257347485.25</v>
      </c>
      <c r="E674">
        <f>IFERROR([1]!s_stm07_is($A674,"W70752487",TEXT($B$1,"yyyy/mm/dd"),1),"")</f>
        <v>500438984.48000002</v>
      </c>
      <c r="F674">
        <f>IFERROR([1]!s_stm07_is_103($A674,TEXT($B$1,"yyyy/mm/dd"),1),"")</f>
        <v>777643427.05999994</v>
      </c>
      <c r="G674">
        <f>IFERROR([1]!s_stm07_is_104($A674,TEXT($B$1,"yyyy/mm/dd"),1),"")</f>
        <v>137777349.44999999</v>
      </c>
      <c r="H674">
        <f>IFERROR([1]!s_stm07_is_105($A674,TEXT($B$1,"yyyy/mm/dd"),1),"")</f>
        <v>24510271.77</v>
      </c>
      <c r="I674">
        <f>IFERROR([1]!s_stm07_is($A674,"W72946623",TEXT($B$1,"yyyy/mm/dd"),1),"")</f>
        <v>5021716112.7200003</v>
      </c>
      <c r="J674">
        <f>IFERROR([1]!s_stm07_is($A674,"W30028333",TEXT($B$1,"yyyy/mm/dd"),1),"")</f>
        <v>4311988274.3999996</v>
      </c>
      <c r="K674">
        <f>IFERROR([1]!s_stm07_cs($A674,"W77130581",TEXT($B$1,"yyyy/mm/dd"),1),"")</f>
        <v>4602652783.9700003</v>
      </c>
      <c r="L674">
        <f>IFERROR([1]!s_stm07_cs($A674,"W77745895",TEXT($B$1,"yyyy/mm/dd"),1),"")</f>
        <v>6616818528.8699999</v>
      </c>
      <c r="M674">
        <f>IFERROR([1]!S_FA_EPS_basic2($A674,$B$1,"Cur=CNY"),"")</f>
        <v>5.01</v>
      </c>
      <c r="N674">
        <f>IFERROR([1]!s_fa_arturndays($A674,TEXT($B$1,"yyyy/mm/dd")),"")</f>
        <v>91.042400000000001</v>
      </c>
      <c r="O674" t="str">
        <f>IFERROR([1]!fa_apturndays($A674,TEXT($B$1,"yyyy/mm/dd")),"")</f>
        <v>Fetch...</v>
      </c>
      <c r="P674">
        <f>IFERROR([1]!s_fa_invturndays($A674,TEXT($B$1,"yyyy/mm/dd")),"")</f>
        <v>75.010900000000007</v>
      </c>
    </row>
    <row r="675" spans="1:16">
      <c r="A675" t="s">
        <v>688</v>
      </c>
      <c r="B675">
        <f>IFERROR([1]!s_stm07_is($A675,"W70156729",TEXT($B$1,"yyyy/mm/dd"),1),"")</f>
        <v>2086830072.6500001</v>
      </c>
      <c r="C675">
        <f>IFERROR([1]!s_stm07_is($A675,"W75682424",TEXT($B$1,"yyyy/mm/dd"),1),"")</f>
        <v>897853120.79999995</v>
      </c>
      <c r="D675">
        <f>IFERROR([1]!s_stm07_is($A675,"W76031679",TEXT($B$1,"yyyy/mm/dd"),1),"")</f>
        <v>658840553.02999997</v>
      </c>
      <c r="E675">
        <f>IFERROR([1]!s_stm07_is($A675,"W70752487",TEXT($B$1,"yyyy/mm/dd"),1),"")</f>
        <v>299448333.57999998</v>
      </c>
      <c r="F675">
        <f>IFERROR([1]!s_stm07_is_103($A675,TEXT($B$1,"yyyy/mm/dd"),1),"")</f>
        <v>336700613.80000001</v>
      </c>
      <c r="G675">
        <f>IFERROR([1]!s_stm07_is_104($A675,TEXT($B$1,"yyyy/mm/dd"),1),"")</f>
        <v>31138596.210000001</v>
      </c>
      <c r="H675">
        <f>IFERROR([1]!s_stm07_is_105($A675,TEXT($B$1,"yyyy/mm/dd"),1),"")</f>
        <v>7673544.6299999999</v>
      </c>
      <c r="I675">
        <f>IFERROR([1]!s_stm07_is($A675,"W72946623",TEXT($B$1,"yyyy/mm/dd"),1),"")</f>
        <v>-114693306.93000001</v>
      </c>
      <c r="J675">
        <f>IFERROR([1]!s_stm07_is($A675,"W30028333",TEXT($B$1,"yyyy/mm/dd"),1),"")</f>
        <v>-63024899.740000002</v>
      </c>
      <c r="K675">
        <f>IFERROR([1]!s_stm07_cs($A675,"W77130581",TEXT($B$1,"yyyy/mm/dd"),1),"")</f>
        <v>463037560.85000002</v>
      </c>
      <c r="L675">
        <f>IFERROR([1]!s_stm07_cs($A675,"W77745895",TEXT($B$1,"yyyy/mm/dd"),1),"")</f>
        <v>304552406.52999997</v>
      </c>
      <c r="M675">
        <f>IFERROR([1]!S_FA_EPS_basic2($A675,$B$1,"Cur=CNY"),"")</f>
        <v>-0.13</v>
      </c>
      <c r="N675">
        <f>IFERROR([1]!s_fa_arturndays($A675,TEXT($B$1,"yyyy/mm/dd")),"")</f>
        <v>162.99180000000001</v>
      </c>
      <c r="O675" t="str">
        <f>IFERROR([1]!fa_apturndays($A675,TEXT($B$1,"yyyy/mm/dd")),"")</f>
        <v>Fetch...</v>
      </c>
      <c r="P675">
        <f>IFERROR([1]!s_fa_invturndays($A675,TEXT($B$1,"yyyy/mm/dd")),"")</f>
        <v>128.3331</v>
      </c>
    </row>
    <row r="676" spans="1:16">
      <c r="A676" t="s">
        <v>689</v>
      </c>
      <c r="B676">
        <f>IFERROR([1]!s_stm07_is($A676,"W70156729",TEXT($B$1,"yyyy/mm/dd"),1),"")</f>
        <v>2785832825.02</v>
      </c>
      <c r="C676">
        <f>IFERROR([1]!s_stm07_is($A676,"W75682424",TEXT($B$1,"yyyy/mm/dd"),1),"")</f>
        <v>1352315690.0999999</v>
      </c>
      <c r="D676">
        <f>IFERROR([1]!s_stm07_is($A676,"W76031679",TEXT($B$1,"yyyy/mm/dd"),1),"")</f>
        <v>116911310.75</v>
      </c>
      <c r="E676">
        <f>IFERROR([1]!s_stm07_is($A676,"W70752487",TEXT($B$1,"yyyy/mm/dd"),1),"")</f>
        <v>93616026.030000001</v>
      </c>
      <c r="F676">
        <f>IFERROR([1]!s_stm07_is_103($A676,TEXT($B$1,"yyyy/mm/dd"),1),"")</f>
        <v>150346856.49000001</v>
      </c>
      <c r="G676">
        <f>IFERROR([1]!s_stm07_is_104($A676,TEXT($B$1,"yyyy/mm/dd"),1),"")</f>
        <v>43035346.770000003</v>
      </c>
      <c r="H676">
        <f>IFERROR([1]!s_stm07_is_105($A676,TEXT($B$1,"yyyy/mm/dd"),1),"")</f>
        <v>66872003.600000001</v>
      </c>
      <c r="I676">
        <f>IFERROR([1]!s_stm07_is($A676,"W72946623",TEXT($B$1,"yyyy/mm/dd"),1),"")</f>
        <v>1048667958.12</v>
      </c>
      <c r="J676">
        <f>IFERROR([1]!s_stm07_is($A676,"W30028333",TEXT($B$1,"yyyy/mm/dd"),1),"")</f>
        <v>897107659.92999995</v>
      </c>
      <c r="K676">
        <f>IFERROR([1]!s_stm07_cs($A676,"W77130581",TEXT($B$1,"yyyy/mm/dd"),1),"")</f>
        <v>785486254.78999996</v>
      </c>
      <c r="L676">
        <f>IFERROR([1]!s_stm07_cs($A676,"W77745895",TEXT($B$1,"yyyy/mm/dd"),1),"")</f>
        <v>115487781.89</v>
      </c>
      <c r="M676">
        <f>IFERROR([1]!S_FA_EPS_basic2($A676,$B$1,"Cur=CNY"),"")</f>
        <v>1.77</v>
      </c>
      <c r="N676">
        <f>IFERROR([1]!s_fa_arturndays($A676,TEXT($B$1,"yyyy/mm/dd")),"")</f>
        <v>96.771600000000007</v>
      </c>
      <c r="O676" t="str">
        <f>IFERROR([1]!fa_apturndays($A676,TEXT($B$1,"yyyy/mm/dd")),"")</f>
        <v>Fetch...</v>
      </c>
      <c r="P676">
        <f>IFERROR([1]!s_fa_invturndays($A676,TEXT($B$1,"yyyy/mm/dd")),"")</f>
        <v>313.91699999999997</v>
      </c>
    </row>
    <row r="677" spans="1:16">
      <c r="A677" t="s">
        <v>690</v>
      </c>
      <c r="B677">
        <f>IFERROR([1]!s_stm07_is($A677,"W70156729",TEXT($B$1,"yyyy/mm/dd"),1),"")</f>
        <v>3197833580.8000002</v>
      </c>
      <c r="C677">
        <f>IFERROR([1]!s_stm07_is($A677,"W75682424",TEXT($B$1,"yyyy/mm/dd"),1),"")</f>
        <v>1298200779.05</v>
      </c>
      <c r="D677">
        <f>IFERROR([1]!s_stm07_is($A677,"W76031679",TEXT($B$1,"yyyy/mm/dd"),1),"")</f>
        <v>853265966.42999995</v>
      </c>
      <c r="E677">
        <f>IFERROR([1]!s_stm07_is($A677,"W70752487",TEXT($B$1,"yyyy/mm/dd"),1),"")</f>
        <v>473239560.22000003</v>
      </c>
      <c r="F677">
        <f>IFERROR([1]!s_stm07_is_103($A677,TEXT($B$1,"yyyy/mm/dd"),1),"")</f>
        <v>209307502.52000001</v>
      </c>
      <c r="G677">
        <f>IFERROR([1]!s_stm07_is_104($A677,TEXT($B$1,"yyyy/mm/dd"),1),"")</f>
        <v>20065369.93</v>
      </c>
      <c r="H677">
        <f>IFERROR([1]!s_stm07_is_105($A677,TEXT($B$1,"yyyy/mm/dd"),1),"")</f>
        <v>3231590.39</v>
      </c>
      <c r="I677">
        <f>IFERROR([1]!s_stm07_is($A677,"W72946623",TEXT($B$1,"yyyy/mm/dd"),1),"")</f>
        <v>308261852.13999999</v>
      </c>
      <c r="J677">
        <f>IFERROR([1]!s_stm07_is($A677,"W30028333",TEXT($B$1,"yyyy/mm/dd"),1),"")</f>
        <v>240621054.91</v>
      </c>
      <c r="K677">
        <f>IFERROR([1]!s_stm07_cs($A677,"W77130581",TEXT($B$1,"yyyy/mm/dd"),1),"")</f>
        <v>670034879.41999996</v>
      </c>
      <c r="L677">
        <f>IFERROR([1]!s_stm07_cs($A677,"W77745895",TEXT($B$1,"yyyy/mm/dd"),1),"")</f>
        <v>72214961.620000005</v>
      </c>
      <c r="M677">
        <f>IFERROR([1]!S_FA_EPS_basic2($A677,$B$1,"Cur=CNY"),"")</f>
        <v>1.23</v>
      </c>
      <c r="N677">
        <f>IFERROR([1]!s_fa_arturndays($A677,TEXT($B$1,"yyyy/mm/dd")),"")</f>
        <v>18.750399999999999</v>
      </c>
      <c r="O677" t="str">
        <f>IFERROR([1]!fa_apturndays($A677,TEXT($B$1,"yyyy/mm/dd")),"")</f>
        <v>Fetch...</v>
      </c>
      <c r="P677">
        <f>IFERROR([1]!s_fa_invturndays($A677,TEXT($B$1,"yyyy/mm/dd")),"")</f>
        <v>7.0903</v>
      </c>
    </row>
    <row r="678" spans="1:16">
      <c r="A678" t="s">
        <v>691</v>
      </c>
      <c r="B678">
        <f>IFERROR([1]!s_stm07_is($A678,"W70156729",TEXT($B$1,"yyyy/mm/dd"),1),"")</f>
        <v>2887978315.0999999</v>
      </c>
      <c r="C678">
        <f>IFERROR([1]!s_stm07_is($A678,"W75682424",TEXT($B$1,"yyyy/mm/dd"),1),"")</f>
        <v>2619083516.8000002</v>
      </c>
      <c r="D678">
        <f>IFERROR([1]!s_stm07_is($A678,"W76031679",TEXT($B$1,"yyyy/mm/dd"),1),"")</f>
        <v>84265037.170000002</v>
      </c>
      <c r="E678">
        <f>IFERROR([1]!s_stm07_is($A678,"W70752487",TEXT($B$1,"yyyy/mm/dd"),1),"")</f>
        <v>48224456.289999999</v>
      </c>
      <c r="F678">
        <f>IFERROR([1]!s_stm07_is_103($A678,TEXT($B$1,"yyyy/mm/dd"),1),"")</f>
        <v>51812789.689999998</v>
      </c>
      <c r="G678">
        <f>IFERROR([1]!s_stm07_is_104($A678,TEXT($B$1,"yyyy/mm/dd"),1),"")</f>
        <v>5504356.1900000004</v>
      </c>
      <c r="H678">
        <f>IFERROR([1]!s_stm07_is_105($A678,TEXT($B$1,"yyyy/mm/dd"),1),"")</f>
        <v>7522367.2199999997</v>
      </c>
      <c r="I678">
        <f>IFERROR([1]!s_stm07_is($A678,"W72946623",TEXT($B$1,"yyyy/mm/dd"),1),"")</f>
        <v>66166054.350000001</v>
      </c>
      <c r="J678">
        <f>IFERROR([1]!s_stm07_is($A678,"W30028333",TEXT($B$1,"yyyy/mm/dd"),1),"")</f>
        <v>55227462.439999998</v>
      </c>
      <c r="K678">
        <f>IFERROR([1]!s_stm07_cs($A678,"W77130581",TEXT($B$1,"yyyy/mm/dd"),1),"")</f>
        <v>78427853.469999999</v>
      </c>
      <c r="L678">
        <f>IFERROR([1]!s_stm07_cs($A678,"W77745895",TEXT($B$1,"yyyy/mm/dd"),1),"")</f>
        <v>3031237.25</v>
      </c>
      <c r="M678">
        <f>IFERROR([1]!S_FA_EPS_basic2($A678,$B$1,"Cur=CNY"),"")</f>
        <v>0.11</v>
      </c>
      <c r="N678">
        <f>IFERROR([1]!s_fa_arturndays($A678,TEXT($B$1,"yyyy/mm/dd")),"")</f>
        <v>103.99509999999999</v>
      </c>
      <c r="O678" t="str">
        <f>IFERROR([1]!fa_apturndays($A678,TEXT($B$1,"yyyy/mm/dd")),"")</f>
        <v>Fetch...</v>
      </c>
      <c r="P678">
        <f>IFERROR([1]!s_fa_invturndays($A678,TEXT($B$1,"yyyy/mm/dd")),"")</f>
        <v>37.430199999999999</v>
      </c>
    </row>
    <row r="679" spans="1:16">
      <c r="A679" t="s">
        <v>692</v>
      </c>
      <c r="B679">
        <f>IFERROR([1]!s_stm07_is($A679,"W70156729",TEXT($B$1,"yyyy/mm/dd"),1),"")</f>
        <v>7778043920.3199997</v>
      </c>
      <c r="C679">
        <f>IFERROR([1]!s_stm07_is($A679,"W75682424",TEXT($B$1,"yyyy/mm/dd"),1),"")</f>
        <v>5314701715.5699997</v>
      </c>
      <c r="D679">
        <f>IFERROR([1]!s_stm07_is($A679,"W76031679",TEXT($B$1,"yyyy/mm/dd"),1),"")</f>
        <v>253085582.09999999</v>
      </c>
      <c r="E679">
        <f>IFERROR([1]!s_stm07_is($A679,"W70752487",TEXT($B$1,"yyyy/mm/dd"),1),"")</f>
        <v>592247968.54999995</v>
      </c>
      <c r="F679">
        <f>IFERROR([1]!s_stm07_is_103($A679,TEXT($B$1,"yyyy/mm/dd"),1),"")</f>
        <v>1210551078.3499999</v>
      </c>
      <c r="G679">
        <f>IFERROR([1]!s_stm07_is_104($A679,TEXT($B$1,"yyyy/mm/dd"),1),"")</f>
        <v>7584017.6699999999</v>
      </c>
      <c r="H679">
        <f>IFERROR([1]!s_stm07_is_105($A679,TEXT($B$1,"yyyy/mm/dd"),1),"")</f>
        <v>49154734.420000002</v>
      </c>
      <c r="I679">
        <f>IFERROR([1]!s_stm07_is($A679,"W72946623",TEXT($B$1,"yyyy/mm/dd"),1),"")</f>
        <v>530566538.50999999</v>
      </c>
      <c r="J679">
        <f>IFERROR([1]!s_stm07_is($A679,"W30028333",TEXT($B$1,"yyyy/mm/dd"),1),"")</f>
        <v>450138377.51999998</v>
      </c>
      <c r="K679">
        <f>IFERROR([1]!s_stm07_cs($A679,"W77130581",TEXT($B$1,"yyyy/mm/dd"),1),"")</f>
        <v>679695849.00999999</v>
      </c>
      <c r="L679">
        <f>IFERROR([1]!s_stm07_cs($A679,"W77745895",TEXT($B$1,"yyyy/mm/dd"),1),"")</f>
        <v>1341324582.1600001</v>
      </c>
      <c r="M679">
        <f>IFERROR([1]!S_FA_EPS_basic2($A679,$B$1,"Cur=CNY"),"")</f>
        <v>0.97919999999999996</v>
      </c>
      <c r="N679">
        <f>IFERROR([1]!s_fa_arturndays($A679,TEXT($B$1,"yyyy/mm/dd")),"")</f>
        <v>118.9336</v>
      </c>
      <c r="O679" t="str">
        <f>IFERROR([1]!fa_apturndays($A679,TEXT($B$1,"yyyy/mm/dd")),"")</f>
        <v>Fetch...</v>
      </c>
      <c r="P679">
        <f>IFERROR([1]!s_fa_invturndays($A679,TEXT($B$1,"yyyy/mm/dd")),"")</f>
        <v>71.807599999999994</v>
      </c>
    </row>
    <row r="680" spans="1:16">
      <c r="A680" t="s">
        <v>693</v>
      </c>
      <c r="B680">
        <f>IFERROR([1]!s_stm07_is($A680,"W70156729",TEXT($B$1,"yyyy/mm/dd"),1),"")</f>
        <v>103862188499.72</v>
      </c>
      <c r="C680">
        <f>IFERROR([1]!s_stm07_is($A680,"W75682424",TEXT($B$1,"yyyy/mm/dd"),1),"")</f>
        <v>92213288214.119995</v>
      </c>
      <c r="D680">
        <f>IFERROR([1]!s_stm07_is($A680,"W76031679",TEXT($B$1,"yyyy/mm/dd"),1),"")</f>
        <v>969596669.61000001</v>
      </c>
      <c r="E680">
        <f>IFERROR([1]!s_stm07_is($A680,"W70752487",TEXT($B$1,"yyyy/mm/dd"),1),"")</f>
        <v>3648832226.04</v>
      </c>
      <c r="F680">
        <f>IFERROR([1]!s_stm07_is_103($A680,TEXT($B$1,"yyyy/mm/dd"),1),"")</f>
        <v>815006478.39999998</v>
      </c>
      <c r="G680">
        <f>IFERROR([1]!s_stm07_is_104($A680,TEXT($B$1,"yyyy/mm/dd"),1),"")</f>
        <v>792096746.88999999</v>
      </c>
      <c r="H680">
        <f>IFERROR([1]!s_stm07_is_105($A680,TEXT($B$1,"yyyy/mm/dd"),1),"")</f>
        <v>24767285.489999998</v>
      </c>
      <c r="I680">
        <f>IFERROR([1]!s_stm07_is($A680,"W72946623",TEXT($B$1,"yyyy/mm/dd"),1),"")</f>
        <v>5597845875.6199999</v>
      </c>
      <c r="J680">
        <f>IFERROR([1]!s_stm07_is($A680,"W30028333",TEXT($B$1,"yyyy/mm/dd"),1),"")</f>
        <v>5266415817.8199997</v>
      </c>
      <c r="K680">
        <f>IFERROR([1]!s_stm07_cs($A680,"W77130581",TEXT($B$1,"yyyy/mm/dd"),1),"")</f>
        <v>11807445685.82</v>
      </c>
      <c r="L680">
        <f>IFERROR([1]!s_stm07_cs($A680,"W77745895",TEXT($B$1,"yyyy/mm/dd"),1),"")</f>
        <v>10737358062.01</v>
      </c>
      <c r="M680">
        <f>IFERROR([1]!S_FA_EPS_basic2($A680,$B$1,"Cur=CNY"),"")</f>
        <v>0.79449999999999998</v>
      </c>
      <c r="N680">
        <f>IFERROR([1]!s_fa_arturndays($A680,TEXT($B$1,"yyyy/mm/dd")),"")</f>
        <v>2.8237000000000001</v>
      </c>
      <c r="O680" t="str">
        <f>IFERROR([1]!fa_apturndays($A680,TEXT($B$1,"yyyy/mm/dd")),"")</f>
        <v>Fetch...</v>
      </c>
      <c r="P680">
        <f>IFERROR([1]!s_fa_invturndays($A680,TEXT($B$1,"yyyy/mm/dd")),"")</f>
        <v>79.056600000000003</v>
      </c>
    </row>
    <row r="681" spans="1:16">
      <c r="A681" t="s">
        <v>694</v>
      </c>
      <c r="B681">
        <f>IFERROR([1]!s_stm07_is($A681,"W70156729",TEXT($B$1,"yyyy/mm/dd"),1),"")</f>
        <v>24841854840.220001</v>
      </c>
      <c r="C681">
        <f>IFERROR([1]!s_stm07_is($A681,"W75682424",TEXT($B$1,"yyyy/mm/dd"),1),"")</f>
        <v>12966049979.209999</v>
      </c>
      <c r="D681">
        <f>IFERROR([1]!s_stm07_is($A681,"W76031679",TEXT($B$1,"yyyy/mm/dd"),1),"")</f>
        <v>150854833.25</v>
      </c>
      <c r="E681">
        <f>IFERROR([1]!s_stm07_is($A681,"W70752487",TEXT($B$1,"yyyy/mm/dd"),1),"")</f>
        <v>239441670.25</v>
      </c>
      <c r="F681">
        <f>IFERROR([1]!s_stm07_is_103($A681,TEXT($B$1,"yyyy/mm/dd"),1),"")</f>
        <v>702143848.24000001</v>
      </c>
      <c r="G681">
        <f>IFERROR([1]!s_stm07_is_104($A681,TEXT($B$1,"yyyy/mm/dd"),1),"")</f>
        <v>1186447.97</v>
      </c>
      <c r="H681">
        <f>IFERROR([1]!s_stm07_is_105($A681,TEXT($B$1,"yyyy/mm/dd"),1),"")</f>
        <v>77949111.25</v>
      </c>
      <c r="I681">
        <f>IFERROR([1]!s_stm07_is($A681,"W72946623",TEXT($B$1,"yyyy/mm/dd"),1),"")</f>
        <v>10865719036.860001</v>
      </c>
      <c r="J681">
        <f>IFERROR([1]!s_stm07_is($A681,"W30028333",TEXT($B$1,"yyyy/mm/dd"),1),"")</f>
        <v>9531922730.1700001</v>
      </c>
      <c r="K681">
        <f>IFERROR([1]!s_stm07_cs($A681,"W77130581",TEXT($B$1,"yyyy/mm/dd"),1),"")</f>
        <v>7701234651</v>
      </c>
      <c r="L681">
        <f>IFERROR([1]!s_stm07_cs($A681,"W77745895",TEXT($B$1,"yyyy/mm/dd"),1),"")</f>
        <v>1319702128.54</v>
      </c>
      <c r="M681">
        <f>IFERROR([1]!S_FA_EPS_basic2($A681,$B$1,"Cur=CNY"),"")</f>
        <v>9.61</v>
      </c>
      <c r="N681">
        <f>IFERROR([1]!s_fa_arturndays($A681,TEXT($B$1,"yyyy/mm/dd")),"")</f>
        <v>50.547600000000003</v>
      </c>
      <c r="O681" t="str">
        <f>IFERROR([1]!fa_apturndays($A681,TEXT($B$1,"yyyy/mm/dd")),"")</f>
        <v>Fetch...</v>
      </c>
      <c r="P681">
        <f>IFERROR([1]!s_fa_invturndays($A681,TEXT($B$1,"yyyy/mm/dd")),"")</f>
        <v>157.79089999999999</v>
      </c>
    </row>
    <row r="682" spans="1:16">
      <c r="A682" t="s">
        <v>695</v>
      </c>
      <c r="B682">
        <f>IFERROR([1]!s_stm07_is($A682,"W70156729",TEXT($B$1,"yyyy/mm/dd"),1),"")</f>
        <v>2004315647.6500001</v>
      </c>
      <c r="C682">
        <f>IFERROR([1]!s_stm07_is($A682,"W75682424",TEXT($B$1,"yyyy/mm/dd"),1),"")</f>
        <v>727549438.67999995</v>
      </c>
      <c r="D682">
        <f>IFERROR([1]!s_stm07_is($A682,"W76031679",TEXT($B$1,"yyyy/mm/dd"),1),"")</f>
        <v>312439163.72000003</v>
      </c>
      <c r="E682">
        <f>IFERROR([1]!s_stm07_is($A682,"W70752487",TEXT($B$1,"yyyy/mm/dd"),1),"")</f>
        <v>321687807.85000002</v>
      </c>
      <c r="F682">
        <f>IFERROR([1]!s_stm07_is_103($A682,TEXT($B$1,"yyyy/mm/dd"),1),"")</f>
        <v>332535756.26999998</v>
      </c>
      <c r="G682">
        <f>IFERROR([1]!s_stm07_is_104($A682,TEXT($B$1,"yyyy/mm/dd"),1),"")</f>
        <v>17796670.739999998</v>
      </c>
      <c r="H682">
        <f>IFERROR([1]!s_stm07_is_105($A682,TEXT($B$1,"yyyy/mm/dd"),1),"")</f>
        <v>5507864.2999999998</v>
      </c>
      <c r="I682">
        <f>IFERROR([1]!s_stm07_is($A682,"W72946623",TEXT($B$1,"yyyy/mm/dd"),1),"")</f>
        <v>182201369.77000001</v>
      </c>
      <c r="J682">
        <f>IFERROR([1]!s_stm07_is($A682,"W30028333",TEXT($B$1,"yyyy/mm/dd"),1),"")</f>
        <v>173723951.46000001</v>
      </c>
      <c r="K682">
        <f>IFERROR([1]!s_stm07_cs($A682,"W77130581",TEXT($B$1,"yyyy/mm/dd"),1),"")</f>
        <v>298280911.51999998</v>
      </c>
      <c r="L682">
        <f>IFERROR([1]!s_stm07_cs($A682,"W77745895",TEXT($B$1,"yyyy/mm/dd"),1),"")</f>
        <v>115473530.73</v>
      </c>
      <c r="M682">
        <f>IFERROR([1]!S_FA_EPS_basic2($A682,$B$1,"Cur=CNY"),"")</f>
        <v>0.2291</v>
      </c>
      <c r="N682">
        <f>IFERROR([1]!s_fa_arturndays($A682,TEXT($B$1,"yyyy/mm/dd")),"")</f>
        <v>166.85210000000001</v>
      </c>
      <c r="O682" t="str">
        <f>IFERROR([1]!fa_apturndays($A682,TEXT($B$1,"yyyy/mm/dd")),"")</f>
        <v>Fetch...</v>
      </c>
      <c r="P682">
        <f>IFERROR([1]!s_fa_invturndays($A682,TEXT($B$1,"yyyy/mm/dd")),"")</f>
        <v>77.271500000000003</v>
      </c>
    </row>
    <row r="683" spans="1:16">
      <c r="A683" t="s">
        <v>696</v>
      </c>
      <c r="B683">
        <f>IFERROR([1]!s_stm07_is($A683,"W70156729",TEXT($B$1,"yyyy/mm/dd"),1),"")</f>
        <v>2011817980.5899999</v>
      </c>
      <c r="C683">
        <f>IFERROR([1]!s_stm07_is($A683,"W75682424",TEXT($B$1,"yyyy/mm/dd"),1),"")</f>
        <v>428504854.50999999</v>
      </c>
      <c r="D683">
        <f>IFERROR([1]!s_stm07_is($A683,"W76031679",TEXT($B$1,"yyyy/mm/dd"),1),"")</f>
        <v>501486134.05000001</v>
      </c>
      <c r="E683">
        <f>IFERROR([1]!s_stm07_is($A683,"W70752487",TEXT($B$1,"yyyy/mm/dd"),1),"")</f>
        <v>131661596.44</v>
      </c>
      <c r="F683">
        <f>IFERROR([1]!s_stm07_is_103($A683,TEXT($B$1,"yyyy/mm/dd"),1),"")</f>
        <v>198445264.13999999</v>
      </c>
      <c r="G683">
        <f>IFERROR([1]!s_stm07_is_104($A683,TEXT($B$1,"yyyy/mm/dd"),1),"")</f>
        <v>53511826.049999997</v>
      </c>
      <c r="H683">
        <f>IFERROR([1]!s_stm07_is_105($A683,TEXT($B$1,"yyyy/mm/dd"),1),"")</f>
        <v>14471550.800000001</v>
      </c>
      <c r="I683">
        <f>IFERROR([1]!s_stm07_is($A683,"W72946623",TEXT($B$1,"yyyy/mm/dd"),1),"")</f>
        <v>660127097.15999997</v>
      </c>
      <c r="J683">
        <f>IFERROR([1]!s_stm07_is($A683,"W30028333",TEXT($B$1,"yyyy/mm/dd"),1),"")</f>
        <v>532821312.25999999</v>
      </c>
      <c r="K683">
        <f>IFERROR([1]!s_stm07_cs($A683,"W77130581",TEXT($B$1,"yyyy/mm/dd"),1),"")</f>
        <v>721216443.19000006</v>
      </c>
      <c r="L683">
        <f>IFERROR([1]!s_stm07_cs($A683,"W77745895",TEXT($B$1,"yyyy/mm/dd"),1),"")</f>
        <v>172590825.88999999</v>
      </c>
      <c r="M683">
        <f>IFERROR([1]!S_FA_EPS_basic2($A683,$B$1,"Cur=CNY"),"")</f>
        <v>0.69</v>
      </c>
      <c r="N683">
        <f>IFERROR([1]!s_fa_arturndays($A683,TEXT($B$1,"yyyy/mm/dd")),"")</f>
        <v>7.4009</v>
      </c>
      <c r="O683" t="str">
        <f>IFERROR([1]!fa_apturndays($A683,TEXT($B$1,"yyyy/mm/dd")),"")</f>
        <v>Fetch...</v>
      </c>
      <c r="P683">
        <f>IFERROR([1]!s_fa_invturndays($A683,TEXT($B$1,"yyyy/mm/dd")),"")</f>
        <v>264.45310000000001</v>
      </c>
    </row>
    <row r="684" spans="1:16">
      <c r="A684" t="s">
        <v>697</v>
      </c>
      <c r="B684">
        <f>IFERROR([1]!s_stm07_is($A684,"W70156729",TEXT($B$1,"yyyy/mm/dd"),1),"")</f>
        <v>2532639369.6700001</v>
      </c>
      <c r="C684">
        <f>IFERROR([1]!s_stm07_is($A684,"W75682424",TEXT($B$1,"yyyy/mm/dd"),1),"")</f>
        <v>1504070147.1700001</v>
      </c>
      <c r="D684">
        <f>IFERROR([1]!s_stm07_is($A684,"W76031679",TEXT($B$1,"yyyy/mm/dd"),1),"")</f>
        <v>50531504.530000001</v>
      </c>
      <c r="E684">
        <f>IFERROR([1]!s_stm07_is($A684,"W70752487",TEXT($B$1,"yyyy/mm/dd"),1),"")</f>
        <v>138772878.16</v>
      </c>
      <c r="F684">
        <f>IFERROR([1]!s_stm07_is_103($A684,TEXT($B$1,"yyyy/mm/dd"),1),"")</f>
        <v>127317189.59</v>
      </c>
      <c r="G684">
        <f>IFERROR([1]!s_stm07_is_104($A684,TEXT($B$1,"yyyy/mm/dd"),1),"")</f>
        <v>10919853.359999999</v>
      </c>
      <c r="H684">
        <f>IFERROR([1]!s_stm07_is_105($A684,TEXT($B$1,"yyyy/mm/dd"),1),"")</f>
        <v>9730168.1999999993</v>
      </c>
      <c r="I684">
        <f>IFERROR([1]!s_stm07_is($A684,"W72946623",TEXT($B$1,"yyyy/mm/dd"),1),"")</f>
        <v>631526842.50999999</v>
      </c>
      <c r="J684">
        <f>IFERROR([1]!s_stm07_is($A684,"W30028333",TEXT($B$1,"yyyy/mm/dd"),1),"")</f>
        <v>334851021.95999998</v>
      </c>
      <c r="K684">
        <f>IFERROR([1]!s_stm07_cs($A684,"W77130581",TEXT($B$1,"yyyy/mm/dd"),1),"")</f>
        <v>714608667.87</v>
      </c>
      <c r="L684">
        <f>IFERROR([1]!s_stm07_cs($A684,"W77745895",TEXT($B$1,"yyyy/mm/dd"),1),"")</f>
        <v>181418893.49000001</v>
      </c>
      <c r="M684">
        <f>IFERROR([1]!S_FA_EPS_basic2($A684,$B$1,"Cur=CNY"),"")</f>
        <v>1.1599999999999999</v>
      </c>
      <c r="N684">
        <f>IFERROR([1]!s_fa_arturndays($A684,TEXT($B$1,"yyyy/mm/dd")),"")</f>
        <v>67.914299999999997</v>
      </c>
      <c r="O684" t="str">
        <f>IFERROR([1]!fa_apturndays($A684,TEXT($B$1,"yyyy/mm/dd")),"")</f>
        <v>Fetch...</v>
      </c>
      <c r="P684">
        <f>IFERROR([1]!s_fa_invturndays($A684,TEXT($B$1,"yyyy/mm/dd")),"")</f>
        <v>81.273300000000006</v>
      </c>
    </row>
    <row r="685" spans="1:16">
      <c r="A685" t="s">
        <v>698</v>
      </c>
      <c r="B685">
        <f>IFERROR([1]!s_stm07_is($A685,"W70156729",TEXT($B$1,"yyyy/mm/dd"),1),"")</f>
        <v>3609338576.5500002</v>
      </c>
      <c r="C685">
        <f>IFERROR([1]!s_stm07_is($A685,"W75682424",TEXT($B$1,"yyyy/mm/dd"),1),"")</f>
        <v>738658363.99000001</v>
      </c>
      <c r="D685">
        <f>IFERROR([1]!s_stm07_is($A685,"W76031679",TEXT($B$1,"yyyy/mm/dd"),1),"")</f>
        <v>1298224517.2</v>
      </c>
      <c r="E685">
        <f>IFERROR([1]!s_stm07_is($A685,"W70752487",TEXT($B$1,"yyyy/mm/dd"),1),"")</f>
        <v>480458322.99000001</v>
      </c>
      <c r="F685">
        <f>IFERROR([1]!s_stm07_is_103($A685,TEXT($B$1,"yyyy/mm/dd"),1),"")</f>
        <v>510868058.37</v>
      </c>
      <c r="G685">
        <f>IFERROR([1]!s_stm07_is_104($A685,TEXT($B$1,"yyyy/mm/dd"),1),"")</f>
        <v>76137728.519999996</v>
      </c>
      <c r="H685">
        <f>IFERROR([1]!s_stm07_is_105($A685,TEXT($B$1,"yyyy/mm/dd"),1),"")</f>
        <v>4294222.1100000003</v>
      </c>
      <c r="I685">
        <f>IFERROR([1]!s_stm07_is($A685,"W72946623",TEXT($B$1,"yyyy/mm/dd"),1),"")</f>
        <v>414363023.01999998</v>
      </c>
      <c r="J685">
        <f>IFERROR([1]!s_stm07_is($A685,"W30028333",TEXT($B$1,"yyyy/mm/dd"),1),"")</f>
        <v>305329161.26999998</v>
      </c>
      <c r="K685">
        <f>IFERROR([1]!s_stm07_cs($A685,"W77130581",TEXT($B$1,"yyyy/mm/dd"),1),"")</f>
        <v>911260908.23000002</v>
      </c>
      <c r="L685">
        <f>IFERROR([1]!s_stm07_cs($A685,"W77745895",TEXT($B$1,"yyyy/mm/dd"),1),"")</f>
        <v>616679783.04999995</v>
      </c>
      <c r="M685">
        <f>IFERROR([1]!S_FA_EPS_basic2($A685,$B$1,"Cur=CNY"),"")</f>
        <v>0.73</v>
      </c>
      <c r="N685">
        <f>IFERROR([1]!s_fa_arturndays($A685,TEXT($B$1,"yyyy/mm/dd")),"")</f>
        <v>22.428100000000001</v>
      </c>
      <c r="O685" t="str">
        <f>IFERROR([1]!fa_apturndays($A685,TEXT($B$1,"yyyy/mm/dd")),"")</f>
        <v>Fetch...</v>
      </c>
      <c r="P685">
        <f>IFERROR([1]!s_fa_invturndays($A685,TEXT($B$1,"yyyy/mm/dd")),"")</f>
        <v>163.5694</v>
      </c>
    </row>
    <row r="686" spans="1:16">
      <c r="A686" t="s">
        <v>699</v>
      </c>
      <c r="B686">
        <f>IFERROR([1]!s_stm07_is($A686,"W70156729",TEXT($B$1,"yyyy/mm/dd"),1),"")</f>
        <v>3347637577</v>
      </c>
      <c r="C686">
        <f>IFERROR([1]!s_stm07_is($A686,"W75682424",TEXT($B$1,"yyyy/mm/dd"),1),"")</f>
        <v>1783271805.5</v>
      </c>
      <c r="D686">
        <f>IFERROR([1]!s_stm07_is($A686,"W76031679",TEXT($B$1,"yyyy/mm/dd"),1),"")</f>
        <v>230451811.31</v>
      </c>
      <c r="E686">
        <f>IFERROR([1]!s_stm07_is($A686,"W70752487",TEXT($B$1,"yyyy/mm/dd"),1),"")</f>
        <v>336106566.39999998</v>
      </c>
      <c r="F686">
        <f>IFERROR([1]!s_stm07_is_103($A686,TEXT($B$1,"yyyy/mm/dd"),1),"")</f>
        <v>811859095.95000005</v>
      </c>
      <c r="G686">
        <f>IFERROR([1]!s_stm07_is_104($A686,TEXT($B$1,"yyyy/mm/dd"),1),"")</f>
        <v>95843035.879999995</v>
      </c>
      <c r="H686">
        <f>IFERROR([1]!s_stm07_is_105($A686,TEXT($B$1,"yyyy/mm/dd"),1),"")</f>
        <v>6516233.2599999998</v>
      </c>
      <c r="I686">
        <f>IFERROR([1]!s_stm07_is($A686,"W72946623",TEXT($B$1,"yyyy/mm/dd"),1),"")</f>
        <v>87473594.459999993</v>
      </c>
      <c r="J686">
        <f>IFERROR([1]!s_stm07_is($A686,"W30028333",TEXT($B$1,"yyyy/mm/dd"),1),"")</f>
        <v>82020740.819999993</v>
      </c>
      <c r="K686">
        <f>IFERROR([1]!s_stm07_cs($A686,"W77130581",TEXT($B$1,"yyyy/mm/dd"),1),"")</f>
        <v>256034785.06</v>
      </c>
      <c r="L686">
        <f>IFERROR([1]!s_stm07_cs($A686,"W77745895",TEXT($B$1,"yyyy/mm/dd"),1),"")</f>
        <v>517651111.13999999</v>
      </c>
      <c r="M686">
        <f>IFERROR([1]!S_FA_EPS_basic2($A686,$B$1,"Cur=CNY"),"")</f>
        <v>0.28999999999999998</v>
      </c>
      <c r="N686">
        <f>IFERROR([1]!s_fa_arturndays($A686,TEXT($B$1,"yyyy/mm/dd")),"")</f>
        <v>143.51779999999999</v>
      </c>
      <c r="O686" t="str">
        <f>IFERROR([1]!fa_apturndays($A686,TEXT($B$1,"yyyy/mm/dd")),"")</f>
        <v>Fetch...</v>
      </c>
      <c r="P686">
        <f>IFERROR([1]!s_fa_invturndays($A686,TEXT($B$1,"yyyy/mm/dd")),"")</f>
        <v>479.93599999999998</v>
      </c>
    </row>
    <row r="687" spans="1:16">
      <c r="A687" t="s">
        <v>700</v>
      </c>
      <c r="B687">
        <f>IFERROR([1]!s_stm07_is($A687,"W70156729",TEXT($B$1,"yyyy/mm/dd"),1),"")</f>
        <v>4125372108.6100001</v>
      </c>
      <c r="C687">
        <f>IFERROR([1]!s_stm07_is($A687,"W75682424",TEXT($B$1,"yyyy/mm/dd"),1),"")</f>
        <v>3175393586.0700002</v>
      </c>
      <c r="D687">
        <f>IFERROR([1]!s_stm07_is($A687,"W76031679",TEXT($B$1,"yyyy/mm/dd"),1),"")</f>
        <v>42805421.390000001</v>
      </c>
      <c r="E687">
        <f>IFERROR([1]!s_stm07_is($A687,"W70752487",TEXT($B$1,"yyyy/mm/dd"),1),"")</f>
        <v>378419582.44999999</v>
      </c>
      <c r="F687">
        <f>IFERROR([1]!s_stm07_is_103($A687,TEXT($B$1,"yyyy/mm/dd"),1),"")</f>
        <v>278379559.44</v>
      </c>
      <c r="G687">
        <f>IFERROR([1]!s_stm07_is_104($A687,TEXT($B$1,"yyyy/mm/dd"),1),"")</f>
        <v>186116179.53999999</v>
      </c>
      <c r="H687">
        <f>IFERROR([1]!s_stm07_is_105($A687,TEXT($B$1,"yyyy/mm/dd"),1),"")</f>
        <v>55344078.340000004</v>
      </c>
      <c r="I687">
        <f>IFERROR([1]!s_stm07_is($A687,"W72946623",TEXT($B$1,"yyyy/mm/dd"),1),"")</f>
        <v>51178805.850000001</v>
      </c>
      <c r="J687">
        <f>IFERROR([1]!s_stm07_is($A687,"W30028333",TEXT($B$1,"yyyy/mm/dd"),1),"")</f>
        <v>36367767.509999998</v>
      </c>
      <c r="K687">
        <f>IFERROR([1]!s_stm07_cs($A687,"W77130581",TEXT($B$1,"yyyy/mm/dd"),1),"")</f>
        <v>752511921.03999996</v>
      </c>
      <c r="L687">
        <f>IFERROR([1]!s_stm07_cs($A687,"W77745895",TEXT($B$1,"yyyy/mm/dd"),1),"")</f>
        <v>3780926699.9899998</v>
      </c>
      <c r="M687">
        <f>IFERROR([1]!S_FA_EPS_basic2($A687,$B$1,"Cur=CNY"),"")</f>
        <v>2.7199999999999998E-2</v>
      </c>
      <c r="N687">
        <f>IFERROR([1]!s_fa_arturndays($A687,TEXT($B$1,"yyyy/mm/dd")),"")</f>
        <v>170.61609999999999</v>
      </c>
      <c r="O687" t="str">
        <f>IFERROR([1]!fa_apturndays($A687,TEXT($B$1,"yyyy/mm/dd")),"")</f>
        <v>Fetch...</v>
      </c>
      <c r="P687">
        <f>IFERROR([1]!s_fa_invturndays($A687,TEXT($B$1,"yyyy/mm/dd")),"")</f>
        <v>72.583600000000004</v>
      </c>
    </row>
    <row r="688" spans="1:16">
      <c r="A688" t="s">
        <v>701</v>
      </c>
      <c r="B688">
        <f>IFERROR([1]!s_stm07_is($A688,"W70156729",TEXT($B$1,"yyyy/mm/dd"),1),"")</f>
        <v>1546758347.74</v>
      </c>
      <c r="C688">
        <f>IFERROR([1]!s_stm07_is($A688,"W75682424",TEXT($B$1,"yyyy/mm/dd"),1),"")</f>
        <v>958955759.48000002</v>
      </c>
      <c r="D688">
        <f>IFERROR([1]!s_stm07_is($A688,"W76031679",TEXT($B$1,"yyyy/mm/dd"),1),"")</f>
        <v>29446033.609999999</v>
      </c>
      <c r="E688">
        <f>IFERROR([1]!s_stm07_is($A688,"W70752487",TEXT($B$1,"yyyy/mm/dd"),1),"")</f>
        <v>113574293.86</v>
      </c>
      <c r="F688">
        <f>IFERROR([1]!s_stm07_is_103($A688,TEXT($B$1,"yyyy/mm/dd"),1),"")</f>
        <v>76608911.280000001</v>
      </c>
      <c r="G688">
        <f>IFERROR([1]!s_stm07_is_104($A688,TEXT($B$1,"yyyy/mm/dd"),1),"")</f>
        <v>264166.38</v>
      </c>
      <c r="H688">
        <f>IFERROR([1]!s_stm07_is_105($A688,TEXT($B$1,"yyyy/mm/dd"),1),"")</f>
        <v>18322373.460000001</v>
      </c>
      <c r="I688">
        <f>IFERROR([1]!s_stm07_is($A688,"W72946623",TEXT($B$1,"yyyy/mm/dd"),1),"")</f>
        <v>349451416.24000001</v>
      </c>
      <c r="J688">
        <f>IFERROR([1]!s_stm07_is($A688,"W30028333",TEXT($B$1,"yyyy/mm/dd"),1),"")</f>
        <v>298963613.76999998</v>
      </c>
      <c r="K688">
        <f>IFERROR([1]!s_stm07_cs($A688,"W77130581",TEXT($B$1,"yyyy/mm/dd"),1),"")</f>
        <v>152047743.77000001</v>
      </c>
      <c r="L688">
        <f>IFERROR([1]!s_stm07_cs($A688,"W77745895",TEXT($B$1,"yyyy/mm/dd"),1),"")</f>
        <v>51829565.240000002</v>
      </c>
      <c r="M688">
        <f>IFERROR([1]!S_FA_EPS_basic2($A688,$B$1,"Cur=CNY"),"")</f>
        <v>1.32</v>
      </c>
      <c r="N688">
        <f>IFERROR([1]!s_fa_arturndays($A688,TEXT($B$1,"yyyy/mm/dd")),"")</f>
        <v>129.90289999999999</v>
      </c>
      <c r="O688" t="str">
        <f>IFERROR([1]!fa_apturndays($A688,TEXT($B$1,"yyyy/mm/dd")),"")</f>
        <v>Fetch...</v>
      </c>
      <c r="P688">
        <f>IFERROR([1]!s_fa_invturndays($A688,TEXT($B$1,"yyyy/mm/dd")),"")</f>
        <v>112.5528</v>
      </c>
    </row>
    <row r="689" spans="1:16">
      <c r="A689" t="s">
        <v>702</v>
      </c>
      <c r="B689">
        <f>IFERROR([1]!s_stm07_is($A689,"W70156729",TEXT($B$1,"yyyy/mm/dd"),1),"")</f>
        <v>2472852236.79</v>
      </c>
      <c r="C689">
        <f>IFERROR([1]!s_stm07_is($A689,"W75682424",TEXT($B$1,"yyyy/mm/dd"),1),"")</f>
        <v>465962118.19</v>
      </c>
      <c r="D689">
        <f>IFERROR([1]!s_stm07_is($A689,"W76031679",TEXT($B$1,"yyyy/mm/dd"),1),"")</f>
        <v>763972611.15999997</v>
      </c>
      <c r="E689">
        <f>IFERROR([1]!s_stm07_is($A689,"W70752487",TEXT($B$1,"yyyy/mm/dd"),1),"")</f>
        <v>174547138.03999999</v>
      </c>
      <c r="F689">
        <f>IFERROR([1]!s_stm07_is_103($A689,TEXT($B$1,"yyyy/mm/dd"),1),"")</f>
        <v>225910095.09</v>
      </c>
      <c r="G689">
        <f>IFERROR([1]!s_stm07_is_104($A689,TEXT($B$1,"yyyy/mm/dd"),1),"")</f>
        <v>4435786.8</v>
      </c>
      <c r="H689">
        <f>IFERROR([1]!s_stm07_is_105($A689,TEXT($B$1,"yyyy/mm/dd"),1),"")</f>
        <v>2252622.9900000002</v>
      </c>
      <c r="I689">
        <f>IFERROR([1]!s_stm07_is($A689,"W72946623",TEXT($B$1,"yyyy/mm/dd"),1),"")</f>
        <v>800275673.72000003</v>
      </c>
      <c r="J689">
        <f>IFERROR([1]!s_stm07_is($A689,"W30028333",TEXT($B$1,"yyyy/mm/dd"),1),"")</f>
        <v>695855596.25</v>
      </c>
      <c r="K689">
        <f>IFERROR([1]!s_stm07_cs($A689,"W77130581",TEXT($B$1,"yyyy/mm/dd"),1),"")</f>
        <v>753388785.67999995</v>
      </c>
      <c r="L689">
        <f>IFERROR([1]!s_stm07_cs($A689,"W77745895",TEXT($B$1,"yyyy/mm/dd"),1),"")</f>
        <v>270526699.17000002</v>
      </c>
      <c r="M689">
        <f>IFERROR([1]!S_FA_EPS_basic2($A689,$B$1,"Cur=CNY"),"")</f>
        <v>2.83</v>
      </c>
      <c r="N689">
        <f>IFERROR([1]!s_fa_arturndays($A689,TEXT($B$1,"yyyy/mm/dd")),"")</f>
        <v>36.728299999999997</v>
      </c>
      <c r="O689" t="str">
        <f>IFERROR([1]!fa_apturndays($A689,TEXT($B$1,"yyyy/mm/dd")),"")</f>
        <v>Fetch...</v>
      </c>
      <c r="P689">
        <f>IFERROR([1]!s_fa_invturndays($A689,TEXT($B$1,"yyyy/mm/dd")),"")</f>
        <v>132.4308</v>
      </c>
    </row>
    <row r="690" spans="1:16">
      <c r="A690" t="s">
        <v>703</v>
      </c>
      <c r="B690">
        <f>IFERROR([1]!s_stm07_is($A690,"W70156729",TEXT($B$1,"yyyy/mm/dd"),1),"")</f>
        <v>1068821753.34</v>
      </c>
      <c r="C690">
        <f>IFERROR([1]!s_stm07_is($A690,"W75682424",TEXT($B$1,"yyyy/mm/dd"),1),"")</f>
        <v>674595777.03999996</v>
      </c>
      <c r="D690">
        <f>IFERROR([1]!s_stm07_is($A690,"W76031679",TEXT($B$1,"yyyy/mm/dd"),1),"")</f>
        <v>99691256.540000007</v>
      </c>
      <c r="E690">
        <f>IFERROR([1]!s_stm07_is($A690,"W70752487",TEXT($B$1,"yyyy/mm/dd"),1),"")</f>
        <v>71992849.219999999</v>
      </c>
      <c r="F690">
        <f>IFERROR([1]!s_stm07_is_103($A690,TEXT($B$1,"yyyy/mm/dd"),1),"")</f>
        <v>62253898.240000002</v>
      </c>
      <c r="G690">
        <f>IFERROR([1]!s_stm07_is_104($A690,TEXT($B$1,"yyyy/mm/dd"),1),"")</f>
        <v>398471.08</v>
      </c>
      <c r="H690">
        <f>IFERROR([1]!s_stm07_is_105($A690,TEXT($B$1,"yyyy/mm/dd"),1),"")</f>
        <v>4107807.03</v>
      </c>
      <c r="I690">
        <f>IFERROR([1]!s_stm07_is($A690,"W72946623",TEXT($B$1,"yyyy/mm/dd"),1),"")</f>
        <v>142896908.75</v>
      </c>
      <c r="J690">
        <f>IFERROR([1]!s_stm07_is($A690,"W30028333",TEXT($B$1,"yyyy/mm/dd"),1),"")</f>
        <v>118132213.84999999</v>
      </c>
      <c r="K690">
        <f>IFERROR([1]!s_stm07_cs($A690,"W77130581",TEXT($B$1,"yyyy/mm/dd"),1),"")</f>
        <v>104963661.3</v>
      </c>
      <c r="L690">
        <f>IFERROR([1]!s_stm07_cs($A690,"W77745895",TEXT($B$1,"yyyy/mm/dd"),1),"")</f>
        <v>120703762.58</v>
      </c>
      <c r="M690">
        <f>IFERROR([1]!S_FA_EPS_basic2($A690,$B$1,"Cur=CNY"),"")</f>
        <v>0.32340000000000002</v>
      </c>
      <c r="N690">
        <f>IFERROR([1]!s_fa_arturndays($A690,TEXT($B$1,"yyyy/mm/dd")),"")</f>
        <v>153.19800000000001</v>
      </c>
      <c r="O690" t="str">
        <f>IFERROR([1]!fa_apturndays($A690,TEXT($B$1,"yyyy/mm/dd")),"")</f>
        <v>Fetch...</v>
      </c>
      <c r="P690">
        <f>IFERROR([1]!s_fa_invturndays($A690,TEXT($B$1,"yyyy/mm/dd")),"")</f>
        <v>77.494299999999996</v>
      </c>
    </row>
    <row r="691" spans="1:16">
      <c r="A691" t="s">
        <v>704</v>
      </c>
      <c r="B691">
        <f>IFERROR([1]!s_stm07_is($A691,"W70156729",TEXT($B$1,"yyyy/mm/dd"),1),"")</f>
        <v>838757997.89999998</v>
      </c>
      <c r="C691">
        <f>IFERROR([1]!s_stm07_is($A691,"W75682424",TEXT($B$1,"yyyy/mm/dd"),1),"")</f>
        <v>484952770.68000001</v>
      </c>
      <c r="D691">
        <f>IFERROR([1]!s_stm07_is($A691,"W76031679",TEXT($B$1,"yyyy/mm/dd"),1),"")</f>
        <v>204409475.25999999</v>
      </c>
      <c r="E691">
        <f>IFERROR([1]!s_stm07_is($A691,"W70752487",TEXT($B$1,"yyyy/mm/dd"),1),"")</f>
        <v>106071393.17</v>
      </c>
      <c r="F691">
        <f>IFERROR([1]!s_stm07_is_103($A691,TEXT($B$1,"yyyy/mm/dd"),1),"")</f>
        <v>207899096.69</v>
      </c>
      <c r="G691">
        <f>IFERROR([1]!s_stm07_is_104($A691,TEXT($B$1,"yyyy/mm/dd"),1),"")</f>
        <v>1026880.08</v>
      </c>
      <c r="H691">
        <f>IFERROR([1]!s_stm07_is_105($A691,TEXT($B$1,"yyyy/mm/dd"),1),"")</f>
        <v>1895839.92</v>
      </c>
      <c r="I691">
        <f>IFERROR([1]!s_stm07_is($A691,"W72946623",TEXT($B$1,"yyyy/mm/dd"),1),"")</f>
        <v>-116709132.63</v>
      </c>
      <c r="J691">
        <f>IFERROR([1]!s_stm07_is($A691,"W30028333",TEXT($B$1,"yyyy/mm/dd"),1),"")</f>
        <v>-94315109.890000001</v>
      </c>
      <c r="K691">
        <f>IFERROR([1]!s_stm07_cs($A691,"W77130581",TEXT($B$1,"yyyy/mm/dd"),1),"")</f>
        <v>78395266.680000007</v>
      </c>
      <c r="L691">
        <f>IFERROR([1]!s_stm07_cs($A691,"W77745895",TEXT($B$1,"yyyy/mm/dd"),1),"")</f>
        <v>7125268.7400000002</v>
      </c>
      <c r="M691">
        <f>IFERROR([1]!S_FA_EPS_basic2($A691,$B$1,"Cur=CNY"),"")</f>
        <v>-0.3493</v>
      </c>
      <c r="N691">
        <f>IFERROR([1]!s_fa_arturndays($A691,TEXT($B$1,"yyyy/mm/dd")),"")</f>
        <v>185.10900000000001</v>
      </c>
      <c r="O691" t="str">
        <f>IFERROR([1]!fa_apturndays($A691,TEXT($B$1,"yyyy/mm/dd")),"")</f>
        <v>Fetch...</v>
      </c>
      <c r="P691">
        <f>IFERROR([1]!s_fa_invturndays($A691,TEXT($B$1,"yyyy/mm/dd")),"")</f>
        <v>134.63480000000001</v>
      </c>
    </row>
    <row r="692" spans="1:16">
      <c r="A692" t="s">
        <v>705</v>
      </c>
      <c r="B692">
        <f>IFERROR([1]!s_stm07_is($A692,"W70156729",TEXT($B$1,"yyyy/mm/dd"),1),"")</f>
        <v>1503941983.27</v>
      </c>
      <c r="C692">
        <f>IFERROR([1]!s_stm07_is($A692,"W75682424",TEXT($B$1,"yyyy/mm/dd"),1),"")</f>
        <v>1004120391.08</v>
      </c>
      <c r="D692">
        <f>IFERROR([1]!s_stm07_is($A692,"W76031679",TEXT($B$1,"yyyy/mm/dd"),1),"")</f>
        <v>8430212.5899999999</v>
      </c>
      <c r="E692">
        <f>IFERROR([1]!s_stm07_is($A692,"W70752487",TEXT($B$1,"yyyy/mm/dd"),1),"")</f>
        <v>114736932.59</v>
      </c>
      <c r="F692">
        <f>IFERROR([1]!s_stm07_is_103($A692,TEXT($B$1,"yyyy/mm/dd"),1),"")</f>
        <v>79233605.010000005</v>
      </c>
      <c r="G692">
        <f>IFERROR([1]!s_stm07_is_104($A692,TEXT($B$1,"yyyy/mm/dd"),1),"")</f>
        <v>273861.96999999997</v>
      </c>
      <c r="H692">
        <f>IFERROR([1]!s_stm07_is_105($A692,TEXT($B$1,"yyyy/mm/dd"),1),"")</f>
        <v>3588429.05</v>
      </c>
      <c r="I692">
        <f>IFERROR([1]!s_stm07_is($A692,"W72946623",TEXT($B$1,"yyyy/mm/dd"),1),"")</f>
        <v>312547646.5</v>
      </c>
      <c r="J692">
        <f>IFERROR([1]!s_stm07_is($A692,"W30028333",TEXT($B$1,"yyyy/mm/dd"),1),"")</f>
        <v>278007238.13</v>
      </c>
      <c r="K692">
        <f>IFERROR([1]!s_stm07_cs($A692,"W77130581",TEXT($B$1,"yyyy/mm/dd"),1),"")</f>
        <v>151662890.19999999</v>
      </c>
      <c r="L692">
        <f>IFERROR([1]!s_stm07_cs($A692,"W77745895",TEXT($B$1,"yyyy/mm/dd"),1),"")</f>
        <v>218037499.05000001</v>
      </c>
      <c r="M692">
        <f>IFERROR([1]!S_FA_EPS_basic2($A692,$B$1,"Cur=CNY"),"")</f>
        <v>0.56000000000000005</v>
      </c>
      <c r="N692">
        <f>IFERROR([1]!s_fa_arturndays($A692,TEXT($B$1,"yyyy/mm/dd")),"")</f>
        <v>130.14240000000001</v>
      </c>
      <c r="O692" t="str">
        <f>IFERROR([1]!fa_apturndays($A692,TEXT($B$1,"yyyy/mm/dd")),"")</f>
        <v>Fetch...</v>
      </c>
      <c r="P692">
        <f>IFERROR([1]!s_fa_invturndays($A692,TEXT($B$1,"yyyy/mm/dd")),"")</f>
        <v>104.9991</v>
      </c>
    </row>
    <row r="693" spans="1:16">
      <c r="A693" t="s">
        <v>706</v>
      </c>
      <c r="B693">
        <f>IFERROR([1]!s_stm07_is($A693,"W70156729",TEXT($B$1,"yyyy/mm/dd"),1),"")</f>
        <v>1188197896.3199999</v>
      </c>
      <c r="C693">
        <f>IFERROR([1]!s_stm07_is($A693,"W75682424",TEXT($B$1,"yyyy/mm/dd"),1),"")</f>
        <v>731376942.36000001</v>
      </c>
      <c r="D693">
        <f>IFERROR([1]!s_stm07_is($A693,"W76031679",TEXT($B$1,"yyyy/mm/dd"),1),"")</f>
        <v>56322404.009999998</v>
      </c>
      <c r="E693">
        <f>IFERROR([1]!s_stm07_is($A693,"W70752487",TEXT($B$1,"yyyy/mm/dd"),1),"")</f>
        <v>134319905.12</v>
      </c>
      <c r="F693">
        <f>IFERROR([1]!s_stm07_is_103($A693,TEXT($B$1,"yyyy/mm/dd"),1),"")</f>
        <v>402372044.70999998</v>
      </c>
      <c r="G693">
        <f>IFERROR([1]!s_stm07_is_104($A693,TEXT($B$1,"yyyy/mm/dd"),1),"")</f>
        <v>37558308.020000003</v>
      </c>
      <c r="H693">
        <f>IFERROR([1]!s_stm07_is_105($A693,TEXT($B$1,"yyyy/mm/dd"),1),"")</f>
        <v>6851534.6399999997</v>
      </c>
      <c r="I693">
        <f>IFERROR([1]!s_stm07_is($A693,"W72946623",TEXT($B$1,"yyyy/mm/dd"),1),"")</f>
        <v>-205603325.19</v>
      </c>
      <c r="J693">
        <f>IFERROR([1]!s_stm07_is($A693,"W30028333",TEXT($B$1,"yyyy/mm/dd"),1),"")</f>
        <v>-195446456.30000001</v>
      </c>
      <c r="K693">
        <f>IFERROR([1]!s_stm07_cs($A693,"W77130581",TEXT($B$1,"yyyy/mm/dd"),1),"")</f>
        <v>-65215899.909999996</v>
      </c>
      <c r="L693">
        <f>IFERROR([1]!s_stm07_cs($A693,"W77745895",TEXT($B$1,"yyyy/mm/dd"),1),"")</f>
        <v>456244578.08999997</v>
      </c>
      <c r="M693">
        <f>IFERROR([1]!S_FA_EPS_basic2($A693,$B$1,"Cur=CNY"),"")</f>
        <v>-0.36</v>
      </c>
      <c r="N693">
        <f>IFERROR([1]!s_fa_arturndays($A693,TEXT($B$1,"yyyy/mm/dd")),"")</f>
        <v>215.71090000000001</v>
      </c>
      <c r="O693" t="str">
        <f>IFERROR([1]!fa_apturndays($A693,TEXT($B$1,"yyyy/mm/dd")),"")</f>
        <v>Fetch...</v>
      </c>
      <c r="P693">
        <f>IFERROR([1]!s_fa_invturndays($A693,TEXT($B$1,"yyyy/mm/dd")),"")</f>
        <v>420.75740000000002</v>
      </c>
    </row>
    <row r="694" spans="1:16">
      <c r="A694" t="s">
        <v>707</v>
      </c>
      <c r="B694">
        <f>IFERROR([1]!s_stm07_is($A694,"W70156729",TEXT($B$1,"yyyy/mm/dd"),1),"")</f>
        <v>1861147153.21</v>
      </c>
      <c r="C694">
        <f>IFERROR([1]!s_stm07_is($A694,"W75682424",TEXT($B$1,"yyyy/mm/dd"),1),"")</f>
        <v>512642860.87</v>
      </c>
      <c r="D694">
        <f>IFERROR([1]!s_stm07_is($A694,"W76031679",TEXT($B$1,"yyyy/mm/dd"),1),"")</f>
        <v>520695506.11000001</v>
      </c>
      <c r="E694">
        <f>IFERROR([1]!s_stm07_is($A694,"W70752487",TEXT($B$1,"yyyy/mm/dd"),1),"")</f>
        <v>128800635.91</v>
      </c>
      <c r="F694">
        <f>IFERROR([1]!s_stm07_is_103($A694,TEXT($B$1,"yyyy/mm/dd"),1),"")</f>
        <v>43866105.520000003</v>
      </c>
      <c r="G694">
        <f>IFERROR([1]!s_stm07_is_104($A694,TEXT($B$1,"yyyy/mm/dd"),1),"")</f>
        <v>13727613.939999999</v>
      </c>
      <c r="H694">
        <f>IFERROR([1]!s_stm07_is_105($A694,TEXT($B$1,"yyyy/mm/dd"),1),"")</f>
        <v>4644527.32</v>
      </c>
      <c r="I694">
        <f>IFERROR([1]!s_stm07_is($A694,"W72946623",TEXT($B$1,"yyyy/mm/dd"),1),"")</f>
        <v>643113284.09000003</v>
      </c>
      <c r="J694">
        <f>IFERROR([1]!s_stm07_is($A694,"W30028333",TEXT($B$1,"yyyy/mm/dd"),1),"")</f>
        <v>479524593.37</v>
      </c>
      <c r="K694">
        <f>IFERROR([1]!s_stm07_cs($A694,"W77130581",TEXT($B$1,"yyyy/mm/dd"),1),"")</f>
        <v>730078196.25</v>
      </c>
      <c r="L694">
        <f>IFERROR([1]!s_stm07_cs($A694,"W77745895",TEXT($B$1,"yyyy/mm/dd"),1),"")</f>
        <v>120707951.67</v>
      </c>
      <c r="M694">
        <f>IFERROR([1]!S_FA_EPS_basic2($A694,$B$1,"Cur=CNY"),"")</f>
        <v>0.53700000000000003</v>
      </c>
      <c r="N694">
        <f>IFERROR([1]!s_fa_arturndays($A694,TEXT($B$1,"yyyy/mm/dd")),"")</f>
        <v>51.581800000000001</v>
      </c>
      <c r="O694" t="str">
        <f>IFERROR([1]!fa_apturndays($A694,TEXT($B$1,"yyyy/mm/dd")),"")</f>
        <v>Fetch...</v>
      </c>
      <c r="P694">
        <f>IFERROR([1]!s_fa_invturndays($A694,TEXT($B$1,"yyyy/mm/dd")),"")</f>
        <v>115.9271</v>
      </c>
    </row>
    <row r="695" spans="1:16">
      <c r="A695" t="s">
        <v>708</v>
      </c>
      <c r="B695">
        <f>IFERROR([1]!s_stm07_is($A695,"W70156729",TEXT($B$1,"yyyy/mm/dd"),1),"")</f>
        <v>2220649318.1300001</v>
      </c>
      <c r="C695">
        <f>IFERROR([1]!s_stm07_is($A695,"W75682424",TEXT($B$1,"yyyy/mm/dd"),1),"")</f>
        <v>1923413966.3499999</v>
      </c>
      <c r="D695">
        <f>IFERROR([1]!s_stm07_is($A695,"W76031679",TEXT($B$1,"yyyy/mm/dd"),1),"")</f>
        <v>106554694.3</v>
      </c>
      <c r="E695">
        <f>IFERROR([1]!s_stm07_is($A695,"W70752487",TEXT($B$1,"yyyy/mm/dd"),1),"")</f>
        <v>140986673.96000001</v>
      </c>
      <c r="F695">
        <f>IFERROR([1]!s_stm07_is_103($A695,TEXT($B$1,"yyyy/mm/dd"),1),"")</f>
        <v>147418916.69999999</v>
      </c>
      <c r="G695">
        <f>IFERROR([1]!s_stm07_is_104($A695,TEXT($B$1,"yyyy/mm/dd"),1),"")</f>
        <v>17874007.510000002</v>
      </c>
      <c r="H695">
        <f>IFERROR([1]!s_stm07_is_105($A695,TEXT($B$1,"yyyy/mm/dd"),1),"")</f>
        <v>3275204.55</v>
      </c>
      <c r="I695">
        <f>IFERROR([1]!s_stm07_is($A695,"W72946623",TEXT($B$1,"yyyy/mm/dd"),1),"")</f>
        <v>-150833932.90000001</v>
      </c>
      <c r="J695">
        <f>IFERROR([1]!s_stm07_is($A695,"W30028333",TEXT($B$1,"yyyy/mm/dd"),1),"")</f>
        <v>-103640726.53</v>
      </c>
      <c r="K695">
        <f>IFERROR([1]!s_stm07_cs($A695,"W77130581",TEXT($B$1,"yyyy/mm/dd"),1),"")</f>
        <v>-196015493.91</v>
      </c>
      <c r="L695">
        <f>IFERROR([1]!s_stm07_cs($A695,"W77745895",TEXT($B$1,"yyyy/mm/dd"),1),"")</f>
        <v>88456437.319999993</v>
      </c>
      <c r="M695">
        <f>IFERROR([1]!S_FA_EPS_basic2($A695,$B$1,"Cur=CNY"),"")</f>
        <v>-0.47760000000000002</v>
      </c>
      <c r="N695">
        <f>IFERROR([1]!s_fa_arturndays($A695,TEXT($B$1,"yyyy/mm/dd")),"")</f>
        <v>121.8439</v>
      </c>
      <c r="O695" t="str">
        <f>IFERROR([1]!fa_apturndays($A695,TEXT($B$1,"yyyy/mm/dd")),"")</f>
        <v>Fetch...</v>
      </c>
      <c r="P695">
        <f>IFERROR([1]!s_fa_invturndays($A695,TEXT($B$1,"yyyy/mm/dd")),"")</f>
        <v>54.764499999999998</v>
      </c>
    </row>
    <row r="696" spans="1:16">
      <c r="A696" t="s">
        <v>709</v>
      </c>
      <c r="B696">
        <f>IFERROR([1]!s_stm07_is($A696,"W70156729",TEXT($B$1,"yyyy/mm/dd"),1),"")</f>
        <v>2673083107.9299998</v>
      </c>
      <c r="C696">
        <f>IFERROR([1]!s_stm07_is($A696,"W75682424",TEXT($B$1,"yyyy/mm/dd"),1),"")</f>
        <v>676605997.72000003</v>
      </c>
      <c r="D696">
        <f>IFERROR([1]!s_stm07_is($A696,"W76031679",TEXT($B$1,"yyyy/mm/dd"),1),"")</f>
        <v>894386572.83000004</v>
      </c>
      <c r="E696">
        <f>IFERROR([1]!s_stm07_is($A696,"W70752487",TEXT($B$1,"yyyy/mm/dd"),1),"")</f>
        <v>311417678.66000003</v>
      </c>
      <c r="F696">
        <f>IFERROR([1]!s_stm07_is_103($A696,TEXT($B$1,"yyyy/mm/dd"),1),"")</f>
        <v>543416537.82000005</v>
      </c>
      <c r="G696">
        <f>IFERROR([1]!s_stm07_is_104($A696,TEXT($B$1,"yyyy/mm/dd"),1),"")</f>
        <v>119034151.90000001</v>
      </c>
      <c r="H696">
        <f>IFERROR([1]!s_stm07_is_105($A696,TEXT($B$1,"yyyy/mm/dd"),1),"")</f>
        <v>77967425.920000002</v>
      </c>
      <c r="I696">
        <f>IFERROR([1]!s_stm07_is($A696,"W72946623",TEXT($B$1,"yyyy/mm/dd"),1),"")</f>
        <v>45464124.469999999</v>
      </c>
      <c r="J696">
        <f>IFERROR([1]!s_stm07_is($A696,"W30028333",TEXT($B$1,"yyyy/mm/dd"),1),"")</f>
        <v>70330463.430000007</v>
      </c>
      <c r="K696">
        <f>IFERROR([1]!s_stm07_cs($A696,"W77130581",TEXT($B$1,"yyyy/mm/dd"),1),"")</f>
        <v>635569285.36000001</v>
      </c>
      <c r="L696">
        <f>IFERROR([1]!s_stm07_cs($A696,"W77745895",TEXT($B$1,"yyyy/mm/dd"),1),"")</f>
        <v>331922832.18000001</v>
      </c>
      <c r="M696">
        <f>IFERROR([1]!S_FA_EPS_basic2($A696,$B$1,"Cur=CNY"),"")</f>
        <v>0.06</v>
      </c>
      <c r="N696">
        <f>IFERROR([1]!s_fa_arturndays($A696,TEXT($B$1,"yyyy/mm/dd")),"")</f>
        <v>361.66370000000001</v>
      </c>
      <c r="O696" t="str">
        <f>IFERROR([1]!fa_apturndays($A696,TEXT($B$1,"yyyy/mm/dd")),"")</f>
        <v>Fetch...</v>
      </c>
      <c r="P696">
        <f>IFERROR([1]!s_fa_invturndays($A696,TEXT($B$1,"yyyy/mm/dd")),"")</f>
        <v>389.4418</v>
      </c>
    </row>
    <row r="697" spans="1:16">
      <c r="A697" t="s">
        <v>710</v>
      </c>
      <c r="B697">
        <f>IFERROR([1]!s_stm07_is($A697,"W70156729",TEXT($B$1,"yyyy/mm/dd"),1),"")</f>
        <v>6526685748.7600002</v>
      </c>
      <c r="C697">
        <f>IFERROR([1]!s_stm07_is($A697,"W75682424",TEXT($B$1,"yyyy/mm/dd"),1),"")</f>
        <v>5255808443.6499996</v>
      </c>
      <c r="D697">
        <f>IFERROR([1]!s_stm07_is($A697,"W76031679",TEXT($B$1,"yyyy/mm/dd"),1),"")</f>
        <v>120346781.3</v>
      </c>
      <c r="E697">
        <f>IFERROR([1]!s_stm07_is($A697,"W70752487",TEXT($B$1,"yyyy/mm/dd"),1),"")</f>
        <v>307669917.92000002</v>
      </c>
      <c r="F697">
        <f>IFERROR([1]!s_stm07_is_103($A697,TEXT($B$1,"yyyy/mm/dd"),1),"")</f>
        <v>350965688.44</v>
      </c>
      <c r="G697">
        <f>IFERROR([1]!s_stm07_is_104($A697,TEXT($B$1,"yyyy/mm/dd"),1),"")</f>
        <v>36025749.520000003</v>
      </c>
      <c r="H697">
        <f>IFERROR([1]!s_stm07_is_105($A697,TEXT($B$1,"yyyy/mm/dd"),1),"")</f>
        <v>4289666.66</v>
      </c>
      <c r="I697">
        <f>IFERROR([1]!s_stm07_is($A697,"W72946623",TEXT($B$1,"yyyy/mm/dd"),1),"")</f>
        <v>356751822.63</v>
      </c>
      <c r="J697">
        <f>IFERROR([1]!s_stm07_is($A697,"W30028333",TEXT($B$1,"yyyy/mm/dd"),1),"")</f>
        <v>364560225.56999999</v>
      </c>
      <c r="K697">
        <f>IFERROR([1]!s_stm07_cs($A697,"W77130581",TEXT($B$1,"yyyy/mm/dd"),1),"")</f>
        <v>437005614.58999997</v>
      </c>
      <c r="L697">
        <f>IFERROR([1]!s_stm07_cs($A697,"W77745895",TEXT($B$1,"yyyy/mm/dd"),1),"")</f>
        <v>564818782.75999999</v>
      </c>
      <c r="M697">
        <f>IFERROR([1]!S_FA_EPS_basic2($A697,$B$1,"Cur=CNY"),"")</f>
        <v>0.63</v>
      </c>
      <c r="N697">
        <f>IFERROR([1]!s_fa_arturndays($A697,TEXT($B$1,"yyyy/mm/dd")),"")</f>
        <v>134.42869999999999</v>
      </c>
      <c r="O697" t="str">
        <f>IFERROR([1]!fa_apturndays($A697,TEXT($B$1,"yyyy/mm/dd")),"")</f>
        <v>Fetch...</v>
      </c>
      <c r="P697">
        <f>IFERROR([1]!s_fa_invturndays($A697,TEXT($B$1,"yyyy/mm/dd")),"")</f>
        <v>70.283699999999996</v>
      </c>
    </row>
    <row r="698" spans="1:16">
      <c r="A698" t="s">
        <v>711</v>
      </c>
      <c r="B698">
        <f>IFERROR([1]!s_stm07_is($A698,"W70156729",TEXT($B$1,"yyyy/mm/dd"),1),"")</f>
        <v>5291542093.1700001</v>
      </c>
      <c r="C698">
        <f>IFERROR([1]!s_stm07_is($A698,"W75682424",TEXT($B$1,"yyyy/mm/dd"),1),"")</f>
        <v>2378303090.0700002</v>
      </c>
      <c r="D698">
        <f>IFERROR([1]!s_stm07_is($A698,"W76031679",TEXT($B$1,"yyyy/mm/dd"),1),"")</f>
        <v>250500611.75999999</v>
      </c>
      <c r="E698">
        <f>IFERROR([1]!s_stm07_is($A698,"W70752487",TEXT($B$1,"yyyy/mm/dd"),1),"")</f>
        <v>390948709.31999999</v>
      </c>
      <c r="F698">
        <f>IFERROR([1]!s_stm07_is_103($A698,TEXT($B$1,"yyyy/mm/dd"),1),"")</f>
        <v>936123237.04999995</v>
      </c>
      <c r="G698">
        <f>IFERROR([1]!s_stm07_is_104($A698,TEXT($B$1,"yyyy/mm/dd"),1),"")</f>
        <v>53302305.420000002</v>
      </c>
      <c r="H698">
        <f>IFERROR([1]!s_stm07_is_105($A698,TEXT($B$1,"yyyy/mm/dd"),1),"")</f>
        <v>28140106.829999998</v>
      </c>
      <c r="I698">
        <f>IFERROR([1]!s_stm07_is($A698,"W72946623",TEXT($B$1,"yyyy/mm/dd"),1),"")</f>
        <v>1330795957.4400001</v>
      </c>
      <c r="J698">
        <f>IFERROR([1]!s_stm07_is($A698,"W30028333",TEXT($B$1,"yyyy/mm/dd"),1),"")</f>
        <v>1331383095.29</v>
      </c>
      <c r="K698">
        <f>IFERROR([1]!s_stm07_cs($A698,"W77130581",TEXT($B$1,"yyyy/mm/dd"),1),"")</f>
        <v>562370204.66999996</v>
      </c>
      <c r="L698">
        <f>IFERROR([1]!s_stm07_cs($A698,"W77745895",TEXT($B$1,"yyyy/mm/dd"),1),"")</f>
        <v>555466516.05999994</v>
      </c>
      <c r="M698">
        <f>IFERROR([1]!S_FA_EPS_basic2($A698,$B$1,"Cur=CNY"),"")</f>
        <v>2.12</v>
      </c>
      <c r="N698">
        <f>IFERROR([1]!s_fa_arturndays($A698,TEXT($B$1,"yyyy/mm/dd")),"")</f>
        <v>119.22110000000001</v>
      </c>
      <c r="O698" t="str">
        <f>IFERROR([1]!fa_apturndays($A698,TEXT($B$1,"yyyy/mm/dd")),"")</f>
        <v>Fetch...</v>
      </c>
      <c r="P698">
        <f>IFERROR([1]!s_fa_invturndays($A698,TEXT($B$1,"yyyy/mm/dd")),"")</f>
        <v>441.66359999999997</v>
      </c>
    </row>
    <row r="699" spans="1:16">
      <c r="A699" t="s">
        <v>712</v>
      </c>
      <c r="B699">
        <f>IFERROR([1]!s_stm07_is($A699,"W70156729",TEXT($B$1,"yyyy/mm/dd"),1),"")</f>
        <v>2510080513.4699998</v>
      </c>
      <c r="C699">
        <f>IFERROR([1]!s_stm07_is($A699,"W75682424",TEXT($B$1,"yyyy/mm/dd"),1),"")</f>
        <v>1800859878.9400001</v>
      </c>
      <c r="D699">
        <f>IFERROR([1]!s_stm07_is($A699,"W76031679",TEXT($B$1,"yyyy/mm/dd"),1),"")</f>
        <v>187034313.91</v>
      </c>
      <c r="E699">
        <f>IFERROR([1]!s_stm07_is($A699,"W70752487",TEXT($B$1,"yyyy/mm/dd"),1),"")</f>
        <v>219003515.18000001</v>
      </c>
      <c r="F699">
        <f>IFERROR([1]!s_stm07_is_103($A699,TEXT($B$1,"yyyy/mm/dd"),1),"")</f>
        <v>130352397.31</v>
      </c>
      <c r="G699">
        <f>IFERROR([1]!s_stm07_is_104($A699,TEXT($B$1,"yyyy/mm/dd"),1),"")</f>
        <v>19973239.399999999</v>
      </c>
      <c r="H699">
        <f>IFERROR([1]!s_stm07_is_105($A699,TEXT($B$1,"yyyy/mm/dd"),1),"")</f>
        <v>18865656.859999999</v>
      </c>
      <c r="I699">
        <f>IFERROR([1]!s_stm07_is($A699,"W72946623",TEXT($B$1,"yyyy/mm/dd"),1),"")</f>
        <v>77187902.430000007</v>
      </c>
      <c r="J699">
        <f>IFERROR([1]!s_stm07_is($A699,"W30028333",TEXT($B$1,"yyyy/mm/dd"),1),"")</f>
        <v>73872498.980000004</v>
      </c>
      <c r="K699">
        <f>IFERROR([1]!s_stm07_cs($A699,"W77130581",TEXT($B$1,"yyyy/mm/dd"),1),"")</f>
        <v>464995794.06</v>
      </c>
      <c r="L699">
        <f>IFERROR([1]!s_stm07_cs($A699,"W77745895",TEXT($B$1,"yyyy/mm/dd"),1),"")</f>
        <v>158533799.25999999</v>
      </c>
      <c r="M699">
        <f>IFERROR([1]!S_FA_EPS_basic2($A699,$B$1,"Cur=CNY"),"")</f>
        <v>0.15</v>
      </c>
      <c r="N699">
        <f>IFERROR([1]!s_fa_arturndays($A699,TEXT($B$1,"yyyy/mm/dd")),"")</f>
        <v>163.91200000000001</v>
      </c>
      <c r="O699" t="str">
        <f>IFERROR([1]!fa_apturndays($A699,TEXT($B$1,"yyyy/mm/dd")),"")</f>
        <v>Fetch...</v>
      </c>
      <c r="P699">
        <f>IFERROR([1]!s_fa_invturndays($A699,TEXT($B$1,"yyyy/mm/dd")),"")</f>
        <v>283.5539</v>
      </c>
    </row>
    <row r="700" spans="1:16">
      <c r="A700" t="s">
        <v>713</v>
      </c>
      <c r="B700">
        <f>IFERROR([1]!s_stm07_is($A700,"W70156729",TEXT($B$1,"yyyy/mm/dd"),1),"")</f>
        <v>1689697728.6400001</v>
      </c>
      <c r="C700">
        <f>IFERROR([1]!s_stm07_is($A700,"W75682424",TEXT($B$1,"yyyy/mm/dd"),1),"")</f>
        <v>1061415090.03</v>
      </c>
      <c r="D700">
        <f>IFERROR([1]!s_stm07_is($A700,"W76031679",TEXT($B$1,"yyyy/mm/dd"),1),"")</f>
        <v>48057905.270000003</v>
      </c>
      <c r="E700">
        <f>IFERROR([1]!s_stm07_is($A700,"W70752487",TEXT($B$1,"yyyy/mm/dd"),1),"")</f>
        <v>135420400.18000001</v>
      </c>
      <c r="F700">
        <f>IFERROR([1]!s_stm07_is_103($A700,TEXT($B$1,"yyyy/mm/dd"),1),"")</f>
        <v>351419291.58999997</v>
      </c>
      <c r="G700">
        <f>IFERROR([1]!s_stm07_is_104($A700,TEXT($B$1,"yyyy/mm/dd"),1),"")</f>
        <v>31035207.920000002</v>
      </c>
      <c r="H700">
        <f>IFERROR([1]!s_stm07_is_105($A700,TEXT($B$1,"yyyy/mm/dd"),1),"")</f>
        <v>47210610.670000002</v>
      </c>
      <c r="I700">
        <f>IFERROR([1]!s_stm07_is($A700,"W72946623",TEXT($B$1,"yyyy/mm/dd"),1),"")</f>
        <v>115126973.8</v>
      </c>
      <c r="J700">
        <f>IFERROR([1]!s_stm07_is($A700,"W30028333",TEXT($B$1,"yyyy/mm/dd"),1),"")</f>
        <v>144951593.41999999</v>
      </c>
      <c r="K700">
        <f>IFERROR([1]!s_stm07_cs($A700,"W77130581",TEXT($B$1,"yyyy/mm/dd"),1),"")</f>
        <v>443759952.33999997</v>
      </c>
      <c r="L700">
        <f>IFERROR([1]!s_stm07_cs($A700,"W77745895",TEXT($B$1,"yyyy/mm/dd"),1),"")</f>
        <v>59778650.82</v>
      </c>
      <c r="M700">
        <f>IFERROR([1]!S_FA_EPS_basic2($A700,$B$1,"Cur=CNY"),"")</f>
        <v>0.63</v>
      </c>
      <c r="N700">
        <f>IFERROR([1]!s_fa_arturndays($A700,TEXT($B$1,"yyyy/mm/dd")),"")</f>
        <v>95.275899999999993</v>
      </c>
      <c r="O700" t="str">
        <f>IFERROR([1]!fa_apturndays($A700,TEXT($B$1,"yyyy/mm/dd")),"")</f>
        <v>Fetch...</v>
      </c>
      <c r="P700">
        <f>IFERROR([1]!s_fa_invturndays($A700,TEXT($B$1,"yyyy/mm/dd")),"")</f>
        <v>156.81489999999999</v>
      </c>
    </row>
    <row r="701" spans="1:16">
      <c r="A701" t="s">
        <v>714</v>
      </c>
      <c r="B701">
        <f>IFERROR([1]!s_stm07_is($A701,"W70156729",TEXT($B$1,"yyyy/mm/dd"),1),"")</f>
        <v>6694831736.4200001</v>
      </c>
      <c r="C701">
        <f>IFERROR([1]!s_stm07_is($A701,"W75682424",TEXT($B$1,"yyyy/mm/dd"),1),"")</f>
        <v>5831521036.1199999</v>
      </c>
      <c r="D701">
        <f>IFERROR([1]!s_stm07_is($A701,"W76031679",TEXT($B$1,"yyyy/mm/dd"),1),"")</f>
        <v>21963757.550000001</v>
      </c>
      <c r="E701">
        <f>IFERROR([1]!s_stm07_is($A701,"W70752487",TEXT($B$1,"yyyy/mm/dd"),1),"")</f>
        <v>311602769.99000001</v>
      </c>
      <c r="F701">
        <f>IFERROR([1]!s_stm07_is_103($A701,TEXT($B$1,"yyyy/mm/dd"),1),"")</f>
        <v>97060985.609999999</v>
      </c>
      <c r="G701">
        <f>IFERROR([1]!s_stm07_is_104($A701,TEXT($B$1,"yyyy/mm/dd"),1),"")</f>
        <v>37829609.170000002</v>
      </c>
      <c r="H701">
        <f>IFERROR([1]!s_stm07_is_105($A701,TEXT($B$1,"yyyy/mm/dd"),1),"")</f>
        <v>23748128.420000002</v>
      </c>
      <c r="I701">
        <f>IFERROR([1]!s_stm07_is($A701,"W72946623",TEXT($B$1,"yyyy/mm/dd"),1),"")</f>
        <v>270064717.66000003</v>
      </c>
      <c r="J701">
        <f>IFERROR([1]!s_stm07_is($A701,"W30028333",TEXT($B$1,"yyyy/mm/dd"),1),"")</f>
        <v>254521184.80000001</v>
      </c>
      <c r="K701">
        <f>IFERROR([1]!s_stm07_cs($A701,"W77130581",TEXT($B$1,"yyyy/mm/dd"),1),"")</f>
        <v>-462305854.66000003</v>
      </c>
      <c r="L701">
        <f>IFERROR([1]!s_stm07_cs($A701,"W77745895",TEXT($B$1,"yyyy/mm/dd"),1),"")</f>
        <v>1254320398.6400001</v>
      </c>
      <c r="M701">
        <f>IFERROR([1]!S_FA_EPS_basic2($A701,$B$1,"Cur=CNY"),"")</f>
        <v>0.82</v>
      </c>
      <c r="N701">
        <f>IFERROR([1]!s_fa_arturndays($A701,TEXT($B$1,"yyyy/mm/dd")),"")</f>
        <v>13.192</v>
      </c>
      <c r="O701" t="str">
        <f>IFERROR([1]!fa_apturndays($A701,TEXT($B$1,"yyyy/mm/dd")),"")</f>
        <v>Fetch...</v>
      </c>
      <c r="P701">
        <f>IFERROR([1]!s_fa_invturndays($A701,TEXT($B$1,"yyyy/mm/dd")),"")</f>
        <v>147.93510000000001</v>
      </c>
    </row>
    <row r="702" spans="1:16">
      <c r="A702" t="s">
        <v>715</v>
      </c>
      <c r="B702">
        <f>IFERROR([1]!s_stm07_is($A702,"W70156729",TEXT($B$1,"yyyy/mm/dd"),1),"")</f>
        <v>1473966074.8</v>
      </c>
      <c r="C702">
        <f>IFERROR([1]!s_stm07_is($A702,"W75682424",TEXT($B$1,"yyyy/mm/dd"),1),"")</f>
        <v>963052174.82000005</v>
      </c>
      <c r="D702">
        <f>IFERROR([1]!s_stm07_is($A702,"W76031679",TEXT($B$1,"yyyy/mm/dd"),1),"")</f>
        <v>24072840.649999999</v>
      </c>
      <c r="E702">
        <f>IFERROR([1]!s_stm07_is($A702,"W70752487",TEXT($B$1,"yyyy/mm/dd"),1),"")</f>
        <v>132038122.25</v>
      </c>
      <c r="F702">
        <f>IFERROR([1]!s_stm07_is_103($A702,TEXT($B$1,"yyyy/mm/dd"),1),"")</f>
        <v>163042847.56</v>
      </c>
      <c r="G702">
        <f>IFERROR([1]!s_stm07_is_104($A702,TEXT($B$1,"yyyy/mm/dd"),1),"")</f>
        <v>19830144.890000001</v>
      </c>
      <c r="H702">
        <f>IFERROR([1]!s_stm07_is_105($A702,TEXT($B$1,"yyyy/mm/dd"),1),"")</f>
        <v>26895597.960000001</v>
      </c>
      <c r="I702">
        <f>IFERROR([1]!s_stm07_is($A702,"W72946623",TEXT($B$1,"yyyy/mm/dd"),1),"")</f>
        <v>186983099.46000001</v>
      </c>
      <c r="J702">
        <f>IFERROR([1]!s_stm07_is($A702,"W30028333",TEXT($B$1,"yyyy/mm/dd"),1),"")</f>
        <v>176672911.06999999</v>
      </c>
      <c r="K702">
        <f>IFERROR([1]!s_stm07_cs($A702,"W77130581",TEXT($B$1,"yyyy/mm/dd"),1),"")</f>
        <v>231246134.47</v>
      </c>
      <c r="L702">
        <f>IFERROR([1]!s_stm07_cs($A702,"W77745895",TEXT($B$1,"yyyy/mm/dd"),1),"")</f>
        <v>112749207.33</v>
      </c>
      <c r="M702">
        <f>IFERROR([1]!S_FA_EPS_basic2($A702,$B$1,"Cur=CNY"),"")</f>
        <v>0.70899999999999996</v>
      </c>
      <c r="N702">
        <f>IFERROR([1]!s_fa_arturndays($A702,TEXT($B$1,"yyyy/mm/dd")),"")</f>
        <v>105.7921</v>
      </c>
      <c r="O702" t="str">
        <f>IFERROR([1]!fa_apturndays($A702,TEXT($B$1,"yyyy/mm/dd")),"")</f>
        <v>Fetch...</v>
      </c>
      <c r="P702">
        <f>IFERROR([1]!s_fa_invturndays($A702,TEXT($B$1,"yyyy/mm/dd")),"")</f>
        <v>117.7086</v>
      </c>
    </row>
    <row r="703" spans="1:16">
      <c r="A703" t="s">
        <v>716</v>
      </c>
      <c r="B703">
        <f>IFERROR([1]!s_stm07_is($A703,"W70156729",TEXT($B$1,"yyyy/mm/dd"),1),"")</f>
        <v>3494134538.2399998</v>
      </c>
      <c r="C703">
        <f>IFERROR([1]!s_stm07_is($A703,"W75682424",TEXT($B$1,"yyyy/mm/dd"),1),"")</f>
        <v>2413405755.9000001</v>
      </c>
      <c r="D703">
        <f>IFERROR([1]!s_stm07_is($A703,"W76031679",TEXT($B$1,"yyyy/mm/dd"),1),"")</f>
        <v>77393672.450000003</v>
      </c>
      <c r="E703">
        <f>IFERROR([1]!s_stm07_is($A703,"W70752487",TEXT($B$1,"yyyy/mm/dd"),1),"")</f>
        <v>190963177.08000001</v>
      </c>
      <c r="F703">
        <f>IFERROR([1]!s_stm07_is_103($A703,TEXT($B$1,"yyyy/mm/dd"),1),"")</f>
        <v>201637558.97</v>
      </c>
      <c r="G703">
        <f>IFERROR([1]!s_stm07_is_104($A703,TEXT($B$1,"yyyy/mm/dd"),1),"")</f>
        <v>-3814178.69</v>
      </c>
      <c r="H703">
        <f>IFERROR([1]!s_stm07_is_105($A703,TEXT($B$1,"yyyy/mm/dd"),1),"")</f>
        <v>2728409.78</v>
      </c>
      <c r="I703">
        <f>IFERROR([1]!s_stm07_is($A703,"W72946623",TEXT($B$1,"yyyy/mm/dd"),1),"")</f>
        <v>532891345.66000003</v>
      </c>
      <c r="J703">
        <f>IFERROR([1]!s_stm07_is($A703,"W30028333",TEXT($B$1,"yyyy/mm/dd"),1),"")</f>
        <v>476689147.88999999</v>
      </c>
      <c r="K703">
        <f>IFERROR([1]!s_stm07_cs($A703,"W77130581",TEXT($B$1,"yyyy/mm/dd"),1),"")</f>
        <v>773502841.62</v>
      </c>
      <c r="L703">
        <f>IFERROR([1]!s_stm07_cs($A703,"W77745895",TEXT($B$1,"yyyy/mm/dd"),1),"")</f>
        <v>675400761.17999995</v>
      </c>
      <c r="M703">
        <f>IFERROR([1]!S_FA_EPS_basic2($A703,$B$1,"Cur=CNY"),"")</f>
        <v>0.56999999999999995</v>
      </c>
      <c r="N703">
        <f>IFERROR([1]!s_fa_arturndays($A703,TEXT($B$1,"yyyy/mm/dd")),"")</f>
        <v>73.828000000000003</v>
      </c>
      <c r="O703" t="str">
        <f>IFERROR([1]!fa_apturndays($A703,TEXT($B$1,"yyyy/mm/dd")),"")</f>
        <v>Fetch...</v>
      </c>
      <c r="P703">
        <f>IFERROR([1]!s_fa_invturndays($A703,TEXT($B$1,"yyyy/mm/dd")),"")</f>
        <v>96.584699999999998</v>
      </c>
    </row>
    <row r="704" spans="1:16">
      <c r="A704" t="s">
        <v>717</v>
      </c>
      <c r="B704">
        <f>IFERROR([1]!s_stm07_is($A704,"W70156729",TEXT($B$1,"yyyy/mm/dd"),1),"")</f>
        <v>1532776301.8399999</v>
      </c>
      <c r="C704">
        <f>IFERROR([1]!s_stm07_is($A704,"W75682424",TEXT($B$1,"yyyy/mm/dd"),1),"")</f>
        <v>141437449.69999999</v>
      </c>
      <c r="D704">
        <f>IFERROR([1]!s_stm07_is($A704,"W76031679",TEXT($B$1,"yyyy/mm/dd"),1),"")</f>
        <v>874849411.04999995</v>
      </c>
      <c r="E704">
        <f>IFERROR([1]!s_stm07_is($A704,"W70752487",TEXT($B$1,"yyyy/mm/dd"),1),"")</f>
        <v>223909321.99000001</v>
      </c>
      <c r="F704">
        <f>IFERROR([1]!s_stm07_is_103($A704,TEXT($B$1,"yyyy/mm/dd"),1),"")</f>
        <v>431933846.73000002</v>
      </c>
      <c r="G704">
        <f>IFERROR([1]!s_stm07_is_104($A704,TEXT($B$1,"yyyy/mm/dd"),1),"")</f>
        <v>2646710.54</v>
      </c>
      <c r="H704">
        <f>IFERROR([1]!s_stm07_is_105($A704,TEXT($B$1,"yyyy/mm/dd"),1),"")</f>
        <v>8901660.0500000007</v>
      </c>
      <c r="I704">
        <f>IFERROR([1]!s_stm07_is($A704,"W72946623",TEXT($B$1,"yyyy/mm/dd"),1),"")</f>
        <v>-89990141.890000001</v>
      </c>
      <c r="J704">
        <f>IFERROR([1]!s_stm07_is($A704,"W30028333",TEXT($B$1,"yyyy/mm/dd"),1),"")</f>
        <v>-91232191.620000005</v>
      </c>
      <c r="K704">
        <f>IFERROR([1]!s_stm07_cs($A704,"W77130581",TEXT($B$1,"yyyy/mm/dd"),1),"")</f>
        <v>21411187.940000001</v>
      </c>
      <c r="L704">
        <f>IFERROR([1]!s_stm07_cs($A704,"W77745895",TEXT($B$1,"yyyy/mm/dd"),1),"")</f>
        <v>128969952.20999999</v>
      </c>
      <c r="M704">
        <f>IFERROR([1]!S_FA_EPS_basic2($A704,$B$1,"Cur=CNY"),"")</f>
        <v>-0.47</v>
      </c>
      <c r="N704">
        <f>IFERROR([1]!s_fa_arturndays($A704,TEXT($B$1,"yyyy/mm/dd")),"")</f>
        <v>15.6012</v>
      </c>
      <c r="O704" t="str">
        <f>IFERROR([1]!fa_apturndays($A704,TEXT($B$1,"yyyy/mm/dd")),"")</f>
        <v>Fetch...</v>
      </c>
      <c r="P704">
        <f>IFERROR([1]!s_fa_invturndays($A704,TEXT($B$1,"yyyy/mm/dd")),"")</f>
        <v>0</v>
      </c>
    </row>
    <row r="705" spans="1:16">
      <c r="A705" t="s">
        <v>718</v>
      </c>
      <c r="B705">
        <f>IFERROR([1]!s_stm07_is($A705,"W70156729",TEXT($B$1,"yyyy/mm/dd"),1),"")</f>
        <v>3699152108.4699998</v>
      </c>
      <c r="C705">
        <f>IFERROR([1]!s_stm07_is($A705,"W75682424",TEXT($B$1,"yyyy/mm/dd"),1),"")</f>
        <v>1443567852.3399999</v>
      </c>
      <c r="D705">
        <f>IFERROR([1]!s_stm07_is($A705,"W76031679",TEXT($B$1,"yyyy/mm/dd"),1),"")</f>
        <v>678585825.09000003</v>
      </c>
      <c r="E705">
        <f>IFERROR([1]!s_stm07_is($A705,"W70752487",TEXT($B$1,"yyyy/mm/dd"),1),"")</f>
        <v>259680913.05000001</v>
      </c>
      <c r="F705">
        <f>IFERROR([1]!s_stm07_is_103($A705,TEXT($B$1,"yyyy/mm/dd"),1),"")</f>
        <v>557996822.09000003</v>
      </c>
      <c r="G705">
        <f>IFERROR([1]!s_stm07_is_104($A705,TEXT($B$1,"yyyy/mm/dd"),1),"")</f>
        <v>5334197.72</v>
      </c>
      <c r="H705">
        <f>IFERROR([1]!s_stm07_is_105($A705,TEXT($B$1,"yyyy/mm/dd"),1),"")</f>
        <v>12506349.83</v>
      </c>
      <c r="I705">
        <f>IFERROR([1]!s_stm07_is($A705,"W72946623",TEXT($B$1,"yyyy/mm/dd"),1),"")</f>
        <v>784894153.94000006</v>
      </c>
      <c r="J705">
        <f>IFERROR([1]!s_stm07_is($A705,"W30028333",TEXT($B$1,"yyyy/mm/dd"),1),"")</f>
        <v>685420583.50999999</v>
      </c>
      <c r="K705">
        <f>IFERROR([1]!s_stm07_cs($A705,"W77130581",TEXT($B$1,"yyyy/mm/dd"),1),"")</f>
        <v>698680737.17999995</v>
      </c>
      <c r="L705">
        <f>IFERROR([1]!s_stm07_cs($A705,"W77745895",TEXT($B$1,"yyyy/mm/dd"),1),"")</f>
        <v>101859797.84999999</v>
      </c>
      <c r="M705">
        <f>IFERROR([1]!S_FA_EPS_basic2($A705,$B$1,"Cur=CNY"),"")</f>
        <v>0.88200000000000001</v>
      </c>
      <c r="N705">
        <f>IFERROR([1]!s_fa_arturndays($A705,TEXT($B$1,"yyyy/mm/dd")),"")</f>
        <v>101.3399</v>
      </c>
      <c r="O705" t="str">
        <f>IFERROR([1]!fa_apturndays($A705,TEXT($B$1,"yyyy/mm/dd")),"")</f>
        <v>Fetch...</v>
      </c>
      <c r="P705">
        <f>IFERROR([1]!s_fa_invturndays($A705,TEXT($B$1,"yyyy/mm/dd")),"")</f>
        <v>133.58070000000001</v>
      </c>
    </row>
    <row r="706" spans="1:16">
      <c r="A706" t="s">
        <v>719</v>
      </c>
      <c r="B706">
        <f>IFERROR([1]!s_stm07_is($A706,"W70156729",TEXT($B$1,"yyyy/mm/dd"),1),"")</f>
        <v>6033175769.1099997</v>
      </c>
      <c r="C706">
        <f>IFERROR([1]!s_stm07_is($A706,"W75682424",TEXT($B$1,"yyyy/mm/dd"),1),"")</f>
        <v>2212995506.0100002</v>
      </c>
      <c r="D706">
        <f>IFERROR([1]!s_stm07_is($A706,"W76031679",TEXT($B$1,"yyyy/mm/dd"),1),"")</f>
        <v>358081595.26999998</v>
      </c>
      <c r="E706">
        <f>IFERROR([1]!s_stm07_is($A706,"W70752487",TEXT($B$1,"yyyy/mm/dd"),1),"")</f>
        <v>179500302.38999999</v>
      </c>
      <c r="F706">
        <f>IFERROR([1]!s_stm07_is_103($A706,TEXT($B$1,"yyyy/mm/dd"),1),"")</f>
        <v>529947069.38999999</v>
      </c>
      <c r="G706">
        <f>IFERROR([1]!s_stm07_is_104($A706,TEXT($B$1,"yyyy/mm/dd"),1),"")</f>
        <v>381700.05</v>
      </c>
      <c r="H706">
        <f>IFERROR([1]!s_stm07_is_105($A706,TEXT($B$1,"yyyy/mm/dd"),1),"")</f>
        <v>13001205.83</v>
      </c>
      <c r="I706">
        <f>IFERROR([1]!s_stm07_is($A706,"W72946623",TEXT($B$1,"yyyy/mm/dd"),1),"")</f>
        <v>2838296951.98</v>
      </c>
      <c r="J706">
        <f>IFERROR([1]!s_stm07_is($A706,"W30028333",TEXT($B$1,"yyyy/mm/dd"),1),"")</f>
        <v>2600608389.6599998</v>
      </c>
      <c r="K706">
        <f>IFERROR([1]!s_stm07_cs($A706,"W77130581",TEXT($B$1,"yyyy/mm/dd"),1),"")</f>
        <v>1832386223.28</v>
      </c>
      <c r="L706">
        <f>IFERROR([1]!s_stm07_cs($A706,"W77745895",TEXT($B$1,"yyyy/mm/dd"),1),"")</f>
        <v>52960102.890000001</v>
      </c>
      <c r="M706">
        <f>IFERROR([1]!S_FA_EPS_basic2($A706,$B$1,"Cur=CNY"),"")</f>
        <v>2.0550999999999999</v>
      </c>
      <c r="N706">
        <f>IFERROR([1]!s_fa_arturndays($A706,TEXT($B$1,"yyyy/mm/dd")),"")</f>
        <v>73.642200000000003</v>
      </c>
      <c r="O706" t="str">
        <f>IFERROR([1]!fa_apturndays($A706,TEXT($B$1,"yyyy/mm/dd")),"")</f>
        <v>Fetch...</v>
      </c>
      <c r="P706">
        <f>IFERROR([1]!s_fa_invturndays($A706,TEXT($B$1,"yyyy/mm/dd")),"")</f>
        <v>185.13759999999999</v>
      </c>
    </row>
    <row r="707" spans="1:16">
      <c r="A707" t="s">
        <v>720</v>
      </c>
      <c r="B707">
        <f>IFERROR([1]!s_stm07_is($A707,"W70156729",TEXT($B$1,"yyyy/mm/dd"),1),"")</f>
        <v>2308908666.5100002</v>
      </c>
      <c r="C707">
        <f>IFERROR([1]!s_stm07_is($A707,"W75682424",TEXT($B$1,"yyyy/mm/dd"),1),"")</f>
        <v>877685277.79999995</v>
      </c>
      <c r="D707">
        <f>IFERROR([1]!s_stm07_is($A707,"W76031679",TEXT($B$1,"yyyy/mm/dd"),1),"")</f>
        <v>675489904.27999997</v>
      </c>
      <c r="E707">
        <f>IFERROR([1]!s_stm07_is($A707,"W70752487",TEXT($B$1,"yyyy/mm/dd"),1),"")</f>
        <v>146257636.80000001</v>
      </c>
      <c r="F707">
        <f>IFERROR([1]!s_stm07_is_103($A707,TEXT($B$1,"yyyy/mm/dd"),1),"")</f>
        <v>495778393.20999998</v>
      </c>
      <c r="G707">
        <f>IFERROR([1]!s_stm07_is_104($A707,TEXT($B$1,"yyyy/mm/dd"),1),"")</f>
        <v>4158721.83</v>
      </c>
      <c r="H707">
        <f>IFERROR([1]!s_stm07_is_105($A707,TEXT($B$1,"yyyy/mm/dd"),1),"")</f>
        <v>35631786.520000003</v>
      </c>
      <c r="I707">
        <f>IFERROR([1]!s_stm07_is($A707,"W72946623",TEXT($B$1,"yyyy/mm/dd"),1),"")</f>
        <v>164190989.93000001</v>
      </c>
      <c r="J707">
        <f>IFERROR([1]!s_stm07_is($A707,"W30028333",TEXT($B$1,"yyyy/mm/dd"),1),"")</f>
        <v>197280077.30000001</v>
      </c>
      <c r="K707">
        <f>IFERROR([1]!s_stm07_cs($A707,"W77130581",TEXT($B$1,"yyyy/mm/dd"),1),"")</f>
        <v>-48159565.649999999</v>
      </c>
      <c r="L707">
        <f>IFERROR([1]!s_stm07_cs($A707,"W77745895",TEXT($B$1,"yyyy/mm/dd"),1),"")</f>
        <v>142241842.87</v>
      </c>
      <c r="M707">
        <f>IFERROR([1]!S_FA_EPS_basic2($A707,$B$1,"Cur=CNY"),"")</f>
        <v>0.46</v>
      </c>
      <c r="N707">
        <f>IFERROR([1]!s_fa_arturndays($A707,TEXT($B$1,"yyyy/mm/dd")),"")</f>
        <v>39.941899999999997</v>
      </c>
      <c r="O707" t="str">
        <f>IFERROR([1]!fa_apturndays($A707,TEXT($B$1,"yyyy/mm/dd")),"")</f>
        <v>Fetch...</v>
      </c>
      <c r="P707">
        <f>IFERROR([1]!s_fa_invturndays($A707,TEXT($B$1,"yyyy/mm/dd")),"")</f>
        <v>290.5335</v>
      </c>
    </row>
    <row r="708" spans="1:16">
      <c r="A708" t="s">
        <v>721</v>
      </c>
      <c r="B708">
        <f>IFERROR([1]!s_stm07_is($A708,"W70156729",TEXT($B$1,"yyyy/mm/dd"),1),"")</f>
        <v>1829972081.29</v>
      </c>
      <c r="C708">
        <f>IFERROR([1]!s_stm07_is($A708,"W75682424",TEXT($B$1,"yyyy/mm/dd"),1),"")</f>
        <v>1186622260.54</v>
      </c>
      <c r="D708">
        <f>IFERROR([1]!s_stm07_is($A708,"W76031679",TEXT($B$1,"yyyy/mm/dd"),1),"")</f>
        <v>34360236.640000001</v>
      </c>
      <c r="E708">
        <f>IFERROR([1]!s_stm07_is($A708,"W70752487",TEXT($B$1,"yyyy/mm/dd"),1),"")</f>
        <v>51795149.829999998</v>
      </c>
      <c r="F708">
        <f>IFERROR([1]!s_stm07_is_103($A708,TEXT($B$1,"yyyy/mm/dd"),1),"")</f>
        <v>317476761.76999998</v>
      </c>
      <c r="G708">
        <f>IFERROR([1]!s_stm07_is_104($A708,TEXT($B$1,"yyyy/mm/dd"),1),"")</f>
        <v>1088998.42</v>
      </c>
      <c r="H708">
        <f>IFERROR([1]!s_stm07_is_105($A708,TEXT($B$1,"yyyy/mm/dd"),1),"")</f>
        <v>15406437.68</v>
      </c>
      <c r="I708">
        <f>IFERROR([1]!s_stm07_is($A708,"W72946623",TEXT($B$1,"yyyy/mm/dd"),1),"")</f>
        <v>287601954.98000002</v>
      </c>
      <c r="J708">
        <f>IFERROR([1]!s_stm07_is($A708,"W30028333",TEXT($B$1,"yyyy/mm/dd"),1),"")</f>
        <v>290651071.77999997</v>
      </c>
      <c r="K708">
        <f>IFERROR([1]!s_stm07_cs($A708,"W77130581",TEXT($B$1,"yyyy/mm/dd"),1),"")</f>
        <v>462658934.36000001</v>
      </c>
      <c r="L708">
        <f>IFERROR([1]!s_stm07_cs($A708,"W77745895",TEXT($B$1,"yyyy/mm/dd"),1),"")</f>
        <v>121004798.3</v>
      </c>
      <c r="M708">
        <f>IFERROR([1]!S_FA_EPS_basic2($A708,$B$1,"Cur=CNY"),"")</f>
        <v>0.65</v>
      </c>
      <c r="N708">
        <f>IFERROR([1]!s_fa_arturndays($A708,TEXT($B$1,"yyyy/mm/dd")),"")</f>
        <v>78.033600000000007</v>
      </c>
      <c r="O708" t="str">
        <f>IFERROR([1]!fa_apturndays($A708,TEXT($B$1,"yyyy/mm/dd")),"")</f>
        <v>Fetch...</v>
      </c>
      <c r="P708">
        <f>IFERROR([1]!s_fa_invturndays($A708,TEXT($B$1,"yyyy/mm/dd")),"")</f>
        <v>187.05189999999999</v>
      </c>
    </row>
    <row r="709" spans="1:16">
      <c r="A709" t="s">
        <v>722</v>
      </c>
      <c r="B709">
        <f>IFERROR([1]!s_stm07_is($A709,"W70156729",TEXT($B$1,"yyyy/mm/dd"),1),"")</f>
        <v>6987612096.6800003</v>
      </c>
      <c r="C709">
        <f>IFERROR([1]!s_stm07_is($A709,"W75682424",TEXT($B$1,"yyyy/mm/dd"),1),"")</f>
        <v>5842540055.04</v>
      </c>
      <c r="D709">
        <f>IFERROR([1]!s_stm07_is($A709,"W76031679",TEXT($B$1,"yyyy/mm/dd"),1),"")</f>
        <v>159290727.16999999</v>
      </c>
      <c r="E709">
        <f>IFERROR([1]!s_stm07_is($A709,"W70752487",TEXT($B$1,"yyyy/mm/dd"),1),"")</f>
        <v>148250734.22</v>
      </c>
      <c r="F709">
        <f>IFERROR([1]!s_stm07_is_103($A709,TEXT($B$1,"yyyy/mm/dd"),1),"")</f>
        <v>480299890.57999998</v>
      </c>
      <c r="G709">
        <f>IFERROR([1]!s_stm07_is_104($A709,TEXT($B$1,"yyyy/mm/dd"),1),"")</f>
        <v>34238202.829999998</v>
      </c>
      <c r="H709">
        <f>IFERROR([1]!s_stm07_is_105($A709,TEXT($B$1,"yyyy/mm/dd"),1),"")</f>
        <v>39685504.68</v>
      </c>
      <c r="I709">
        <f>IFERROR([1]!s_stm07_is($A709,"W72946623",TEXT($B$1,"yyyy/mm/dd"),1),"")</f>
        <v>367936721.35000002</v>
      </c>
      <c r="J709">
        <f>IFERROR([1]!s_stm07_is($A709,"W30028333",TEXT($B$1,"yyyy/mm/dd"),1),"")</f>
        <v>347040640.50999999</v>
      </c>
      <c r="K709">
        <f>IFERROR([1]!s_stm07_cs($A709,"W77130581",TEXT($B$1,"yyyy/mm/dd"),1),"")</f>
        <v>353307653.06</v>
      </c>
      <c r="L709">
        <f>IFERROR([1]!s_stm07_cs($A709,"W77745895",TEXT($B$1,"yyyy/mm/dd"),1),"")</f>
        <v>217922946.27000001</v>
      </c>
      <c r="M709">
        <f>IFERROR([1]!S_FA_EPS_basic2($A709,$B$1,"Cur=CNY"),"")</f>
        <v>0.44</v>
      </c>
      <c r="N709">
        <f>IFERROR([1]!s_fa_arturndays($A709,TEXT($B$1,"yyyy/mm/dd")),"")</f>
        <v>92.970399999999998</v>
      </c>
      <c r="O709" t="str">
        <f>IFERROR([1]!fa_apturndays($A709,TEXT($B$1,"yyyy/mm/dd")),"")</f>
        <v>Fetch...</v>
      </c>
      <c r="P709">
        <f>IFERROR([1]!s_fa_invturndays($A709,TEXT($B$1,"yyyy/mm/dd")),"")</f>
        <v>71.700299999999999</v>
      </c>
    </row>
    <row r="710" spans="1:16">
      <c r="A710" t="s">
        <v>723</v>
      </c>
      <c r="B710">
        <f>IFERROR([1]!s_stm07_is($A710,"W70156729",TEXT($B$1,"yyyy/mm/dd"),1),"")</f>
        <v>2290506594.8200002</v>
      </c>
      <c r="C710">
        <f>IFERROR([1]!s_stm07_is($A710,"W75682424",TEXT($B$1,"yyyy/mm/dd"),1),"")</f>
        <v>1417896021.8699999</v>
      </c>
      <c r="D710">
        <f>IFERROR([1]!s_stm07_is($A710,"W76031679",TEXT($B$1,"yyyy/mm/dd"),1),"")</f>
        <v>6895724.1399999997</v>
      </c>
      <c r="E710">
        <f>IFERROR([1]!s_stm07_is($A710,"W70752487",TEXT($B$1,"yyyy/mm/dd"),1),"")</f>
        <v>31625174.530000001</v>
      </c>
      <c r="F710">
        <f>IFERROR([1]!s_stm07_is_103($A710,TEXT($B$1,"yyyy/mm/dd"),1),"")</f>
        <v>20913240.760000002</v>
      </c>
      <c r="G710">
        <f>IFERROR([1]!s_stm07_is_104($A710,TEXT($B$1,"yyyy/mm/dd"),1),"")</f>
        <v>8827.7800000000007</v>
      </c>
      <c r="H710">
        <f>IFERROR([1]!s_stm07_is_105($A710,TEXT($B$1,"yyyy/mm/dd"),1),"")</f>
        <v>28760035.559999999</v>
      </c>
      <c r="I710">
        <f>IFERROR([1]!s_stm07_is($A710,"W72946623",TEXT($B$1,"yyyy/mm/dd"),1),"")</f>
        <v>835467219.09000003</v>
      </c>
      <c r="J710">
        <f>IFERROR([1]!s_stm07_is($A710,"W30028333",TEXT($B$1,"yyyy/mm/dd"),1),"")</f>
        <v>714136278.73000002</v>
      </c>
      <c r="K710">
        <f>IFERROR([1]!s_stm07_cs($A710,"W77130581",TEXT($B$1,"yyyy/mm/dd"),1),"")</f>
        <v>1110122354.1099999</v>
      </c>
      <c r="L710">
        <f>IFERROR([1]!s_stm07_cs($A710,"W77745895",TEXT($B$1,"yyyy/mm/dd"),1),"")</f>
        <v>66217743.390000001</v>
      </c>
      <c r="M710">
        <f>IFERROR([1]!S_FA_EPS_basic2($A710,$B$1,"Cur=CNY"),"")</f>
        <v>1.36</v>
      </c>
      <c r="N710">
        <f>IFERROR([1]!s_fa_arturndays($A710,TEXT($B$1,"yyyy/mm/dd")),"")</f>
        <v>43.065300000000001</v>
      </c>
      <c r="O710" t="str">
        <f>IFERROR([1]!fa_apturndays($A710,TEXT($B$1,"yyyy/mm/dd")),"")</f>
        <v>Fetch...</v>
      </c>
      <c r="P710">
        <f>IFERROR([1]!s_fa_invturndays($A710,TEXT($B$1,"yyyy/mm/dd")),"")</f>
        <v>49.033000000000001</v>
      </c>
    </row>
    <row r="711" spans="1:16">
      <c r="A711" t="s">
        <v>724</v>
      </c>
      <c r="B711">
        <f>IFERROR([1]!s_stm07_is($A711,"W70156729",TEXT($B$1,"yyyy/mm/dd"),1),"")</f>
        <v>1609811388.72</v>
      </c>
      <c r="C711">
        <f>IFERROR([1]!s_stm07_is($A711,"W75682424",TEXT($B$1,"yyyy/mm/dd"),1),"")</f>
        <v>1208247734.01</v>
      </c>
      <c r="D711">
        <f>IFERROR([1]!s_stm07_is($A711,"W76031679",TEXT($B$1,"yyyy/mm/dd"),1),"")</f>
        <v>38794122.5</v>
      </c>
      <c r="E711">
        <f>IFERROR([1]!s_stm07_is($A711,"W70752487",TEXT($B$1,"yyyy/mm/dd"),1),"")</f>
        <v>120640884.78</v>
      </c>
      <c r="F711">
        <f>IFERROR([1]!s_stm07_is_103($A711,TEXT($B$1,"yyyy/mm/dd"),1),"")</f>
        <v>102438162.48</v>
      </c>
      <c r="G711">
        <f>IFERROR([1]!s_stm07_is_104($A711,TEXT($B$1,"yyyy/mm/dd"),1),"")</f>
        <v>51049711.759999998</v>
      </c>
      <c r="H711">
        <f>IFERROR([1]!s_stm07_is_105($A711,TEXT($B$1,"yyyy/mm/dd"),1),"")</f>
        <v>7806356.4000000004</v>
      </c>
      <c r="I711">
        <f>IFERROR([1]!s_stm07_is($A711,"W72946623",TEXT($B$1,"yyyy/mm/dd"),1),"")</f>
        <v>204430336.03999999</v>
      </c>
      <c r="J711">
        <f>IFERROR([1]!s_stm07_is($A711,"W30028333",TEXT($B$1,"yyyy/mm/dd"),1),"")</f>
        <v>149353727.03</v>
      </c>
      <c r="K711">
        <f>IFERROR([1]!s_stm07_cs($A711,"W77130581",TEXT($B$1,"yyyy/mm/dd"),1),"")</f>
        <v>370242835.75999999</v>
      </c>
      <c r="L711">
        <f>IFERROR([1]!s_stm07_cs($A711,"W77745895",TEXT($B$1,"yyyy/mm/dd"),1),"")</f>
        <v>166459580.49000001</v>
      </c>
      <c r="M711">
        <f>IFERROR([1]!S_FA_EPS_basic2($A711,$B$1,"Cur=CNY"),"")</f>
        <v>0.14000000000000001</v>
      </c>
      <c r="N711">
        <f>IFERROR([1]!s_fa_arturndays($A711,TEXT($B$1,"yyyy/mm/dd")),"")</f>
        <v>90.872399999999999</v>
      </c>
      <c r="O711" t="str">
        <f>IFERROR([1]!fa_apturndays($A711,TEXT($B$1,"yyyy/mm/dd")),"")</f>
        <v>Fetch...</v>
      </c>
      <c r="P711">
        <f>IFERROR([1]!s_fa_invturndays($A711,TEXT($B$1,"yyyy/mm/dd")),"")</f>
        <v>47.9878</v>
      </c>
    </row>
    <row r="712" spans="1:16">
      <c r="A712" t="s">
        <v>725</v>
      </c>
      <c r="B712">
        <f>IFERROR([1]!s_stm07_is($A712,"W70156729",TEXT($B$1,"yyyy/mm/dd"),1),"")</f>
        <v>7312750876.3199997</v>
      </c>
      <c r="C712">
        <f>IFERROR([1]!s_stm07_is($A712,"W75682424",TEXT($B$1,"yyyy/mm/dd"),1),"")</f>
        <v>6402139608.71</v>
      </c>
      <c r="D712">
        <f>IFERROR([1]!s_stm07_is($A712,"W76031679",TEXT($B$1,"yyyy/mm/dd"),1),"")</f>
        <v>66290244.93</v>
      </c>
      <c r="E712">
        <f>IFERROR([1]!s_stm07_is($A712,"W70752487",TEXT($B$1,"yyyy/mm/dd"),1),"")</f>
        <v>175881350.03999999</v>
      </c>
      <c r="F712">
        <f>IFERROR([1]!s_stm07_is_103($A712,TEXT($B$1,"yyyy/mm/dd"),1),"")</f>
        <v>140322849</v>
      </c>
      <c r="G712">
        <f>IFERROR([1]!s_stm07_is_104($A712,TEXT($B$1,"yyyy/mm/dd"),1),"")</f>
        <v>139863640.97999999</v>
      </c>
      <c r="H712">
        <f>IFERROR([1]!s_stm07_is_105($A712,TEXT($B$1,"yyyy/mm/dd"),1),"")</f>
        <v>2629387.5499999998</v>
      </c>
      <c r="I712">
        <f>IFERROR([1]!s_stm07_is($A712,"W72946623",TEXT($B$1,"yyyy/mm/dd"),1),"")</f>
        <v>216271000.55000001</v>
      </c>
      <c r="J712">
        <f>IFERROR([1]!s_stm07_is($A712,"W30028333",TEXT($B$1,"yyyy/mm/dd"),1),"")</f>
        <v>147227894.16999999</v>
      </c>
      <c r="K712">
        <f>IFERROR([1]!s_stm07_cs($A712,"W77130581",TEXT($B$1,"yyyy/mm/dd"),1),"")</f>
        <v>76350311.75</v>
      </c>
      <c r="L712">
        <f>IFERROR([1]!s_stm07_cs($A712,"W77745895",TEXT($B$1,"yyyy/mm/dd"),1),"")</f>
        <v>551072519.89999998</v>
      </c>
      <c r="M712">
        <f>IFERROR([1]!S_FA_EPS_basic2($A712,$B$1,"Cur=CNY"),"")</f>
        <v>0.31</v>
      </c>
      <c r="N712">
        <f>IFERROR([1]!s_fa_arturndays($A712,TEXT($B$1,"yyyy/mm/dd")),"")</f>
        <v>109.9774</v>
      </c>
      <c r="O712" t="str">
        <f>IFERROR([1]!fa_apturndays($A712,TEXT($B$1,"yyyy/mm/dd")),"")</f>
        <v>Fetch...</v>
      </c>
      <c r="P712">
        <f>IFERROR([1]!s_fa_invturndays($A712,TEXT($B$1,"yyyy/mm/dd")),"")</f>
        <v>42.621200000000002</v>
      </c>
    </row>
    <row r="713" spans="1:16">
      <c r="A713" t="s">
        <v>726</v>
      </c>
      <c r="B713">
        <f>IFERROR([1]!s_stm07_is($A713,"W70156729",TEXT($B$1,"yyyy/mm/dd"),1),"")</f>
        <v>4179723199.8099999</v>
      </c>
      <c r="C713">
        <f>IFERROR([1]!s_stm07_is($A713,"W75682424",TEXT($B$1,"yyyy/mm/dd"),1),"")</f>
        <v>3124547815.9400001</v>
      </c>
      <c r="D713">
        <f>IFERROR([1]!s_stm07_is($A713,"W76031679",TEXT($B$1,"yyyy/mm/dd"),1),"")</f>
        <v>122428104.48999999</v>
      </c>
      <c r="E713">
        <f>IFERROR([1]!s_stm07_is($A713,"W70752487",TEXT($B$1,"yyyy/mm/dd"),1),"")</f>
        <v>344886718.12</v>
      </c>
      <c r="F713">
        <f>IFERROR([1]!s_stm07_is_103($A713,TEXT($B$1,"yyyy/mm/dd"),1),"")</f>
        <v>198147067.87</v>
      </c>
      <c r="G713">
        <f>IFERROR([1]!s_stm07_is_104($A713,TEXT($B$1,"yyyy/mm/dd"),1),"")</f>
        <v>23195786.289999999</v>
      </c>
      <c r="H713">
        <f>IFERROR([1]!s_stm07_is_105($A713,TEXT($B$1,"yyyy/mm/dd"),1),"")</f>
        <v>27586019.670000002</v>
      </c>
      <c r="I713">
        <f>IFERROR([1]!s_stm07_is($A713,"W72946623",TEXT($B$1,"yyyy/mm/dd"),1),"")</f>
        <v>370053465.75999999</v>
      </c>
      <c r="J713">
        <f>IFERROR([1]!s_stm07_is($A713,"W30028333",TEXT($B$1,"yyyy/mm/dd"),1),"")</f>
        <v>298948162.5</v>
      </c>
      <c r="K713">
        <f>IFERROR([1]!s_stm07_cs($A713,"W77130581",TEXT($B$1,"yyyy/mm/dd"),1),"")</f>
        <v>336653616.70999998</v>
      </c>
      <c r="L713">
        <f>IFERROR([1]!s_stm07_cs($A713,"W77745895",TEXT($B$1,"yyyy/mm/dd"),1),"")</f>
        <v>278279095.17000002</v>
      </c>
      <c r="M713">
        <f>IFERROR([1]!S_FA_EPS_basic2($A713,$B$1,"Cur=CNY"),"")</f>
        <v>0.66859999999999997</v>
      </c>
      <c r="N713">
        <f>IFERROR([1]!s_fa_arturndays($A713,TEXT($B$1,"yyyy/mm/dd")),"")</f>
        <v>131.37729999999999</v>
      </c>
      <c r="O713" t="str">
        <f>IFERROR([1]!fa_apturndays($A713,TEXT($B$1,"yyyy/mm/dd")),"")</f>
        <v>Fetch...</v>
      </c>
      <c r="P713">
        <f>IFERROR([1]!s_fa_invturndays($A713,TEXT($B$1,"yyyy/mm/dd")),"")</f>
        <v>101.3942</v>
      </c>
    </row>
    <row r="714" spans="1:16">
      <c r="A714" t="s">
        <v>727</v>
      </c>
      <c r="B714">
        <f>IFERROR([1]!s_stm07_is($A714,"W70156729",TEXT($B$1,"yyyy/mm/dd"),1),"")</f>
        <v>3898054583.6799998</v>
      </c>
      <c r="C714">
        <f>IFERROR([1]!s_stm07_is($A714,"W75682424",TEXT($B$1,"yyyy/mm/dd"),1),"")</f>
        <v>1912334714.23</v>
      </c>
      <c r="D714">
        <f>IFERROR([1]!s_stm07_is($A714,"W76031679",TEXT($B$1,"yyyy/mm/dd"),1),"")</f>
        <v>258449632.91999999</v>
      </c>
      <c r="E714">
        <f>IFERROR([1]!s_stm07_is($A714,"W70752487",TEXT($B$1,"yyyy/mm/dd"),1),"")</f>
        <v>125251861.27</v>
      </c>
      <c r="F714">
        <f>IFERROR([1]!s_stm07_is_103($A714,TEXT($B$1,"yyyy/mm/dd"),1),"")</f>
        <v>1045194886.4400001</v>
      </c>
      <c r="G714">
        <f>IFERROR([1]!s_stm07_is_104($A714,TEXT($B$1,"yyyy/mm/dd"),1),"")</f>
        <v>11996328.84</v>
      </c>
      <c r="H714">
        <f>IFERROR([1]!s_stm07_is_105($A714,TEXT($B$1,"yyyy/mm/dd"),1),"")</f>
        <v>30061163.699999999</v>
      </c>
      <c r="I714">
        <f>IFERROR([1]!s_stm07_is($A714,"W72946623",TEXT($B$1,"yyyy/mm/dd"),1),"")</f>
        <v>549889322.75999999</v>
      </c>
      <c r="J714">
        <f>IFERROR([1]!s_stm07_is($A714,"W30028333",TEXT($B$1,"yyyy/mm/dd"),1),"")</f>
        <v>547059403.97000003</v>
      </c>
      <c r="K714">
        <f>IFERROR([1]!s_stm07_cs($A714,"W77130581",TEXT($B$1,"yyyy/mm/dd"),1),"")</f>
        <v>466319946.19999999</v>
      </c>
      <c r="L714">
        <f>IFERROR([1]!s_stm07_cs($A714,"W77745895",TEXT($B$1,"yyyy/mm/dd"),1),"")</f>
        <v>256166165.21000001</v>
      </c>
      <c r="M714">
        <f>IFERROR([1]!S_FA_EPS_basic2($A714,$B$1,"Cur=CNY"),"")</f>
        <v>0.8861</v>
      </c>
      <c r="N714">
        <f>IFERROR([1]!s_fa_arturndays($A714,TEXT($B$1,"yyyy/mm/dd")),"")</f>
        <v>27.451000000000001</v>
      </c>
      <c r="O714" t="str">
        <f>IFERROR([1]!fa_apturndays($A714,TEXT($B$1,"yyyy/mm/dd")),"")</f>
        <v>Fetch...</v>
      </c>
      <c r="P714">
        <f>IFERROR([1]!s_fa_invturndays($A714,TEXT($B$1,"yyyy/mm/dd")),"")</f>
        <v>246.15379999999999</v>
      </c>
    </row>
    <row r="715" spans="1:16">
      <c r="A715" t="s">
        <v>728</v>
      </c>
      <c r="B715">
        <f>IFERROR([1]!s_stm07_is($A715,"W70156729",TEXT($B$1,"yyyy/mm/dd"),1),"")</f>
        <v>590844813.05999994</v>
      </c>
      <c r="C715">
        <f>IFERROR([1]!s_stm07_is($A715,"W75682424",TEXT($B$1,"yyyy/mm/dd"),1),"")</f>
        <v>532838551.41000003</v>
      </c>
      <c r="D715">
        <f>IFERROR([1]!s_stm07_is($A715,"W76031679",TEXT($B$1,"yyyy/mm/dd"),1),"")</f>
        <v>30545182.030000001</v>
      </c>
      <c r="E715">
        <f>IFERROR([1]!s_stm07_is($A715,"W70752487",TEXT($B$1,"yyyy/mm/dd"),1),"")</f>
        <v>134087568.93000001</v>
      </c>
      <c r="F715">
        <f>IFERROR([1]!s_stm07_is_103($A715,TEXT($B$1,"yyyy/mm/dd"),1),"")</f>
        <v>132266573.68000001</v>
      </c>
      <c r="G715">
        <f>IFERROR([1]!s_stm07_is_104($A715,TEXT($B$1,"yyyy/mm/dd"),1),"")</f>
        <v>33820832.619999997</v>
      </c>
      <c r="H715">
        <f>IFERROR([1]!s_stm07_is_105($A715,TEXT($B$1,"yyyy/mm/dd"),1),"")</f>
        <v>738373.63</v>
      </c>
      <c r="I715">
        <f>IFERROR([1]!s_stm07_is($A715,"W72946623",TEXT($B$1,"yyyy/mm/dd"),1),"")</f>
        <v>-397110246.16000003</v>
      </c>
      <c r="J715">
        <f>IFERROR([1]!s_stm07_is($A715,"W30028333",TEXT($B$1,"yyyy/mm/dd"),1),"")</f>
        <v>-394960371.13999999</v>
      </c>
      <c r="K715">
        <f>IFERROR([1]!s_stm07_cs($A715,"W77130581",TEXT($B$1,"yyyy/mm/dd"),1),"")</f>
        <v>100552371.38</v>
      </c>
      <c r="L715">
        <f>IFERROR([1]!s_stm07_cs($A715,"W77745895",TEXT($B$1,"yyyy/mm/dd"),1),"")</f>
        <v>31468030.870000001</v>
      </c>
      <c r="M715">
        <f>IFERROR([1]!S_FA_EPS_basic2($A715,$B$1,"Cur=CNY"),"")</f>
        <v>-0.82550000000000001</v>
      </c>
      <c r="N715">
        <f>IFERROR([1]!s_fa_arturndays($A715,TEXT($B$1,"yyyy/mm/dd")),"")</f>
        <v>227.79040000000001</v>
      </c>
      <c r="O715" t="str">
        <f>IFERROR([1]!fa_apturndays($A715,TEXT($B$1,"yyyy/mm/dd")),"")</f>
        <v>Fetch...</v>
      </c>
      <c r="P715">
        <f>IFERROR([1]!s_fa_invturndays($A715,TEXT($B$1,"yyyy/mm/dd")),"")</f>
        <v>267.33999999999997</v>
      </c>
    </row>
    <row r="716" spans="1:16">
      <c r="A716" t="s">
        <v>729</v>
      </c>
      <c r="B716">
        <f>IFERROR([1]!s_stm07_is($A716,"W70156729",TEXT($B$1,"yyyy/mm/dd"),1),"")</f>
        <v>4604100743.1199999</v>
      </c>
      <c r="C716">
        <f>IFERROR([1]!s_stm07_is($A716,"W75682424",TEXT($B$1,"yyyy/mm/dd"),1),"")</f>
        <v>3353091961.5999999</v>
      </c>
      <c r="D716">
        <f>IFERROR([1]!s_stm07_is($A716,"W76031679",TEXT($B$1,"yyyy/mm/dd"),1),"")</f>
        <v>132290264.06</v>
      </c>
      <c r="E716">
        <f>IFERROR([1]!s_stm07_is($A716,"W70752487",TEXT($B$1,"yyyy/mm/dd"),1),"")</f>
        <v>315032094.33999997</v>
      </c>
      <c r="F716">
        <f>IFERROR([1]!s_stm07_is_103($A716,TEXT($B$1,"yyyy/mm/dd"),1),"")</f>
        <v>262053190.38999999</v>
      </c>
      <c r="G716">
        <f>IFERROR([1]!s_stm07_is_104($A716,TEXT($B$1,"yyyy/mm/dd"),1),"")</f>
        <v>84213831.420000002</v>
      </c>
      <c r="H716">
        <f>IFERROR([1]!s_stm07_is_105($A716,TEXT($B$1,"yyyy/mm/dd"),1),"")</f>
        <v>20802915.010000002</v>
      </c>
      <c r="I716">
        <f>IFERROR([1]!s_stm07_is($A716,"W72946623",TEXT($B$1,"yyyy/mm/dd"),1),"")</f>
        <v>553467466.39999998</v>
      </c>
      <c r="J716">
        <f>IFERROR([1]!s_stm07_is($A716,"W30028333",TEXT($B$1,"yyyy/mm/dd"),1),"")</f>
        <v>499503040.66000003</v>
      </c>
      <c r="K716">
        <f>IFERROR([1]!s_stm07_cs($A716,"W77130581",TEXT($B$1,"yyyy/mm/dd"),1),"")</f>
        <v>470016208.29000002</v>
      </c>
      <c r="L716">
        <f>IFERROR([1]!s_stm07_cs($A716,"W77745895",TEXT($B$1,"yyyy/mm/dd"),1),"")</f>
        <v>1302968567.3499999</v>
      </c>
      <c r="M716">
        <f>IFERROR([1]!S_FA_EPS_basic2($A716,$B$1,"Cur=CNY"),"")</f>
        <v>1.89</v>
      </c>
      <c r="N716">
        <f>IFERROR([1]!s_fa_arturndays($A716,TEXT($B$1,"yyyy/mm/dd")),"")</f>
        <v>87.950699999999998</v>
      </c>
      <c r="O716" t="str">
        <f>IFERROR([1]!fa_apturndays($A716,TEXT($B$1,"yyyy/mm/dd")),"")</f>
        <v>Fetch...</v>
      </c>
      <c r="P716">
        <f>IFERROR([1]!s_fa_invturndays($A716,TEXT($B$1,"yyyy/mm/dd")),"")</f>
        <v>160.6139</v>
      </c>
    </row>
    <row r="717" spans="1:16">
      <c r="A717" t="s">
        <v>730</v>
      </c>
      <c r="B717">
        <f>IFERROR([1]!s_stm07_is($A717,"W70156729",TEXT($B$1,"yyyy/mm/dd"),1),"")</f>
        <v>1791097701.1500001</v>
      </c>
      <c r="C717">
        <f>IFERROR([1]!s_stm07_is($A717,"W75682424",TEXT($B$1,"yyyy/mm/dd"),1),"")</f>
        <v>1380600946.0799999</v>
      </c>
      <c r="D717">
        <f>IFERROR([1]!s_stm07_is($A717,"W76031679",TEXT($B$1,"yyyy/mm/dd"),1),"")</f>
        <v>32499959.370000001</v>
      </c>
      <c r="E717">
        <f>IFERROR([1]!s_stm07_is($A717,"W70752487",TEXT($B$1,"yyyy/mm/dd"),1),"")</f>
        <v>110697281.14</v>
      </c>
      <c r="F717">
        <f>IFERROR([1]!s_stm07_is_103($A717,TEXT($B$1,"yyyy/mm/dd"),1),"")</f>
        <v>597136098.08000004</v>
      </c>
      <c r="G717">
        <f>IFERROR([1]!s_stm07_is_104($A717,TEXT($B$1,"yyyy/mm/dd"),1),"")</f>
        <v>43829351.890000001</v>
      </c>
      <c r="H717">
        <f>IFERROR([1]!s_stm07_is_105($A717,TEXT($B$1,"yyyy/mm/dd"),1),"")</f>
        <v>25197985.370000001</v>
      </c>
      <c r="I717">
        <f>IFERROR([1]!s_stm07_is($A717,"W72946623",TEXT($B$1,"yyyy/mm/dd"),1),"")</f>
        <v>-274404492.83999997</v>
      </c>
      <c r="J717">
        <f>IFERROR([1]!s_stm07_is($A717,"W30028333",TEXT($B$1,"yyyy/mm/dd"),1),"")</f>
        <v>-233284236.84999999</v>
      </c>
      <c r="K717">
        <f>IFERROR([1]!s_stm07_cs($A717,"W77130581",TEXT($B$1,"yyyy/mm/dd"),1),"")</f>
        <v>126908456.8</v>
      </c>
      <c r="L717">
        <f>IFERROR([1]!s_stm07_cs($A717,"W77745895",TEXT($B$1,"yyyy/mm/dd"),1),"")</f>
        <v>464136415.85000002</v>
      </c>
      <c r="M717">
        <f>IFERROR([1]!S_FA_EPS_basic2($A717,$B$1,"Cur=CNY"),"")</f>
        <v>-1.0743</v>
      </c>
      <c r="N717">
        <f>IFERROR([1]!s_fa_arturndays($A717,TEXT($B$1,"yyyy/mm/dd")),"")</f>
        <v>102.21469999999999</v>
      </c>
      <c r="O717" t="str">
        <f>IFERROR([1]!fa_apturndays($A717,TEXT($B$1,"yyyy/mm/dd")),"")</f>
        <v>Fetch...</v>
      </c>
      <c r="P717">
        <f>IFERROR([1]!s_fa_invturndays($A717,TEXT($B$1,"yyyy/mm/dd")),"")</f>
        <v>242.06559999999999</v>
      </c>
    </row>
    <row r="718" spans="1:16">
      <c r="A718" t="s">
        <v>731</v>
      </c>
      <c r="B718">
        <f>IFERROR([1]!s_stm07_is($A718,"W70156729",TEXT($B$1,"yyyy/mm/dd"),1),"")</f>
        <v>3623081673.5700002</v>
      </c>
      <c r="C718">
        <f>IFERROR([1]!s_stm07_is($A718,"W75682424",TEXT($B$1,"yyyy/mm/dd"),1),"")</f>
        <v>2460083482.8600001</v>
      </c>
      <c r="D718">
        <f>IFERROR([1]!s_stm07_is($A718,"W76031679",TEXT($B$1,"yyyy/mm/dd"),1),"")</f>
        <v>105210760.75</v>
      </c>
      <c r="E718">
        <f>IFERROR([1]!s_stm07_is($A718,"W70752487",TEXT($B$1,"yyyy/mm/dd"),1),"")</f>
        <v>307501395.18000001</v>
      </c>
      <c r="F718">
        <f>IFERROR([1]!s_stm07_is_103($A718,TEXT($B$1,"yyyy/mm/dd"),1),"")</f>
        <v>358712118.69999999</v>
      </c>
      <c r="G718">
        <f>IFERROR([1]!s_stm07_is_104($A718,TEXT($B$1,"yyyy/mm/dd"),1),"")</f>
        <v>2588299.85</v>
      </c>
      <c r="H718">
        <f>IFERROR([1]!s_stm07_is_105($A718,TEXT($B$1,"yyyy/mm/dd"),1),"")</f>
        <v>36059841.780000001</v>
      </c>
      <c r="I718">
        <f>IFERROR([1]!s_stm07_is($A718,"W72946623",TEXT($B$1,"yyyy/mm/dd"),1),"")</f>
        <v>449577097.43000001</v>
      </c>
      <c r="J718">
        <f>IFERROR([1]!s_stm07_is($A718,"W30028333",TEXT($B$1,"yyyy/mm/dd"),1),"")</f>
        <v>431843595.02999997</v>
      </c>
      <c r="K718">
        <f>IFERROR([1]!s_stm07_cs($A718,"W77130581",TEXT($B$1,"yyyy/mm/dd"),1),"")</f>
        <v>621367006.45000005</v>
      </c>
      <c r="L718">
        <f>IFERROR([1]!s_stm07_cs($A718,"W77745895",TEXT($B$1,"yyyy/mm/dd"),1),"")</f>
        <v>246497728.16</v>
      </c>
      <c r="M718">
        <f>IFERROR([1]!S_FA_EPS_basic2($A718,$B$1,"Cur=CNY"),"")</f>
        <v>0.63</v>
      </c>
      <c r="N718">
        <f>IFERROR([1]!s_fa_arturndays($A718,TEXT($B$1,"yyyy/mm/dd")),"")</f>
        <v>67.102800000000002</v>
      </c>
      <c r="O718" t="str">
        <f>IFERROR([1]!fa_apturndays($A718,TEXT($B$1,"yyyy/mm/dd")),"")</f>
        <v>Fetch...</v>
      </c>
      <c r="P718">
        <f>IFERROR([1]!s_fa_invturndays($A718,TEXT($B$1,"yyyy/mm/dd")),"")</f>
        <v>146.2998</v>
      </c>
    </row>
    <row r="719" spans="1:16">
      <c r="A719" t="s">
        <v>732</v>
      </c>
      <c r="B719">
        <f>IFERROR([1]!s_stm07_is($A719,"W70156729",TEXT($B$1,"yyyy/mm/dd"),1),"")</f>
        <v>3705385018.3699999</v>
      </c>
      <c r="C719">
        <f>IFERROR([1]!s_stm07_is($A719,"W75682424",TEXT($B$1,"yyyy/mm/dd"),1),"")</f>
        <v>2312477246.0700002</v>
      </c>
      <c r="D719">
        <f>IFERROR([1]!s_stm07_is($A719,"W76031679",TEXT($B$1,"yyyy/mm/dd"),1),"")</f>
        <v>774720864.22000003</v>
      </c>
      <c r="E719">
        <f>IFERROR([1]!s_stm07_is($A719,"W70752487",TEXT($B$1,"yyyy/mm/dd"),1),"")</f>
        <v>329729893.05000001</v>
      </c>
      <c r="F719">
        <f>IFERROR([1]!s_stm07_is_103($A719,TEXT($B$1,"yyyy/mm/dd"),1),"")</f>
        <v>456868639.51999998</v>
      </c>
      <c r="G719">
        <f>IFERROR([1]!s_stm07_is_104($A719,TEXT($B$1,"yyyy/mm/dd"),1),"")</f>
        <v>36042389.859999999</v>
      </c>
      <c r="H719">
        <f>IFERROR([1]!s_stm07_is_105($A719,TEXT($B$1,"yyyy/mm/dd"),1),"")</f>
        <v>87397664.069999993</v>
      </c>
      <c r="I719">
        <f>IFERROR([1]!s_stm07_is($A719,"W72946623",TEXT($B$1,"yyyy/mm/dd"),1),"")</f>
        <v>-602338675.12</v>
      </c>
      <c r="J719">
        <f>IFERROR([1]!s_stm07_is($A719,"W30028333",TEXT($B$1,"yyyy/mm/dd"),1),"")</f>
        <v>-616655148.26999998</v>
      </c>
      <c r="K719">
        <f>IFERROR([1]!s_stm07_cs($A719,"W77130581",TEXT($B$1,"yyyy/mm/dd"),1),"")</f>
        <v>-63214842.520000003</v>
      </c>
      <c r="L719">
        <f>IFERROR([1]!s_stm07_cs($A719,"W77745895",TEXT($B$1,"yyyy/mm/dd"),1),"")</f>
        <v>505923268.19999999</v>
      </c>
      <c r="M719">
        <f>IFERROR([1]!S_FA_EPS_basic2($A719,$B$1,"Cur=CNY"),"")</f>
        <v>-1.4812000000000001</v>
      </c>
      <c r="N719">
        <f>IFERROR([1]!s_fa_arturndays($A719,TEXT($B$1,"yyyy/mm/dd")),"")</f>
        <v>161.24700000000001</v>
      </c>
      <c r="O719" t="str">
        <f>IFERROR([1]!fa_apturndays($A719,TEXT($B$1,"yyyy/mm/dd")),"")</f>
        <v>Fetch...</v>
      </c>
      <c r="P719">
        <f>IFERROR([1]!s_fa_invturndays($A719,TEXT($B$1,"yyyy/mm/dd")),"")</f>
        <v>84.208600000000004</v>
      </c>
    </row>
    <row r="720" spans="1:16">
      <c r="A720" t="s">
        <v>733</v>
      </c>
      <c r="B720">
        <f>IFERROR([1]!s_stm07_is($A720,"W70156729",TEXT($B$1,"yyyy/mm/dd"),1),"")</f>
        <v>9925819444.7199993</v>
      </c>
      <c r="C720">
        <f>IFERROR([1]!s_stm07_is($A720,"W75682424",TEXT($B$1,"yyyy/mm/dd"),1),"")</f>
        <v>7531555720.0100002</v>
      </c>
      <c r="D720">
        <f>IFERROR([1]!s_stm07_is($A720,"W76031679",TEXT($B$1,"yyyy/mm/dd"),1),"")</f>
        <v>297730387.79000002</v>
      </c>
      <c r="E720">
        <f>IFERROR([1]!s_stm07_is($A720,"W70752487",TEXT($B$1,"yyyy/mm/dd"),1),"")</f>
        <v>686464281.54999995</v>
      </c>
      <c r="F720">
        <f>IFERROR([1]!s_stm07_is_103($A720,TEXT($B$1,"yyyy/mm/dd"),1),"")</f>
        <v>404381847.56</v>
      </c>
      <c r="G720">
        <f>IFERROR([1]!s_stm07_is_104($A720,TEXT($B$1,"yyyy/mm/dd"),1),"")</f>
        <v>369151102.51999998</v>
      </c>
      <c r="H720">
        <f>IFERROR([1]!s_stm07_is_105($A720,TEXT($B$1,"yyyy/mm/dd"),1),"")</f>
        <v>367932996.49000001</v>
      </c>
      <c r="I720">
        <f>IFERROR([1]!s_stm07_is($A720,"W72946623",TEXT($B$1,"yyyy/mm/dd"),1),"")</f>
        <v>1229740144.6099999</v>
      </c>
      <c r="J720">
        <f>IFERROR([1]!s_stm07_is($A720,"W30028333",TEXT($B$1,"yyyy/mm/dd"),1),"")</f>
        <v>1010699970.9400001</v>
      </c>
      <c r="K720">
        <f>IFERROR([1]!s_stm07_cs($A720,"W77130581",TEXT($B$1,"yyyy/mm/dd"),1),"")</f>
        <v>1885029379.5599999</v>
      </c>
      <c r="L720">
        <f>IFERROR([1]!s_stm07_cs($A720,"W77745895",TEXT($B$1,"yyyy/mm/dd"),1),"")</f>
        <v>2574752568.9400001</v>
      </c>
      <c r="M720">
        <f>IFERROR([1]!S_FA_EPS_basic2($A720,$B$1,"Cur=CNY"),"")</f>
        <v>1.58</v>
      </c>
      <c r="N720">
        <f>IFERROR([1]!s_fa_arturndays($A720,TEXT($B$1,"yyyy/mm/dd")),"")</f>
        <v>49.399700000000003</v>
      </c>
      <c r="O720" t="str">
        <f>IFERROR([1]!fa_apturndays($A720,TEXT($B$1,"yyyy/mm/dd")),"")</f>
        <v>Fetch...</v>
      </c>
      <c r="P720">
        <f>IFERROR([1]!s_fa_invturndays($A720,TEXT($B$1,"yyyy/mm/dd")),"")</f>
        <v>61.957900000000002</v>
      </c>
    </row>
    <row r="721" spans="1:16">
      <c r="A721" t="s">
        <v>734</v>
      </c>
      <c r="B721">
        <f>IFERROR([1]!s_stm07_is($A721,"W70156729",TEXT($B$1,"yyyy/mm/dd"),1),"")</f>
        <v>638289859.59000003</v>
      </c>
      <c r="C721">
        <f>IFERROR([1]!s_stm07_is($A721,"W75682424",TEXT($B$1,"yyyy/mm/dd"),1),"")</f>
        <v>521819528.44</v>
      </c>
      <c r="D721">
        <f>IFERROR([1]!s_stm07_is($A721,"W76031679",TEXT($B$1,"yyyy/mm/dd"),1),"")</f>
        <v>42439952.140000001</v>
      </c>
      <c r="E721">
        <f>IFERROR([1]!s_stm07_is($A721,"W70752487",TEXT($B$1,"yyyy/mm/dd"),1),"")</f>
        <v>30162667.170000002</v>
      </c>
      <c r="F721">
        <f>IFERROR([1]!s_stm07_is_103($A721,TEXT($B$1,"yyyy/mm/dd"),1),"")</f>
        <v>38745831.289999999</v>
      </c>
      <c r="G721">
        <f>IFERROR([1]!s_stm07_is_104($A721,TEXT($B$1,"yyyy/mm/dd"),1),"")</f>
        <v>394385.9</v>
      </c>
      <c r="H721">
        <f>IFERROR([1]!s_stm07_is_105($A721,TEXT($B$1,"yyyy/mm/dd"),1),"")</f>
        <v>2797582.74</v>
      </c>
      <c r="I721">
        <f>IFERROR([1]!s_stm07_is($A721,"W72946623",TEXT($B$1,"yyyy/mm/dd"),1),"")</f>
        <v>12295798.41</v>
      </c>
      <c r="J721">
        <f>IFERROR([1]!s_stm07_is($A721,"W30028333",TEXT($B$1,"yyyy/mm/dd"),1),"")</f>
        <v>14311770.1</v>
      </c>
      <c r="K721">
        <f>IFERROR([1]!s_stm07_cs($A721,"W77130581",TEXT($B$1,"yyyy/mm/dd"),1),"")</f>
        <v>47562925.619999997</v>
      </c>
      <c r="L721">
        <f>IFERROR([1]!s_stm07_cs($A721,"W77745895",TEXT($B$1,"yyyy/mm/dd"),1),"")</f>
        <v>535935.64</v>
      </c>
      <c r="M721">
        <f>IFERROR([1]!S_FA_EPS_basic2($A721,$B$1,"Cur=CNY"),"")</f>
        <v>4.8300000000000003E-2</v>
      </c>
      <c r="N721">
        <f>IFERROR([1]!s_fa_arturndays($A721,TEXT($B$1,"yyyy/mm/dd")),"")</f>
        <v>113.1862</v>
      </c>
      <c r="O721" t="str">
        <f>IFERROR([1]!fa_apturndays($A721,TEXT($B$1,"yyyy/mm/dd")),"")</f>
        <v>Fetch...</v>
      </c>
      <c r="P721">
        <f>IFERROR([1]!s_fa_invturndays($A721,TEXT($B$1,"yyyy/mm/dd")),"")</f>
        <v>150.7664</v>
      </c>
    </row>
    <row r="722" spans="1:16">
      <c r="A722" t="s">
        <v>735</v>
      </c>
      <c r="B722">
        <f>IFERROR([1]!s_stm07_is($A722,"W70156729",TEXT($B$1,"yyyy/mm/dd"),1),"")</f>
        <v>5406777646.54</v>
      </c>
      <c r="C722">
        <f>IFERROR([1]!s_stm07_is($A722,"W75682424",TEXT($B$1,"yyyy/mm/dd"),1),"")</f>
        <v>3787571989.9299998</v>
      </c>
      <c r="D722">
        <f>IFERROR([1]!s_stm07_is($A722,"W76031679",TEXT($B$1,"yyyy/mm/dd"),1),"")</f>
        <v>165469075.49000001</v>
      </c>
      <c r="E722">
        <f>IFERROR([1]!s_stm07_is($A722,"W70752487",TEXT($B$1,"yyyy/mm/dd"),1),"")</f>
        <v>419656774.75999999</v>
      </c>
      <c r="F722">
        <f>IFERROR([1]!s_stm07_is_103($A722,TEXT($B$1,"yyyy/mm/dd"),1),"")</f>
        <v>423088048.52999997</v>
      </c>
      <c r="G722">
        <f>IFERROR([1]!s_stm07_is_104($A722,TEXT($B$1,"yyyy/mm/dd"),1),"")</f>
        <v>11708401.4</v>
      </c>
      <c r="H722">
        <f>IFERROR([1]!s_stm07_is_105($A722,TEXT($B$1,"yyyy/mm/dd"),1),"")</f>
        <v>14054174.76</v>
      </c>
      <c r="I722">
        <f>IFERROR([1]!s_stm07_is($A722,"W72946623",TEXT($B$1,"yyyy/mm/dd"),1),"")</f>
        <v>275494859.16000003</v>
      </c>
      <c r="J722">
        <f>IFERROR([1]!s_stm07_is($A722,"W30028333",TEXT($B$1,"yyyy/mm/dd"),1),"")</f>
        <v>269613293.25999999</v>
      </c>
      <c r="K722">
        <f>IFERROR([1]!s_stm07_cs($A722,"W77130581",TEXT($B$1,"yyyy/mm/dd"),1),"")</f>
        <v>713365535.85000002</v>
      </c>
      <c r="L722">
        <f>IFERROR([1]!s_stm07_cs($A722,"W77745895",TEXT($B$1,"yyyy/mm/dd"),1),"")</f>
        <v>348017786.32999998</v>
      </c>
      <c r="M722">
        <f>IFERROR([1]!S_FA_EPS_basic2($A722,$B$1,"Cur=CNY"),"")</f>
        <v>0.64</v>
      </c>
      <c r="N722">
        <f>IFERROR([1]!s_fa_arturndays($A722,TEXT($B$1,"yyyy/mm/dd")),"")</f>
        <v>105.4049</v>
      </c>
      <c r="O722" t="str">
        <f>IFERROR([1]!fa_apturndays($A722,TEXT($B$1,"yyyy/mm/dd")),"")</f>
        <v>Fetch...</v>
      </c>
      <c r="P722">
        <f>IFERROR([1]!s_fa_invturndays($A722,TEXT($B$1,"yyyy/mm/dd")),"")</f>
        <v>82.103700000000003</v>
      </c>
    </row>
    <row r="723" spans="1:16">
      <c r="A723" t="s">
        <v>736</v>
      </c>
      <c r="B723">
        <f>IFERROR([1]!s_stm07_is($A723,"W70156729",TEXT($B$1,"yyyy/mm/dd"),1),"")</f>
        <v>4516760968.3000002</v>
      </c>
      <c r="C723">
        <f>IFERROR([1]!s_stm07_is($A723,"W75682424",TEXT($B$1,"yyyy/mm/dd"),1),"")</f>
        <v>2643215399.7199998</v>
      </c>
      <c r="D723">
        <f>IFERROR([1]!s_stm07_is($A723,"W76031679",TEXT($B$1,"yyyy/mm/dd"),1),"")</f>
        <v>765793567.63999999</v>
      </c>
      <c r="E723">
        <f>IFERROR([1]!s_stm07_is($A723,"W70752487",TEXT($B$1,"yyyy/mm/dd"),1),"")</f>
        <v>394559394.55000001</v>
      </c>
      <c r="F723">
        <f>IFERROR([1]!s_stm07_is_103($A723,TEXT($B$1,"yyyy/mm/dd"),1),"")</f>
        <v>520293060.13</v>
      </c>
      <c r="G723">
        <f>IFERROR([1]!s_stm07_is_104($A723,TEXT($B$1,"yyyy/mm/dd"),1),"")</f>
        <v>30361604.210000001</v>
      </c>
      <c r="H723">
        <f>IFERROR([1]!s_stm07_is_105($A723,TEXT($B$1,"yyyy/mm/dd"),1),"")</f>
        <v>37365610.329999998</v>
      </c>
      <c r="I723">
        <f>IFERROR([1]!s_stm07_is($A723,"W72946623",TEXT($B$1,"yyyy/mm/dd"),1),"")</f>
        <v>26688529.670000002</v>
      </c>
      <c r="J723">
        <f>IFERROR([1]!s_stm07_is($A723,"W30028333",TEXT($B$1,"yyyy/mm/dd"),1),"")</f>
        <v>104961138.43000001</v>
      </c>
      <c r="K723">
        <f>IFERROR([1]!s_stm07_cs($A723,"W77130581",TEXT($B$1,"yyyy/mm/dd"),1),"")</f>
        <v>478304725.36000001</v>
      </c>
      <c r="L723">
        <f>IFERROR([1]!s_stm07_cs($A723,"W77745895",TEXT($B$1,"yyyy/mm/dd"),1),"")</f>
        <v>228894788.62</v>
      </c>
      <c r="M723">
        <f>IFERROR([1]!S_FA_EPS_basic2($A723,$B$1,"Cur=CNY"),"")</f>
        <v>0.1</v>
      </c>
      <c r="N723">
        <f>IFERROR([1]!s_fa_arturndays($A723,TEXT($B$1,"yyyy/mm/dd")),"")</f>
        <v>167.96530000000001</v>
      </c>
      <c r="O723" t="str">
        <f>IFERROR([1]!fa_apturndays($A723,TEXT($B$1,"yyyy/mm/dd")),"")</f>
        <v>Fetch...</v>
      </c>
      <c r="P723">
        <f>IFERROR([1]!s_fa_invturndays($A723,TEXT($B$1,"yyyy/mm/dd")),"")</f>
        <v>166.42779999999999</v>
      </c>
    </row>
    <row r="724" spans="1:16">
      <c r="A724" t="s">
        <v>737</v>
      </c>
      <c r="B724">
        <f>IFERROR([1]!s_stm07_is($A724,"W70156729",TEXT($B$1,"yyyy/mm/dd"),1),"")</f>
        <v>1197733641.1400001</v>
      </c>
      <c r="C724">
        <f>IFERROR([1]!s_stm07_is($A724,"W75682424",TEXT($B$1,"yyyy/mm/dd"),1),"")</f>
        <v>208514045.81999999</v>
      </c>
      <c r="D724">
        <f>IFERROR([1]!s_stm07_is($A724,"W76031679",TEXT($B$1,"yyyy/mm/dd"),1),"")</f>
        <v>334051443.02999997</v>
      </c>
      <c r="E724">
        <f>IFERROR([1]!s_stm07_is($A724,"W70752487",TEXT($B$1,"yyyy/mm/dd"),1),"")</f>
        <v>72915023.150000006</v>
      </c>
      <c r="F724">
        <f>IFERROR([1]!s_stm07_is_103($A724,TEXT($B$1,"yyyy/mm/dd"),1),"")</f>
        <v>177587376.66</v>
      </c>
      <c r="G724">
        <f>IFERROR([1]!s_stm07_is_104($A724,TEXT($B$1,"yyyy/mm/dd"),1),"")</f>
        <v>1931970.93</v>
      </c>
      <c r="H724">
        <f>IFERROR([1]!s_stm07_is_105($A724,TEXT($B$1,"yyyy/mm/dd"),1),"")</f>
        <v>30854753.16</v>
      </c>
      <c r="I724">
        <f>IFERROR([1]!s_stm07_is($A724,"W72946623",TEXT($B$1,"yyyy/mm/dd"),1),"")</f>
        <v>410920550.45999998</v>
      </c>
      <c r="J724">
        <f>IFERROR([1]!s_stm07_is($A724,"W30028333",TEXT($B$1,"yyyy/mm/dd"),1),"")</f>
        <v>361255321.05000001</v>
      </c>
      <c r="K724">
        <f>IFERROR([1]!s_stm07_cs($A724,"W77130581",TEXT($B$1,"yyyy/mm/dd"),1),"")</f>
        <v>364824059.50999999</v>
      </c>
      <c r="L724">
        <f>IFERROR([1]!s_stm07_cs($A724,"W77745895",TEXT($B$1,"yyyy/mm/dd"),1),"")</f>
        <v>70225194.790000007</v>
      </c>
      <c r="M724">
        <f>IFERROR([1]!S_FA_EPS_basic2($A724,$B$1,"Cur=CNY"),"")</f>
        <v>0.91</v>
      </c>
      <c r="N724">
        <f>IFERROR([1]!s_fa_arturndays($A724,TEXT($B$1,"yyyy/mm/dd")),"")</f>
        <v>176.01329999999999</v>
      </c>
      <c r="O724" t="str">
        <f>IFERROR([1]!fa_apturndays($A724,TEXT($B$1,"yyyy/mm/dd")),"")</f>
        <v>Fetch...</v>
      </c>
      <c r="P724">
        <f>IFERROR([1]!s_fa_invturndays($A724,TEXT($B$1,"yyyy/mm/dd")),"")</f>
        <v>64.974900000000005</v>
      </c>
    </row>
    <row r="725" spans="1:16">
      <c r="A725" t="s">
        <v>738</v>
      </c>
      <c r="B725">
        <f>IFERROR([1]!s_stm07_is($A725,"W70156729",TEXT($B$1,"yyyy/mm/dd"),1),"")</f>
        <v>2073234529.8699999</v>
      </c>
      <c r="C725">
        <f>IFERROR([1]!s_stm07_is($A725,"W75682424",TEXT($B$1,"yyyy/mm/dd"),1),"")</f>
        <v>1561513688.1700001</v>
      </c>
      <c r="D725">
        <f>IFERROR([1]!s_stm07_is($A725,"W76031679",TEXT($B$1,"yyyy/mm/dd"),1),"")</f>
        <v>174519808.56999999</v>
      </c>
      <c r="E725">
        <f>IFERROR([1]!s_stm07_is($A725,"W70752487",TEXT($B$1,"yyyy/mm/dd"),1),"")</f>
        <v>143076614.97</v>
      </c>
      <c r="F725">
        <f>IFERROR([1]!s_stm07_is_103($A725,TEXT($B$1,"yyyy/mm/dd"),1),"")</f>
        <v>271787202.97000003</v>
      </c>
      <c r="G725">
        <f>IFERROR([1]!s_stm07_is_104($A725,TEXT($B$1,"yyyy/mm/dd"),1),"")</f>
        <v>13730612.73</v>
      </c>
      <c r="H725">
        <f>IFERROR([1]!s_stm07_is_105($A725,TEXT($B$1,"yyyy/mm/dd"),1),"")</f>
        <v>1084967.76</v>
      </c>
      <c r="I725">
        <f>IFERROR([1]!s_stm07_is($A725,"W72946623",TEXT($B$1,"yyyy/mm/dd"),1),"")</f>
        <v>-143644379.09</v>
      </c>
      <c r="J725">
        <f>IFERROR([1]!s_stm07_is($A725,"W30028333",TEXT($B$1,"yyyy/mm/dd"),1),"")</f>
        <v>-107180460.54000001</v>
      </c>
      <c r="K725">
        <f>IFERROR([1]!s_stm07_cs($A725,"W77130581",TEXT($B$1,"yyyy/mm/dd"),1),"")</f>
        <v>61087408.539999999</v>
      </c>
      <c r="L725">
        <f>IFERROR([1]!s_stm07_cs($A725,"W77745895",TEXT($B$1,"yyyy/mm/dd"),1),"")</f>
        <v>223078574.61000001</v>
      </c>
      <c r="M725">
        <f>IFERROR([1]!S_FA_EPS_basic2($A725,$B$1,"Cur=CNY"),"")</f>
        <v>-0.26</v>
      </c>
      <c r="N725">
        <f>IFERROR([1]!s_fa_arturndays($A725,TEXT($B$1,"yyyy/mm/dd")),"")</f>
        <v>173.36859999999999</v>
      </c>
      <c r="O725" t="str">
        <f>IFERROR([1]!fa_apturndays($A725,TEXT($B$1,"yyyy/mm/dd")),"")</f>
        <v>Fetch...</v>
      </c>
      <c r="P725">
        <f>IFERROR([1]!s_fa_invturndays($A725,TEXT($B$1,"yyyy/mm/dd")),"")</f>
        <v>73.915899999999993</v>
      </c>
    </row>
    <row r="726" spans="1:16">
      <c r="A726" t="s">
        <v>739</v>
      </c>
      <c r="B726">
        <f>IFERROR([1]!s_stm07_is($A726,"W70156729",TEXT($B$1,"yyyy/mm/dd"),1),"")</f>
        <v>3462813212.3299999</v>
      </c>
      <c r="C726">
        <f>IFERROR([1]!s_stm07_is($A726,"W75682424",TEXT($B$1,"yyyy/mm/dd"),1),"")</f>
        <v>2130749434.55</v>
      </c>
      <c r="D726">
        <f>IFERROR([1]!s_stm07_is($A726,"W76031679",TEXT($B$1,"yyyy/mm/dd"),1),"")</f>
        <v>394218947.58999997</v>
      </c>
      <c r="E726">
        <f>IFERROR([1]!s_stm07_is($A726,"W70752487",TEXT($B$1,"yyyy/mm/dd"),1),"")</f>
        <v>122731103.98</v>
      </c>
      <c r="F726">
        <f>IFERROR([1]!s_stm07_is_103($A726,TEXT($B$1,"yyyy/mm/dd"),1),"")</f>
        <v>286843304.68000001</v>
      </c>
      <c r="G726">
        <f>IFERROR([1]!s_stm07_is_104($A726,TEXT($B$1,"yyyy/mm/dd"),1),"")</f>
        <v>5295692.7699999996</v>
      </c>
      <c r="H726">
        <f>IFERROR([1]!s_stm07_is_105($A726,TEXT($B$1,"yyyy/mm/dd"),1),"")</f>
        <v>15516854.83</v>
      </c>
      <c r="I726">
        <f>IFERROR([1]!s_stm07_is($A726,"W72946623",TEXT($B$1,"yyyy/mm/dd"),1),"")</f>
        <v>514984270.92000002</v>
      </c>
      <c r="J726">
        <f>IFERROR([1]!s_stm07_is($A726,"W30028333",TEXT($B$1,"yyyy/mm/dd"),1),"")</f>
        <v>476112258.72000003</v>
      </c>
      <c r="K726">
        <f>IFERROR([1]!s_stm07_cs($A726,"W77130581",TEXT($B$1,"yyyy/mm/dd"),1),"")</f>
        <v>701018629.17999995</v>
      </c>
      <c r="L726">
        <f>IFERROR([1]!s_stm07_cs($A726,"W77745895",TEXT($B$1,"yyyy/mm/dd"),1),"")</f>
        <v>123602064.66</v>
      </c>
      <c r="M726">
        <f>IFERROR([1]!S_FA_EPS_basic2($A726,$B$1,"Cur=CNY"),"")</f>
        <v>1.5286</v>
      </c>
      <c r="N726">
        <f>IFERROR([1]!s_fa_arturndays($A726,TEXT($B$1,"yyyy/mm/dd")),"")</f>
        <v>94.334699999999998</v>
      </c>
      <c r="O726" t="str">
        <f>IFERROR([1]!fa_apturndays($A726,TEXT($B$1,"yyyy/mm/dd")),"")</f>
        <v>Fetch...</v>
      </c>
      <c r="P726">
        <f>IFERROR([1]!s_fa_invturndays($A726,TEXT($B$1,"yyyy/mm/dd")),"")</f>
        <v>117.0808</v>
      </c>
    </row>
    <row r="727" spans="1:16">
      <c r="A727" t="s">
        <v>740</v>
      </c>
      <c r="B727">
        <f>IFERROR([1]!s_stm07_is($A727,"W70156729",TEXT($B$1,"yyyy/mm/dd"),1),"")</f>
        <v>2859519691.0799999</v>
      </c>
      <c r="C727">
        <f>IFERROR([1]!s_stm07_is($A727,"W75682424",TEXT($B$1,"yyyy/mm/dd"),1),"")</f>
        <v>1721396302.05</v>
      </c>
      <c r="D727">
        <f>IFERROR([1]!s_stm07_is($A727,"W76031679",TEXT($B$1,"yyyy/mm/dd"),1),"")</f>
        <v>18568054.969999999</v>
      </c>
      <c r="E727">
        <f>IFERROR([1]!s_stm07_is($A727,"W70752487",TEXT($B$1,"yyyy/mm/dd"),1),"")</f>
        <v>145811605.11000001</v>
      </c>
      <c r="F727">
        <f>IFERROR([1]!s_stm07_is_103($A727,TEXT($B$1,"yyyy/mm/dd"),1),"")</f>
        <v>219516049.88</v>
      </c>
      <c r="G727">
        <f>IFERROR([1]!s_stm07_is_104($A727,TEXT($B$1,"yyyy/mm/dd"),1),"")</f>
        <v>40423884.990000002</v>
      </c>
      <c r="H727">
        <f>IFERROR([1]!s_stm07_is_105($A727,TEXT($B$1,"yyyy/mm/dd"),1),"")</f>
        <v>33353349.100000001</v>
      </c>
      <c r="I727">
        <f>IFERROR([1]!s_stm07_is($A727,"W72946623",TEXT($B$1,"yyyy/mm/dd"),1),"")</f>
        <v>708457895.36000001</v>
      </c>
      <c r="J727">
        <f>IFERROR([1]!s_stm07_is($A727,"W30028333",TEXT($B$1,"yyyy/mm/dd"),1),"")</f>
        <v>603403052.04999995</v>
      </c>
      <c r="K727">
        <f>IFERROR([1]!s_stm07_cs($A727,"W77130581",TEXT($B$1,"yyyy/mm/dd"),1),"")</f>
        <v>1294810169.9400001</v>
      </c>
      <c r="L727">
        <f>IFERROR([1]!s_stm07_cs($A727,"W77745895",TEXT($B$1,"yyyy/mm/dd"),1),"")</f>
        <v>747254410.01999998</v>
      </c>
      <c r="M727">
        <f>IFERROR([1]!S_FA_EPS_basic2($A727,$B$1,"Cur=CNY"),"")</f>
        <v>0.73140000000000005</v>
      </c>
      <c r="N727">
        <f>IFERROR([1]!s_fa_arturndays($A727,TEXT($B$1,"yyyy/mm/dd")),"")</f>
        <v>136.65870000000001</v>
      </c>
      <c r="O727" t="str">
        <f>IFERROR([1]!fa_apturndays($A727,TEXT($B$1,"yyyy/mm/dd")),"")</f>
        <v>Fetch...</v>
      </c>
      <c r="P727">
        <f>IFERROR([1]!s_fa_invturndays($A727,TEXT($B$1,"yyyy/mm/dd")),"")</f>
        <v>158.1514</v>
      </c>
    </row>
    <row r="728" spans="1:16">
      <c r="A728" t="s">
        <v>741</v>
      </c>
      <c r="B728">
        <f>IFERROR([1]!s_stm07_is($A728,"W70156729",TEXT($B$1,"yyyy/mm/dd"),1),"")</f>
        <v>3061135393.77</v>
      </c>
      <c r="C728">
        <f>IFERROR([1]!s_stm07_is($A728,"W75682424",TEXT($B$1,"yyyy/mm/dd"),1),"")</f>
        <v>1925655438.72</v>
      </c>
      <c r="D728">
        <f>IFERROR([1]!s_stm07_is($A728,"W76031679",TEXT($B$1,"yyyy/mm/dd"),1),"")</f>
        <v>187800892.06999999</v>
      </c>
      <c r="E728">
        <f>IFERROR([1]!s_stm07_is($A728,"W70752487",TEXT($B$1,"yyyy/mm/dd"),1),"")</f>
        <v>396311481.47000003</v>
      </c>
      <c r="F728">
        <f>IFERROR([1]!s_stm07_is_103($A728,TEXT($B$1,"yyyy/mm/dd"),1),"")</f>
        <v>240314597.97</v>
      </c>
      <c r="G728">
        <f>IFERROR([1]!s_stm07_is_104($A728,TEXT($B$1,"yyyy/mm/dd"),1),"")</f>
        <v>43134679.57</v>
      </c>
      <c r="H728">
        <f>IFERROR([1]!s_stm07_is_105($A728,TEXT($B$1,"yyyy/mm/dd"),1),"")</f>
        <v>6867647.8399999999</v>
      </c>
      <c r="I728">
        <f>IFERROR([1]!s_stm07_is($A728,"W72946623",TEXT($B$1,"yyyy/mm/dd"),1),"")</f>
        <v>158599975.28</v>
      </c>
      <c r="J728">
        <f>IFERROR([1]!s_stm07_is($A728,"W30028333",TEXT($B$1,"yyyy/mm/dd"),1),"")</f>
        <v>139712806.62</v>
      </c>
      <c r="K728">
        <f>IFERROR([1]!s_stm07_cs($A728,"W77130581",TEXT($B$1,"yyyy/mm/dd"),1),"")</f>
        <v>473567670.54000002</v>
      </c>
      <c r="L728">
        <f>IFERROR([1]!s_stm07_cs($A728,"W77745895",TEXT($B$1,"yyyy/mm/dd"),1),"")</f>
        <v>357766963.22000003</v>
      </c>
      <c r="M728">
        <f>IFERROR([1]!S_FA_EPS_basic2($A728,$B$1,"Cur=CNY"),"")</f>
        <v>0.41</v>
      </c>
      <c r="N728">
        <f>IFERROR([1]!s_fa_arturndays($A728,TEXT($B$1,"yyyy/mm/dd")),"")</f>
        <v>59.6175</v>
      </c>
      <c r="O728" t="str">
        <f>IFERROR([1]!fa_apturndays($A728,TEXT($B$1,"yyyy/mm/dd")),"")</f>
        <v>Fetch...</v>
      </c>
      <c r="P728">
        <f>IFERROR([1]!s_fa_invturndays($A728,TEXT($B$1,"yyyy/mm/dd")),"")</f>
        <v>335.9776</v>
      </c>
    </row>
    <row r="729" spans="1:16">
      <c r="A729" t="s">
        <v>742</v>
      </c>
      <c r="B729">
        <f>IFERROR([1]!s_stm07_is($A729,"W70156729",TEXT($B$1,"yyyy/mm/dd"),1),"")</f>
        <v>3110900254.23</v>
      </c>
      <c r="C729">
        <f>IFERROR([1]!s_stm07_is($A729,"W75682424",TEXT($B$1,"yyyy/mm/dd"),1),"")</f>
        <v>841683507.07000005</v>
      </c>
      <c r="D729">
        <f>IFERROR([1]!s_stm07_is($A729,"W76031679",TEXT($B$1,"yyyy/mm/dd"),1),"")</f>
        <v>1305742567</v>
      </c>
      <c r="E729">
        <f>IFERROR([1]!s_stm07_is($A729,"W70752487",TEXT($B$1,"yyyy/mm/dd"),1),"")</f>
        <v>164525622.72</v>
      </c>
      <c r="F729">
        <f>IFERROR([1]!s_stm07_is_103($A729,TEXT($B$1,"yyyy/mm/dd"),1),"")</f>
        <v>218409582.00999999</v>
      </c>
      <c r="G729">
        <f>IFERROR([1]!s_stm07_is_104($A729,TEXT($B$1,"yyyy/mm/dd"),1),"")</f>
        <v>14994107.279999999</v>
      </c>
      <c r="H729">
        <f>IFERROR([1]!s_stm07_is_105($A729,TEXT($B$1,"yyyy/mm/dd"),1),"")</f>
        <v>2464617.62</v>
      </c>
      <c r="I729">
        <f>IFERROR([1]!s_stm07_is($A729,"W72946623",TEXT($B$1,"yyyy/mm/dd"),1),"")</f>
        <v>526360999.20999998</v>
      </c>
      <c r="J729">
        <f>IFERROR([1]!s_stm07_is($A729,"W30028333",TEXT($B$1,"yyyy/mm/dd"),1),"")</f>
        <v>472818048.50999999</v>
      </c>
      <c r="K729">
        <f>IFERROR([1]!s_stm07_cs($A729,"W77130581",TEXT($B$1,"yyyy/mm/dd"),1),"")</f>
        <v>647057566.46000004</v>
      </c>
      <c r="L729">
        <f>IFERROR([1]!s_stm07_cs($A729,"W77745895",TEXT($B$1,"yyyy/mm/dd"),1),"")</f>
        <v>652888846.47000003</v>
      </c>
      <c r="M729">
        <f>IFERROR([1]!S_FA_EPS_basic2($A729,$B$1,"Cur=CNY"),"")</f>
        <v>0.96</v>
      </c>
      <c r="N729">
        <f>IFERROR([1]!s_fa_arturndays($A729,TEXT($B$1,"yyyy/mm/dd")),"")</f>
        <v>38.0152</v>
      </c>
      <c r="O729" t="str">
        <f>IFERROR([1]!fa_apturndays($A729,TEXT($B$1,"yyyy/mm/dd")),"")</f>
        <v>Fetch...</v>
      </c>
      <c r="P729">
        <f>IFERROR([1]!s_fa_invturndays($A729,TEXT($B$1,"yyyy/mm/dd")),"")</f>
        <v>153.62950000000001</v>
      </c>
    </row>
    <row r="730" spans="1:16">
      <c r="A730" t="s">
        <v>743</v>
      </c>
      <c r="B730">
        <f>IFERROR([1]!s_stm07_is($A730,"W70156729",TEXT($B$1,"yyyy/mm/dd"),1),"")</f>
        <v>1267778136.03</v>
      </c>
      <c r="C730">
        <f>IFERROR([1]!s_stm07_is($A730,"W75682424",TEXT($B$1,"yyyy/mm/dd"),1),"")</f>
        <v>823925905.27999997</v>
      </c>
      <c r="D730">
        <f>IFERROR([1]!s_stm07_is($A730,"W76031679",TEXT($B$1,"yyyy/mm/dd"),1),"")</f>
        <v>27106575.27</v>
      </c>
      <c r="E730">
        <f>IFERROR([1]!s_stm07_is($A730,"W70752487",TEXT($B$1,"yyyy/mm/dd"),1),"")</f>
        <v>75228686.069999993</v>
      </c>
      <c r="F730">
        <f>IFERROR([1]!s_stm07_is_103($A730,TEXT($B$1,"yyyy/mm/dd"),1),"")</f>
        <v>51146602.640000001</v>
      </c>
      <c r="G730">
        <f>IFERROR([1]!s_stm07_is_104($A730,TEXT($B$1,"yyyy/mm/dd"),1),"")</f>
        <v>2535742.8199999998</v>
      </c>
      <c r="H730">
        <f>IFERROR([1]!s_stm07_is_105($A730,TEXT($B$1,"yyyy/mm/dd"),1),"")</f>
        <v>1590696.72</v>
      </c>
      <c r="I730">
        <f>IFERROR([1]!s_stm07_is($A730,"W72946623",TEXT($B$1,"yyyy/mm/dd"),1),"")</f>
        <v>311436880.38999999</v>
      </c>
      <c r="J730">
        <f>IFERROR([1]!s_stm07_is($A730,"W30028333",TEXT($B$1,"yyyy/mm/dd"),1),"")</f>
        <v>253345111.41</v>
      </c>
      <c r="K730">
        <f>IFERROR([1]!s_stm07_cs($A730,"W77130581",TEXT($B$1,"yyyy/mm/dd"),1),"")</f>
        <v>262708804.65000001</v>
      </c>
      <c r="L730">
        <f>IFERROR([1]!s_stm07_cs($A730,"W77745895",TEXT($B$1,"yyyy/mm/dd"),1),"")</f>
        <v>45359828.130000003</v>
      </c>
      <c r="M730">
        <f>IFERROR([1]!S_FA_EPS_basic2($A730,$B$1,"Cur=CNY"),"")</f>
        <v>0.85</v>
      </c>
      <c r="N730">
        <f>IFERROR([1]!s_fa_arturndays($A730,TEXT($B$1,"yyyy/mm/dd")),"")</f>
        <v>87.890600000000006</v>
      </c>
      <c r="O730" t="str">
        <f>IFERROR([1]!fa_apturndays($A730,TEXT($B$1,"yyyy/mm/dd")),"")</f>
        <v>Fetch...</v>
      </c>
      <c r="P730">
        <f>IFERROR([1]!s_fa_invturndays($A730,TEXT($B$1,"yyyy/mm/dd")),"")</f>
        <v>93.987399999999994</v>
      </c>
    </row>
    <row r="731" spans="1:16">
      <c r="A731" t="s">
        <v>744</v>
      </c>
      <c r="B731">
        <f>IFERROR([1]!s_stm07_is($A731,"W70156729",TEXT($B$1,"yyyy/mm/dd"),1),"")</f>
        <v>932270544.24000001</v>
      </c>
      <c r="C731">
        <f>IFERROR([1]!s_stm07_is($A731,"W75682424",TEXT($B$1,"yyyy/mm/dd"),1),"")</f>
        <v>405755132.19</v>
      </c>
      <c r="D731">
        <f>IFERROR([1]!s_stm07_is($A731,"W76031679",TEXT($B$1,"yyyy/mm/dd"),1),"")</f>
        <v>321979651.74000001</v>
      </c>
      <c r="E731">
        <f>IFERROR([1]!s_stm07_is($A731,"W70752487",TEXT($B$1,"yyyy/mm/dd"),1),"")</f>
        <v>348198792.60000002</v>
      </c>
      <c r="F731">
        <f>IFERROR([1]!s_stm07_is_103($A731,TEXT($B$1,"yyyy/mm/dd"),1),"")</f>
        <v>157254163.12</v>
      </c>
      <c r="G731">
        <f>IFERROR([1]!s_stm07_is_104($A731,TEXT($B$1,"yyyy/mm/dd"),1),"")</f>
        <v>57785912.350000001</v>
      </c>
      <c r="H731">
        <f>IFERROR([1]!s_stm07_is_105($A731,TEXT($B$1,"yyyy/mm/dd"),1),"")</f>
        <v>6351559.5499999998</v>
      </c>
      <c r="I731">
        <f>IFERROR([1]!s_stm07_is($A731,"W72946623",TEXT($B$1,"yyyy/mm/dd"),1),"")</f>
        <v>-369447424.76999998</v>
      </c>
      <c r="J731">
        <f>IFERROR([1]!s_stm07_is($A731,"W30028333",TEXT($B$1,"yyyy/mm/dd"),1),"")</f>
        <v>-337794599.49000001</v>
      </c>
      <c r="K731">
        <f>IFERROR([1]!s_stm07_cs($A731,"W77130581",TEXT($B$1,"yyyy/mm/dd"),1),"")</f>
        <v>46012328.600000001</v>
      </c>
      <c r="L731">
        <f>IFERROR([1]!s_stm07_cs($A731,"W77745895",TEXT($B$1,"yyyy/mm/dd"),1),"")</f>
        <v>127206555.3</v>
      </c>
      <c r="M731">
        <f>IFERROR([1]!S_FA_EPS_basic2($A731,$B$1,"Cur=CNY"),"")</f>
        <v>-0.74780000000000002</v>
      </c>
      <c r="N731">
        <f>IFERROR([1]!s_fa_arturndays($A731,TEXT($B$1,"yyyy/mm/dd")),"")</f>
        <v>106.97410000000001</v>
      </c>
      <c r="O731" t="str">
        <f>IFERROR([1]!fa_apturndays($A731,TEXT($B$1,"yyyy/mm/dd")),"")</f>
        <v>Fetch...</v>
      </c>
      <c r="P731">
        <f>IFERROR([1]!s_fa_invturndays($A731,TEXT($B$1,"yyyy/mm/dd")),"")</f>
        <v>223.15889999999999</v>
      </c>
    </row>
    <row r="732" spans="1:16">
      <c r="A732" t="s">
        <v>745</v>
      </c>
      <c r="B732">
        <f>IFERROR([1]!s_stm07_is($A732,"W70156729",TEXT($B$1,"yyyy/mm/dd"),1),"")</f>
        <v>15471668898.799999</v>
      </c>
      <c r="C732">
        <f>IFERROR([1]!s_stm07_is($A732,"W75682424",TEXT($B$1,"yyyy/mm/dd"),1),"")</f>
        <v>11100022754.51</v>
      </c>
      <c r="D732">
        <f>IFERROR([1]!s_stm07_is($A732,"W76031679",TEXT($B$1,"yyyy/mm/dd"),1),"")</f>
        <v>146003140.84</v>
      </c>
      <c r="E732">
        <f>IFERROR([1]!s_stm07_is($A732,"W70752487",TEXT($B$1,"yyyy/mm/dd"),1),"")</f>
        <v>178606796.11000001</v>
      </c>
      <c r="F732">
        <f>IFERROR([1]!s_stm07_is_103($A732,TEXT($B$1,"yyyy/mm/dd"),1),"")</f>
        <v>607420543.62</v>
      </c>
      <c r="G732">
        <f>IFERROR([1]!s_stm07_is_104($A732,TEXT($B$1,"yyyy/mm/dd"),1),"")</f>
        <v>5099008.2</v>
      </c>
      <c r="H732">
        <f>IFERROR([1]!s_stm07_is_105($A732,TEXT($B$1,"yyyy/mm/dd"),1),"")</f>
        <v>74868587.459999993</v>
      </c>
      <c r="I732">
        <f>IFERROR([1]!s_stm07_is($A732,"W72946623",TEXT($B$1,"yyyy/mm/dd"),1),"")</f>
        <v>2978179854.1300001</v>
      </c>
      <c r="J732">
        <f>IFERROR([1]!s_stm07_is($A732,"W30028333",TEXT($B$1,"yyyy/mm/dd"),1),"")</f>
        <v>2617043651.2800002</v>
      </c>
      <c r="K732">
        <f>IFERROR([1]!s_stm07_cs($A732,"W77130581",TEXT($B$1,"yyyy/mm/dd"),1),"")</f>
        <v>-1204364965.6400001</v>
      </c>
      <c r="L732">
        <f>IFERROR([1]!s_stm07_cs($A732,"W77745895",TEXT($B$1,"yyyy/mm/dd"),1),"")</f>
        <v>201691617.22</v>
      </c>
      <c r="M732">
        <f>IFERROR([1]!S_FA_EPS_basic2($A732,$B$1,"Cur=CNY"),"")</f>
        <v>7.52</v>
      </c>
      <c r="N732">
        <f>IFERROR([1]!s_fa_arturndays($A732,TEXT($B$1,"yyyy/mm/dd")),"")</f>
        <v>90.472700000000003</v>
      </c>
      <c r="O732" t="str">
        <f>IFERROR([1]!fa_apturndays($A732,TEXT($B$1,"yyyy/mm/dd")),"")</f>
        <v>Fetch...</v>
      </c>
      <c r="P732">
        <f>IFERROR([1]!s_fa_invturndays($A732,TEXT($B$1,"yyyy/mm/dd")),"")</f>
        <v>354.78469999999999</v>
      </c>
    </row>
    <row r="733" spans="1:16">
      <c r="A733" t="s">
        <v>746</v>
      </c>
      <c r="B733">
        <f>IFERROR([1]!s_stm07_is($A733,"W70156729",TEXT($B$1,"yyyy/mm/dd"),1),"")</f>
        <v>1974477816.9100001</v>
      </c>
      <c r="C733">
        <f>IFERROR([1]!s_stm07_is($A733,"W75682424",TEXT($B$1,"yyyy/mm/dd"),1),"")</f>
        <v>1366023396.27</v>
      </c>
      <c r="D733">
        <f>IFERROR([1]!s_stm07_is($A733,"W76031679",TEXT($B$1,"yyyy/mm/dd"),1),"")</f>
        <v>66809363.32</v>
      </c>
      <c r="E733">
        <f>IFERROR([1]!s_stm07_is($A733,"W70752487",TEXT($B$1,"yyyy/mm/dd"),1),"")</f>
        <v>175752832.63</v>
      </c>
      <c r="F733">
        <f>IFERROR([1]!s_stm07_is_103($A733,TEXT($B$1,"yyyy/mm/dd"),1),"")</f>
        <v>108717103.68000001</v>
      </c>
      <c r="G733">
        <f>IFERROR([1]!s_stm07_is_104($A733,TEXT($B$1,"yyyy/mm/dd"),1),"")</f>
        <v>34218915.439999998</v>
      </c>
      <c r="H733">
        <f>IFERROR([1]!s_stm07_is_105($A733,TEXT($B$1,"yyyy/mm/dd"),1),"")</f>
        <v>6847133.4100000001</v>
      </c>
      <c r="I733">
        <f>IFERROR([1]!s_stm07_is($A733,"W72946623",TEXT($B$1,"yyyy/mm/dd"),1),"")</f>
        <v>207609126.86000001</v>
      </c>
      <c r="J733">
        <f>IFERROR([1]!s_stm07_is($A733,"W30028333",TEXT($B$1,"yyyy/mm/dd"),1),"")</f>
        <v>183735514.38999999</v>
      </c>
      <c r="K733">
        <f>IFERROR([1]!s_stm07_cs($A733,"W77130581",TEXT($B$1,"yyyy/mm/dd"),1),"")</f>
        <v>667360829.32000005</v>
      </c>
      <c r="L733">
        <f>IFERROR([1]!s_stm07_cs($A733,"W77745895",TEXT($B$1,"yyyy/mm/dd"),1),"")</f>
        <v>140130434.83000001</v>
      </c>
      <c r="M733">
        <f>IFERROR([1]!S_FA_EPS_basic2($A733,$B$1,"Cur=CNY"),"")</f>
        <v>0.88</v>
      </c>
      <c r="N733">
        <f>IFERROR([1]!s_fa_arturndays($A733,TEXT($B$1,"yyyy/mm/dd")),"")</f>
        <v>78.693700000000007</v>
      </c>
      <c r="O733" t="str">
        <f>IFERROR([1]!fa_apturndays($A733,TEXT($B$1,"yyyy/mm/dd")),"")</f>
        <v>Fetch...</v>
      </c>
      <c r="P733">
        <f>IFERROR([1]!s_fa_invturndays($A733,TEXT($B$1,"yyyy/mm/dd")),"")</f>
        <v>197.04429999999999</v>
      </c>
    </row>
    <row r="734" spans="1:16">
      <c r="A734" t="s">
        <v>747</v>
      </c>
      <c r="B734">
        <f>IFERROR([1]!s_stm07_is($A734,"W70156729",TEXT($B$1,"yyyy/mm/dd"),1),"")</f>
        <v>1886667479.1099999</v>
      </c>
      <c r="C734">
        <f>IFERROR([1]!s_stm07_is($A734,"W75682424",TEXT($B$1,"yyyy/mm/dd"),1),"")</f>
        <v>784741794.75</v>
      </c>
      <c r="D734">
        <f>IFERROR([1]!s_stm07_is($A734,"W76031679",TEXT($B$1,"yyyy/mm/dd"),1),"")</f>
        <v>163493095.66</v>
      </c>
      <c r="E734">
        <f>IFERROR([1]!s_stm07_is($A734,"W70752487",TEXT($B$1,"yyyy/mm/dd"),1),"")</f>
        <v>167515943.41999999</v>
      </c>
      <c r="F734">
        <f>IFERROR([1]!s_stm07_is_103($A734,TEXT($B$1,"yyyy/mm/dd"),1),"")</f>
        <v>176960827.00999999</v>
      </c>
      <c r="G734">
        <f>IFERROR([1]!s_stm07_is_104($A734,TEXT($B$1,"yyyy/mm/dd"),1),"")</f>
        <v>1016653.12</v>
      </c>
      <c r="H734">
        <f>IFERROR([1]!s_stm07_is_105($A734,TEXT($B$1,"yyyy/mm/dd"),1),"")</f>
        <v>1370510.27</v>
      </c>
      <c r="I734">
        <f>IFERROR([1]!s_stm07_is($A734,"W72946623",TEXT($B$1,"yyyy/mm/dd"),1),"")</f>
        <v>581420189.27999997</v>
      </c>
      <c r="J734">
        <f>IFERROR([1]!s_stm07_is($A734,"W30028333",TEXT($B$1,"yyyy/mm/dd"),1),"")</f>
        <v>401174175.81999999</v>
      </c>
      <c r="K734">
        <f>IFERROR([1]!s_stm07_cs($A734,"W77130581",TEXT($B$1,"yyyy/mm/dd"),1),"")</f>
        <v>394555458.63999999</v>
      </c>
      <c r="L734">
        <f>IFERROR([1]!s_stm07_cs($A734,"W77745895",TEXT($B$1,"yyyy/mm/dd"),1),"")</f>
        <v>99002720.319999993</v>
      </c>
      <c r="M734">
        <f>IFERROR([1]!S_FA_EPS_basic2($A734,$B$1,"Cur=CNY"),"")</f>
        <v>0.97409999999999997</v>
      </c>
      <c r="N734">
        <f>IFERROR([1]!s_fa_arturndays($A734,TEXT($B$1,"yyyy/mm/dd")),"")</f>
        <v>280.11200000000002</v>
      </c>
      <c r="O734" t="str">
        <f>IFERROR([1]!fa_apturndays($A734,TEXT($B$1,"yyyy/mm/dd")),"")</f>
        <v>Fetch...</v>
      </c>
      <c r="P734">
        <f>IFERROR([1]!s_fa_invturndays($A734,TEXT($B$1,"yyyy/mm/dd")),"")</f>
        <v>400.57859999999999</v>
      </c>
    </row>
    <row r="735" spans="1:16">
      <c r="A735" t="s">
        <v>748</v>
      </c>
      <c r="B735">
        <f>IFERROR([1]!s_stm07_is($A735,"W70156729",TEXT($B$1,"yyyy/mm/dd"),1),"")</f>
        <v>8993560247.7600002</v>
      </c>
      <c r="C735">
        <f>IFERROR([1]!s_stm07_is($A735,"W75682424",TEXT($B$1,"yyyy/mm/dd"),1),"")</f>
        <v>7894279655.9200001</v>
      </c>
      <c r="D735">
        <f>IFERROR([1]!s_stm07_is($A735,"W76031679",TEXT($B$1,"yyyy/mm/dd"),1),"")</f>
        <v>49702786.43</v>
      </c>
      <c r="E735">
        <f>IFERROR([1]!s_stm07_is($A735,"W70752487",TEXT($B$1,"yyyy/mm/dd"),1),"")</f>
        <v>515121509.73000002</v>
      </c>
      <c r="F735">
        <f>IFERROR([1]!s_stm07_is_103($A735,TEXT($B$1,"yyyy/mm/dd"),1),"")</f>
        <v>137049139.16</v>
      </c>
      <c r="G735">
        <f>IFERROR([1]!s_stm07_is_104($A735,TEXT($B$1,"yyyy/mm/dd"),1),"")</f>
        <v>39750951.119999997</v>
      </c>
      <c r="H735">
        <f>IFERROR([1]!s_stm07_is_105($A735,TEXT($B$1,"yyyy/mm/dd"),1),"")</f>
        <v>57369192.979999997</v>
      </c>
      <c r="I735">
        <f>IFERROR([1]!s_stm07_is($A735,"W72946623",TEXT($B$1,"yyyy/mm/dd"),1),"")</f>
        <v>403004170.31999999</v>
      </c>
      <c r="J735">
        <f>IFERROR([1]!s_stm07_is($A735,"W30028333",TEXT($B$1,"yyyy/mm/dd"),1),"")</f>
        <v>288770484</v>
      </c>
      <c r="K735">
        <f>IFERROR([1]!s_stm07_cs($A735,"W77130581",TEXT($B$1,"yyyy/mm/dd"),1),"")</f>
        <v>1317599905.49</v>
      </c>
      <c r="L735">
        <f>IFERROR([1]!s_stm07_cs($A735,"W77745895",TEXT($B$1,"yyyy/mm/dd"),1),"")</f>
        <v>1446829570.79</v>
      </c>
      <c r="M735">
        <f>IFERROR([1]!S_FA_EPS_basic2($A735,$B$1,"Cur=CNY"),"")</f>
        <v>0.38</v>
      </c>
      <c r="N735">
        <f>IFERROR([1]!s_fa_arturndays($A735,TEXT($B$1,"yyyy/mm/dd")),"")</f>
        <v>64.0364</v>
      </c>
      <c r="O735" t="str">
        <f>IFERROR([1]!fa_apturndays($A735,TEXT($B$1,"yyyy/mm/dd")),"")</f>
        <v>Fetch...</v>
      </c>
      <c r="P735">
        <f>IFERROR([1]!s_fa_invturndays($A735,TEXT($B$1,"yyyy/mm/dd")),"")</f>
        <v>26.7453</v>
      </c>
    </row>
    <row r="736" spans="1:16">
      <c r="A736" t="s">
        <v>749</v>
      </c>
      <c r="B736">
        <f>IFERROR([1]!s_stm07_is($A736,"W70156729",TEXT($B$1,"yyyy/mm/dd"),1),"")</f>
        <v>2521361045.6799998</v>
      </c>
      <c r="C736">
        <f>IFERROR([1]!s_stm07_is($A736,"W75682424",TEXT($B$1,"yyyy/mm/dd"),1),"")</f>
        <v>1645715629.02</v>
      </c>
      <c r="D736">
        <f>IFERROR([1]!s_stm07_is($A736,"W76031679",TEXT($B$1,"yyyy/mm/dd"),1),"")</f>
        <v>26317838.809999999</v>
      </c>
      <c r="E736">
        <f>IFERROR([1]!s_stm07_is($A736,"W70752487",TEXT($B$1,"yyyy/mm/dd"),1),"")</f>
        <v>65722397.789999999</v>
      </c>
      <c r="F736">
        <f>IFERROR([1]!s_stm07_is_103($A736,TEXT($B$1,"yyyy/mm/dd"),1),"")</f>
        <v>78246943.569999993</v>
      </c>
      <c r="G736">
        <f>IFERROR([1]!s_stm07_is_104($A736,TEXT($B$1,"yyyy/mm/dd"),1),"")</f>
        <v>311928277.44</v>
      </c>
      <c r="H736">
        <f>IFERROR([1]!s_stm07_is_105($A736,TEXT($B$1,"yyyy/mm/dd"),1),"")</f>
        <v>13394197.310000001</v>
      </c>
      <c r="I736">
        <f>IFERROR([1]!s_stm07_is($A736,"W72946623",TEXT($B$1,"yyyy/mm/dd"),1),"")</f>
        <v>184211122.83000001</v>
      </c>
      <c r="J736">
        <f>IFERROR([1]!s_stm07_is($A736,"W30028333",TEXT($B$1,"yyyy/mm/dd"),1),"")</f>
        <v>132340277.40000001</v>
      </c>
      <c r="K736">
        <f>IFERROR([1]!s_stm07_cs($A736,"W77130581",TEXT($B$1,"yyyy/mm/dd"),1),"")</f>
        <v>1415871723.4200001</v>
      </c>
      <c r="L736">
        <f>IFERROR([1]!s_stm07_cs($A736,"W77745895",TEXT($B$1,"yyyy/mm/dd"),1),"")</f>
        <v>3605939017.3299999</v>
      </c>
      <c r="M736">
        <f>IFERROR([1]!S_FA_EPS_basic2($A736,$B$1,"Cur=CNY"),"")</f>
        <v>0.13669999999999999</v>
      </c>
      <c r="N736">
        <f>IFERROR([1]!s_fa_arturndays($A736,TEXT($B$1,"yyyy/mm/dd")),"")</f>
        <v>81.753200000000007</v>
      </c>
      <c r="O736" t="str">
        <f>IFERROR([1]!fa_apturndays($A736,TEXT($B$1,"yyyy/mm/dd")),"")</f>
        <v>Fetch...</v>
      </c>
      <c r="P736">
        <f>IFERROR([1]!s_fa_invturndays($A736,TEXT($B$1,"yyyy/mm/dd")),"")</f>
        <v>10.7715</v>
      </c>
    </row>
    <row r="737" spans="1:16">
      <c r="A737" t="s">
        <v>750</v>
      </c>
      <c r="B737">
        <f>IFERROR([1]!s_stm07_is($A737,"W70156729",TEXT($B$1,"yyyy/mm/dd"),1),"")</f>
        <v>3466796346.9400001</v>
      </c>
      <c r="C737">
        <f>IFERROR([1]!s_stm07_is($A737,"W75682424",TEXT($B$1,"yyyy/mm/dd"),1),"")</f>
        <v>2760538361.6199999</v>
      </c>
      <c r="D737">
        <f>IFERROR([1]!s_stm07_is($A737,"W76031679",TEXT($B$1,"yyyy/mm/dd"),1),"")</f>
        <v>77631204.650000006</v>
      </c>
      <c r="E737">
        <f>IFERROR([1]!s_stm07_is($A737,"W70752487",TEXT($B$1,"yyyy/mm/dd"),1),"")</f>
        <v>106065126.47</v>
      </c>
      <c r="F737">
        <f>IFERROR([1]!s_stm07_is_103($A737,TEXT($B$1,"yyyy/mm/dd"),1),"")</f>
        <v>386956439.62</v>
      </c>
      <c r="G737">
        <f>IFERROR([1]!s_stm07_is_104($A737,TEXT($B$1,"yyyy/mm/dd"),1),"")</f>
        <v>5588890.5499999998</v>
      </c>
      <c r="H737">
        <f>IFERROR([1]!s_stm07_is_105($A737,TEXT($B$1,"yyyy/mm/dd"),1),"")</f>
        <v>10017001.380000001</v>
      </c>
      <c r="I737">
        <f>IFERROR([1]!s_stm07_is($A737,"W72946623",TEXT($B$1,"yyyy/mm/dd"),1),"")</f>
        <v>153849073.88999999</v>
      </c>
      <c r="J737">
        <f>IFERROR([1]!s_stm07_is($A737,"W30028333",TEXT($B$1,"yyyy/mm/dd"),1),"")</f>
        <v>161831332.84</v>
      </c>
      <c r="K737">
        <f>IFERROR([1]!s_stm07_cs($A737,"W77130581",TEXT($B$1,"yyyy/mm/dd"),1),"")</f>
        <v>224209426.55000001</v>
      </c>
      <c r="L737">
        <f>IFERROR([1]!s_stm07_cs($A737,"W77745895",TEXT($B$1,"yyyy/mm/dd"),1),"")</f>
        <v>111231465.40000001</v>
      </c>
      <c r="M737">
        <f>IFERROR([1]!S_FA_EPS_basic2($A737,$B$1,"Cur=CNY"),"")</f>
        <v>0.28820000000000001</v>
      </c>
      <c r="N737">
        <f>IFERROR([1]!s_fa_arturndays($A737,TEXT($B$1,"yyyy/mm/dd")),"")</f>
        <v>65.329800000000006</v>
      </c>
      <c r="O737" t="str">
        <f>IFERROR([1]!fa_apturndays($A737,TEXT($B$1,"yyyy/mm/dd")),"")</f>
        <v>Fetch...</v>
      </c>
      <c r="P737">
        <f>IFERROR([1]!s_fa_invturndays($A737,TEXT($B$1,"yyyy/mm/dd")),"")</f>
        <v>102.7632</v>
      </c>
    </row>
    <row r="738" spans="1:16">
      <c r="A738" t="s">
        <v>751</v>
      </c>
      <c r="B738">
        <f>IFERROR([1]!s_stm07_is($A738,"W70156729",TEXT($B$1,"yyyy/mm/dd"),1),"")</f>
        <v>7717521714.96</v>
      </c>
      <c r="C738">
        <f>IFERROR([1]!s_stm07_is($A738,"W75682424",TEXT($B$1,"yyyy/mm/dd"),1),"")</f>
        <v>6083271093.46</v>
      </c>
      <c r="D738">
        <f>IFERROR([1]!s_stm07_is($A738,"W76031679",TEXT($B$1,"yyyy/mm/dd"),1),"")</f>
        <v>71279942.329999998</v>
      </c>
      <c r="E738">
        <f>IFERROR([1]!s_stm07_is($A738,"W70752487",TEXT($B$1,"yyyy/mm/dd"),1),"")</f>
        <v>277073756.98000002</v>
      </c>
      <c r="F738">
        <f>IFERROR([1]!s_stm07_is_103($A738,TEXT($B$1,"yyyy/mm/dd"),1),"")</f>
        <v>505687122.25999999</v>
      </c>
      <c r="G738">
        <f>IFERROR([1]!s_stm07_is_104($A738,TEXT($B$1,"yyyy/mm/dd"),1),"")</f>
        <v>78794957.739999995</v>
      </c>
      <c r="H738">
        <f>IFERROR([1]!s_stm07_is_105($A738,TEXT($B$1,"yyyy/mm/dd"),1),"")</f>
        <v>88740840.459999993</v>
      </c>
      <c r="I738">
        <f>IFERROR([1]!s_stm07_is($A738,"W72946623",TEXT($B$1,"yyyy/mm/dd"),1),"")</f>
        <v>789288551.97000003</v>
      </c>
      <c r="J738">
        <f>IFERROR([1]!s_stm07_is($A738,"W30028333",TEXT($B$1,"yyyy/mm/dd"),1),"")</f>
        <v>705606447.34000003</v>
      </c>
      <c r="K738">
        <f>IFERROR([1]!s_stm07_cs($A738,"W77130581",TEXT($B$1,"yyyy/mm/dd"),1),"")</f>
        <v>353032578.51999998</v>
      </c>
      <c r="L738">
        <f>IFERROR([1]!s_stm07_cs($A738,"W77745895",TEXT($B$1,"yyyy/mm/dd"),1),"")</f>
        <v>466229732.51999998</v>
      </c>
      <c r="M738">
        <f>IFERROR([1]!S_FA_EPS_basic2($A738,$B$1,"Cur=CNY"),"")</f>
        <v>0.52</v>
      </c>
      <c r="N738">
        <f>IFERROR([1]!s_fa_arturndays($A738,TEXT($B$1,"yyyy/mm/dd")),"")</f>
        <v>104.7974</v>
      </c>
      <c r="O738" t="str">
        <f>IFERROR([1]!fa_apturndays($A738,TEXT($B$1,"yyyy/mm/dd")),"")</f>
        <v>Fetch...</v>
      </c>
      <c r="P738">
        <f>IFERROR([1]!s_fa_invturndays($A738,TEXT($B$1,"yyyy/mm/dd")),"")</f>
        <v>146.6156</v>
      </c>
    </row>
    <row r="739" spans="1:16">
      <c r="A739" t="s">
        <v>752</v>
      </c>
      <c r="B739">
        <f>IFERROR([1]!s_stm07_is($A739,"W70156729",TEXT($B$1,"yyyy/mm/dd"),1),"")</f>
        <v>423701834000</v>
      </c>
      <c r="C739">
        <f>IFERROR([1]!s_stm07_is($A739,"W75682424",TEXT($B$1,"yyyy/mm/dd"),1),"")</f>
        <v>312383297000</v>
      </c>
      <c r="D739">
        <f>IFERROR([1]!s_stm07_is($A739,"W76031679",TEXT($B$1,"yyyy/mm/dd"),1),"")</f>
        <v>3735118000</v>
      </c>
      <c r="E739">
        <f>IFERROR([1]!s_stm07_is($A739,"W70752487",TEXT($B$1,"yyyy/mm/dd"),1),"")</f>
        <v>11666741000</v>
      </c>
      <c r="F739">
        <f>IFERROR([1]!s_stm07_is_103($A739,TEXT($B$1,"yyyy/mm/dd"),1),"")</f>
        <v>22146581000</v>
      </c>
      <c r="G739">
        <f>IFERROR([1]!s_stm07_is_104($A739,TEXT($B$1,"yyyy/mm/dd"),1),"")</f>
        <v>2734017000</v>
      </c>
      <c r="H739">
        <f>IFERROR([1]!s_stm07_is_105($A739,TEXT($B$1,"yyyy/mm/dd"),1),"")</f>
        <v>10594657000</v>
      </c>
      <c r="I739">
        <f>IFERROR([1]!s_stm07_is($A739,"W72946623",TEXT($B$1,"yyyy/mm/dd"),1),"")</f>
        <v>89526545000</v>
      </c>
      <c r="J739">
        <f>IFERROR([1]!s_stm07_is($A739,"W30028333",TEXT($B$1,"yyyy/mm/dd"),1),"")</f>
        <v>72201282000</v>
      </c>
      <c r="K739">
        <f>IFERROR([1]!s_stm07_cs($A739,"W77130581",TEXT($B$1,"yyyy/mm/dd"),1),"")</f>
        <v>133219982000</v>
      </c>
      <c r="L739">
        <f>IFERROR([1]!s_stm07_cs($A739,"W77745895",TEXT($B$1,"yyyy/mm/dd"),1),"")</f>
        <v>42344558000</v>
      </c>
      <c r="M739">
        <f>IFERROR([1]!S_FA_EPS_basic2($A739,$B$1,"Cur=CNY"),"")</f>
        <v>16.14</v>
      </c>
      <c r="N739">
        <f>IFERROR([1]!s_fa_arturndays($A739,TEXT($B$1,"yyyy/mm/dd")),"")</f>
        <v>59.704500000000003</v>
      </c>
      <c r="O739" t="str">
        <f>IFERROR([1]!fa_apturndays($A739,TEXT($B$1,"yyyy/mm/dd")),"")</f>
        <v>Fetch...</v>
      </c>
      <c r="P739">
        <f>IFERROR([1]!s_fa_invturndays($A739,TEXT($B$1,"yyyy/mm/dd")),"")</f>
        <v>89.392099999999999</v>
      </c>
    </row>
    <row r="740" spans="1:16">
      <c r="A740" t="s">
        <v>753</v>
      </c>
      <c r="B740">
        <f>IFERROR([1]!s_stm07_is($A740,"W70156729",TEXT($B$1,"yyyy/mm/dd"),1),"")</f>
        <v>8151978598.8599997</v>
      </c>
      <c r="C740">
        <f>IFERROR([1]!s_stm07_is($A740,"W75682424",TEXT($B$1,"yyyy/mm/dd"),1),"")</f>
        <v>5004290536.7700005</v>
      </c>
      <c r="D740">
        <f>IFERROR([1]!s_stm07_is($A740,"W76031679",TEXT($B$1,"yyyy/mm/dd"),1),"")</f>
        <v>347175442.23000002</v>
      </c>
      <c r="E740">
        <f>IFERROR([1]!s_stm07_is($A740,"W70752487",TEXT($B$1,"yyyy/mm/dd"),1),"")</f>
        <v>263969646.37</v>
      </c>
      <c r="F740">
        <f>IFERROR([1]!s_stm07_is_103($A740,TEXT($B$1,"yyyy/mm/dd"),1),"")</f>
        <v>1082249862.0599999</v>
      </c>
      <c r="G740">
        <f>IFERROR([1]!s_stm07_is_104($A740,TEXT($B$1,"yyyy/mm/dd"),1),"")</f>
        <v>120580418.41</v>
      </c>
      <c r="H740">
        <f>IFERROR([1]!s_stm07_is_105($A740,TEXT($B$1,"yyyy/mm/dd"),1),"")</f>
        <v>168839281.66</v>
      </c>
      <c r="I740">
        <f>IFERROR([1]!s_stm07_is($A740,"W72946623",TEXT($B$1,"yyyy/mm/dd"),1),"")</f>
        <v>722619826.84000003</v>
      </c>
      <c r="J740">
        <f>IFERROR([1]!s_stm07_is($A740,"W30028333",TEXT($B$1,"yyyy/mm/dd"),1),"")</f>
        <v>721615400.42999995</v>
      </c>
      <c r="K740">
        <f>IFERROR([1]!s_stm07_cs($A740,"W77130581",TEXT($B$1,"yyyy/mm/dd"),1),"")</f>
        <v>-698075978.34000003</v>
      </c>
      <c r="L740">
        <f>IFERROR([1]!s_stm07_cs($A740,"W77745895",TEXT($B$1,"yyyy/mm/dd"),1),"")</f>
        <v>648248791.74000001</v>
      </c>
      <c r="M740">
        <f>IFERROR([1]!S_FA_EPS_basic2($A740,$B$1,"Cur=CNY"),"")</f>
        <v>2.59</v>
      </c>
      <c r="N740">
        <f>IFERROR([1]!s_fa_arturndays($A740,TEXT($B$1,"yyyy/mm/dd")),"")</f>
        <v>177.3399</v>
      </c>
      <c r="O740" t="str">
        <f>IFERROR([1]!fa_apturndays($A740,TEXT($B$1,"yyyy/mm/dd")),"")</f>
        <v>Fetch...</v>
      </c>
      <c r="P740">
        <f>IFERROR([1]!s_fa_invturndays($A740,TEXT($B$1,"yyyy/mm/dd")),"")</f>
        <v>540.86540000000002</v>
      </c>
    </row>
    <row r="741" spans="1:16">
      <c r="A741" t="s">
        <v>754</v>
      </c>
      <c r="B741">
        <f>IFERROR([1]!s_stm07_is($A741,"W70156729",TEXT($B$1,"yyyy/mm/dd"),1),"")</f>
        <v>5895438735.3999996</v>
      </c>
      <c r="C741">
        <f>IFERROR([1]!s_stm07_is($A741,"W75682424",TEXT($B$1,"yyyy/mm/dd"),1),"")</f>
        <v>5530462187.6199999</v>
      </c>
      <c r="D741">
        <f>IFERROR([1]!s_stm07_is($A741,"W76031679",TEXT($B$1,"yyyy/mm/dd"),1),"")</f>
        <v>294221233.00999999</v>
      </c>
      <c r="E741">
        <f>IFERROR([1]!s_stm07_is($A741,"W70752487",TEXT($B$1,"yyyy/mm/dd"),1),"")</f>
        <v>128473973.04000001</v>
      </c>
      <c r="F741">
        <f>IFERROR([1]!s_stm07_is_103($A741,TEXT($B$1,"yyyy/mm/dd"),1),"")</f>
        <v>0</v>
      </c>
      <c r="G741">
        <f>IFERROR([1]!s_stm07_is_104($A741,TEXT($B$1,"yyyy/mm/dd"),1),"")</f>
        <v>35083679.25</v>
      </c>
      <c r="H741">
        <f>IFERROR([1]!s_stm07_is_105($A741,TEXT($B$1,"yyyy/mm/dd"),1),"")</f>
        <v>8173719.3899999997</v>
      </c>
      <c r="I741">
        <f>IFERROR([1]!s_stm07_is($A741,"W72946623",TEXT($B$1,"yyyy/mm/dd"),1),"")</f>
        <v>-333385673.44999999</v>
      </c>
      <c r="J741">
        <f>IFERROR([1]!s_stm07_is($A741,"W30028333",TEXT($B$1,"yyyy/mm/dd"),1),"")</f>
        <v>-368786977.35000002</v>
      </c>
      <c r="K741">
        <f>IFERROR([1]!s_stm07_cs($A741,"W77130581",TEXT($B$1,"yyyy/mm/dd"),1),"")</f>
        <v>751702083.39999998</v>
      </c>
      <c r="L741">
        <f>IFERROR([1]!s_stm07_cs($A741,"W77745895",TEXT($B$1,"yyyy/mm/dd"),1),"")</f>
        <v>1527153.83</v>
      </c>
      <c r="M741">
        <f>IFERROR([1]!S_FA_EPS_basic2($A741,$B$1,"Cur=CNY"),"")</f>
        <v>-0.9</v>
      </c>
      <c r="N741">
        <f>IFERROR([1]!s_fa_arturndays($A741,TEXT($B$1,"yyyy/mm/dd")),"")</f>
        <v>8.2433999999999994</v>
      </c>
      <c r="O741" t="str">
        <f>IFERROR([1]!fa_apturndays($A741,TEXT($B$1,"yyyy/mm/dd")),"")</f>
        <v>Fetch...</v>
      </c>
      <c r="P741">
        <f>IFERROR([1]!s_fa_invturndays($A741,TEXT($B$1,"yyyy/mm/dd")),"")</f>
        <v>183.636</v>
      </c>
    </row>
    <row r="742" spans="1:16">
      <c r="A742" t="s">
        <v>755</v>
      </c>
      <c r="B742">
        <f>IFERROR([1]!s_stm07_is($A742,"W70156729",TEXT($B$1,"yyyy/mm/dd"),1),"")</f>
        <v>949812665.27999997</v>
      </c>
      <c r="C742">
        <f>IFERROR([1]!s_stm07_is($A742,"W75682424",TEXT($B$1,"yyyy/mm/dd"),1),"")</f>
        <v>621941106.38</v>
      </c>
      <c r="D742">
        <f>IFERROR([1]!s_stm07_is($A742,"W76031679",TEXT($B$1,"yyyy/mm/dd"),1),"")</f>
        <v>93831542.859999999</v>
      </c>
      <c r="E742">
        <f>IFERROR([1]!s_stm07_is($A742,"W70752487",TEXT($B$1,"yyyy/mm/dd"),1),"")</f>
        <v>110360354.12</v>
      </c>
      <c r="F742">
        <f>IFERROR([1]!s_stm07_is_103($A742,TEXT($B$1,"yyyy/mm/dd"),1),"")</f>
        <v>106267153.64</v>
      </c>
      <c r="G742">
        <f>IFERROR([1]!s_stm07_is_104($A742,TEXT($B$1,"yyyy/mm/dd"),1),"")</f>
        <v>36375413.990000002</v>
      </c>
      <c r="H742">
        <f>IFERROR([1]!s_stm07_is_105($A742,TEXT($B$1,"yyyy/mm/dd"),1),"")</f>
        <v>6406640.9699999997</v>
      </c>
      <c r="I742">
        <f>IFERROR([1]!s_stm07_is($A742,"W72946623",TEXT($B$1,"yyyy/mm/dd"),1),"")</f>
        <v>-71374160.719999999</v>
      </c>
      <c r="J742">
        <f>IFERROR([1]!s_stm07_is($A742,"W30028333",TEXT($B$1,"yyyy/mm/dd"),1),"")</f>
        <v>-66440373.450000003</v>
      </c>
      <c r="K742">
        <f>IFERROR([1]!s_stm07_cs($A742,"W77130581",TEXT($B$1,"yyyy/mm/dd"),1),"")</f>
        <v>207795147.87</v>
      </c>
      <c r="L742">
        <f>IFERROR([1]!s_stm07_cs($A742,"W77745895",TEXT($B$1,"yyyy/mm/dd"),1),"")</f>
        <v>43108456.259999998</v>
      </c>
      <c r="M742">
        <f>IFERROR([1]!S_FA_EPS_basic2($A742,$B$1,"Cur=CNY"),"")</f>
        <v>-0.41</v>
      </c>
      <c r="N742">
        <f>IFERROR([1]!s_fa_arturndays($A742,TEXT($B$1,"yyyy/mm/dd")),"")</f>
        <v>209.54599999999999</v>
      </c>
      <c r="O742" t="str">
        <f>IFERROR([1]!fa_apturndays($A742,TEXT($B$1,"yyyy/mm/dd")),"")</f>
        <v>Fetch...</v>
      </c>
      <c r="P742">
        <f>IFERROR([1]!s_fa_invturndays($A742,TEXT($B$1,"yyyy/mm/dd")),"")</f>
        <v>385.39769999999999</v>
      </c>
    </row>
    <row r="743" spans="1:16">
      <c r="A743" t="s">
        <v>756</v>
      </c>
      <c r="B743">
        <f>IFERROR([1]!s_stm07_is($A743,"W70156729",TEXT($B$1,"yyyy/mm/dd"),1),"")</f>
        <v>14095078734.950001</v>
      </c>
      <c r="C743">
        <f>IFERROR([1]!s_stm07_is($A743,"W75682424",TEXT($B$1,"yyyy/mm/dd"),1),"")</f>
        <v>9185448198.6900005</v>
      </c>
      <c r="D743">
        <f>IFERROR([1]!s_stm07_is($A743,"W76031679",TEXT($B$1,"yyyy/mm/dd"),1),"")</f>
        <v>306457491.99000001</v>
      </c>
      <c r="E743">
        <f>IFERROR([1]!s_stm07_is($A743,"W70752487",TEXT($B$1,"yyyy/mm/dd"),1),"")</f>
        <v>1736299562.5</v>
      </c>
      <c r="F743">
        <f>IFERROR([1]!s_stm07_is_103($A743,TEXT($B$1,"yyyy/mm/dd"),1),"")</f>
        <v>576019593.75999999</v>
      </c>
      <c r="G743">
        <f>IFERROR([1]!s_stm07_is_104($A743,TEXT($B$1,"yyyy/mm/dd"),1),"")</f>
        <v>192805178.75999999</v>
      </c>
      <c r="H743">
        <f>IFERROR([1]!s_stm07_is_105($A743,TEXT($B$1,"yyyy/mm/dd"),1),"")</f>
        <v>39390739.82</v>
      </c>
      <c r="I743">
        <f>IFERROR([1]!s_stm07_is($A743,"W72946623",TEXT($B$1,"yyyy/mm/dd"),1),"")</f>
        <v>1912710459.1400001</v>
      </c>
      <c r="J743">
        <f>IFERROR([1]!s_stm07_is($A743,"W30028333",TEXT($B$1,"yyyy/mm/dd"),1),"")</f>
        <v>1663898879.4400001</v>
      </c>
      <c r="K743">
        <f>IFERROR([1]!s_stm07_cs($A743,"W77130581",TEXT($B$1,"yyyy/mm/dd"),1),"")</f>
        <v>3221047215.5900002</v>
      </c>
      <c r="L743">
        <f>IFERROR([1]!s_stm07_cs($A743,"W77745895",TEXT($B$1,"yyyy/mm/dd"),1),"")</f>
        <v>2669077843.0900002</v>
      </c>
      <c r="M743">
        <f>IFERROR([1]!S_FA_EPS_basic2($A743,$B$1,"Cur=CNY"),"")</f>
        <v>0.94430000000000003</v>
      </c>
      <c r="N743">
        <f>IFERROR([1]!s_fa_arturndays($A743,TEXT($B$1,"yyyy/mm/dd")),"")</f>
        <v>65.334599999999995</v>
      </c>
      <c r="O743" t="str">
        <f>IFERROR([1]!fa_apturndays($A743,TEXT($B$1,"yyyy/mm/dd")),"")</f>
        <v>Fetch...</v>
      </c>
      <c r="P743">
        <f>IFERROR([1]!s_fa_invturndays($A743,TEXT($B$1,"yyyy/mm/dd")),"")</f>
        <v>68.833699999999993</v>
      </c>
    </row>
    <row r="744" spans="1:16">
      <c r="A744" t="s">
        <v>757</v>
      </c>
      <c r="B744">
        <f>IFERROR([1]!s_stm07_is($A744,"W70156729",TEXT($B$1,"yyyy/mm/dd"),1),"")</f>
        <v>33282159404</v>
      </c>
      <c r="C744">
        <f>IFERROR([1]!s_stm07_is($A744,"W75682424",TEXT($B$1,"yyyy/mm/dd"),1),"")</f>
        <v>13207838172</v>
      </c>
      <c r="D744">
        <f>IFERROR([1]!s_stm07_is($A744,"W76031679",TEXT($B$1,"yyyy/mm/dd"),1),"")</f>
        <v>5145135431</v>
      </c>
      <c r="E744">
        <f>IFERROR([1]!s_stm07_is($A744,"W70752487",TEXT($B$1,"yyyy/mm/dd"),1),"")</f>
        <v>1550675756</v>
      </c>
      <c r="F744">
        <f>IFERROR([1]!s_stm07_is_103($A744,TEXT($B$1,"yyyy/mm/dd"),1),"")</f>
        <v>3578692207</v>
      </c>
      <c r="G744">
        <f>IFERROR([1]!s_stm07_is_104($A744,TEXT($B$1,"yyyy/mm/dd"),1),"")</f>
        <v>24024138</v>
      </c>
      <c r="H744">
        <f>IFERROR([1]!s_stm07_is_105($A744,TEXT($B$1,"yyyy/mm/dd"),1),"")</f>
        <v>479906226</v>
      </c>
      <c r="I744">
        <f>IFERROR([1]!s_stm07_is($A744,"W72946623",TEXT($B$1,"yyyy/mm/dd"),1),"")</f>
        <v>9673965739</v>
      </c>
      <c r="J744">
        <f>IFERROR([1]!s_stm07_is($A744,"W30028333",TEXT($B$1,"yyyy/mm/dd"),1),"")</f>
        <v>8135775409</v>
      </c>
      <c r="K744">
        <f>IFERROR([1]!s_stm07_cs($A744,"W77130581",TEXT($B$1,"yyyy/mm/dd"),1),"")</f>
        <v>10144968535</v>
      </c>
      <c r="L744">
        <f>IFERROR([1]!s_stm07_cs($A744,"W77745895",TEXT($B$1,"yyyy/mm/dd"),1),"")</f>
        <v>2037744137</v>
      </c>
      <c r="M744">
        <f>IFERROR([1]!S_FA_EPS_basic2($A744,$B$1,"Cur=CNY"),"")</f>
        <v>6.7146999999999997</v>
      </c>
      <c r="N744">
        <f>IFERROR([1]!s_fa_arturndays($A744,TEXT($B$1,"yyyy/mm/dd")),"")</f>
        <v>35.843000000000004</v>
      </c>
      <c r="O744" t="str">
        <f>IFERROR([1]!fa_apturndays($A744,TEXT($B$1,"yyyy/mm/dd")),"")</f>
        <v>Fetch...</v>
      </c>
      <c r="P744">
        <f>IFERROR([1]!s_fa_invturndays($A744,TEXT($B$1,"yyyy/mm/dd")),"")</f>
        <v>133.02789999999999</v>
      </c>
    </row>
    <row r="745" spans="1:16">
      <c r="A745" t="s">
        <v>758</v>
      </c>
      <c r="B745">
        <f>IFERROR([1]!s_stm07_is($A745,"W70156729",TEXT($B$1,"yyyy/mm/dd"),1),"")</f>
        <v>18729362431.470001</v>
      </c>
      <c r="C745">
        <f>IFERROR([1]!s_stm07_is($A745,"W75682424",TEXT($B$1,"yyyy/mm/dd"),1),"")</f>
        <v>16662797154.469999</v>
      </c>
      <c r="D745">
        <f>IFERROR([1]!s_stm07_is($A745,"W76031679",TEXT($B$1,"yyyy/mm/dd"),1),"")</f>
        <v>236516546.93000001</v>
      </c>
      <c r="E745">
        <f>IFERROR([1]!s_stm07_is($A745,"W70752487",TEXT($B$1,"yyyy/mm/dd"),1),"")</f>
        <v>801986438.90999997</v>
      </c>
      <c r="F745">
        <f>IFERROR([1]!s_stm07_is_103($A745,TEXT($B$1,"yyyy/mm/dd"),1),"")</f>
        <v>146476601.16</v>
      </c>
      <c r="G745">
        <f>IFERROR([1]!s_stm07_is_104($A745,TEXT($B$1,"yyyy/mm/dd"),1),"")</f>
        <v>72927681.140000001</v>
      </c>
      <c r="H745">
        <f>IFERROR([1]!s_stm07_is_105($A745,TEXT($B$1,"yyyy/mm/dd"),1),"")</f>
        <v>1113718.45</v>
      </c>
      <c r="I745">
        <f>IFERROR([1]!s_stm07_is($A745,"W72946623",TEXT($B$1,"yyyy/mm/dd"),1),"")</f>
        <v>569478135.17999995</v>
      </c>
      <c r="J745">
        <f>IFERROR([1]!s_stm07_is($A745,"W30028333",TEXT($B$1,"yyyy/mm/dd"),1),"")</f>
        <v>577787575.21000004</v>
      </c>
      <c r="K745">
        <f>IFERROR([1]!s_stm07_cs($A745,"W77130581",TEXT($B$1,"yyyy/mm/dd"),1),"")</f>
        <v>1847983640.9000001</v>
      </c>
      <c r="L745">
        <f>IFERROR([1]!s_stm07_cs($A745,"W77745895",TEXT($B$1,"yyyy/mm/dd"),1),"")</f>
        <v>1652759179.8599999</v>
      </c>
      <c r="M745">
        <f>IFERROR([1]!S_FA_EPS_basic2($A745,$B$1,"Cur=CNY"),"")</f>
        <v>0.69340000000000002</v>
      </c>
      <c r="N745">
        <f>IFERROR([1]!s_fa_arturndays($A745,TEXT($B$1,"yyyy/mm/dd")),"")</f>
        <v>0.35589999999999999</v>
      </c>
      <c r="O745" t="str">
        <f>IFERROR([1]!fa_apturndays($A745,TEXT($B$1,"yyyy/mm/dd")),"")</f>
        <v>Fetch...</v>
      </c>
      <c r="P745">
        <f>IFERROR([1]!s_fa_invturndays($A745,TEXT($B$1,"yyyy/mm/dd")),"")</f>
        <v>63.976100000000002</v>
      </c>
    </row>
    <row r="746" spans="1:16">
      <c r="A746" t="s">
        <v>759</v>
      </c>
      <c r="B746">
        <f>IFERROR([1]!s_stm07_is($A746,"W70156729",TEXT($B$1,"yyyy/mm/dd"),1),"")</f>
        <v>502545795.70999998</v>
      </c>
      <c r="C746">
        <f>IFERROR([1]!s_stm07_is($A746,"W75682424",TEXT($B$1,"yyyy/mm/dd"),1),"")</f>
        <v>336658356.44</v>
      </c>
      <c r="D746">
        <f>IFERROR([1]!s_stm07_is($A746,"W76031679",TEXT($B$1,"yyyy/mm/dd"),1),"")</f>
        <v>32036130.190000001</v>
      </c>
      <c r="E746">
        <f>IFERROR([1]!s_stm07_is($A746,"W70752487",TEXT($B$1,"yyyy/mm/dd"),1),"")</f>
        <v>68467867.730000004</v>
      </c>
      <c r="F746">
        <f>IFERROR([1]!s_stm07_is_103($A746,TEXT($B$1,"yyyy/mm/dd"),1),"")</f>
        <v>227015518.03999999</v>
      </c>
      <c r="G746">
        <f>IFERROR([1]!s_stm07_is_104($A746,TEXT($B$1,"yyyy/mm/dd"),1),"")</f>
        <v>23715803.539999999</v>
      </c>
      <c r="H746">
        <f>IFERROR([1]!s_stm07_is_105($A746,TEXT($B$1,"yyyy/mm/dd"),1),"")</f>
        <v>36131526.979999997</v>
      </c>
      <c r="I746">
        <f>IFERROR([1]!s_stm07_is($A746,"W72946623",TEXT($B$1,"yyyy/mm/dd"),1),"")</f>
        <v>-176206625.31</v>
      </c>
      <c r="J746">
        <f>IFERROR([1]!s_stm07_is($A746,"W30028333",TEXT($B$1,"yyyy/mm/dd"),1),"")</f>
        <v>-121929918.62</v>
      </c>
      <c r="K746">
        <f>IFERROR([1]!s_stm07_cs($A746,"W77130581",TEXT($B$1,"yyyy/mm/dd"),1),"")</f>
        <v>43715545.289999999</v>
      </c>
      <c r="L746">
        <f>IFERROR([1]!s_stm07_cs($A746,"W77745895",TEXT($B$1,"yyyy/mm/dd"),1),"")</f>
        <v>88712314.810000002</v>
      </c>
      <c r="M746">
        <f>IFERROR([1]!S_FA_EPS_basic2($A746,$B$1,"Cur=CNY"),"")</f>
        <v>-0.19</v>
      </c>
      <c r="N746">
        <f>IFERROR([1]!s_fa_arturndays($A746,TEXT($B$1,"yyyy/mm/dd")),"")</f>
        <v>682.59389999999996</v>
      </c>
      <c r="O746" t="str">
        <f>IFERROR([1]!fa_apturndays($A746,TEXT($B$1,"yyyy/mm/dd")),"")</f>
        <v>Fetch...</v>
      </c>
      <c r="P746">
        <f>IFERROR([1]!s_fa_invturndays($A746,TEXT($B$1,"yyyy/mm/dd")),"")</f>
        <v>458.1318</v>
      </c>
    </row>
    <row r="747" spans="1:16">
      <c r="A747" t="s">
        <v>760</v>
      </c>
      <c r="B747">
        <f>IFERROR([1]!s_stm07_is($A747,"W70156729",TEXT($B$1,"yyyy/mm/dd"),1),"")</f>
        <v>6951643738.9499998</v>
      </c>
      <c r="C747">
        <f>IFERROR([1]!s_stm07_is($A747,"W75682424",TEXT($B$1,"yyyy/mm/dd"),1),"")</f>
        <v>4554266779.9200001</v>
      </c>
      <c r="D747">
        <f>IFERROR([1]!s_stm07_is($A747,"W76031679",TEXT($B$1,"yyyy/mm/dd"),1),"")</f>
        <v>540997347.83000004</v>
      </c>
      <c r="E747">
        <f>IFERROR([1]!s_stm07_is($A747,"W70752487",TEXT($B$1,"yyyy/mm/dd"),1),"")</f>
        <v>333120100.31999999</v>
      </c>
      <c r="F747">
        <f>IFERROR([1]!s_stm07_is_103($A747,TEXT($B$1,"yyyy/mm/dd"),1),"")</f>
        <v>507612746.76999998</v>
      </c>
      <c r="G747">
        <f>IFERROR([1]!s_stm07_is_104($A747,TEXT($B$1,"yyyy/mm/dd"),1),"")</f>
        <v>251727032.13999999</v>
      </c>
      <c r="H747">
        <f>IFERROR([1]!s_stm07_is_105($A747,TEXT($B$1,"yyyy/mm/dd"),1),"")</f>
        <v>7264206.1100000003</v>
      </c>
      <c r="I747">
        <f>IFERROR([1]!s_stm07_is($A747,"W72946623",TEXT($B$1,"yyyy/mm/dd"),1),"")</f>
        <v>780402180.34000003</v>
      </c>
      <c r="J747">
        <f>IFERROR([1]!s_stm07_is($A747,"W30028333",TEXT($B$1,"yyyy/mm/dd"),1),"")</f>
        <v>743213293.13</v>
      </c>
      <c r="K747">
        <f>IFERROR([1]!s_stm07_cs($A747,"W77130581",TEXT($B$1,"yyyy/mm/dd"),1),"")</f>
        <v>2203388963.7600002</v>
      </c>
      <c r="L747">
        <f>IFERROR([1]!s_stm07_cs($A747,"W77745895",TEXT($B$1,"yyyy/mm/dd"),1),"")</f>
        <v>278608638.27999997</v>
      </c>
      <c r="M747">
        <f>IFERROR([1]!S_FA_EPS_basic2($A747,$B$1,"Cur=CNY"),"")</f>
        <v>1.88</v>
      </c>
      <c r="N747">
        <f>IFERROR([1]!s_fa_arturndays($A747,TEXT($B$1,"yyyy/mm/dd")),"")</f>
        <v>57.133800000000001</v>
      </c>
      <c r="O747" t="str">
        <f>IFERROR([1]!fa_apturndays($A747,TEXT($B$1,"yyyy/mm/dd")),"")</f>
        <v>Fetch...</v>
      </c>
      <c r="P747">
        <f>IFERROR([1]!s_fa_invturndays($A747,TEXT($B$1,"yyyy/mm/dd")),"")</f>
        <v>142.65899999999999</v>
      </c>
    </row>
    <row r="748" spans="1:16">
      <c r="A748" t="s">
        <v>761</v>
      </c>
      <c r="B748">
        <f>IFERROR([1]!s_stm07_is($A748,"W70156729",TEXT($B$1,"yyyy/mm/dd"),1),"")</f>
        <v>1218230581.74</v>
      </c>
      <c r="C748">
        <f>IFERROR([1]!s_stm07_is($A748,"W75682424",TEXT($B$1,"yyyy/mm/dd"),1),"")</f>
        <v>452324440.67000002</v>
      </c>
      <c r="D748">
        <f>IFERROR([1]!s_stm07_is($A748,"W76031679",TEXT($B$1,"yyyy/mm/dd"),1),"")</f>
        <v>386590039.61000001</v>
      </c>
      <c r="E748">
        <f>IFERROR([1]!s_stm07_is($A748,"W70752487",TEXT($B$1,"yyyy/mm/dd"),1),"")</f>
        <v>45929539.82</v>
      </c>
      <c r="F748">
        <f>IFERROR([1]!s_stm07_is_103($A748,TEXT($B$1,"yyyy/mm/dd"),1),"")</f>
        <v>264956938.86000001</v>
      </c>
      <c r="G748">
        <f>IFERROR([1]!s_stm07_is_104($A748,TEXT($B$1,"yyyy/mm/dd"),1),"")</f>
        <v>753114.14</v>
      </c>
      <c r="H748">
        <f>IFERROR([1]!s_stm07_is_105($A748,TEXT($B$1,"yyyy/mm/dd"),1),"")</f>
        <v>73726297.819999993</v>
      </c>
      <c r="I748">
        <f>IFERROR([1]!s_stm07_is($A748,"W72946623",TEXT($B$1,"yyyy/mm/dd"),1),"")</f>
        <v>186903469.90000001</v>
      </c>
      <c r="J748">
        <f>IFERROR([1]!s_stm07_is($A748,"W30028333",TEXT($B$1,"yyyy/mm/dd"),1),"")</f>
        <v>181233616</v>
      </c>
      <c r="K748">
        <f>IFERROR([1]!s_stm07_cs($A748,"W77130581",TEXT($B$1,"yyyy/mm/dd"),1),"")</f>
        <v>152820149.25999999</v>
      </c>
      <c r="L748">
        <f>IFERROR([1]!s_stm07_cs($A748,"W77745895",TEXT($B$1,"yyyy/mm/dd"),1),"")</f>
        <v>81581333.609999999</v>
      </c>
      <c r="M748">
        <f>IFERROR([1]!S_FA_EPS_basic2($A748,$B$1,"Cur=CNY"),"")</f>
        <v>0.28999999999999998</v>
      </c>
      <c r="N748">
        <f>IFERROR([1]!s_fa_arturndays($A748,TEXT($B$1,"yyyy/mm/dd")),"")</f>
        <v>39.005400000000002</v>
      </c>
      <c r="O748" t="str">
        <f>IFERROR([1]!fa_apturndays($A748,TEXT($B$1,"yyyy/mm/dd")),"")</f>
        <v>Fetch...</v>
      </c>
      <c r="P748">
        <f>IFERROR([1]!s_fa_invturndays($A748,TEXT($B$1,"yyyy/mm/dd")),"")</f>
        <v>292.0419</v>
      </c>
    </row>
    <row r="749" spans="1:16">
      <c r="A749" t="s">
        <v>762</v>
      </c>
      <c r="B749">
        <f>IFERROR([1]!s_stm07_is($A749,"W70156729",TEXT($B$1,"yyyy/mm/dd"),1),"")</f>
        <v>1626168006.6600001</v>
      </c>
      <c r="C749">
        <f>IFERROR([1]!s_stm07_is($A749,"W75682424",TEXT($B$1,"yyyy/mm/dd"),1),"")</f>
        <v>852390493.95000005</v>
      </c>
      <c r="D749">
        <f>IFERROR([1]!s_stm07_is($A749,"W76031679",TEXT($B$1,"yyyy/mm/dd"),1),"")</f>
        <v>40034207.439999998</v>
      </c>
      <c r="E749">
        <f>IFERROR([1]!s_stm07_is($A749,"W70752487",TEXT($B$1,"yyyy/mm/dd"),1),"")</f>
        <v>52502983.509999998</v>
      </c>
      <c r="F749">
        <f>IFERROR([1]!s_stm07_is_103($A749,TEXT($B$1,"yyyy/mm/dd"),1),"")</f>
        <v>48793739.649999999</v>
      </c>
      <c r="G749">
        <f>IFERROR([1]!s_stm07_is_104($A749,TEXT($B$1,"yyyy/mm/dd"),1),"")</f>
        <v>199739.48</v>
      </c>
      <c r="H749">
        <f>IFERROR([1]!s_stm07_is_105($A749,TEXT($B$1,"yyyy/mm/dd"),1),"")</f>
        <v>59577087.259999998</v>
      </c>
      <c r="I749">
        <f>IFERROR([1]!s_stm07_is($A749,"W72946623",TEXT($B$1,"yyyy/mm/dd"),1),"")</f>
        <v>664967665.62</v>
      </c>
      <c r="J749">
        <f>IFERROR([1]!s_stm07_is($A749,"W30028333",TEXT($B$1,"yyyy/mm/dd"),1),"")</f>
        <v>660434408.66999996</v>
      </c>
      <c r="K749">
        <f>IFERROR([1]!s_stm07_cs($A749,"W77130581",TEXT($B$1,"yyyy/mm/dd"),1),"")</f>
        <v>775735581.69000006</v>
      </c>
      <c r="L749">
        <f>IFERROR([1]!s_stm07_cs($A749,"W77745895",TEXT($B$1,"yyyy/mm/dd"),1),"")</f>
        <v>99177058.980000004</v>
      </c>
      <c r="M749">
        <f>IFERROR([1]!S_FA_EPS_basic2($A749,$B$1,"Cur=CNY"),"")</f>
        <v>2.89</v>
      </c>
      <c r="N749">
        <f>IFERROR([1]!s_fa_arturndays($A749,TEXT($B$1,"yyyy/mm/dd")),"")</f>
        <v>35.101399999999998</v>
      </c>
      <c r="O749" t="str">
        <f>IFERROR([1]!fa_apturndays($A749,TEXT($B$1,"yyyy/mm/dd")),"")</f>
        <v>Fetch...</v>
      </c>
      <c r="P749">
        <f>IFERROR([1]!s_fa_invturndays($A749,TEXT($B$1,"yyyy/mm/dd")),"")</f>
        <v>377.04230000000001</v>
      </c>
    </row>
    <row r="750" spans="1:16">
      <c r="A750" t="s">
        <v>763</v>
      </c>
      <c r="B750">
        <f>IFERROR([1]!s_stm07_is($A750,"W70156729",TEXT($B$1,"yyyy/mm/dd"),1),"")</f>
        <v>29402378505.209999</v>
      </c>
      <c r="C750">
        <f>IFERROR([1]!s_stm07_is($A750,"W75682424",TEXT($B$1,"yyyy/mm/dd"),1),"")</f>
        <v>27178289143.799999</v>
      </c>
      <c r="D750">
        <f>IFERROR([1]!s_stm07_is($A750,"W76031679",TEXT($B$1,"yyyy/mm/dd"),1),"")</f>
        <v>1021447329.28</v>
      </c>
      <c r="E750">
        <f>IFERROR([1]!s_stm07_is($A750,"W70752487",TEXT($B$1,"yyyy/mm/dd"),1),"")</f>
        <v>177804299.81</v>
      </c>
      <c r="F750">
        <f>IFERROR([1]!s_stm07_is_103($A750,TEXT($B$1,"yyyy/mm/dd"),1),"")</f>
        <v>835787287.44000006</v>
      </c>
      <c r="G750">
        <f>IFERROR([1]!s_stm07_is_104($A750,TEXT($B$1,"yyyy/mm/dd"),1),"")</f>
        <v>80943495.359999999</v>
      </c>
      <c r="H750">
        <f>IFERROR([1]!s_stm07_is_105($A750,TEXT($B$1,"yyyy/mm/dd"),1),"")</f>
        <v>91764722.379999995</v>
      </c>
      <c r="I750">
        <f>IFERROR([1]!s_stm07_is($A750,"W72946623",TEXT($B$1,"yyyy/mm/dd"),1),"")</f>
        <v>326024656.88</v>
      </c>
      <c r="J750">
        <f>IFERROR([1]!s_stm07_is($A750,"W30028333",TEXT($B$1,"yyyy/mm/dd"),1),"")</f>
        <v>339933208.63999999</v>
      </c>
      <c r="K750">
        <f>IFERROR([1]!s_stm07_cs($A750,"W77130581",TEXT($B$1,"yyyy/mm/dd"),1),"")</f>
        <v>558624971.90999997</v>
      </c>
      <c r="L750">
        <f>IFERROR([1]!s_stm07_cs($A750,"W77745895",TEXT($B$1,"yyyy/mm/dd"),1),"")</f>
        <v>3098702854.8600001</v>
      </c>
      <c r="M750">
        <f>IFERROR([1]!S_FA_EPS_basic2($A750,$B$1,"Cur=CNY"),"")</f>
        <v>0.44</v>
      </c>
      <c r="N750">
        <f>IFERROR([1]!s_fa_arturndays($A750,TEXT($B$1,"yyyy/mm/dd")),"")</f>
        <v>127.5917</v>
      </c>
      <c r="O750" t="str">
        <f>IFERROR([1]!fa_apturndays($A750,TEXT($B$1,"yyyy/mm/dd")),"")</f>
        <v>Fetch...</v>
      </c>
      <c r="P750">
        <f>IFERROR([1]!s_fa_invturndays($A750,TEXT($B$1,"yyyy/mm/dd")),"")</f>
        <v>113.5217</v>
      </c>
    </row>
    <row r="751" spans="1:16">
      <c r="A751" t="s">
        <v>764</v>
      </c>
      <c r="B751">
        <f>IFERROR([1]!s_stm07_is($A751,"W70156729",TEXT($B$1,"yyyy/mm/dd"),1),"")</f>
        <v>5548910341.7700005</v>
      </c>
      <c r="C751">
        <f>IFERROR([1]!s_stm07_is($A751,"W75682424",TEXT($B$1,"yyyy/mm/dd"),1),"")</f>
        <v>4142014127.0900002</v>
      </c>
      <c r="D751">
        <f>IFERROR([1]!s_stm07_is($A751,"W76031679",TEXT($B$1,"yyyy/mm/dd"),1),"")</f>
        <v>534450881.01999998</v>
      </c>
      <c r="E751">
        <f>IFERROR([1]!s_stm07_is($A751,"W70752487",TEXT($B$1,"yyyy/mm/dd"),1),"")</f>
        <v>241547991.28</v>
      </c>
      <c r="F751">
        <f>IFERROR([1]!s_stm07_is_103($A751,TEXT($B$1,"yyyy/mm/dd"),1),"")</f>
        <v>302711715.61000001</v>
      </c>
      <c r="G751">
        <f>IFERROR([1]!s_stm07_is_104($A751,TEXT($B$1,"yyyy/mm/dd"),1),"")</f>
        <v>12736514.34</v>
      </c>
      <c r="H751">
        <f>IFERROR([1]!s_stm07_is_105($A751,TEXT($B$1,"yyyy/mm/dd"),1),"")</f>
        <v>37553888.520000003</v>
      </c>
      <c r="I751">
        <f>IFERROR([1]!s_stm07_is($A751,"W72946623",TEXT($B$1,"yyyy/mm/dd"),1),"")</f>
        <v>1347957495.6099999</v>
      </c>
      <c r="J751">
        <f>IFERROR([1]!s_stm07_is($A751,"W30028333",TEXT($B$1,"yyyy/mm/dd"),1),"")</f>
        <v>1170636476.04</v>
      </c>
      <c r="K751">
        <f>IFERROR([1]!s_stm07_cs($A751,"W77130581",TEXT($B$1,"yyyy/mm/dd"),1),"")</f>
        <v>606877298.61000001</v>
      </c>
      <c r="L751">
        <f>IFERROR([1]!s_stm07_cs($A751,"W77745895",TEXT($B$1,"yyyy/mm/dd"),1),"")</f>
        <v>43938216.600000001</v>
      </c>
      <c r="M751">
        <f>IFERROR([1]!S_FA_EPS_basic2($A751,$B$1,"Cur=CNY"),"")</f>
        <v>1.51</v>
      </c>
      <c r="N751">
        <f>IFERROR([1]!s_fa_arturndays($A751,TEXT($B$1,"yyyy/mm/dd")),"")</f>
        <v>27.221599999999999</v>
      </c>
      <c r="O751" t="str">
        <f>IFERROR([1]!fa_apturndays($A751,TEXT($B$1,"yyyy/mm/dd")),"")</f>
        <v>Fetch...</v>
      </c>
      <c r="P751">
        <f>IFERROR([1]!s_fa_invturndays($A751,TEXT($B$1,"yyyy/mm/dd")),"")</f>
        <v>0.78410000000000002</v>
      </c>
    </row>
    <row r="752" spans="1:16">
      <c r="A752" t="s">
        <v>765</v>
      </c>
      <c r="B752">
        <f>IFERROR([1]!s_stm07_is($A752,"W70156729",TEXT($B$1,"yyyy/mm/dd"),1),"")</f>
        <v>1588522138.04</v>
      </c>
      <c r="C752">
        <f>IFERROR([1]!s_stm07_is($A752,"W75682424",TEXT($B$1,"yyyy/mm/dd"),1),"")</f>
        <v>956423965.51999998</v>
      </c>
      <c r="D752">
        <f>IFERROR([1]!s_stm07_is($A752,"W76031679",TEXT($B$1,"yyyy/mm/dd"),1),"")</f>
        <v>11195040.619999999</v>
      </c>
      <c r="E752">
        <f>IFERROR([1]!s_stm07_is($A752,"W70752487",TEXT($B$1,"yyyy/mm/dd"),1),"")</f>
        <v>86667806.379999995</v>
      </c>
      <c r="F752">
        <f>IFERROR([1]!s_stm07_is_103($A752,TEXT($B$1,"yyyy/mm/dd"),1),"")</f>
        <v>87254071.810000002</v>
      </c>
      <c r="G752">
        <f>IFERROR([1]!s_stm07_is_104($A752,TEXT($B$1,"yyyy/mm/dd"),1),"")</f>
        <v>42351889.799999997</v>
      </c>
      <c r="H752">
        <f>IFERROR([1]!s_stm07_is_105($A752,TEXT($B$1,"yyyy/mm/dd"),1),"")</f>
        <v>49358742.130000003</v>
      </c>
      <c r="I752">
        <f>IFERROR([1]!s_stm07_is($A752,"W72946623",TEXT($B$1,"yyyy/mm/dd"),1),"")</f>
        <v>457034170.68000001</v>
      </c>
      <c r="J752">
        <f>IFERROR([1]!s_stm07_is($A752,"W30028333",TEXT($B$1,"yyyy/mm/dd"),1),"")</f>
        <v>388608654.11000001</v>
      </c>
      <c r="K752">
        <f>IFERROR([1]!s_stm07_cs($A752,"W77130581",TEXT($B$1,"yyyy/mm/dd"),1),"")</f>
        <v>266554519.68000001</v>
      </c>
      <c r="L752">
        <f>IFERROR([1]!s_stm07_cs($A752,"W77745895",TEXT($B$1,"yyyy/mm/dd"),1),"")</f>
        <v>203213363.53999999</v>
      </c>
      <c r="M752">
        <f>IFERROR([1]!S_FA_EPS_basic2($A752,$B$1,"Cur=CNY"),"")</f>
        <v>0.71</v>
      </c>
      <c r="N752">
        <f>IFERROR([1]!s_fa_arturndays($A752,TEXT($B$1,"yyyy/mm/dd")),"")</f>
        <v>293.5421</v>
      </c>
      <c r="O752" t="str">
        <f>IFERROR([1]!fa_apturndays($A752,TEXT($B$1,"yyyy/mm/dd")),"")</f>
        <v>Fetch...</v>
      </c>
      <c r="P752">
        <f>IFERROR([1]!s_fa_invturndays($A752,TEXT($B$1,"yyyy/mm/dd")),"")</f>
        <v>373.87060000000002</v>
      </c>
    </row>
    <row r="753" spans="1:16">
      <c r="A753" t="s">
        <v>766</v>
      </c>
      <c r="B753">
        <f>IFERROR([1]!s_stm07_is($A753,"W70156729",TEXT($B$1,"yyyy/mm/dd"),1),"")</f>
        <v>2033103519.21</v>
      </c>
      <c r="C753">
        <f>IFERROR([1]!s_stm07_is($A753,"W75682424",TEXT($B$1,"yyyy/mm/dd"),1),"")</f>
        <v>1086277304.78</v>
      </c>
      <c r="D753">
        <f>IFERROR([1]!s_stm07_is($A753,"W76031679",TEXT($B$1,"yyyy/mm/dd"),1),"")</f>
        <v>14994007.51</v>
      </c>
      <c r="E753">
        <f>IFERROR([1]!s_stm07_is($A753,"W70752487",TEXT($B$1,"yyyy/mm/dd"),1),"")</f>
        <v>69981135.549999997</v>
      </c>
      <c r="F753">
        <f>IFERROR([1]!s_stm07_is_103($A753,TEXT($B$1,"yyyy/mm/dd"),1),"")</f>
        <v>229387413.94</v>
      </c>
      <c r="G753">
        <f>IFERROR([1]!s_stm07_is_104($A753,TEXT($B$1,"yyyy/mm/dd"),1),"")</f>
        <v>39904966.990000002</v>
      </c>
      <c r="H753">
        <f>IFERROR([1]!s_stm07_is_105($A753,TEXT($B$1,"yyyy/mm/dd"),1),"")</f>
        <v>52032056.25</v>
      </c>
      <c r="I753">
        <f>IFERROR([1]!s_stm07_is($A753,"W72946623",TEXT($B$1,"yyyy/mm/dd"),1),"")</f>
        <v>582459777.97000003</v>
      </c>
      <c r="J753">
        <f>IFERROR([1]!s_stm07_is($A753,"W30028333",TEXT($B$1,"yyyy/mm/dd"),1),"")</f>
        <v>519223327.08999997</v>
      </c>
      <c r="K753">
        <f>IFERROR([1]!s_stm07_cs($A753,"W77130581",TEXT($B$1,"yyyy/mm/dd"),1),"")</f>
        <v>116353925.95999999</v>
      </c>
      <c r="L753">
        <f>IFERROR([1]!s_stm07_cs($A753,"W77745895",TEXT($B$1,"yyyy/mm/dd"),1),"")</f>
        <v>76399069.060000002</v>
      </c>
      <c r="M753">
        <f>IFERROR([1]!S_FA_EPS_basic2($A753,$B$1,"Cur=CNY"),"")</f>
        <v>1.91</v>
      </c>
      <c r="N753">
        <f>IFERROR([1]!s_fa_arturndays($A753,TEXT($B$1,"yyyy/mm/dd")),"")</f>
        <v>175.34460000000001</v>
      </c>
      <c r="O753" t="str">
        <f>IFERROR([1]!fa_apturndays($A753,TEXT($B$1,"yyyy/mm/dd")),"")</f>
        <v>Fetch...</v>
      </c>
      <c r="P753">
        <f>IFERROR([1]!s_fa_invturndays($A753,TEXT($B$1,"yyyy/mm/dd")),"")</f>
        <v>597.7088</v>
      </c>
    </row>
    <row r="754" spans="1:16">
      <c r="A754" t="s">
        <v>767</v>
      </c>
      <c r="B754">
        <f>IFERROR([1]!s_stm07_is($A754,"W70156729",TEXT($B$1,"yyyy/mm/dd"),1),"")</f>
        <v>846092620.65999997</v>
      </c>
      <c r="C754">
        <f>IFERROR([1]!s_stm07_is($A754,"W75682424",TEXT($B$1,"yyyy/mm/dd"),1),"")</f>
        <v>297411048.79000002</v>
      </c>
      <c r="D754">
        <f>IFERROR([1]!s_stm07_is($A754,"W76031679",TEXT($B$1,"yyyy/mm/dd"),1),"")</f>
        <v>4536612.03</v>
      </c>
      <c r="E754">
        <f>IFERROR([1]!s_stm07_is($A754,"W70752487",TEXT($B$1,"yyyy/mm/dd"),1),"")</f>
        <v>55696348.460000001</v>
      </c>
      <c r="F754">
        <f>IFERROR([1]!s_stm07_is_103($A754,TEXT($B$1,"yyyy/mm/dd"),1),"")</f>
        <v>117509715.58</v>
      </c>
      <c r="G754">
        <f>IFERROR([1]!s_stm07_is_104($A754,TEXT($B$1,"yyyy/mm/dd"),1),"")</f>
        <v>0</v>
      </c>
      <c r="H754">
        <f>IFERROR([1]!s_stm07_is_105($A754,TEXT($B$1,"yyyy/mm/dd"),1),"")</f>
        <v>5160307.93</v>
      </c>
      <c r="I754">
        <f>IFERROR([1]!s_stm07_is($A754,"W72946623",TEXT($B$1,"yyyy/mm/dd"),1),"")</f>
        <v>379180452.18000001</v>
      </c>
      <c r="J754">
        <f>IFERROR([1]!s_stm07_is($A754,"W30028333",TEXT($B$1,"yyyy/mm/dd"),1),"")</f>
        <v>314642566.35000002</v>
      </c>
      <c r="K754">
        <f>IFERROR([1]!s_stm07_cs($A754,"W77130581",TEXT($B$1,"yyyy/mm/dd"),1),"")</f>
        <v>879650385.65999997</v>
      </c>
      <c r="L754">
        <f>IFERROR([1]!s_stm07_cs($A754,"W77745895",TEXT($B$1,"yyyy/mm/dd"),1),"")</f>
        <v>584871714.98000002</v>
      </c>
      <c r="M754">
        <f>IFERROR([1]!S_FA_EPS_basic2($A754,$B$1,"Cur=CNY"),"")</f>
        <v>0.72</v>
      </c>
      <c r="N754">
        <f>IFERROR([1]!s_fa_arturndays($A754,TEXT($B$1,"yyyy/mm/dd")),"")</f>
        <v>262.90809999999999</v>
      </c>
      <c r="O754" t="str">
        <f>IFERROR([1]!fa_apturndays($A754,TEXT($B$1,"yyyy/mm/dd")),"")</f>
        <v>Fetch...</v>
      </c>
      <c r="P754">
        <f>IFERROR([1]!s_fa_invturndays($A754,TEXT($B$1,"yyyy/mm/dd")),"")</f>
        <v>117.08839999999999</v>
      </c>
    </row>
    <row r="755" spans="1:16">
      <c r="A755" t="s">
        <v>768</v>
      </c>
      <c r="B755">
        <f>IFERROR([1]!s_stm07_is($A755,"W70156729",TEXT($B$1,"yyyy/mm/dd"),1),"")</f>
        <v>1135783190.24</v>
      </c>
      <c r="C755">
        <f>IFERROR([1]!s_stm07_is($A755,"W75682424",TEXT($B$1,"yyyy/mm/dd"),1),"")</f>
        <v>804523575.94000006</v>
      </c>
      <c r="D755">
        <f>IFERROR([1]!s_stm07_is($A755,"W76031679",TEXT($B$1,"yyyy/mm/dd"),1),"")</f>
        <v>34805823.75</v>
      </c>
      <c r="E755">
        <f>IFERROR([1]!s_stm07_is($A755,"W70752487",TEXT($B$1,"yyyy/mm/dd"),1),"")</f>
        <v>114364333.04000001</v>
      </c>
      <c r="F755">
        <f>IFERROR([1]!s_stm07_is_103($A755,TEXT($B$1,"yyyy/mm/dd"),1),"")</f>
        <v>24102017.670000002</v>
      </c>
      <c r="G755">
        <f>IFERROR([1]!s_stm07_is_104($A755,TEXT($B$1,"yyyy/mm/dd"),1),"")</f>
        <v>76780388.829999998</v>
      </c>
      <c r="H755">
        <f>IFERROR([1]!s_stm07_is_105($A755,TEXT($B$1,"yyyy/mm/dd"),1),"")</f>
        <v>2764875.78</v>
      </c>
      <c r="I755">
        <f>IFERROR([1]!s_stm07_is($A755,"W72946623",TEXT($B$1,"yyyy/mm/dd"),1),"")</f>
        <v>71639919.340000004</v>
      </c>
      <c r="J755">
        <f>IFERROR([1]!s_stm07_is($A755,"W30028333",TEXT($B$1,"yyyy/mm/dd"),1),"")</f>
        <v>58467192.899999999</v>
      </c>
      <c r="K755">
        <f>IFERROR([1]!s_stm07_cs($A755,"W77130581",TEXT($B$1,"yyyy/mm/dd"),1),"")</f>
        <v>-192980014.40000001</v>
      </c>
      <c r="L755">
        <f>IFERROR([1]!s_stm07_cs($A755,"W77745895",TEXT($B$1,"yyyy/mm/dd"),1),"")</f>
        <v>905066486.22000003</v>
      </c>
      <c r="M755">
        <f>IFERROR([1]!S_FA_EPS_basic2($A755,$B$1,"Cur=CNY"),"")</f>
        <v>0.3</v>
      </c>
      <c r="N755">
        <f>IFERROR([1]!s_fa_arturndays($A755,TEXT($B$1,"yyyy/mm/dd")),"")</f>
        <v>137.08019999999999</v>
      </c>
      <c r="O755" t="str">
        <f>IFERROR([1]!fa_apturndays($A755,TEXT($B$1,"yyyy/mm/dd")),"")</f>
        <v>Fetch...</v>
      </c>
      <c r="P755">
        <f>IFERROR([1]!s_fa_invturndays($A755,TEXT($B$1,"yyyy/mm/dd")),"")</f>
        <v>217.48320000000001</v>
      </c>
    </row>
    <row r="756" spans="1:16">
      <c r="A756" t="s">
        <v>769</v>
      </c>
      <c r="B756">
        <f>IFERROR([1]!s_stm07_is($A756,"W70156729",TEXT($B$1,"yyyy/mm/dd"),1),"")</f>
        <v>3726094578.6100001</v>
      </c>
      <c r="C756">
        <f>IFERROR([1]!s_stm07_is($A756,"W75682424",TEXT($B$1,"yyyy/mm/dd"),1),"")</f>
        <v>2769502714.0900002</v>
      </c>
      <c r="D756">
        <f>IFERROR([1]!s_stm07_is($A756,"W76031679",TEXT($B$1,"yyyy/mm/dd"),1),"")</f>
        <v>44633576.640000001</v>
      </c>
      <c r="E756">
        <f>IFERROR([1]!s_stm07_is($A756,"W70752487",TEXT($B$1,"yyyy/mm/dd"),1),"")</f>
        <v>171888112.56999999</v>
      </c>
      <c r="F756">
        <f>IFERROR([1]!s_stm07_is_103($A756,TEXT($B$1,"yyyy/mm/dd"),1),"")</f>
        <v>866863922.25999999</v>
      </c>
      <c r="G756">
        <f>IFERROR([1]!s_stm07_is_104($A756,TEXT($B$1,"yyyy/mm/dd"),1),"")</f>
        <v>75797341.319999993</v>
      </c>
      <c r="H756">
        <f>IFERROR([1]!s_stm07_is_105($A756,TEXT($B$1,"yyyy/mm/dd"),1),"")</f>
        <v>42558027.359999999</v>
      </c>
      <c r="I756">
        <f>IFERROR([1]!s_stm07_is($A756,"W72946623",TEXT($B$1,"yyyy/mm/dd"),1),"")</f>
        <v>-358744660.30000001</v>
      </c>
      <c r="J756">
        <f>IFERROR([1]!s_stm07_is($A756,"W30028333",TEXT($B$1,"yyyy/mm/dd"),1),"")</f>
        <v>-292878971.29000002</v>
      </c>
      <c r="K756">
        <f>IFERROR([1]!s_stm07_cs($A756,"W77130581",TEXT($B$1,"yyyy/mm/dd"),1),"")</f>
        <v>103797645.62</v>
      </c>
      <c r="L756">
        <f>IFERROR([1]!s_stm07_cs($A756,"W77745895",TEXT($B$1,"yyyy/mm/dd"),1),"")</f>
        <v>805660635.07000005</v>
      </c>
      <c r="M756">
        <f>IFERROR([1]!S_FA_EPS_basic2($A756,$B$1,"Cur=CNY"),"")</f>
        <v>-0.54769999999999996</v>
      </c>
      <c r="N756">
        <f>IFERROR([1]!s_fa_arturndays($A756,TEXT($B$1,"yyyy/mm/dd")),"")</f>
        <v>56.994500000000002</v>
      </c>
      <c r="O756" t="str">
        <f>IFERROR([1]!fa_apturndays($A756,TEXT($B$1,"yyyy/mm/dd")),"")</f>
        <v>Fetch...</v>
      </c>
      <c r="P756">
        <f>IFERROR([1]!s_fa_invturndays($A756,TEXT($B$1,"yyyy/mm/dd")),"")</f>
        <v>379.74680000000001</v>
      </c>
    </row>
    <row r="757" spans="1:16">
      <c r="A757" t="s">
        <v>770</v>
      </c>
      <c r="B757">
        <f>IFERROR([1]!s_stm07_is($A757,"W70156729",TEXT($B$1,"yyyy/mm/dd"),1),"")</f>
        <v>10189003026.450001</v>
      </c>
      <c r="C757">
        <f>IFERROR([1]!s_stm07_is($A757,"W75682424",TEXT($B$1,"yyyy/mm/dd"),1),"")</f>
        <v>7700568779.0299997</v>
      </c>
      <c r="D757">
        <f>IFERROR([1]!s_stm07_is($A757,"W76031679",TEXT($B$1,"yyyy/mm/dd"),1),"")</f>
        <v>2010899258.8699999</v>
      </c>
      <c r="E757">
        <f>IFERROR([1]!s_stm07_is($A757,"W70752487",TEXT($B$1,"yyyy/mm/dd"),1),"")</f>
        <v>299572103.69999999</v>
      </c>
      <c r="F757">
        <f>IFERROR([1]!s_stm07_is_103($A757,TEXT($B$1,"yyyy/mm/dd"),1),"")</f>
        <v>33076804.73</v>
      </c>
      <c r="G757">
        <f>IFERROR([1]!s_stm07_is_104($A757,TEXT($B$1,"yyyy/mm/dd"),1),"")</f>
        <v>11751110.76</v>
      </c>
      <c r="H757">
        <f>IFERROR([1]!s_stm07_is_105($A757,TEXT($B$1,"yyyy/mm/dd"),1),"")</f>
        <v>2406153.2000000002</v>
      </c>
      <c r="I757">
        <f>IFERROR([1]!s_stm07_is($A757,"W72946623",TEXT($B$1,"yyyy/mm/dd"),1),"")</f>
        <v>179975206.84</v>
      </c>
      <c r="J757">
        <f>IFERROR([1]!s_stm07_is($A757,"W30028333",TEXT($B$1,"yyyy/mm/dd"),1),"")</f>
        <v>155356723.56</v>
      </c>
      <c r="K757">
        <f>IFERROR([1]!s_stm07_cs($A757,"W77130581",TEXT($B$1,"yyyy/mm/dd"),1),"")</f>
        <v>208463539.56999999</v>
      </c>
      <c r="L757">
        <f>IFERROR([1]!s_stm07_cs($A757,"W77745895",TEXT($B$1,"yyyy/mm/dd"),1),"")</f>
        <v>237320168.99000001</v>
      </c>
      <c r="M757">
        <f>IFERROR([1]!S_FA_EPS_basic2($A757,$B$1,"Cur=CNY"),"")</f>
        <v>0.39</v>
      </c>
      <c r="N757">
        <f>IFERROR([1]!s_fa_arturndays($A757,TEXT($B$1,"yyyy/mm/dd")),"")</f>
        <v>15.4024</v>
      </c>
      <c r="O757" t="str">
        <f>IFERROR([1]!fa_apturndays($A757,TEXT($B$1,"yyyy/mm/dd")),"")</f>
        <v>Fetch...</v>
      </c>
      <c r="P757">
        <f>IFERROR([1]!s_fa_invturndays($A757,TEXT($B$1,"yyyy/mm/dd")),"")</f>
        <v>90.404600000000002</v>
      </c>
    </row>
    <row r="758" spans="1:16">
      <c r="A758" t="s">
        <v>771</v>
      </c>
      <c r="B758">
        <f>IFERROR([1]!s_stm07_is($A758,"W70156729",TEXT($B$1,"yyyy/mm/dd"),1),"")</f>
        <v>2146176538</v>
      </c>
      <c r="C758">
        <f>IFERROR([1]!s_stm07_is($A758,"W75682424",TEXT($B$1,"yyyy/mm/dd"),1),"")</f>
        <v>193288406</v>
      </c>
      <c r="D758">
        <f>IFERROR([1]!s_stm07_is($A758,"W76031679",TEXT($B$1,"yyyy/mm/dd"),1),"")</f>
        <v>1110736291</v>
      </c>
      <c r="E758">
        <f>IFERROR([1]!s_stm07_is($A758,"W70752487",TEXT($B$1,"yyyy/mm/dd"),1),"")</f>
        <v>650136211</v>
      </c>
      <c r="F758">
        <f>IFERROR([1]!s_stm07_is_103($A758,TEXT($B$1,"yyyy/mm/dd"),1),"")</f>
        <v>164474020</v>
      </c>
      <c r="G758">
        <f>IFERROR([1]!s_stm07_is_104($A758,TEXT($B$1,"yyyy/mm/dd"),1),"")</f>
        <v>17579356</v>
      </c>
      <c r="H758">
        <f>IFERROR([1]!s_stm07_is_105($A758,TEXT($B$1,"yyyy/mm/dd"),1),"")</f>
        <v>825448</v>
      </c>
      <c r="I758">
        <f>IFERROR([1]!s_stm07_is($A758,"W72946623",TEXT($B$1,"yyyy/mm/dd"),1),"")</f>
        <v>205310165</v>
      </c>
      <c r="J758">
        <f>IFERROR([1]!s_stm07_is($A758,"W30028333",TEXT($B$1,"yyyy/mm/dd"),1),"")</f>
        <v>227916215</v>
      </c>
      <c r="K758">
        <f>IFERROR([1]!s_stm07_cs($A758,"W77130581",TEXT($B$1,"yyyy/mm/dd"),1),"")</f>
        <v>3053211802</v>
      </c>
      <c r="L758">
        <f>IFERROR([1]!s_stm07_cs($A758,"W77745895",TEXT($B$1,"yyyy/mm/dd"),1),"")</f>
        <v>112856500</v>
      </c>
      <c r="M758">
        <f>IFERROR([1]!S_FA_EPS_basic2($A758,$B$1,"Cur=CNY"),"")</f>
        <v>0.38</v>
      </c>
      <c r="N758">
        <f>IFERROR([1]!s_fa_arturndays($A758,TEXT($B$1,"yyyy/mm/dd")),"")</f>
        <v>39.5396</v>
      </c>
      <c r="O758" t="str">
        <f>IFERROR([1]!fa_apturndays($A758,TEXT($B$1,"yyyy/mm/dd")),"")</f>
        <v>Fetch...</v>
      </c>
      <c r="P758">
        <f>IFERROR([1]!s_fa_invturndays($A758,TEXT($B$1,"yyyy/mm/dd")),"")</f>
        <v>2.2869000000000002</v>
      </c>
    </row>
    <row r="759" spans="1:16">
      <c r="A759" t="s">
        <v>772</v>
      </c>
      <c r="B759">
        <f>IFERROR([1]!s_stm07_is($A759,"W70156729",TEXT($B$1,"yyyy/mm/dd"),1),"")</f>
        <v>543291408.25</v>
      </c>
      <c r="C759">
        <f>IFERROR([1]!s_stm07_is($A759,"W75682424",TEXT($B$1,"yyyy/mm/dd"),1),"")</f>
        <v>380901680.62</v>
      </c>
      <c r="D759">
        <f>IFERROR([1]!s_stm07_is($A759,"W76031679",TEXT($B$1,"yyyy/mm/dd"),1),"")</f>
        <v>19815185.989999998</v>
      </c>
      <c r="E759">
        <f>IFERROR([1]!s_stm07_is($A759,"W70752487",TEXT($B$1,"yyyy/mm/dd"),1),"")</f>
        <v>31120258.140000001</v>
      </c>
      <c r="F759">
        <f>IFERROR([1]!s_stm07_is_103($A759,TEXT($B$1,"yyyy/mm/dd"),1),"")</f>
        <v>56808132.909999996</v>
      </c>
      <c r="G759">
        <f>IFERROR([1]!s_stm07_is_104($A759,TEXT($B$1,"yyyy/mm/dd"),1),"")</f>
        <v>110.35</v>
      </c>
      <c r="H759">
        <f>IFERROR([1]!s_stm07_is_105($A759,TEXT($B$1,"yyyy/mm/dd"),1),"")</f>
        <v>771084.69</v>
      </c>
      <c r="I759">
        <f>IFERROR([1]!s_stm07_is($A759,"W72946623",TEXT($B$1,"yyyy/mm/dd"),1),"")</f>
        <v>228386906.38999999</v>
      </c>
      <c r="J759">
        <f>IFERROR([1]!s_stm07_is($A759,"W30028333",TEXT($B$1,"yyyy/mm/dd"),1),"")</f>
        <v>202149118.50999999</v>
      </c>
      <c r="K759">
        <f>IFERROR([1]!s_stm07_cs($A759,"W77130581",TEXT($B$1,"yyyy/mm/dd"),1),"")</f>
        <v>153549021.63</v>
      </c>
      <c r="L759">
        <f>IFERROR([1]!s_stm07_cs($A759,"W77745895",TEXT($B$1,"yyyy/mm/dd"),1),"")</f>
        <v>23902602.52</v>
      </c>
      <c r="M759">
        <f>IFERROR([1]!S_FA_EPS_basic2($A759,$B$1,"Cur=CNY"),"")</f>
        <v>0.8</v>
      </c>
      <c r="N759">
        <f>IFERROR([1]!s_fa_arturndays($A759,TEXT($B$1,"yyyy/mm/dd")),"")</f>
        <v>85.875799999999998</v>
      </c>
      <c r="O759" t="str">
        <f>IFERROR([1]!fa_apturndays($A759,TEXT($B$1,"yyyy/mm/dd")),"")</f>
        <v>Fetch...</v>
      </c>
      <c r="P759">
        <f>IFERROR([1]!s_fa_invturndays($A759,TEXT($B$1,"yyyy/mm/dd")),"")</f>
        <v>356.32979999999998</v>
      </c>
    </row>
    <row r="760" spans="1:16">
      <c r="A760" t="s">
        <v>773</v>
      </c>
      <c r="B760">
        <f>IFERROR([1]!s_stm07_is($A760,"W70156729",TEXT($B$1,"yyyy/mm/dd"),1),"")</f>
        <v>1802237006.3399999</v>
      </c>
      <c r="C760">
        <f>IFERROR([1]!s_stm07_is($A760,"W75682424",TEXT($B$1,"yyyy/mm/dd"),1),"")</f>
        <v>1044208542.29</v>
      </c>
      <c r="D760">
        <f>IFERROR([1]!s_stm07_is($A760,"W76031679",TEXT($B$1,"yyyy/mm/dd"),1),"")</f>
        <v>24967355.129999999</v>
      </c>
      <c r="E760">
        <f>IFERROR([1]!s_stm07_is($A760,"W70752487",TEXT($B$1,"yyyy/mm/dd"),1),"")</f>
        <v>77220282.629999995</v>
      </c>
      <c r="F760">
        <f>IFERROR([1]!s_stm07_is_103($A760,TEXT($B$1,"yyyy/mm/dd"),1),"")</f>
        <v>151556264.66999999</v>
      </c>
      <c r="G760">
        <f>IFERROR([1]!s_stm07_is_104($A760,TEXT($B$1,"yyyy/mm/dd"),1),"")</f>
        <v>19411106.359999999</v>
      </c>
      <c r="H760">
        <f>IFERROR([1]!s_stm07_is_105($A760,TEXT($B$1,"yyyy/mm/dd"),1),"")</f>
        <v>8690745.4399999995</v>
      </c>
      <c r="I760">
        <f>IFERROR([1]!s_stm07_is($A760,"W72946623",TEXT($B$1,"yyyy/mm/dd"),1),"")</f>
        <v>479975124.41000003</v>
      </c>
      <c r="J760">
        <f>IFERROR([1]!s_stm07_is($A760,"W30028333",TEXT($B$1,"yyyy/mm/dd"),1),"")</f>
        <v>418138952.63</v>
      </c>
      <c r="K760">
        <f>IFERROR([1]!s_stm07_cs($A760,"W77130581",TEXT($B$1,"yyyy/mm/dd"),1),"")</f>
        <v>347434985.19999999</v>
      </c>
      <c r="L760">
        <f>IFERROR([1]!s_stm07_cs($A760,"W77745895",TEXT($B$1,"yyyy/mm/dd"),1),"")</f>
        <v>264692736.46000001</v>
      </c>
      <c r="M760">
        <f>IFERROR([1]!S_FA_EPS_basic2($A760,$B$1,"Cur=CNY"),"")</f>
        <v>1.45</v>
      </c>
      <c r="N760">
        <f>IFERROR([1]!s_fa_arturndays($A760,TEXT($B$1,"yyyy/mm/dd")),"")</f>
        <v>125.7818</v>
      </c>
      <c r="O760" t="str">
        <f>IFERROR([1]!fa_apturndays($A760,TEXT($B$1,"yyyy/mm/dd")),"")</f>
        <v>Fetch...</v>
      </c>
      <c r="P760">
        <f>IFERROR([1]!s_fa_invturndays($A760,TEXT($B$1,"yyyy/mm/dd")),"")</f>
        <v>81.2971</v>
      </c>
    </row>
    <row r="761" spans="1:16">
      <c r="A761" t="s">
        <v>774</v>
      </c>
      <c r="B761">
        <f>IFERROR([1]!s_stm07_is($A761,"W70156729",TEXT($B$1,"yyyy/mm/dd"),1),"")</f>
        <v>1501625372.1800001</v>
      </c>
      <c r="C761">
        <f>IFERROR([1]!s_stm07_is($A761,"W75682424",TEXT($B$1,"yyyy/mm/dd"),1),"")</f>
        <v>977252372.15999997</v>
      </c>
      <c r="D761">
        <f>IFERROR([1]!s_stm07_is($A761,"W76031679",TEXT($B$1,"yyyy/mm/dd"),1),"")</f>
        <v>75735258.450000003</v>
      </c>
      <c r="E761">
        <f>IFERROR([1]!s_stm07_is($A761,"W70752487",TEXT($B$1,"yyyy/mm/dd"),1),"")</f>
        <v>47478216.200000003</v>
      </c>
      <c r="F761">
        <f>IFERROR([1]!s_stm07_is_103($A761,TEXT($B$1,"yyyy/mm/dd"),1),"")</f>
        <v>142577608.31</v>
      </c>
      <c r="G761">
        <f>IFERROR([1]!s_stm07_is_104($A761,TEXT($B$1,"yyyy/mm/dd"),1),"")</f>
        <v>701021.21</v>
      </c>
      <c r="H761">
        <f>IFERROR([1]!s_stm07_is_105($A761,TEXT($B$1,"yyyy/mm/dd"),1),"")</f>
        <v>17330308.469999999</v>
      </c>
      <c r="I761">
        <f>IFERROR([1]!s_stm07_is($A761,"W72946623",TEXT($B$1,"yyyy/mm/dd"),1),"")</f>
        <v>257124869.27000001</v>
      </c>
      <c r="J761">
        <f>IFERROR([1]!s_stm07_is($A761,"W30028333",TEXT($B$1,"yyyy/mm/dd"),1),"")</f>
        <v>222888542.96000001</v>
      </c>
      <c r="K761">
        <f>IFERROR([1]!s_stm07_cs($A761,"W77130581",TEXT($B$1,"yyyy/mm/dd"),1),"")</f>
        <v>408300668.69</v>
      </c>
      <c r="L761">
        <f>IFERROR([1]!s_stm07_cs($A761,"W77745895",TEXT($B$1,"yyyy/mm/dd"),1),"")</f>
        <v>43865710.229999997</v>
      </c>
      <c r="M761">
        <f>IFERROR([1]!S_FA_EPS_basic2($A761,$B$1,"Cur=CNY"),"")</f>
        <v>1.01</v>
      </c>
      <c r="N761">
        <f>IFERROR([1]!s_fa_arturndays($A761,TEXT($B$1,"yyyy/mm/dd")),"")</f>
        <v>91.628699999999995</v>
      </c>
      <c r="O761" t="str">
        <f>IFERROR([1]!fa_apturndays($A761,TEXT($B$1,"yyyy/mm/dd")),"")</f>
        <v>Fetch...</v>
      </c>
      <c r="P761">
        <f>IFERROR([1]!s_fa_invturndays($A761,TEXT($B$1,"yyyy/mm/dd")),"")</f>
        <v>582.24159999999995</v>
      </c>
    </row>
    <row r="762" spans="1:16">
      <c r="A762" t="s">
        <v>775</v>
      </c>
      <c r="B762">
        <f>IFERROR([1]!s_stm07_is($A762,"W70156729",TEXT($B$1,"yyyy/mm/dd"),1),"")</f>
        <v>3770262381.46</v>
      </c>
      <c r="C762">
        <f>IFERROR([1]!s_stm07_is($A762,"W75682424",TEXT($B$1,"yyyy/mm/dd"),1),"")</f>
        <v>3587684271.25</v>
      </c>
      <c r="D762">
        <f>IFERROR([1]!s_stm07_is($A762,"W76031679",TEXT($B$1,"yyyy/mm/dd"),1),"")</f>
        <v>19200910.579999998</v>
      </c>
      <c r="E762">
        <f>IFERROR([1]!s_stm07_is($A762,"W70752487",TEXT($B$1,"yyyy/mm/dd"),1),"")</f>
        <v>50158935.719999999</v>
      </c>
      <c r="F762">
        <f>IFERROR([1]!s_stm07_is_103($A762,TEXT($B$1,"yyyy/mm/dd"),1),"")</f>
        <v>133354043.98999999</v>
      </c>
      <c r="G762">
        <f>IFERROR([1]!s_stm07_is_104($A762,TEXT($B$1,"yyyy/mm/dd"),1),"")</f>
        <v>0</v>
      </c>
      <c r="H762">
        <f>IFERROR([1]!s_stm07_is_105($A762,TEXT($B$1,"yyyy/mm/dd"),1),"")</f>
        <v>8381286.5599999996</v>
      </c>
      <c r="I762">
        <f>IFERROR([1]!s_stm07_is($A762,"W72946623",TEXT($B$1,"yyyy/mm/dd"),1),"")</f>
        <v>-19588577.75</v>
      </c>
      <c r="J762">
        <f>IFERROR([1]!s_stm07_is($A762,"W30028333",TEXT($B$1,"yyyy/mm/dd"),1),"")</f>
        <v>-19309187.300000001</v>
      </c>
      <c r="K762">
        <f>IFERROR([1]!s_stm07_cs($A762,"W77130581",TEXT($B$1,"yyyy/mm/dd"),1),"")</f>
        <v>215187892.53999999</v>
      </c>
      <c r="L762">
        <f>IFERROR([1]!s_stm07_cs($A762,"W77745895",TEXT($B$1,"yyyy/mm/dd"),1),"")</f>
        <v>21409910.440000001</v>
      </c>
      <c r="M762">
        <f>IFERROR([1]!S_FA_EPS_basic2($A762,$B$1,"Cur=CNY"),"")</f>
        <v>-0.02</v>
      </c>
      <c r="N762">
        <f>IFERROR([1]!s_fa_arturndays($A762,TEXT($B$1,"yyyy/mm/dd")),"")</f>
        <v>5.1944999999999997</v>
      </c>
      <c r="O762" t="str">
        <f>IFERROR([1]!fa_apturndays($A762,TEXT($B$1,"yyyy/mm/dd")),"")</f>
        <v>Fetch...</v>
      </c>
      <c r="P762">
        <f>IFERROR([1]!s_fa_invturndays($A762,TEXT($B$1,"yyyy/mm/dd")),"")</f>
        <v>41.781799999999997</v>
      </c>
    </row>
    <row r="763" spans="1:16">
      <c r="A763" t="s">
        <v>776</v>
      </c>
      <c r="B763">
        <f>IFERROR([1]!s_stm07_is($A763,"W70156729",TEXT($B$1,"yyyy/mm/dd"),1),"")</f>
        <v>5630198258.1700001</v>
      </c>
      <c r="C763">
        <f>IFERROR([1]!s_stm07_is($A763,"W75682424",TEXT($B$1,"yyyy/mm/dd"),1),"")</f>
        <v>4301502705.2799997</v>
      </c>
      <c r="D763">
        <f>IFERROR([1]!s_stm07_is($A763,"W76031679",TEXT($B$1,"yyyy/mm/dd"),1),"")</f>
        <v>248726814.22999999</v>
      </c>
      <c r="E763">
        <f>IFERROR([1]!s_stm07_is($A763,"W70752487",TEXT($B$1,"yyyy/mm/dd"),1),"")</f>
        <v>125794731.81999999</v>
      </c>
      <c r="F763">
        <f>IFERROR([1]!s_stm07_is_103($A763,TEXT($B$1,"yyyy/mm/dd"),1),"")</f>
        <v>327715370.36000001</v>
      </c>
      <c r="G763">
        <f>IFERROR([1]!s_stm07_is_104($A763,TEXT($B$1,"yyyy/mm/dd"),1),"")</f>
        <v>55106577.740000002</v>
      </c>
      <c r="H763">
        <f>IFERROR([1]!s_stm07_is_105($A763,TEXT($B$1,"yyyy/mm/dd"),1),"")</f>
        <v>26299357.440000001</v>
      </c>
      <c r="I763">
        <f>IFERROR([1]!s_stm07_is($A763,"W72946623",TEXT($B$1,"yyyy/mm/dd"),1),"")</f>
        <v>511449760.24000001</v>
      </c>
      <c r="J763">
        <f>IFERROR([1]!s_stm07_is($A763,"W30028333",TEXT($B$1,"yyyy/mm/dd"),1),"")</f>
        <v>462649289.73000002</v>
      </c>
      <c r="K763">
        <f>IFERROR([1]!s_stm07_cs($A763,"W77130581",TEXT($B$1,"yyyy/mm/dd"),1),"")</f>
        <v>77287311.640000001</v>
      </c>
      <c r="L763">
        <f>IFERROR([1]!s_stm07_cs($A763,"W77745895",TEXT($B$1,"yyyy/mm/dd"),1),"")</f>
        <v>479853218.16000003</v>
      </c>
      <c r="M763">
        <f>IFERROR([1]!S_FA_EPS_basic2($A763,$B$1,"Cur=CNY"),"")</f>
        <v>0.92</v>
      </c>
      <c r="N763">
        <f>IFERROR([1]!s_fa_arturndays($A763,TEXT($B$1,"yyyy/mm/dd")),"")</f>
        <v>159.8082</v>
      </c>
      <c r="O763" t="str">
        <f>IFERROR([1]!fa_apturndays($A763,TEXT($B$1,"yyyy/mm/dd")),"")</f>
        <v>Fetch...</v>
      </c>
      <c r="P763">
        <f>IFERROR([1]!s_fa_invturndays($A763,TEXT($B$1,"yyyy/mm/dd")),"")</f>
        <v>132.4503</v>
      </c>
    </row>
    <row r="764" spans="1:16">
      <c r="A764" t="s">
        <v>777</v>
      </c>
      <c r="B764">
        <f>IFERROR([1]!s_stm07_is($A764,"W70156729",TEXT($B$1,"yyyy/mm/dd"),1),"")</f>
        <v>4576759483.1099997</v>
      </c>
      <c r="C764">
        <f>IFERROR([1]!s_stm07_is($A764,"W75682424",TEXT($B$1,"yyyy/mm/dd"),1),"")</f>
        <v>1407242272.3800001</v>
      </c>
      <c r="D764">
        <f>IFERROR([1]!s_stm07_is($A764,"W76031679",TEXT($B$1,"yyyy/mm/dd"),1),"")</f>
        <v>736625595.05999994</v>
      </c>
      <c r="E764">
        <f>IFERROR([1]!s_stm07_is($A764,"W70752487",TEXT($B$1,"yyyy/mm/dd"),1),"")</f>
        <v>127029581.77</v>
      </c>
      <c r="F764">
        <f>IFERROR([1]!s_stm07_is_103($A764,TEXT($B$1,"yyyy/mm/dd"),1),"")</f>
        <v>477769272.56</v>
      </c>
      <c r="G764">
        <f>IFERROR([1]!s_stm07_is_104($A764,TEXT($B$1,"yyyy/mm/dd"),1),"")</f>
        <v>530512.39</v>
      </c>
      <c r="H764">
        <f>IFERROR([1]!s_stm07_is_105($A764,TEXT($B$1,"yyyy/mm/dd"),1),"")</f>
        <v>36098199.909999996</v>
      </c>
      <c r="I764">
        <f>IFERROR([1]!s_stm07_is($A764,"W72946623",TEXT($B$1,"yyyy/mm/dd"),1),"")</f>
        <v>1855267100.24</v>
      </c>
      <c r="J764">
        <f>IFERROR([1]!s_stm07_is($A764,"W30028333",TEXT($B$1,"yyyy/mm/dd"),1),"")</f>
        <v>1620252203.02</v>
      </c>
      <c r="K764">
        <f>IFERROR([1]!s_stm07_cs($A764,"W77130581",TEXT($B$1,"yyyy/mm/dd"),1),"")</f>
        <v>1522397398.3299999</v>
      </c>
      <c r="L764">
        <f>IFERROR([1]!s_stm07_cs($A764,"W77745895",TEXT($B$1,"yyyy/mm/dd"),1),"")</f>
        <v>311440605.00999999</v>
      </c>
      <c r="M764">
        <f>IFERROR([1]!S_FA_EPS_basic2($A764,$B$1,"Cur=CNY"),"")</f>
        <v>2.0621</v>
      </c>
      <c r="N764">
        <f>IFERROR([1]!s_fa_arturndays($A764,TEXT($B$1,"yyyy/mm/dd")),"")</f>
        <v>76.3035</v>
      </c>
      <c r="O764" t="str">
        <f>IFERROR([1]!fa_apturndays($A764,TEXT($B$1,"yyyy/mm/dd")),"")</f>
        <v>Fetch...</v>
      </c>
      <c r="P764">
        <f>IFERROR([1]!s_fa_invturndays($A764,TEXT($B$1,"yyyy/mm/dd")),"")</f>
        <v>286.2595</v>
      </c>
    </row>
    <row r="765" spans="1:16">
      <c r="A765" t="s">
        <v>778</v>
      </c>
      <c r="B765">
        <f>IFERROR([1]!s_stm07_is($A765,"W70156729",TEXT($B$1,"yyyy/mm/dd"),1),"")</f>
        <v>1165000864.1500001</v>
      </c>
      <c r="C765">
        <f>IFERROR([1]!s_stm07_is($A765,"W75682424",TEXT($B$1,"yyyy/mm/dd"),1),"")</f>
        <v>92797651.599999994</v>
      </c>
      <c r="D765">
        <f>IFERROR([1]!s_stm07_is($A765,"W76031679",TEXT($B$1,"yyyy/mm/dd"),1),"")</f>
        <v>557553219.80999994</v>
      </c>
      <c r="E765">
        <f>IFERROR([1]!s_stm07_is($A765,"W70752487",TEXT($B$1,"yyyy/mm/dd"),1),"")</f>
        <v>120645222.39</v>
      </c>
      <c r="F765">
        <f>IFERROR([1]!s_stm07_is_103($A765,TEXT($B$1,"yyyy/mm/dd"),1),"")</f>
        <v>118389362.42</v>
      </c>
      <c r="G765">
        <f>IFERROR([1]!s_stm07_is_104($A765,TEXT($B$1,"yyyy/mm/dd"),1),"")</f>
        <v>3681028.2</v>
      </c>
      <c r="H765">
        <f>IFERROR([1]!s_stm07_is_105($A765,TEXT($B$1,"yyyy/mm/dd"),1),"")</f>
        <v>8149793.6200000001</v>
      </c>
      <c r="I765">
        <f>IFERROR([1]!s_stm07_is($A765,"W72946623",TEXT($B$1,"yyyy/mm/dd"),1),"")</f>
        <v>259743208.05000001</v>
      </c>
      <c r="J765">
        <f>IFERROR([1]!s_stm07_is($A765,"W30028333",TEXT($B$1,"yyyy/mm/dd"),1),"")</f>
        <v>219897935.03999999</v>
      </c>
      <c r="K765">
        <f>IFERROR([1]!s_stm07_cs($A765,"W77130581",TEXT($B$1,"yyyy/mm/dd"),1),"")</f>
        <v>379710285.04000002</v>
      </c>
      <c r="L765">
        <f>IFERROR([1]!s_stm07_cs($A765,"W77745895",TEXT($B$1,"yyyy/mm/dd"),1),"")</f>
        <v>70785928.900000006</v>
      </c>
      <c r="M765">
        <f>IFERROR([1]!S_FA_EPS_basic2($A765,$B$1,"Cur=CNY"),"")</f>
        <v>1.6921999999999999</v>
      </c>
      <c r="N765">
        <f>IFERROR([1]!s_fa_arturndays($A765,TEXT($B$1,"yyyy/mm/dd")),"")</f>
        <v>390.03250000000003</v>
      </c>
      <c r="O765" t="str">
        <f>IFERROR([1]!fa_apturndays($A765,TEXT($B$1,"yyyy/mm/dd")),"")</f>
        <v>Fetch...</v>
      </c>
      <c r="P765">
        <f>IFERROR([1]!s_fa_invturndays($A765,TEXT($B$1,"yyyy/mm/dd")),"")</f>
        <v>616.22730000000001</v>
      </c>
    </row>
    <row r="766" spans="1:16">
      <c r="A766" t="s">
        <v>779</v>
      </c>
      <c r="B766">
        <f>IFERROR([1]!s_stm07_is($A766,"W70156729",TEXT($B$1,"yyyy/mm/dd"),1),"")</f>
        <v>4627839285.6300001</v>
      </c>
      <c r="C766">
        <f>IFERROR([1]!s_stm07_is($A766,"W75682424",TEXT($B$1,"yyyy/mm/dd"),1),"")</f>
        <v>3331825679.7399998</v>
      </c>
      <c r="D766">
        <f>IFERROR([1]!s_stm07_is($A766,"W76031679",TEXT($B$1,"yyyy/mm/dd"),1),"")</f>
        <v>13344881.310000001</v>
      </c>
      <c r="E766">
        <f>IFERROR([1]!s_stm07_is($A766,"W70752487",TEXT($B$1,"yyyy/mm/dd"),1),"")</f>
        <v>102301514.06999999</v>
      </c>
      <c r="F766">
        <f>IFERROR([1]!s_stm07_is_103($A766,TEXT($B$1,"yyyy/mm/dd"),1),"")</f>
        <v>155580718.49000001</v>
      </c>
      <c r="G766">
        <f>IFERROR([1]!s_stm07_is_104($A766,TEXT($B$1,"yyyy/mm/dd"),1),"")</f>
        <v>97144296.239999995</v>
      </c>
      <c r="H766">
        <f>IFERROR([1]!s_stm07_is_105($A766,TEXT($B$1,"yyyy/mm/dd"),1),"")</f>
        <v>7829976.8399999999</v>
      </c>
      <c r="I766">
        <f>IFERROR([1]!s_stm07_is($A766,"W72946623",TEXT($B$1,"yyyy/mm/dd"),1),"")</f>
        <v>970904878.38999999</v>
      </c>
      <c r="J766">
        <f>IFERROR([1]!s_stm07_is($A766,"W30028333",TEXT($B$1,"yyyy/mm/dd"),1),"")</f>
        <v>818159168.16999996</v>
      </c>
      <c r="K766">
        <f>IFERROR([1]!s_stm07_cs($A766,"W77130581",TEXT($B$1,"yyyy/mm/dd"),1),"")</f>
        <v>18384372.73</v>
      </c>
      <c r="L766">
        <f>IFERROR([1]!s_stm07_cs($A766,"W77745895",TEXT($B$1,"yyyy/mm/dd"),1),"")</f>
        <v>449199628.89999998</v>
      </c>
      <c r="M766">
        <f>IFERROR([1]!S_FA_EPS_basic2($A766,$B$1,"Cur=CNY"),"")</f>
        <v>2.13</v>
      </c>
      <c r="N766">
        <f>IFERROR([1]!s_fa_arturndays($A766,TEXT($B$1,"yyyy/mm/dd")),"")</f>
        <v>113.1969</v>
      </c>
      <c r="O766" t="str">
        <f>IFERROR([1]!fa_apturndays($A766,TEXT($B$1,"yyyy/mm/dd")),"")</f>
        <v>Fetch...</v>
      </c>
      <c r="P766">
        <f>IFERROR([1]!s_fa_invturndays($A766,TEXT($B$1,"yyyy/mm/dd")),"")</f>
        <v>115.8599</v>
      </c>
    </row>
    <row r="767" spans="1:16">
      <c r="A767" t="s">
        <v>780</v>
      </c>
      <c r="B767">
        <f>IFERROR([1]!s_stm07_is($A767,"W70156729",TEXT($B$1,"yyyy/mm/dd"),1),"")</f>
        <v>1125727215.05</v>
      </c>
      <c r="C767">
        <f>IFERROR([1]!s_stm07_is($A767,"W75682424",TEXT($B$1,"yyyy/mm/dd"),1),"")</f>
        <v>810174937.82000005</v>
      </c>
      <c r="D767">
        <f>IFERROR([1]!s_stm07_is($A767,"W76031679",TEXT($B$1,"yyyy/mm/dd"),1),"")</f>
        <v>11339618.859999999</v>
      </c>
      <c r="E767">
        <f>IFERROR([1]!s_stm07_is($A767,"W70752487",TEXT($B$1,"yyyy/mm/dd"),1),"")</f>
        <v>52436099.119999997</v>
      </c>
      <c r="F767">
        <f>IFERROR([1]!s_stm07_is_103($A767,TEXT($B$1,"yyyy/mm/dd"),1),"")</f>
        <v>54158612.460000001</v>
      </c>
      <c r="G767">
        <f>IFERROR([1]!s_stm07_is_104($A767,TEXT($B$1,"yyyy/mm/dd"),1),"")</f>
        <v>6674221.5499999998</v>
      </c>
      <c r="H767">
        <f>IFERROR([1]!s_stm07_is_105($A767,TEXT($B$1,"yyyy/mm/dd"),1),"")</f>
        <v>2302824.29</v>
      </c>
      <c r="I767">
        <f>IFERROR([1]!s_stm07_is($A767,"W72946623",TEXT($B$1,"yyyy/mm/dd"),1),"")</f>
        <v>166443333.71000001</v>
      </c>
      <c r="J767">
        <f>IFERROR([1]!s_stm07_is($A767,"W30028333",TEXT($B$1,"yyyy/mm/dd"),1),"")</f>
        <v>155286133.00999999</v>
      </c>
      <c r="K767">
        <f>IFERROR([1]!s_stm07_cs($A767,"W77130581",TEXT($B$1,"yyyy/mm/dd"),1),"")</f>
        <v>7464847.5499999998</v>
      </c>
      <c r="L767">
        <f>IFERROR([1]!s_stm07_cs($A767,"W77745895",TEXT($B$1,"yyyy/mm/dd"),1),"")</f>
        <v>304033388.45999998</v>
      </c>
      <c r="M767">
        <f>IFERROR([1]!S_FA_EPS_basic2($A767,$B$1,"Cur=CNY"),"")</f>
        <v>0.39</v>
      </c>
      <c r="N767">
        <f>IFERROR([1]!s_fa_arturndays($A767,TEXT($B$1,"yyyy/mm/dd")),"")</f>
        <v>59.563200000000002</v>
      </c>
      <c r="O767" t="str">
        <f>IFERROR([1]!fa_apturndays($A767,TEXT($B$1,"yyyy/mm/dd")),"")</f>
        <v>Fetch...</v>
      </c>
      <c r="P767">
        <f>IFERROR([1]!s_fa_invturndays($A767,TEXT($B$1,"yyyy/mm/dd")),"")</f>
        <v>367.27199999999999</v>
      </c>
    </row>
    <row r="768" spans="1:16">
      <c r="A768" t="s">
        <v>781</v>
      </c>
      <c r="B768">
        <f>IFERROR([1]!s_stm07_is($A768,"W70156729",TEXT($B$1,"yyyy/mm/dd"),1),"")</f>
        <v>1483170876.24</v>
      </c>
      <c r="C768">
        <f>IFERROR([1]!s_stm07_is($A768,"W75682424",TEXT($B$1,"yyyy/mm/dd"),1),"")</f>
        <v>1042911816.9299999</v>
      </c>
      <c r="D768">
        <f>IFERROR([1]!s_stm07_is($A768,"W76031679",TEXT($B$1,"yyyy/mm/dd"),1),"")</f>
        <v>26891580.379999999</v>
      </c>
      <c r="E768">
        <f>IFERROR([1]!s_stm07_is($A768,"W70752487",TEXT($B$1,"yyyy/mm/dd"),1),"")</f>
        <v>190786523.09</v>
      </c>
      <c r="F768">
        <f>IFERROR([1]!s_stm07_is_103($A768,TEXT($B$1,"yyyy/mm/dd"),1),"")</f>
        <v>65937254.409999996</v>
      </c>
      <c r="G768">
        <f>IFERROR([1]!s_stm07_is_104($A768,TEXT($B$1,"yyyy/mm/dd"),1),"")</f>
        <v>44727411.009999998</v>
      </c>
      <c r="H768">
        <f>IFERROR([1]!s_stm07_is_105($A768,TEXT($B$1,"yyyy/mm/dd"),1),"")</f>
        <v>13498460.41</v>
      </c>
      <c r="I768">
        <f>IFERROR([1]!s_stm07_is($A768,"W72946623",TEXT($B$1,"yyyy/mm/dd"),1),"")</f>
        <v>112097063.28</v>
      </c>
      <c r="J768">
        <f>IFERROR([1]!s_stm07_is($A768,"W30028333",TEXT($B$1,"yyyy/mm/dd"),1),"")</f>
        <v>108033999.3</v>
      </c>
      <c r="K768">
        <f>IFERROR([1]!s_stm07_cs($A768,"W77130581",TEXT($B$1,"yyyy/mm/dd"),1),"")</f>
        <v>287594776.66000003</v>
      </c>
      <c r="L768">
        <f>IFERROR([1]!s_stm07_cs($A768,"W77745895",TEXT($B$1,"yyyy/mm/dd"),1),"")</f>
        <v>512213850.97000003</v>
      </c>
      <c r="M768">
        <f>IFERROR([1]!S_FA_EPS_basic2($A768,$B$1,"Cur=CNY"),"")</f>
        <v>0.2271</v>
      </c>
      <c r="N768">
        <f>IFERROR([1]!s_fa_arturndays($A768,TEXT($B$1,"yyyy/mm/dd")),"")</f>
        <v>62.297699999999999</v>
      </c>
      <c r="O768" t="str">
        <f>IFERROR([1]!fa_apturndays($A768,TEXT($B$1,"yyyy/mm/dd")),"")</f>
        <v>Fetch...</v>
      </c>
      <c r="P768">
        <f>IFERROR([1]!s_fa_invturndays($A768,TEXT($B$1,"yyyy/mm/dd")),"")</f>
        <v>201.77109999999999</v>
      </c>
    </row>
    <row r="769" spans="1:16">
      <c r="A769" t="s">
        <v>782</v>
      </c>
      <c r="B769">
        <f>IFERROR([1]!s_stm07_is($A769,"W70156729",TEXT($B$1,"yyyy/mm/dd"),1),"")</f>
        <v>12235545646.040001</v>
      </c>
      <c r="C769">
        <f>IFERROR([1]!s_stm07_is($A769,"W75682424",TEXT($B$1,"yyyy/mm/dd"),1),"")</f>
        <v>9881677850.5300007</v>
      </c>
      <c r="D769">
        <f>IFERROR([1]!s_stm07_is($A769,"W76031679",TEXT($B$1,"yyyy/mm/dd"),1),"")</f>
        <v>60551343.170000002</v>
      </c>
      <c r="E769">
        <f>IFERROR([1]!s_stm07_is($A769,"W70752487",TEXT($B$1,"yyyy/mm/dd"),1),"")</f>
        <v>146000258.93000001</v>
      </c>
      <c r="F769">
        <f>IFERROR([1]!s_stm07_is_103($A769,TEXT($B$1,"yyyy/mm/dd"),1),"")</f>
        <v>423304173.92000002</v>
      </c>
      <c r="G769">
        <f>IFERROR([1]!s_stm07_is_104($A769,TEXT($B$1,"yyyy/mm/dd"),1),"")</f>
        <v>320254357.88999999</v>
      </c>
      <c r="H769">
        <f>IFERROR([1]!s_stm07_is_105($A769,TEXT($B$1,"yyyy/mm/dd"),1),"")</f>
        <v>32411023.77</v>
      </c>
      <c r="I769">
        <f>IFERROR([1]!s_stm07_is($A769,"W72946623",TEXT($B$1,"yyyy/mm/dd"),1),"")</f>
        <v>1265034556.1700001</v>
      </c>
      <c r="J769">
        <f>IFERROR([1]!s_stm07_is($A769,"W30028333",TEXT($B$1,"yyyy/mm/dd"),1),"")</f>
        <v>1164383916.1199999</v>
      </c>
      <c r="K769">
        <f>IFERROR([1]!s_stm07_cs($A769,"W77130581",TEXT($B$1,"yyyy/mm/dd"),1),"")</f>
        <v>1100067543.0599999</v>
      </c>
      <c r="L769">
        <f>IFERROR([1]!s_stm07_cs($A769,"W77745895",TEXT($B$1,"yyyy/mm/dd"),1),"")</f>
        <v>13734813748.040001</v>
      </c>
      <c r="M769">
        <f>IFERROR([1]!S_FA_EPS_basic2($A769,$B$1,"Cur=CNY"),"")</f>
        <v>3.38</v>
      </c>
      <c r="N769">
        <f>IFERROR([1]!s_fa_arturndays($A769,TEXT($B$1,"yyyy/mm/dd")),"")</f>
        <v>56.936799999999998</v>
      </c>
      <c r="O769" t="str">
        <f>IFERROR([1]!fa_apturndays($A769,TEXT($B$1,"yyyy/mm/dd")),"")</f>
        <v>Fetch...</v>
      </c>
      <c r="P769">
        <f>IFERROR([1]!s_fa_invturndays($A769,TEXT($B$1,"yyyy/mm/dd")),"")</f>
        <v>86.839100000000002</v>
      </c>
    </row>
    <row r="770" spans="1:16">
      <c r="A770" t="s">
        <v>783</v>
      </c>
      <c r="B770">
        <f>IFERROR([1]!s_stm07_is($A770,"W70156729",TEXT($B$1,"yyyy/mm/dd"),1),"")</f>
        <v>2160324701.3400002</v>
      </c>
      <c r="C770">
        <f>IFERROR([1]!s_stm07_is($A770,"W75682424",TEXT($B$1,"yyyy/mm/dd"),1),"")</f>
        <v>1654017519.47</v>
      </c>
      <c r="D770">
        <f>IFERROR([1]!s_stm07_is($A770,"W76031679",TEXT($B$1,"yyyy/mm/dd"),1),"")</f>
        <v>30148622.140000001</v>
      </c>
      <c r="E770">
        <f>IFERROR([1]!s_stm07_is($A770,"W70752487",TEXT($B$1,"yyyy/mm/dd"),1),"")</f>
        <v>55888686.5</v>
      </c>
      <c r="F770">
        <f>IFERROR([1]!s_stm07_is_103($A770,TEXT($B$1,"yyyy/mm/dd"),1),"")</f>
        <v>30109385.039999999</v>
      </c>
      <c r="G770">
        <f>IFERROR([1]!s_stm07_is_104($A770,TEXT($B$1,"yyyy/mm/dd"),1),"")</f>
        <v>2527522.9300000002</v>
      </c>
      <c r="H770">
        <f>IFERROR([1]!s_stm07_is_105($A770,TEXT($B$1,"yyyy/mm/dd"),1),"")</f>
        <v>3244617</v>
      </c>
      <c r="I770">
        <f>IFERROR([1]!s_stm07_is($A770,"W72946623",TEXT($B$1,"yyyy/mm/dd"),1),"")</f>
        <v>281584043.25999999</v>
      </c>
      <c r="J770">
        <f>IFERROR([1]!s_stm07_is($A770,"W30028333",TEXT($B$1,"yyyy/mm/dd"),1),"")</f>
        <v>243892563.41999999</v>
      </c>
      <c r="K770">
        <f>IFERROR([1]!s_stm07_cs($A770,"W77130581",TEXT($B$1,"yyyy/mm/dd"),1),"")</f>
        <v>169851261.53</v>
      </c>
      <c r="L770">
        <f>IFERROR([1]!s_stm07_cs($A770,"W77745895",TEXT($B$1,"yyyy/mm/dd"),1),"")</f>
        <v>8391565.9299999997</v>
      </c>
      <c r="M770">
        <f>IFERROR([1]!S_FA_EPS_basic2($A770,$B$1,"Cur=CNY"),"")</f>
        <v>0.3634</v>
      </c>
      <c r="N770">
        <f>IFERROR([1]!s_fa_arturndays($A770,TEXT($B$1,"yyyy/mm/dd")),"")</f>
        <v>143.41489999999999</v>
      </c>
      <c r="O770" t="str">
        <f>IFERROR([1]!fa_apturndays($A770,TEXT($B$1,"yyyy/mm/dd")),"")</f>
        <v>Fetch...</v>
      </c>
      <c r="P770">
        <f>IFERROR([1]!s_fa_invturndays($A770,TEXT($B$1,"yyyy/mm/dd")),"")</f>
        <v>169.85140000000001</v>
      </c>
    </row>
    <row r="771" spans="1:16">
      <c r="A771" t="s">
        <v>784</v>
      </c>
      <c r="B771">
        <f>IFERROR([1]!s_stm07_is($A771,"W70156729",TEXT($B$1,"yyyy/mm/dd"),1),"")</f>
        <v>30514403376.919998</v>
      </c>
      <c r="C771">
        <f>IFERROR([1]!s_stm07_is($A771,"W75682424",TEXT($B$1,"yyyy/mm/dd"),1),"")</f>
        <v>16762975546.469999</v>
      </c>
      <c r="D771">
        <f>IFERROR([1]!s_stm07_is($A771,"W76031679",TEXT($B$1,"yyyy/mm/dd"),1),"")</f>
        <v>6826802834.8299999</v>
      </c>
      <c r="E771">
        <f>IFERROR([1]!s_stm07_is($A771,"W70752487",TEXT($B$1,"yyyy/mm/dd"),1),"")</f>
        <v>1093058494.6800001</v>
      </c>
      <c r="F771">
        <f>IFERROR([1]!s_stm07_is_103($A771,TEXT($B$1,"yyyy/mm/dd"),1),"")</f>
        <v>2892785453.8000002</v>
      </c>
      <c r="G771">
        <f>IFERROR([1]!s_stm07_is_104($A771,TEXT($B$1,"yyyy/mm/dd"),1),"")</f>
        <v>52051103.68</v>
      </c>
      <c r="H771">
        <f>IFERROR([1]!s_stm07_is_105($A771,TEXT($B$1,"yyyy/mm/dd"),1),"")</f>
        <v>41626910.340000004</v>
      </c>
      <c r="I771">
        <f>IFERROR([1]!s_stm07_is($A771,"W72946623",TEXT($B$1,"yyyy/mm/dd"),1),"")</f>
        <v>2922473589.9699998</v>
      </c>
      <c r="J771">
        <f>IFERROR([1]!s_stm07_is($A771,"W30028333",TEXT($B$1,"yyyy/mm/dd"),1),"")</f>
        <v>2545131880.4000001</v>
      </c>
      <c r="K771">
        <f>IFERROR([1]!s_stm07_cs($A771,"W77130581",TEXT($B$1,"yyyy/mm/dd"),1),"")</f>
        <v>480806645.20999998</v>
      </c>
      <c r="L771">
        <f>IFERROR([1]!s_stm07_cs($A771,"W77745895",TEXT($B$1,"yyyy/mm/dd"),1),"")</f>
        <v>365120160.05000001</v>
      </c>
      <c r="M771">
        <f>IFERROR([1]!S_FA_EPS_basic2($A771,$B$1,"Cur=CNY"),"")</f>
        <v>4.7714999999999996</v>
      </c>
      <c r="N771">
        <f>IFERROR([1]!s_fa_arturndays($A771,TEXT($B$1,"yyyy/mm/dd")),"")</f>
        <v>20.804200000000002</v>
      </c>
      <c r="O771" t="str">
        <f>IFERROR([1]!fa_apturndays($A771,TEXT($B$1,"yyyy/mm/dd")),"")</f>
        <v>Fetch...</v>
      </c>
      <c r="P771">
        <f>IFERROR([1]!s_fa_invturndays($A771,TEXT($B$1,"yyyy/mm/dd")),"")</f>
        <v>88.380399999999995</v>
      </c>
    </row>
    <row r="772" spans="1:16">
      <c r="A772" t="s">
        <v>785</v>
      </c>
      <c r="B772">
        <f>IFERROR([1]!s_stm07_is($A772,"W70156729",TEXT($B$1,"yyyy/mm/dd"),1),"")</f>
        <v>4462017401.1899996</v>
      </c>
      <c r="C772">
        <f>IFERROR([1]!s_stm07_is($A772,"W75682424",TEXT($B$1,"yyyy/mm/dd"),1),"")</f>
        <v>3576629936.7399998</v>
      </c>
      <c r="D772">
        <f>IFERROR([1]!s_stm07_is($A772,"W76031679",TEXT($B$1,"yyyy/mm/dd"),1),"")</f>
        <v>100865693.56</v>
      </c>
      <c r="E772">
        <f>IFERROR([1]!s_stm07_is($A772,"W70752487",TEXT($B$1,"yyyy/mm/dd"),1),"")</f>
        <v>160415573.27000001</v>
      </c>
      <c r="F772">
        <f>IFERROR([1]!s_stm07_is_103($A772,TEXT($B$1,"yyyy/mm/dd"),1),"")</f>
        <v>299069258.17000002</v>
      </c>
      <c r="G772">
        <f>IFERROR([1]!s_stm07_is_104($A772,TEXT($B$1,"yyyy/mm/dd"),1),"")</f>
        <v>27401080.550000001</v>
      </c>
      <c r="H772">
        <f>IFERROR([1]!s_stm07_is_105($A772,TEXT($B$1,"yyyy/mm/dd"),1),"")</f>
        <v>22062793.870000001</v>
      </c>
      <c r="I772">
        <f>IFERROR([1]!s_stm07_is($A772,"W72946623",TEXT($B$1,"yyyy/mm/dd"),1),"")</f>
        <v>277219400.42000002</v>
      </c>
      <c r="J772">
        <f>IFERROR([1]!s_stm07_is($A772,"W30028333",TEXT($B$1,"yyyy/mm/dd"),1),"")</f>
        <v>244002491.40000001</v>
      </c>
      <c r="K772">
        <f>IFERROR([1]!s_stm07_cs($A772,"W77130581",TEXT($B$1,"yyyy/mm/dd"),1),"")</f>
        <v>429336720.30000001</v>
      </c>
      <c r="L772">
        <f>IFERROR([1]!s_stm07_cs($A772,"W77745895",TEXT($B$1,"yyyy/mm/dd"),1),"")</f>
        <v>313733646.07999998</v>
      </c>
      <c r="M772">
        <f>IFERROR([1]!S_FA_EPS_basic2($A772,$B$1,"Cur=CNY"),"")</f>
        <v>2.3199999999999998</v>
      </c>
      <c r="N772">
        <f>IFERROR([1]!s_fa_arturndays($A772,TEXT($B$1,"yyyy/mm/dd")),"")</f>
        <v>109.4059</v>
      </c>
      <c r="O772" t="str">
        <f>IFERROR([1]!fa_apturndays($A772,TEXT($B$1,"yyyy/mm/dd")),"")</f>
        <v>Fetch...</v>
      </c>
      <c r="P772">
        <f>IFERROR([1]!s_fa_invturndays($A772,TEXT($B$1,"yyyy/mm/dd")),"")</f>
        <v>49.9833</v>
      </c>
    </row>
    <row r="773" spans="1:16">
      <c r="A773" t="s">
        <v>786</v>
      </c>
      <c r="B773">
        <f>IFERROR([1]!s_stm07_is($A773,"W70156729",TEXT($B$1,"yyyy/mm/dd"),1),"")</f>
        <v>1776871711.48</v>
      </c>
      <c r="C773">
        <f>IFERROR([1]!s_stm07_is($A773,"W75682424",TEXT($B$1,"yyyy/mm/dd"),1),"")</f>
        <v>1460611449.22</v>
      </c>
      <c r="D773">
        <f>IFERROR([1]!s_stm07_is($A773,"W76031679",TEXT($B$1,"yyyy/mm/dd"),1),"")</f>
        <v>102187893.54000001</v>
      </c>
      <c r="E773">
        <f>IFERROR([1]!s_stm07_is($A773,"W70752487",TEXT($B$1,"yyyy/mm/dd"),1),"")</f>
        <v>161236324.56999999</v>
      </c>
      <c r="F773">
        <f>IFERROR([1]!s_stm07_is_103($A773,TEXT($B$1,"yyyy/mm/dd"),1),"")</f>
        <v>207157545.31</v>
      </c>
      <c r="G773">
        <f>IFERROR([1]!s_stm07_is_104($A773,TEXT($B$1,"yyyy/mm/dd"),1),"")</f>
        <v>18767580.940000001</v>
      </c>
      <c r="H773">
        <f>IFERROR([1]!s_stm07_is_105($A773,TEXT($B$1,"yyyy/mm/dd"),1),"")</f>
        <v>15912944.08</v>
      </c>
      <c r="I773">
        <f>IFERROR([1]!s_stm07_is($A773,"W72946623",TEXT($B$1,"yyyy/mm/dd"),1),"")</f>
        <v>-153602711.38999999</v>
      </c>
      <c r="J773">
        <f>IFERROR([1]!s_stm07_is($A773,"W30028333",TEXT($B$1,"yyyy/mm/dd"),1),"")</f>
        <v>-138135742.49000001</v>
      </c>
      <c r="K773">
        <f>IFERROR([1]!s_stm07_cs($A773,"W77130581",TEXT($B$1,"yyyy/mm/dd"),1),"")</f>
        <v>133634874.5</v>
      </c>
      <c r="L773">
        <f>IFERROR([1]!s_stm07_cs($A773,"W77745895",TEXT($B$1,"yyyy/mm/dd"),1),"")</f>
        <v>228761517.34</v>
      </c>
      <c r="M773">
        <f>IFERROR([1]!S_FA_EPS_basic2($A773,$B$1,"Cur=CNY"),"")</f>
        <v>-0.28999999999999998</v>
      </c>
      <c r="N773">
        <f>IFERROR([1]!s_fa_arturndays($A773,TEXT($B$1,"yyyy/mm/dd")),"")</f>
        <v>199.04900000000001</v>
      </c>
      <c r="O773" t="str">
        <f>IFERROR([1]!fa_apturndays($A773,TEXT($B$1,"yyyy/mm/dd")),"")</f>
        <v>Fetch...</v>
      </c>
      <c r="P773">
        <f>IFERROR([1]!s_fa_invturndays($A773,TEXT($B$1,"yyyy/mm/dd")),"")</f>
        <v>169.18090000000001</v>
      </c>
    </row>
    <row r="774" spans="1:16">
      <c r="A774" t="s">
        <v>787</v>
      </c>
      <c r="B774">
        <f>IFERROR([1]!s_stm07_is($A774,"W70156729",TEXT($B$1,"yyyy/mm/dd"),1),"")</f>
        <v>10949489967.01</v>
      </c>
      <c r="C774">
        <f>IFERROR([1]!s_stm07_is($A774,"W75682424",TEXT($B$1,"yyyy/mm/dd"),1),"")</f>
        <v>5733463029.5299997</v>
      </c>
      <c r="D774">
        <f>IFERROR([1]!s_stm07_is($A774,"W76031679",TEXT($B$1,"yyyy/mm/dd"),1),"")</f>
        <v>2633668842.9099998</v>
      </c>
      <c r="E774">
        <f>IFERROR([1]!s_stm07_is($A774,"W70752487",TEXT($B$1,"yyyy/mm/dd"),1),"")</f>
        <v>855447401.69000006</v>
      </c>
      <c r="F774">
        <f>IFERROR([1]!s_stm07_is_103($A774,TEXT($B$1,"yyyy/mm/dd"),1),"")</f>
        <v>410877566.24000001</v>
      </c>
      <c r="G774">
        <f>IFERROR([1]!s_stm07_is_104($A774,TEXT($B$1,"yyyy/mm/dd"),1),"")</f>
        <v>55114093.689999998</v>
      </c>
      <c r="H774">
        <f>IFERROR([1]!s_stm07_is_105($A774,TEXT($B$1,"yyyy/mm/dd"),1),"")</f>
        <v>82400032.939999998</v>
      </c>
      <c r="I774">
        <f>IFERROR([1]!s_stm07_is($A774,"W72946623",TEXT($B$1,"yyyy/mm/dd"),1),"")</f>
        <v>1047820850.1799999</v>
      </c>
      <c r="J774">
        <f>IFERROR([1]!s_stm07_is($A774,"W30028333",TEXT($B$1,"yyyy/mm/dd"),1),"")</f>
        <v>767967461.87</v>
      </c>
      <c r="K774">
        <f>IFERROR([1]!s_stm07_cs($A774,"W77130581",TEXT($B$1,"yyyy/mm/dd"),1),"")</f>
        <v>1665676894.9300001</v>
      </c>
      <c r="L774">
        <f>IFERROR([1]!s_stm07_cs($A774,"W77745895",TEXT($B$1,"yyyy/mm/dd"),1),"")</f>
        <v>647910000.49000001</v>
      </c>
      <c r="M774">
        <f>IFERROR([1]!S_FA_EPS_basic2($A774,$B$1,"Cur=CNY"),"")</f>
        <v>1.32</v>
      </c>
      <c r="N774">
        <f>IFERROR([1]!s_fa_arturndays($A774,TEXT($B$1,"yyyy/mm/dd")),"")</f>
        <v>33.231499999999997</v>
      </c>
      <c r="O774" t="str">
        <f>IFERROR([1]!fa_apturndays($A774,TEXT($B$1,"yyyy/mm/dd")),"")</f>
        <v>Fetch...</v>
      </c>
      <c r="P774">
        <f>IFERROR([1]!s_fa_invturndays($A774,TEXT($B$1,"yyyy/mm/dd")),"")</f>
        <v>124.7617</v>
      </c>
    </row>
    <row r="775" spans="1:16">
      <c r="A775" t="s">
        <v>788</v>
      </c>
      <c r="B775">
        <f>IFERROR([1]!s_stm07_is($A775,"W70156729",TEXT($B$1,"yyyy/mm/dd"),1),"")</f>
        <v>2452617161.4400001</v>
      </c>
      <c r="C775">
        <f>IFERROR([1]!s_stm07_is($A775,"W75682424",TEXT($B$1,"yyyy/mm/dd"),1),"")</f>
        <v>179088583.34</v>
      </c>
      <c r="D775">
        <f>IFERROR([1]!s_stm07_is($A775,"W76031679",TEXT($B$1,"yyyy/mm/dd"),1),"")</f>
        <v>386689516.79000002</v>
      </c>
      <c r="E775">
        <f>IFERROR([1]!s_stm07_is($A775,"W70752487",TEXT($B$1,"yyyy/mm/dd"),1),"")</f>
        <v>182541915.80000001</v>
      </c>
      <c r="F775">
        <f>IFERROR([1]!s_stm07_is_103($A775,TEXT($B$1,"yyyy/mm/dd"),1),"")</f>
        <v>359716754.44999999</v>
      </c>
      <c r="G775">
        <f>IFERROR([1]!s_stm07_is_104($A775,TEXT($B$1,"yyyy/mm/dd"),1),"")</f>
        <v>7086609.54</v>
      </c>
      <c r="H775">
        <f>IFERROR([1]!s_stm07_is_105($A775,TEXT($B$1,"yyyy/mm/dd"),1),"")</f>
        <v>23328042.670000002</v>
      </c>
      <c r="I775">
        <f>IFERROR([1]!s_stm07_is($A775,"W72946623",TEXT($B$1,"yyyy/mm/dd"),1),"")</f>
        <v>1512104193.6500001</v>
      </c>
      <c r="J775">
        <f>IFERROR([1]!s_stm07_is($A775,"W30028333",TEXT($B$1,"yyyy/mm/dd"),1),"")</f>
        <v>1291017682.24</v>
      </c>
      <c r="K775">
        <f>IFERROR([1]!s_stm07_cs($A775,"W77130581",TEXT($B$1,"yyyy/mm/dd"),1),"")</f>
        <v>1324231592.6400001</v>
      </c>
      <c r="L775">
        <f>IFERROR([1]!s_stm07_cs($A775,"W77745895",TEXT($B$1,"yyyy/mm/dd"),1),"")</f>
        <v>170703503.97999999</v>
      </c>
      <c r="M775">
        <f>IFERROR([1]!S_FA_EPS_basic2($A775,$B$1,"Cur=CNY"),"")</f>
        <v>4.28</v>
      </c>
      <c r="N775">
        <f>IFERROR([1]!s_fa_arturndays($A775,TEXT($B$1,"yyyy/mm/dd")),"")</f>
        <v>22.482700000000001</v>
      </c>
      <c r="O775" t="str">
        <f>IFERROR([1]!fa_apturndays($A775,TEXT($B$1,"yyyy/mm/dd")),"")</f>
        <v>Fetch...</v>
      </c>
      <c r="P775">
        <f>IFERROR([1]!s_fa_invturndays($A775,TEXT($B$1,"yyyy/mm/dd")),"")</f>
        <v>166.89070000000001</v>
      </c>
    </row>
    <row r="776" spans="1:16">
      <c r="A776" t="s">
        <v>789</v>
      </c>
      <c r="B776">
        <f>IFERROR([1]!s_stm07_is($A776,"W70156729",TEXT($B$1,"yyyy/mm/dd"),1),"")</f>
        <v>3508343875.0599999</v>
      </c>
      <c r="C776">
        <f>IFERROR([1]!s_stm07_is($A776,"W75682424",TEXT($B$1,"yyyy/mm/dd"),1),"")</f>
        <v>2294404675.0700002</v>
      </c>
      <c r="D776">
        <f>IFERROR([1]!s_stm07_is($A776,"W76031679",TEXT($B$1,"yyyy/mm/dd"),1),"")</f>
        <v>74646656.810000002</v>
      </c>
      <c r="E776">
        <f>IFERROR([1]!s_stm07_is($A776,"W70752487",TEXT($B$1,"yyyy/mm/dd"),1),"")</f>
        <v>177093440.55000001</v>
      </c>
      <c r="F776">
        <f>IFERROR([1]!s_stm07_is_103($A776,TEXT($B$1,"yyyy/mm/dd"),1),"")</f>
        <v>160596338.41</v>
      </c>
      <c r="G776">
        <f>IFERROR([1]!s_stm07_is_104($A776,TEXT($B$1,"yyyy/mm/dd"),1),"")</f>
        <v>11795443.720000001</v>
      </c>
      <c r="H776">
        <f>IFERROR([1]!s_stm07_is_105($A776,TEXT($B$1,"yyyy/mm/dd"),1),"")</f>
        <v>5649484.79</v>
      </c>
      <c r="I776">
        <f>IFERROR([1]!s_stm07_is($A776,"W72946623",TEXT($B$1,"yyyy/mm/dd"),1),"")</f>
        <v>851526911.42999995</v>
      </c>
      <c r="J776">
        <f>IFERROR([1]!s_stm07_is($A776,"W30028333",TEXT($B$1,"yyyy/mm/dd"),1),"")</f>
        <v>736393118.44000006</v>
      </c>
      <c r="K776">
        <f>IFERROR([1]!s_stm07_cs($A776,"W77130581",TEXT($B$1,"yyyy/mm/dd"),1),"")</f>
        <v>746801854.96000004</v>
      </c>
      <c r="L776">
        <f>IFERROR([1]!s_stm07_cs($A776,"W77745895",TEXT($B$1,"yyyy/mm/dd"),1),"")</f>
        <v>318864630.45999998</v>
      </c>
      <c r="M776">
        <f>IFERROR([1]!S_FA_EPS_basic2($A776,$B$1,"Cur=CNY"),"")</f>
        <v>2.5</v>
      </c>
      <c r="N776">
        <f>IFERROR([1]!s_fa_arturndays($A776,TEXT($B$1,"yyyy/mm/dd")),"")</f>
        <v>49.9133</v>
      </c>
      <c r="O776" t="str">
        <f>IFERROR([1]!fa_apturndays($A776,TEXT($B$1,"yyyy/mm/dd")),"")</f>
        <v>Fetch...</v>
      </c>
      <c r="P776">
        <f>IFERROR([1]!s_fa_invturndays($A776,TEXT($B$1,"yyyy/mm/dd")),"")</f>
        <v>85.201099999999997</v>
      </c>
    </row>
    <row r="777" spans="1:16">
      <c r="A777" t="s">
        <v>790</v>
      </c>
      <c r="B777">
        <f>IFERROR([1]!s_stm07_is($A777,"W70156729",TEXT($B$1,"yyyy/mm/dd"),1),"")</f>
        <v>2123930905</v>
      </c>
      <c r="C777">
        <f>IFERROR([1]!s_stm07_is($A777,"W75682424",TEXT($B$1,"yyyy/mm/dd"),1),"")</f>
        <v>1654836851.9400001</v>
      </c>
      <c r="D777">
        <f>IFERROR([1]!s_stm07_is($A777,"W76031679",TEXT($B$1,"yyyy/mm/dd"),1),"")</f>
        <v>62872416.700000003</v>
      </c>
      <c r="E777">
        <f>IFERROR([1]!s_stm07_is($A777,"W70752487",TEXT($B$1,"yyyy/mm/dd"),1),"")</f>
        <v>72099064.540000007</v>
      </c>
      <c r="F777">
        <f>IFERROR([1]!s_stm07_is_103($A777,TEXT($B$1,"yyyy/mm/dd"),1),"")</f>
        <v>67355924.200000003</v>
      </c>
      <c r="G777">
        <f>IFERROR([1]!s_stm07_is_104($A777,TEXT($B$1,"yyyy/mm/dd"),1),"")</f>
        <v>396383.26</v>
      </c>
      <c r="H777">
        <f>IFERROR([1]!s_stm07_is_105($A777,TEXT($B$1,"yyyy/mm/dd"),1),"")</f>
        <v>7313865.6600000001</v>
      </c>
      <c r="I777">
        <f>IFERROR([1]!s_stm07_is($A777,"W72946623",TEXT($B$1,"yyyy/mm/dd"),1),"")</f>
        <v>255158165.13999999</v>
      </c>
      <c r="J777">
        <f>IFERROR([1]!s_stm07_is($A777,"W30028333",TEXT($B$1,"yyyy/mm/dd"),1),"")</f>
        <v>231363263.59</v>
      </c>
      <c r="K777">
        <f>IFERROR([1]!s_stm07_cs($A777,"W77130581",TEXT($B$1,"yyyy/mm/dd"),1),"")</f>
        <v>266205570.27000001</v>
      </c>
      <c r="L777">
        <f>IFERROR([1]!s_stm07_cs($A777,"W77745895",TEXT($B$1,"yyyy/mm/dd"),1),"")</f>
        <v>206081687.91</v>
      </c>
      <c r="M777">
        <f>IFERROR([1]!S_FA_EPS_basic2($A777,$B$1,"Cur=CNY"),"")</f>
        <v>0.74</v>
      </c>
      <c r="N777">
        <f>IFERROR([1]!s_fa_arturndays($A777,TEXT($B$1,"yyyy/mm/dd")),"")</f>
        <v>70.707499999999996</v>
      </c>
      <c r="O777" t="str">
        <f>IFERROR([1]!fa_apturndays($A777,TEXT($B$1,"yyyy/mm/dd")),"")</f>
        <v>Fetch...</v>
      </c>
      <c r="P777">
        <f>IFERROR([1]!s_fa_invturndays($A777,TEXT($B$1,"yyyy/mm/dd")),"")</f>
        <v>64.881200000000007</v>
      </c>
    </row>
    <row r="778" spans="1:16">
      <c r="A778" t="s">
        <v>791</v>
      </c>
      <c r="B778">
        <f>IFERROR([1]!s_stm07_is($A778,"W70156729",TEXT($B$1,"yyyy/mm/dd"),1),"")</f>
        <v>2972343254.3899999</v>
      </c>
      <c r="C778">
        <f>IFERROR([1]!s_stm07_is($A778,"W75682424",TEXT($B$1,"yyyy/mm/dd"),1),"")</f>
        <v>2619882946.9000001</v>
      </c>
      <c r="D778">
        <f>IFERROR([1]!s_stm07_is($A778,"W76031679",TEXT($B$1,"yyyy/mm/dd"),1),"")</f>
        <v>18608766.140000001</v>
      </c>
      <c r="E778">
        <f>IFERROR([1]!s_stm07_is($A778,"W70752487",TEXT($B$1,"yyyy/mm/dd"),1),"")</f>
        <v>145311121.38</v>
      </c>
      <c r="F778">
        <f>IFERROR([1]!s_stm07_is_103($A778,TEXT($B$1,"yyyy/mm/dd"),1),"")</f>
        <v>5549013.3099999996</v>
      </c>
      <c r="G778">
        <f>IFERROR([1]!s_stm07_is_104($A778,TEXT($B$1,"yyyy/mm/dd"),1),"")</f>
        <v>1453282.41</v>
      </c>
      <c r="H778">
        <f>IFERROR([1]!s_stm07_is_105($A778,TEXT($B$1,"yyyy/mm/dd"),1),"")</f>
        <v>2613910.04</v>
      </c>
      <c r="I778">
        <f>IFERROR([1]!s_stm07_is($A778,"W72946623",TEXT($B$1,"yyyy/mm/dd"),1),"")</f>
        <v>186583099.16</v>
      </c>
      <c r="J778">
        <f>IFERROR([1]!s_stm07_is($A778,"W30028333",TEXT($B$1,"yyyy/mm/dd"),1),"")</f>
        <v>123873318.88</v>
      </c>
      <c r="K778">
        <f>IFERROR([1]!s_stm07_cs($A778,"W77130581",TEXT($B$1,"yyyy/mm/dd"),1),"")</f>
        <v>168842832.38999999</v>
      </c>
      <c r="L778">
        <f>IFERROR([1]!s_stm07_cs($A778,"W77745895",TEXT($B$1,"yyyy/mm/dd"),1),"")</f>
        <v>6983422.7699999996</v>
      </c>
      <c r="M778">
        <f>IFERROR([1]!S_FA_EPS_basic2($A778,$B$1,"Cur=CNY"),"")</f>
        <v>0.73299999999999998</v>
      </c>
      <c r="N778">
        <f>IFERROR([1]!s_fa_arturndays($A778,TEXT($B$1,"yyyy/mm/dd")),"")</f>
        <v>68.172799999999995</v>
      </c>
      <c r="O778" t="str">
        <f>IFERROR([1]!fa_apturndays($A778,TEXT($B$1,"yyyy/mm/dd")),"")</f>
        <v>Fetch...</v>
      </c>
      <c r="P778">
        <f>IFERROR([1]!s_fa_invturndays($A778,TEXT($B$1,"yyyy/mm/dd")),"")</f>
        <v>0.66359999999999997</v>
      </c>
    </row>
    <row r="779" spans="1:16">
      <c r="A779" t="s">
        <v>792</v>
      </c>
      <c r="B779">
        <f>IFERROR([1]!s_stm07_is($A779,"W70156729",TEXT($B$1,"yyyy/mm/dd"),1),"")</f>
        <v>48139976642.959999</v>
      </c>
      <c r="C779">
        <f>IFERROR([1]!s_stm07_is($A779,"W75682424",TEXT($B$1,"yyyy/mm/dd"),1),"")</f>
        <v>42200108155.330002</v>
      </c>
      <c r="D779">
        <f>IFERROR([1]!s_stm07_is($A779,"W76031679",TEXT($B$1,"yyyy/mm/dd"),1),"")</f>
        <v>114163768.45999999</v>
      </c>
      <c r="E779">
        <f>IFERROR([1]!s_stm07_is($A779,"W70752487",TEXT($B$1,"yyyy/mm/dd"),1),"")</f>
        <v>1147409495.4400001</v>
      </c>
      <c r="F779">
        <f>IFERROR([1]!s_stm07_is_103($A779,TEXT($B$1,"yyyy/mm/dd"),1),"")</f>
        <v>1170260671.73</v>
      </c>
      <c r="G779">
        <f>IFERROR([1]!s_stm07_is_104($A779,TEXT($B$1,"yyyy/mm/dd"),1),"")</f>
        <v>978651485.25999999</v>
      </c>
      <c r="H779">
        <f>IFERROR([1]!s_stm07_is_105($A779,TEXT($B$1,"yyyy/mm/dd"),1),"")</f>
        <v>178186673.36000001</v>
      </c>
      <c r="I779">
        <f>IFERROR([1]!s_stm07_is($A779,"W72946623",TEXT($B$1,"yyyy/mm/dd"),1),"")</f>
        <v>1923763649.3299999</v>
      </c>
      <c r="J779">
        <f>IFERROR([1]!s_stm07_is($A779,"W30028333",TEXT($B$1,"yyyy/mm/dd"),1),"")</f>
        <v>1567261725.8</v>
      </c>
      <c r="K779">
        <f>IFERROR([1]!s_stm07_cs($A779,"W77130581",TEXT($B$1,"yyyy/mm/dd"),1),"")</f>
        <v>1373615424.96</v>
      </c>
      <c r="L779">
        <f>IFERROR([1]!s_stm07_cs($A779,"W77745895",TEXT($B$1,"yyyy/mm/dd"),1),"")</f>
        <v>3984606251.9200001</v>
      </c>
      <c r="M779">
        <f>IFERROR([1]!S_FA_EPS_basic2($A779,$B$1,"Cur=CNY"),"")</f>
        <v>1.65</v>
      </c>
      <c r="N779">
        <f>IFERROR([1]!s_fa_arturndays($A779,TEXT($B$1,"yyyy/mm/dd")),"")</f>
        <v>41.000900000000001</v>
      </c>
      <c r="O779" t="str">
        <f>IFERROR([1]!fa_apturndays($A779,TEXT($B$1,"yyyy/mm/dd")),"")</f>
        <v>Fetch...</v>
      </c>
      <c r="P779">
        <f>IFERROR([1]!s_fa_invturndays($A779,TEXT($B$1,"yyyy/mm/dd")),"")</f>
        <v>104.4599</v>
      </c>
    </row>
    <row r="780" spans="1:16">
      <c r="A780" t="s">
        <v>793</v>
      </c>
      <c r="B780">
        <f>IFERROR([1]!s_stm07_is($A780,"W70156729",TEXT($B$1,"yyyy/mm/dd"),1),"")</f>
        <v>5109517947.5799999</v>
      </c>
      <c r="C780">
        <f>IFERROR([1]!s_stm07_is($A780,"W75682424",TEXT($B$1,"yyyy/mm/dd"),1),"")</f>
        <v>4217444543.3299999</v>
      </c>
      <c r="D780">
        <f>IFERROR([1]!s_stm07_is($A780,"W76031679",TEXT($B$1,"yyyy/mm/dd"),1),"")</f>
        <v>117916388.31</v>
      </c>
      <c r="E780">
        <f>IFERROR([1]!s_stm07_is($A780,"W70752487",TEXT($B$1,"yyyy/mm/dd"),1),"")</f>
        <v>453723206.95999998</v>
      </c>
      <c r="F780">
        <f>IFERROR([1]!s_stm07_is_103($A780,TEXT($B$1,"yyyy/mm/dd"),1),"")</f>
        <v>180518478.84</v>
      </c>
      <c r="G780">
        <f>IFERROR([1]!s_stm07_is_104($A780,TEXT($B$1,"yyyy/mm/dd"),1),"")</f>
        <v>5080222.66</v>
      </c>
      <c r="H780">
        <f>IFERROR([1]!s_stm07_is_105($A780,TEXT($B$1,"yyyy/mm/dd"),1),"")</f>
        <v>9617047.3100000005</v>
      </c>
      <c r="I780">
        <f>IFERROR([1]!s_stm07_is($A780,"W72946623",TEXT($B$1,"yyyy/mm/dd"),1),"")</f>
        <v>106500196.69</v>
      </c>
      <c r="J780">
        <f>IFERROR([1]!s_stm07_is($A780,"W30028333",TEXT($B$1,"yyyy/mm/dd"),1),"")</f>
        <v>104401540.53</v>
      </c>
      <c r="K780">
        <f>IFERROR([1]!s_stm07_cs($A780,"W77130581",TEXT($B$1,"yyyy/mm/dd"),1),"")</f>
        <v>115696876.97</v>
      </c>
      <c r="L780">
        <f>IFERROR([1]!s_stm07_cs($A780,"W77745895",TEXT($B$1,"yyyy/mm/dd"),1),"")</f>
        <v>22867555.27</v>
      </c>
      <c r="M780">
        <f>IFERROR([1]!S_FA_EPS_basic2($A780,$B$1,"Cur=CNY"),"")</f>
        <v>0.25</v>
      </c>
      <c r="N780">
        <f>IFERROR([1]!s_fa_arturndays($A780,TEXT($B$1,"yyyy/mm/dd")),"")</f>
        <v>92.7453</v>
      </c>
      <c r="O780" t="str">
        <f>IFERROR([1]!fa_apturndays($A780,TEXT($B$1,"yyyy/mm/dd")),"")</f>
        <v>Fetch...</v>
      </c>
      <c r="P780">
        <f>IFERROR([1]!s_fa_invturndays($A780,TEXT($B$1,"yyyy/mm/dd")),"")</f>
        <v>7.5911999999999997</v>
      </c>
    </row>
    <row r="781" spans="1:16">
      <c r="A781" t="s">
        <v>794</v>
      </c>
      <c r="B781">
        <f>IFERROR([1]!s_stm07_is($A781,"W70156729",TEXT($B$1,"yyyy/mm/dd"),1),"")</f>
        <v>5807608377.04</v>
      </c>
      <c r="C781">
        <f>IFERROR([1]!s_stm07_is($A781,"W75682424",TEXT($B$1,"yyyy/mm/dd"),1),"")</f>
        <v>4293111928.1500001</v>
      </c>
      <c r="D781">
        <f>IFERROR([1]!s_stm07_is($A781,"W76031679",TEXT($B$1,"yyyy/mm/dd"),1),"")</f>
        <v>12103975.42</v>
      </c>
      <c r="E781">
        <f>IFERROR([1]!s_stm07_is($A781,"W70752487",TEXT($B$1,"yyyy/mm/dd"),1),"")</f>
        <v>186640520.11000001</v>
      </c>
      <c r="F781">
        <f>IFERROR([1]!s_stm07_is_103($A781,TEXT($B$1,"yyyy/mm/dd"),1),"")</f>
        <v>201425284.22</v>
      </c>
      <c r="G781">
        <f>IFERROR([1]!s_stm07_is_104($A781,TEXT($B$1,"yyyy/mm/dd"),1),"")</f>
        <v>64409926.920000002</v>
      </c>
      <c r="H781">
        <f>IFERROR([1]!s_stm07_is_105($A781,TEXT($B$1,"yyyy/mm/dd"),1),"")</f>
        <v>935305.47</v>
      </c>
      <c r="I781">
        <f>IFERROR([1]!s_stm07_is($A781,"W72946623",TEXT($B$1,"yyyy/mm/dd"),1),"")</f>
        <v>959011426.59000003</v>
      </c>
      <c r="J781">
        <f>IFERROR([1]!s_stm07_is($A781,"W30028333",TEXT($B$1,"yyyy/mm/dd"),1),"")</f>
        <v>844158097.33000004</v>
      </c>
      <c r="K781">
        <f>IFERROR([1]!s_stm07_cs($A781,"W77130581",TEXT($B$1,"yyyy/mm/dd"),1),"")</f>
        <v>432964424.47000003</v>
      </c>
      <c r="L781">
        <f>IFERROR([1]!s_stm07_cs($A781,"W77745895",TEXT($B$1,"yyyy/mm/dd"),1),"")</f>
        <v>1191916922.6400001</v>
      </c>
      <c r="M781">
        <f>IFERROR([1]!S_FA_EPS_basic2($A781,$B$1,"Cur=CNY"),"")</f>
        <v>1.97</v>
      </c>
      <c r="N781">
        <f>IFERROR([1]!s_fa_arturndays($A781,TEXT($B$1,"yyyy/mm/dd")),"")</f>
        <v>91.712699999999998</v>
      </c>
      <c r="O781" t="str">
        <f>IFERROR([1]!fa_apturndays($A781,TEXT($B$1,"yyyy/mm/dd")),"")</f>
        <v>Fetch...</v>
      </c>
      <c r="P781">
        <f>IFERROR([1]!s_fa_invturndays($A781,TEXT($B$1,"yyyy/mm/dd")),"")</f>
        <v>107.5526</v>
      </c>
    </row>
    <row r="782" spans="1:16">
      <c r="A782" t="s">
        <v>795</v>
      </c>
      <c r="B782">
        <f>IFERROR([1]!s_stm07_is($A782,"W70156729",TEXT($B$1,"yyyy/mm/dd"),1),"")</f>
        <v>9736181601.2000008</v>
      </c>
      <c r="C782">
        <f>IFERROR([1]!s_stm07_is($A782,"W75682424",TEXT($B$1,"yyyy/mm/dd"),1),"")</f>
        <v>8272725725.3699999</v>
      </c>
      <c r="D782">
        <f>IFERROR([1]!s_stm07_is($A782,"W76031679",TEXT($B$1,"yyyy/mm/dd"),1),"")</f>
        <v>48500321.07</v>
      </c>
      <c r="E782">
        <f>IFERROR([1]!s_stm07_is($A782,"W70752487",TEXT($B$1,"yyyy/mm/dd"),1),"")</f>
        <v>299169099.39999998</v>
      </c>
      <c r="F782">
        <f>IFERROR([1]!s_stm07_is_103($A782,TEXT($B$1,"yyyy/mm/dd"),1),"")</f>
        <v>384347027.44</v>
      </c>
      <c r="G782">
        <f>IFERROR([1]!s_stm07_is_104($A782,TEXT($B$1,"yyyy/mm/dd"),1),"")</f>
        <v>120058870.55</v>
      </c>
      <c r="H782">
        <f>IFERROR([1]!s_stm07_is_105($A782,TEXT($B$1,"yyyy/mm/dd"),1),"")</f>
        <v>7588783.1900000004</v>
      </c>
      <c r="I782">
        <f>IFERROR([1]!s_stm07_is($A782,"W72946623",TEXT($B$1,"yyyy/mm/dd"),1),"")</f>
        <v>557985716.5</v>
      </c>
      <c r="J782">
        <f>IFERROR([1]!s_stm07_is($A782,"W30028333",TEXT($B$1,"yyyy/mm/dd"),1),"")</f>
        <v>512936368.06</v>
      </c>
      <c r="K782">
        <f>IFERROR([1]!s_stm07_cs($A782,"W77130581",TEXT($B$1,"yyyy/mm/dd"),1),"")</f>
        <v>369505520.64999998</v>
      </c>
      <c r="L782">
        <f>IFERROR([1]!s_stm07_cs($A782,"W77745895",TEXT($B$1,"yyyy/mm/dd"),1),"")</f>
        <v>358704870.00999999</v>
      </c>
      <c r="M782">
        <f>IFERROR([1]!S_FA_EPS_basic2($A782,$B$1,"Cur=CNY"),"")</f>
        <v>3.04</v>
      </c>
      <c r="N782">
        <f>IFERROR([1]!s_fa_arturndays($A782,TEXT($B$1,"yyyy/mm/dd")),"")</f>
        <v>134.4186</v>
      </c>
      <c r="O782" t="str">
        <f>IFERROR([1]!fa_apturndays($A782,TEXT($B$1,"yyyy/mm/dd")),"")</f>
        <v>Fetch...</v>
      </c>
      <c r="P782">
        <f>IFERROR([1]!s_fa_invturndays($A782,TEXT($B$1,"yyyy/mm/dd")),"")</f>
        <v>49.7712</v>
      </c>
    </row>
    <row r="783" spans="1:16">
      <c r="A783" t="s">
        <v>796</v>
      </c>
      <c r="B783">
        <f>IFERROR([1]!s_stm07_is($A783,"W70156729",TEXT($B$1,"yyyy/mm/dd"),1),"")</f>
        <v>5358638784.5600004</v>
      </c>
      <c r="C783">
        <f>IFERROR([1]!s_stm07_is($A783,"W75682424",TEXT($B$1,"yyyy/mm/dd"),1),"")</f>
        <v>1368512153.3099999</v>
      </c>
      <c r="D783">
        <f>IFERROR([1]!s_stm07_is($A783,"W76031679",TEXT($B$1,"yyyy/mm/dd"),1),"")</f>
        <v>2675659918.1599998</v>
      </c>
      <c r="E783">
        <f>IFERROR([1]!s_stm07_is($A783,"W70752487",TEXT($B$1,"yyyy/mm/dd"),1),"")</f>
        <v>495003077.83999997</v>
      </c>
      <c r="F783">
        <f>IFERROR([1]!s_stm07_is_103($A783,TEXT($B$1,"yyyy/mm/dd"),1),"")</f>
        <v>237375468.03</v>
      </c>
      <c r="G783">
        <f>IFERROR([1]!s_stm07_is_104($A783,TEXT($B$1,"yyyy/mm/dd"),1),"")</f>
        <v>18289196.039999999</v>
      </c>
      <c r="H783">
        <f>IFERROR([1]!s_stm07_is_105($A783,TEXT($B$1,"yyyy/mm/dd"),1),"")</f>
        <v>11328472.060000001</v>
      </c>
      <c r="I783">
        <f>IFERROR([1]!s_stm07_is($A783,"W72946623",TEXT($B$1,"yyyy/mm/dd"),1),"")</f>
        <v>616544569.01999998</v>
      </c>
      <c r="J783">
        <f>IFERROR([1]!s_stm07_is($A783,"W30028333",TEXT($B$1,"yyyy/mm/dd"),1),"")</f>
        <v>505719663.85000002</v>
      </c>
      <c r="K783">
        <f>IFERROR([1]!s_stm07_cs($A783,"W77130581",TEXT($B$1,"yyyy/mm/dd"),1),"")</f>
        <v>976595739.84000003</v>
      </c>
      <c r="L783">
        <f>IFERROR([1]!s_stm07_cs($A783,"W77745895",TEXT($B$1,"yyyy/mm/dd"),1),"")</f>
        <v>482989259.81</v>
      </c>
      <c r="M783">
        <f>IFERROR([1]!S_FA_EPS_basic2($A783,$B$1,"Cur=CNY"),"")</f>
        <v>1.2</v>
      </c>
      <c r="N783">
        <f>IFERROR([1]!s_fa_arturndays($A783,TEXT($B$1,"yyyy/mm/dd")),"")</f>
        <v>41.994300000000003</v>
      </c>
      <c r="O783" t="str">
        <f>IFERROR([1]!fa_apturndays($A783,TEXT($B$1,"yyyy/mm/dd")),"")</f>
        <v>Fetch...</v>
      </c>
      <c r="P783">
        <f>IFERROR([1]!s_fa_invturndays($A783,TEXT($B$1,"yyyy/mm/dd")),"")</f>
        <v>149.99379999999999</v>
      </c>
    </row>
    <row r="784" spans="1:16">
      <c r="A784" t="s">
        <v>797</v>
      </c>
      <c r="B784">
        <f>IFERROR([1]!s_stm07_is($A784,"W70156729",TEXT($B$1,"yyyy/mm/dd"),1),"")</f>
        <v>51459148553.510002</v>
      </c>
      <c r="C784">
        <f>IFERROR([1]!s_stm07_is($A784,"W75682424",TEXT($B$1,"yyyy/mm/dd"),1),"")</f>
        <v>45077627129.589996</v>
      </c>
      <c r="D784">
        <f>IFERROR([1]!s_stm07_is($A784,"W76031679",TEXT($B$1,"yyyy/mm/dd"),1),"")</f>
        <v>1544439048.48</v>
      </c>
      <c r="E784">
        <f>IFERROR([1]!s_stm07_is($A784,"W70752487",TEXT($B$1,"yyyy/mm/dd"),1),"")</f>
        <v>1504856363.1400001</v>
      </c>
      <c r="F784">
        <f>IFERROR([1]!s_stm07_is_103($A784,TEXT($B$1,"yyyy/mm/dd"),1),"")</f>
        <v>35855689.619999997</v>
      </c>
      <c r="G784">
        <f>IFERROR([1]!s_stm07_is_104($A784,TEXT($B$1,"yyyy/mm/dd"),1),"")</f>
        <v>54064894.850000001</v>
      </c>
      <c r="H784">
        <f>IFERROR([1]!s_stm07_is_105($A784,TEXT($B$1,"yyyy/mm/dd"),1),"")</f>
        <v>17399773.010000002</v>
      </c>
      <c r="I784">
        <f>IFERROR([1]!s_stm07_is($A784,"W72946623",TEXT($B$1,"yyyy/mm/dd"),1),"")</f>
        <v>3266611640.2199998</v>
      </c>
      <c r="J784">
        <f>IFERROR([1]!s_stm07_is($A784,"W30028333",TEXT($B$1,"yyyy/mm/dd"),1),"")</f>
        <v>1344598814.55</v>
      </c>
      <c r="K784">
        <f>IFERROR([1]!s_stm07_cs($A784,"W77130581",TEXT($B$1,"yyyy/mm/dd"),1),"")</f>
        <v>3631481203.7800002</v>
      </c>
      <c r="L784">
        <f>IFERROR([1]!s_stm07_cs($A784,"W77745895",TEXT($B$1,"yyyy/mm/dd"),1),"")</f>
        <v>77439316.170000002</v>
      </c>
      <c r="M784">
        <f>IFERROR([1]!S_FA_EPS_basic2($A784,$B$1,"Cur=CNY"),"")</f>
        <v>7.3028000000000004</v>
      </c>
      <c r="N784">
        <f>IFERROR([1]!s_fa_arturndays($A784,TEXT($B$1,"yyyy/mm/dd")),"")</f>
        <v>0.1104</v>
      </c>
      <c r="O784" t="str">
        <f>IFERROR([1]!fa_apturndays($A784,TEXT($B$1,"yyyy/mm/dd")),"")</f>
        <v>Fetch...</v>
      </c>
      <c r="P784">
        <f>IFERROR([1]!s_fa_invturndays($A784,TEXT($B$1,"yyyy/mm/dd")),"")</f>
        <v>17.967700000000001</v>
      </c>
    </row>
    <row r="785" spans="1:16">
      <c r="A785" t="s">
        <v>798</v>
      </c>
      <c r="B785">
        <f>IFERROR([1]!s_stm07_is($A785,"W70156729",TEXT($B$1,"yyyy/mm/dd"),1),"")</f>
        <v>24980125148.09</v>
      </c>
      <c r="C785">
        <f>IFERROR([1]!s_stm07_is($A785,"W75682424",TEXT($B$1,"yyyy/mm/dd"),1),"")</f>
        <v>19512520159.709999</v>
      </c>
      <c r="D785">
        <f>IFERROR([1]!s_stm07_is($A785,"W76031679",TEXT($B$1,"yyyy/mm/dd"),1),"")</f>
        <v>66195642.75</v>
      </c>
      <c r="E785">
        <f>IFERROR([1]!s_stm07_is($A785,"W70752487",TEXT($B$1,"yyyy/mm/dd"),1),"")</f>
        <v>704298059.96000004</v>
      </c>
      <c r="F785">
        <f>IFERROR([1]!s_stm07_is_103($A785,TEXT($B$1,"yyyy/mm/dd"),1),"")</f>
        <v>413828698.61000001</v>
      </c>
      <c r="G785">
        <f>IFERROR([1]!s_stm07_is_104($A785,TEXT($B$1,"yyyy/mm/dd"),1),"")</f>
        <v>72629173.200000003</v>
      </c>
      <c r="H785">
        <f>IFERROR([1]!s_stm07_is_105($A785,TEXT($B$1,"yyyy/mm/dd"),1),"")</f>
        <v>155591135.71000001</v>
      </c>
      <c r="I785">
        <f>IFERROR([1]!s_stm07_is($A785,"W72946623",TEXT($B$1,"yyyy/mm/dd"),1),"")</f>
        <v>4156859526.1700001</v>
      </c>
      <c r="J785">
        <f>IFERROR([1]!s_stm07_is($A785,"W30028333",TEXT($B$1,"yyyy/mm/dd"),1),"")</f>
        <v>3206670242.1199999</v>
      </c>
      <c r="K785">
        <f>IFERROR([1]!s_stm07_cs($A785,"W77130581",TEXT($B$1,"yyyy/mm/dd"),1),"")</f>
        <v>3743180887.8499999</v>
      </c>
      <c r="L785">
        <f>IFERROR([1]!s_stm07_cs($A785,"W77745895",TEXT($B$1,"yyyy/mm/dd"),1),"")</f>
        <v>2689607644.96</v>
      </c>
      <c r="M785">
        <f>IFERROR([1]!S_FA_EPS_basic2($A785,$B$1,"Cur=CNY"),"")</f>
        <v>2.75</v>
      </c>
      <c r="N785">
        <f>IFERROR([1]!s_fa_arturndays($A785,TEXT($B$1,"yyyy/mm/dd")),"")</f>
        <v>60.681699999999999</v>
      </c>
      <c r="O785" t="str">
        <f>IFERROR([1]!fa_apturndays($A785,TEXT($B$1,"yyyy/mm/dd")),"")</f>
        <v>Fetch...</v>
      </c>
      <c r="P785">
        <f>IFERROR([1]!s_fa_invturndays($A785,TEXT($B$1,"yyyy/mm/dd")),"")</f>
        <v>55.340299999999999</v>
      </c>
    </row>
    <row r="786" spans="1:16">
      <c r="A786" t="s">
        <v>799</v>
      </c>
      <c r="B786">
        <f>IFERROR([1]!s_stm07_is($A786,"W70156729",TEXT($B$1,"yyyy/mm/dd"),1),"")</f>
        <v>245125575000</v>
      </c>
      <c r="C786">
        <f>IFERROR([1]!s_stm07_is($A786,"W75682424",TEXT($B$1,"yyyy/mm/dd"),1),"")</f>
        <v>229364436000</v>
      </c>
      <c r="D786">
        <f>IFERROR([1]!s_stm07_is($A786,"W76031679",TEXT($B$1,"yyyy/mm/dd"),1),"")</f>
        <v>6539740000</v>
      </c>
      <c r="E786">
        <f>IFERROR([1]!s_stm07_is($A786,"W70752487",TEXT($B$1,"yyyy/mm/dd"),1),"")</f>
        <v>3678764000</v>
      </c>
      <c r="F786">
        <f>IFERROR([1]!s_stm07_is_103($A786,TEXT($B$1,"yyyy/mm/dd"),1),"")</f>
        <v>287539000</v>
      </c>
      <c r="G786">
        <f>IFERROR([1]!s_stm07_is_104($A786,TEXT($B$1,"yyyy/mm/dd"),1),"")</f>
        <v>1655606000</v>
      </c>
      <c r="H786">
        <f>IFERROR([1]!s_stm07_is_105($A786,TEXT($B$1,"yyyy/mm/dd"),1),"")</f>
        <v>1129022000</v>
      </c>
      <c r="I786">
        <f>IFERROR([1]!s_stm07_is($A786,"W72946623",TEXT($B$1,"yyyy/mm/dd"),1),"")</f>
        <v>4888880000</v>
      </c>
      <c r="J786">
        <f>IFERROR([1]!s_stm07_is($A786,"W30028333",TEXT($B$1,"yyyy/mm/dd"),1),"")</f>
        <v>3152894000</v>
      </c>
      <c r="K786">
        <f>IFERROR([1]!s_stm07_cs($A786,"W77130581",TEXT($B$1,"yyyy/mm/dd"),1),"")</f>
        <v>15444977000</v>
      </c>
      <c r="L786">
        <f>IFERROR([1]!s_stm07_cs($A786,"W77745895",TEXT($B$1,"yyyy/mm/dd"),1),"")</f>
        <v>4789184000</v>
      </c>
      <c r="M786">
        <f>IFERROR([1]!S_FA_EPS_basic2($A786,$B$1,"Cur=CNY"),"")</f>
        <v>0.57999999999999996</v>
      </c>
      <c r="N786">
        <f>IFERROR([1]!s_fa_arturndays($A786,TEXT($B$1,"yyyy/mm/dd")),"")</f>
        <v>13.8</v>
      </c>
      <c r="O786" t="str">
        <f>IFERROR([1]!fa_apturndays($A786,TEXT($B$1,"yyyy/mm/dd")),"")</f>
        <v>Fetch...</v>
      </c>
      <c r="P786">
        <f>IFERROR([1]!s_fa_invturndays($A786,TEXT($B$1,"yyyy/mm/dd")),"")</f>
        <v>85.205100000000002</v>
      </c>
    </row>
    <row r="787" spans="1:16">
      <c r="A787" t="s">
        <v>800</v>
      </c>
      <c r="B787">
        <f>IFERROR([1]!s_stm07_is($A787,"W70156729",TEXT($B$1,"yyyy/mm/dd"),1),"")</f>
        <v>845765273.82000005</v>
      </c>
      <c r="C787">
        <f>IFERROR([1]!s_stm07_is($A787,"W75682424",TEXT($B$1,"yyyy/mm/dd"),1),"")</f>
        <v>570151850.94000006</v>
      </c>
      <c r="D787">
        <f>IFERROR([1]!s_stm07_is($A787,"W76031679",TEXT($B$1,"yyyy/mm/dd"),1),"")</f>
        <v>13684248.48</v>
      </c>
      <c r="E787">
        <f>IFERROR([1]!s_stm07_is($A787,"W70752487",TEXT($B$1,"yyyy/mm/dd"),1),"")</f>
        <v>62919465.969999999</v>
      </c>
      <c r="F787">
        <f>IFERROR([1]!s_stm07_is_103($A787,TEXT($B$1,"yyyy/mm/dd"),1),"")</f>
        <v>39177267.130000003</v>
      </c>
      <c r="G787">
        <f>IFERROR([1]!s_stm07_is_104($A787,TEXT($B$1,"yyyy/mm/dd"),1),"")</f>
        <v>239667.4</v>
      </c>
      <c r="H787">
        <f>IFERROR([1]!s_stm07_is_105($A787,TEXT($B$1,"yyyy/mm/dd"),1),"")</f>
        <v>878783.82</v>
      </c>
      <c r="I787">
        <f>IFERROR([1]!s_stm07_is($A787,"W72946623",TEXT($B$1,"yyyy/mm/dd"),1),"")</f>
        <v>169998808.88</v>
      </c>
      <c r="J787">
        <f>IFERROR([1]!s_stm07_is($A787,"W30028333",TEXT($B$1,"yyyy/mm/dd"),1),"")</f>
        <v>149185231.63</v>
      </c>
      <c r="K787">
        <f>IFERROR([1]!s_stm07_cs($A787,"W77130581",TEXT($B$1,"yyyy/mm/dd"),1),"")</f>
        <v>101281260.34999999</v>
      </c>
      <c r="L787">
        <f>IFERROR([1]!s_stm07_cs($A787,"W77745895",TEXT($B$1,"yyyy/mm/dd"),1),"")</f>
        <v>202364097.69999999</v>
      </c>
      <c r="M787">
        <f>IFERROR([1]!S_FA_EPS_basic2($A787,$B$1,"Cur=CNY"),"")</f>
        <v>0.62</v>
      </c>
      <c r="N787">
        <f>IFERROR([1]!s_fa_arturndays($A787,TEXT($B$1,"yyyy/mm/dd")),"")</f>
        <v>107.66840000000001</v>
      </c>
      <c r="O787" t="str">
        <f>IFERROR([1]!fa_apturndays($A787,TEXT($B$1,"yyyy/mm/dd")),"")</f>
        <v>Fetch...</v>
      </c>
      <c r="P787">
        <f>IFERROR([1]!s_fa_invturndays($A787,TEXT($B$1,"yyyy/mm/dd")),"")</f>
        <v>108.73180000000001</v>
      </c>
    </row>
    <row r="788" spans="1:16">
      <c r="A788" t="s">
        <v>801</v>
      </c>
      <c r="B788">
        <f>IFERROR([1]!s_stm07_is($A788,"W70156729",TEXT($B$1,"yyyy/mm/dd"),1),"")</f>
        <v>2353366970.21</v>
      </c>
      <c r="C788">
        <f>IFERROR([1]!s_stm07_is($A788,"W75682424",TEXT($B$1,"yyyy/mm/dd"),1),"")</f>
        <v>1641912902.25</v>
      </c>
      <c r="D788">
        <f>IFERROR([1]!s_stm07_is($A788,"W76031679",TEXT($B$1,"yyyy/mm/dd"),1),"")</f>
        <v>24953715.699999999</v>
      </c>
      <c r="E788">
        <f>IFERROR([1]!s_stm07_is($A788,"W70752487",TEXT($B$1,"yyyy/mm/dd"),1),"")</f>
        <v>100011728.23999999</v>
      </c>
      <c r="F788">
        <f>IFERROR([1]!s_stm07_is_103($A788,TEXT($B$1,"yyyy/mm/dd"),1),"")</f>
        <v>93154615.010000005</v>
      </c>
      <c r="G788">
        <f>IFERROR([1]!s_stm07_is_104($A788,TEXT($B$1,"yyyy/mm/dd"),1),"")</f>
        <v>24554509.890000001</v>
      </c>
      <c r="H788">
        <f>IFERROR([1]!s_stm07_is_105($A788,TEXT($B$1,"yyyy/mm/dd"),1),"")</f>
        <v>18497138.559999999</v>
      </c>
      <c r="I788">
        <f>IFERROR([1]!s_stm07_is($A788,"W72946623",TEXT($B$1,"yyyy/mm/dd"),1),"")</f>
        <v>491875164.88</v>
      </c>
      <c r="J788">
        <f>IFERROR([1]!s_stm07_is($A788,"W30028333",TEXT($B$1,"yyyy/mm/dd"),1),"")</f>
        <v>437159364.64999998</v>
      </c>
      <c r="K788">
        <f>IFERROR([1]!s_stm07_cs($A788,"W77130581",TEXT($B$1,"yyyy/mm/dd"),1),"")</f>
        <v>811213211.09000003</v>
      </c>
      <c r="L788">
        <f>IFERROR([1]!s_stm07_cs($A788,"W77745895",TEXT($B$1,"yyyy/mm/dd"),1),"")</f>
        <v>264099872.03999999</v>
      </c>
      <c r="M788">
        <f>IFERROR([1]!S_FA_EPS_basic2($A788,$B$1,"Cur=CNY"),"")</f>
        <v>3.02</v>
      </c>
      <c r="N788">
        <f>IFERROR([1]!s_fa_arturndays($A788,TEXT($B$1,"yyyy/mm/dd")),"")</f>
        <v>48.899099999999997</v>
      </c>
      <c r="O788" t="str">
        <f>IFERROR([1]!fa_apturndays($A788,TEXT($B$1,"yyyy/mm/dd")),"")</f>
        <v>Fetch...</v>
      </c>
      <c r="P788">
        <f>IFERROR([1]!s_fa_invturndays($A788,TEXT($B$1,"yyyy/mm/dd")),"")</f>
        <v>77.790700000000001</v>
      </c>
    </row>
    <row r="789" spans="1:16">
      <c r="A789" t="s">
        <v>802</v>
      </c>
      <c r="B789">
        <f>IFERROR([1]!s_stm07_is($A789,"W70156729",TEXT($B$1,"yyyy/mm/dd"),1),"")</f>
        <v>7506514889.1499996</v>
      </c>
      <c r="C789">
        <f>IFERROR([1]!s_stm07_is($A789,"W75682424",TEXT($B$1,"yyyy/mm/dd"),1),"")</f>
        <v>4693728991.0100002</v>
      </c>
      <c r="D789">
        <f>IFERROR([1]!s_stm07_is($A789,"W76031679",TEXT($B$1,"yyyy/mm/dd"),1),"")</f>
        <v>1620418676.53</v>
      </c>
      <c r="E789">
        <f>IFERROR([1]!s_stm07_is($A789,"W70752487",TEXT($B$1,"yyyy/mm/dd"),1),"")</f>
        <v>326162412.45999998</v>
      </c>
      <c r="F789">
        <f>IFERROR([1]!s_stm07_is_103($A789,TEXT($B$1,"yyyy/mm/dd"),1),"")</f>
        <v>42165204.43</v>
      </c>
      <c r="G789">
        <f>IFERROR([1]!s_stm07_is_104($A789,TEXT($B$1,"yyyy/mm/dd"),1),"")</f>
        <v>103652681.68000001</v>
      </c>
      <c r="H789">
        <f>IFERROR([1]!s_stm07_is_105($A789,TEXT($B$1,"yyyy/mm/dd"),1),"")</f>
        <v>11083732.26</v>
      </c>
      <c r="I789">
        <f>IFERROR([1]!s_stm07_is($A789,"W72946623",TEXT($B$1,"yyyy/mm/dd"),1),"")</f>
        <v>722975024.62</v>
      </c>
      <c r="J789">
        <f>IFERROR([1]!s_stm07_is($A789,"W30028333",TEXT($B$1,"yyyy/mm/dd"),1),"")</f>
        <v>474685025.56</v>
      </c>
      <c r="K789">
        <f>IFERROR([1]!s_stm07_cs($A789,"W77130581",TEXT($B$1,"yyyy/mm/dd"),1),"")</f>
        <v>934453604.86000001</v>
      </c>
      <c r="L789">
        <f>IFERROR([1]!s_stm07_cs($A789,"W77745895",TEXT($B$1,"yyyy/mm/dd"),1),"")</f>
        <v>288930824.87</v>
      </c>
      <c r="M789">
        <f>IFERROR([1]!S_FA_EPS_basic2($A789,$B$1,"Cur=CNY"),"")</f>
        <v>0.9</v>
      </c>
      <c r="N789">
        <f>IFERROR([1]!s_fa_arturndays($A789,TEXT($B$1,"yyyy/mm/dd")),"")</f>
        <v>80.101500000000001</v>
      </c>
      <c r="O789" t="str">
        <f>IFERROR([1]!fa_apturndays($A789,TEXT($B$1,"yyyy/mm/dd")),"")</f>
        <v>Fetch...</v>
      </c>
      <c r="P789">
        <f>IFERROR([1]!s_fa_invturndays($A789,TEXT($B$1,"yyyy/mm/dd")),"")</f>
        <v>69.923299999999998</v>
      </c>
    </row>
    <row r="790" spans="1:16">
      <c r="A790" t="s">
        <v>803</v>
      </c>
      <c r="B790">
        <f>IFERROR([1]!s_stm07_is($A790,"W70156729",TEXT($B$1,"yyyy/mm/dd"),1),"")</f>
        <v>4209198844.25</v>
      </c>
      <c r="C790">
        <f>IFERROR([1]!s_stm07_is($A790,"W75682424",TEXT($B$1,"yyyy/mm/dd"),1),"")</f>
        <v>3199475507.4200001</v>
      </c>
      <c r="D790">
        <f>IFERROR([1]!s_stm07_is($A790,"W76031679",TEXT($B$1,"yyyy/mm/dd"),1),"")</f>
        <v>272220356.98000002</v>
      </c>
      <c r="E790">
        <f>IFERROR([1]!s_stm07_is($A790,"W70752487",TEXT($B$1,"yyyy/mm/dd"),1),"")</f>
        <v>195848958.30000001</v>
      </c>
      <c r="F790">
        <f>IFERROR([1]!s_stm07_is_103($A790,TEXT($B$1,"yyyy/mm/dd"),1),"")</f>
        <v>192166689</v>
      </c>
      <c r="G790">
        <f>IFERROR([1]!s_stm07_is_104($A790,TEXT($B$1,"yyyy/mm/dd"),1),"")</f>
        <v>25709120.829999998</v>
      </c>
      <c r="H790">
        <f>IFERROR([1]!s_stm07_is_105($A790,TEXT($B$1,"yyyy/mm/dd"),1),"")</f>
        <v>3956128.45</v>
      </c>
      <c r="I790">
        <f>IFERROR([1]!s_stm07_is($A790,"W72946623",TEXT($B$1,"yyyy/mm/dd"),1),"")</f>
        <v>252346805.65000001</v>
      </c>
      <c r="J790">
        <f>IFERROR([1]!s_stm07_is($A790,"W30028333",TEXT($B$1,"yyyy/mm/dd"),1),"")</f>
        <v>216777173.18000001</v>
      </c>
      <c r="K790">
        <f>IFERROR([1]!s_stm07_cs($A790,"W77130581",TEXT($B$1,"yyyy/mm/dd"),1),"")</f>
        <v>324937326.72000003</v>
      </c>
      <c r="L790">
        <f>IFERROR([1]!s_stm07_cs($A790,"W77745895",TEXT($B$1,"yyyy/mm/dd"),1),"")</f>
        <v>375352957.67000002</v>
      </c>
      <c r="M790">
        <f>IFERROR([1]!S_FA_EPS_basic2($A790,$B$1,"Cur=CNY"),"")</f>
        <v>0.81</v>
      </c>
      <c r="N790">
        <f>IFERROR([1]!s_fa_arturndays($A790,TEXT($B$1,"yyyy/mm/dd")),"")</f>
        <v>168.40530000000001</v>
      </c>
      <c r="O790" t="str">
        <f>IFERROR([1]!fa_apturndays($A790,TEXT($B$1,"yyyy/mm/dd")),"")</f>
        <v>Fetch...</v>
      </c>
      <c r="P790">
        <f>IFERROR([1]!s_fa_invturndays($A790,TEXT($B$1,"yyyy/mm/dd")),"")</f>
        <v>121.208</v>
      </c>
    </row>
    <row r="791" spans="1:16">
      <c r="A791" t="s">
        <v>804</v>
      </c>
      <c r="B791">
        <f>IFERROR([1]!s_stm07_is($A791,"W70156729",TEXT($B$1,"yyyy/mm/dd"),1),"")</f>
        <v>2948013252.6100001</v>
      </c>
      <c r="C791">
        <f>IFERROR([1]!s_stm07_is($A791,"W75682424",TEXT($B$1,"yyyy/mm/dd"),1),"")</f>
        <v>1794141466.03</v>
      </c>
      <c r="D791">
        <f>IFERROR([1]!s_stm07_is($A791,"W76031679",TEXT($B$1,"yyyy/mm/dd"),1),"")</f>
        <v>162497419.25</v>
      </c>
      <c r="E791">
        <f>IFERROR([1]!s_stm07_is($A791,"W70752487",TEXT($B$1,"yyyy/mm/dd"),1),"")</f>
        <v>288551597.69999999</v>
      </c>
      <c r="F791">
        <f>IFERROR([1]!s_stm07_is_103($A791,TEXT($B$1,"yyyy/mm/dd"),1),"")</f>
        <v>129457648.31999999</v>
      </c>
      <c r="G791">
        <f>IFERROR([1]!s_stm07_is_104($A791,TEXT($B$1,"yyyy/mm/dd"),1),"")</f>
        <v>797767.63</v>
      </c>
      <c r="H791">
        <f>IFERROR([1]!s_stm07_is_105($A791,TEXT($B$1,"yyyy/mm/dd"),1),"")</f>
        <v>17150608.68</v>
      </c>
      <c r="I791">
        <f>IFERROR([1]!s_stm07_is($A791,"W72946623",TEXT($B$1,"yyyy/mm/dd"),1),"")</f>
        <v>580717772.04999995</v>
      </c>
      <c r="J791">
        <f>IFERROR([1]!s_stm07_is($A791,"W30028333",TEXT($B$1,"yyyy/mm/dd"),1),"")</f>
        <v>511983164.39999998</v>
      </c>
      <c r="K791">
        <f>IFERROR([1]!s_stm07_cs($A791,"W77130581",TEXT($B$1,"yyyy/mm/dd"),1),"")</f>
        <v>508434793.07999998</v>
      </c>
      <c r="L791">
        <f>IFERROR([1]!s_stm07_cs($A791,"W77745895",TEXT($B$1,"yyyy/mm/dd"),1),"")</f>
        <v>377645533.87</v>
      </c>
      <c r="M791">
        <f>IFERROR([1]!S_FA_EPS_basic2($A791,$B$1,"Cur=CNY"),"")</f>
        <v>0.81</v>
      </c>
      <c r="N791">
        <f>IFERROR([1]!s_fa_arturndays($A791,TEXT($B$1,"yyyy/mm/dd")),"")</f>
        <v>96.735200000000006</v>
      </c>
      <c r="O791" t="str">
        <f>IFERROR([1]!fa_apturndays($A791,TEXT($B$1,"yyyy/mm/dd")),"")</f>
        <v>Fetch...</v>
      </c>
      <c r="P791">
        <f>IFERROR([1]!s_fa_invturndays($A791,TEXT($B$1,"yyyy/mm/dd")),"")</f>
        <v>93.752399999999994</v>
      </c>
    </row>
    <row r="792" spans="1:16">
      <c r="A792" t="s">
        <v>805</v>
      </c>
      <c r="B792">
        <f>IFERROR([1]!s_stm07_is($A792,"W70156729",TEXT($B$1,"yyyy/mm/dd"),1),"")</f>
        <v>2172395318.46</v>
      </c>
      <c r="C792">
        <f>IFERROR([1]!s_stm07_is($A792,"W75682424",TEXT($B$1,"yyyy/mm/dd"),1),"")</f>
        <v>1290944055.54</v>
      </c>
      <c r="D792">
        <f>IFERROR([1]!s_stm07_is($A792,"W76031679",TEXT($B$1,"yyyy/mm/dd"),1),"")</f>
        <v>96270213.640000001</v>
      </c>
      <c r="E792">
        <f>IFERROR([1]!s_stm07_is($A792,"W70752487",TEXT($B$1,"yyyy/mm/dd"),1),"")</f>
        <v>109944067.15000001</v>
      </c>
      <c r="F792">
        <f>IFERROR([1]!s_stm07_is_103($A792,TEXT($B$1,"yyyy/mm/dd"),1),"")</f>
        <v>181624823.12</v>
      </c>
      <c r="G792">
        <f>IFERROR([1]!s_stm07_is_104($A792,TEXT($B$1,"yyyy/mm/dd"),1),"")</f>
        <v>11920276.52</v>
      </c>
      <c r="H792">
        <f>IFERROR([1]!s_stm07_is_105($A792,TEXT($B$1,"yyyy/mm/dd"),1),"")</f>
        <v>796064.19</v>
      </c>
      <c r="I792">
        <f>IFERROR([1]!s_stm07_is($A792,"W72946623",TEXT($B$1,"yyyy/mm/dd"),1),"")</f>
        <v>438329274.82999998</v>
      </c>
      <c r="J792">
        <f>IFERROR([1]!s_stm07_is($A792,"W30028333",TEXT($B$1,"yyyy/mm/dd"),1),"")</f>
        <v>405081143.82999998</v>
      </c>
      <c r="K792">
        <f>IFERROR([1]!s_stm07_cs($A792,"W77130581",TEXT($B$1,"yyyy/mm/dd"),1),"")</f>
        <v>432840842.85000002</v>
      </c>
      <c r="L792">
        <f>IFERROR([1]!s_stm07_cs($A792,"W77745895",TEXT($B$1,"yyyy/mm/dd"),1),"")</f>
        <v>208899391.16999999</v>
      </c>
      <c r="M792">
        <f>IFERROR([1]!S_FA_EPS_basic2($A792,$B$1,"Cur=CNY"),"")</f>
        <v>4.1399999999999997</v>
      </c>
      <c r="N792">
        <f>IFERROR([1]!s_fa_arturndays($A792,TEXT($B$1,"yyyy/mm/dd")),"")</f>
        <v>125.405</v>
      </c>
      <c r="O792" t="str">
        <f>IFERROR([1]!fa_apturndays($A792,TEXT($B$1,"yyyy/mm/dd")),"")</f>
        <v>Fetch...</v>
      </c>
      <c r="P792">
        <f>IFERROR([1]!s_fa_invturndays($A792,TEXT($B$1,"yyyy/mm/dd")),"")</f>
        <v>71.938100000000006</v>
      </c>
    </row>
    <row r="793" spans="1:16">
      <c r="A793" t="s">
        <v>806</v>
      </c>
      <c r="B793">
        <f>IFERROR([1]!s_stm07_is($A793,"W70156729",TEXT($B$1,"yyyy/mm/dd"),1),"")</f>
        <v>14688354045.6</v>
      </c>
      <c r="C793">
        <f>IFERROR([1]!s_stm07_is($A793,"W75682424",TEXT($B$1,"yyyy/mm/dd"),1),"")</f>
        <v>11339087733.07</v>
      </c>
      <c r="D793">
        <f>IFERROR([1]!s_stm07_is($A793,"W76031679",TEXT($B$1,"yyyy/mm/dd"),1),"")</f>
        <v>736069496.30999994</v>
      </c>
      <c r="E793">
        <f>IFERROR([1]!s_stm07_is($A793,"W70752487",TEXT($B$1,"yyyy/mm/dd"),1),"")</f>
        <v>585508389.57000005</v>
      </c>
      <c r="F793">
        <f>IFERROR([1]!s_stm07_is_103($A793,TEXT($B$1,"yyyy/mm/dd"),1),"")</f>
        <v>183340065.44999999</v>
      </c>
      <c r="G793">
        <f>IFERROR([1]!s_stm07_is_104($A793,TEXT($B$1,"yyyy/mm/dd"),1),"")</f>
        <v>97047688.280000001</v>
      </c>
      <c r="H793">
        <f>IFERROR([1]!s_stm07_is_105($A793,TEXT($B$1,"yyyy/mm/dd"),1),"")</f>
        <v>60358047.469999999</v>
      </c>
      <c r="I793">
        <f>IFERROR([1]!s_stm07_is($A793,"W72946623",TEXT($B$1,"yyyy/mm/dd"),1),"")</f>
        <v>1459716514.3199999</v>
      </c>
      <c r="J793">
        <f>IFERROR([1]!s_stm07_is($A793,"W30028333",TEXT($B$1,"yyyy/mm/dd"),1),"")</f>
        <v>1044521901.7</v>
      </c>
      <c r="K793">
        <f>IFERROR([1]!s_stm07_cs($A793,"W77130581",TEXT($B$1,"yyyy/mm/dd"),1),"")</f>
        <v>2143365422.1400001</v>
      </c>
      <c r="L793">
        <f>IFERROR([1]!s_stm07_cs($A793,"W77745895",TEXT($B$1,"yyyy/mm/dd"),1),"")</f>
        <v>937329470.13999999</v>
      </c>
      <c r="M793">
        <f>IFERROR([1]!S_FA_EPS_basic2($A793,$B$1,"Cur=CNY"),"")</f>
        <v>3.75</v>
      </c>
      <c r="N793">
        <f>IFERROR([1]!s_fa_arturndays($A793,TEXT($B$1,"yyyy/mm/dd")),"")</f>
        <v>129.6456</v>
      </c>
      <c r="O793" t="str">
        <f>IFERROR([1]!fa_apturndays($A793,TEXT($B$1,"yyyy/mm/dd")),"")</f>
        <v>Fetch...</v>
      </c>
      <c r="P793">
        <f>IFERROR([1]!s_fa_invturndays($A793,TEXT($B$1,"yyyy/mm/dd")),"")</f>
        <v>80.506299999999996</v>
      </c>
    </row>
    <row r="794" spans="1:16">
      <c r="A794" t="s">
        <v>807</v>
      </c>
      <c r="B794">
        <f>IFERROR([1]!s_stm07_is($A794,"W70156729",TEXT($B$1,"yyyy/mm/dd"),1),"")</f>
        <v>20177635542.259998</v>
      </c>
      <c r="C794">
        <f>IFERROR([1]!s_stm07_is($A794,"W75682424",TEXT($B$1,"yyyy/mm/dd"),1),"")</f>
        <v>16971653058.02</v>
      </c>
      <c r="D794">
        <f>IFERROR([1]!s_stm07_is($A794,"W76031679",TEXT($B$1,"yyyy/mm/dd"),1),"")</f>
        <v>525500425.18000001</v>
      </c>
      <c r="E794">
        <f>IFERROR([1]!s_stm07_is($A794,"W70752487",TEXT($B$1,"yyyy/mm/dd"),1),"")</f>
        <v>953049922.63</v>
      </c>
      <c r="F794">
        <f>IFERROR([1]!s_stm07_is_103($A794,TEXT($B$1,"yyyy/mm/dd"),1),"")</f>
        <v>457553493.52999997</v>
      </c>
      <c r="G794">
        <f>IFERROR([1]!s_stm07_is_104($A794,TEXT($B$1,"yyyy/mm/dd"),1),"")</f>
        <v>16579263.27</v>
      </c>
      <c r="H794">
        <f>IFERROR([1]!s_stm07_is_105($A794,TEXT($B$1,"yyyy/mm/dd"),1),"")</f>
        <v>166199721.16</v>
      </c>
      <c r="I794">
        <f>IFERROR([1]!s_stm07_is($A794,"W72946623",TEXT($B$1,"yyyy/mm/dd"),1),"")</f>
        <v>1226307015.3199999</v>
      </c>
      <c r="J794">
        <f>IFERROR([1]!s_stm07_is($A794,"W30028333",TEXT($B$1,"yyyy/mm/dd"),1),"")</f>
        <v>903517649.41999996</v>
      </c>
      <c r="K794">
        <f>IFERROR([1]!s_stm07_cs($A794,"W77130581",TEXT($B$1,"yyyy/mm/dd"),1),"")</f>
        <v>1575773631.53</v>
      </c>
      <c r="L794">
        <f>IFERROR([1]!s_stm07_cs($A794,"W77745895",TEXT($B$1,"yyyy/mm/dd"),1),"")</f>
        <v>459869260.58999997</v>
      </c>
      <c r="M794">
        <f>IFERROR([1]!S_FA_EPS_basic2($A794,$B$1,"Cur=CNY"),"")</f>
        <v>0.48</v>
      </c>
      <c r="N794">
        <f>IFERROR([1]!s_fa_arturndays($A794,TEXT($B$1,"yyyy/mm/dd")),"")</f>
        <v>62.065800000000003</v>
      </c>
      <c r="O794" t="str">
        <f>IFERROR([1]!fa_apturndays($A794,TEXT($B$1,"yyyy/mm/dd")),"")</f>
        <v>Fetch...</v>
      </c>
      <c r="P794">
        <f>IFERROR([1]!s_fa_invturndays($A794,TEXT($B$1,"yyyy/mm/dd")),"")</f>
        <v>93.482200000000006</v>
      </c>
    </row>
    <row r="795" spans="1:16">
      <c r="A795" t="s">
        <v>808</v>
      </c>
      <c r="B795">
        <f>IFERROR([1]!s_stm07_is($A795,"W70156729",TEXT($B$1,"yyyy/mm/dd"),1),"")</f>
        <v>699564604.45000005</v>
      </c>
      <c r="C795">
        <f>IFERROR([1]!s_stm07_is($A795,"W75682424",TEXT($B$1,"yyyy/mm/dd"),1),"")</f>
        <v>186853761.53999999</v>
      </c>
      <c r="D795">
        <f>IFERROR([1]!s_stm07_is($A795,"W76031679",TEXT($B$1,"yyyy/mm/dd"),1),"")</f>
        <v>163245335.13999999</v>
      </c>
      <c r="E795">
        <f>IFERROR([1]!s_stm07_is($A795,"W70752487",TEXT($B$1,"yyyy/mm/dd"),1),"")</f>
        <v>147547956.97999999</v>
      </c>
      <c r="F795">
        <f>IFERROR([1]!s_stm07_is_103($A795,TEXT($B$1,"yyyy/mm/dd"),1),"")</f>
        <v>86220026.609999999</v>
      </c>
      <c r="G795">
        <f>IFERROR([1]!s_stm07_is_104($A795,TEXT($B$1,"yyyy/mm/dd"),1),"")</f>
        <v>3087120.01</v>
      </c>
      <c r="H795">
        <f>IFERROR([1]!s_stm07_is_105($A795,TEXT($B$1,"yyyy/mm/dd"),1),"")</f>
        <v>7513527.8499999996</v>
      </c>
      <c r="I795">
        <f>IFERROR([1]!s_stm07_is($A795,"W72946623",TEXT($B$1,"yyyy/mm/dd"),1),"")</f>
        <v>179538493.94</v>
      </c>
      <c r="J795">
        <f>IFERROR([1]!s_stm07_is($A795,"W30028333",TEXT($B$1,"yyyy/mm/dd"),1),"")</f>
        <v>147735827.94</v>
      </c>
      <c r="K795">
        <f>IFERROR([1]!s_stm07_cs($A795,"W77130581",TEXT($B$1,"yyyy/mm/dd"),1),"")</f>
        <v>146188854.56</v>
      </c>
      <c r="L795">
        <f>IFERROR([1]!s_stm07_cs($A795,"W77745895",TEXT($B$1,"yyyy/mm/dd"),1),"")</f>
        <v>101046695.77</v>
      </c>
      <c r="M795">
        <f>IFERROR([1]!S_FA_EPS_basic2($A795,$B$1,"Cur=CNY"),"")</f>
        <v>1.2145999999999999</v>
      </c>
      <c r="N795">
        <f>IFERROR([1]!s_fa_arturndays($A795,TEXT($B$1,"yyyy/mm/dd")),"")</f>
        <v>84.873599999999996</v>
      </c>
      <c r="O795" t="str">
        <f>IFERROR([1]!fa_apturndays($A795,TEXT($B$1,"yyyy/mm/dd")),"")</f>
        <v>Fetch...</v>
      </c>
      <c r="P795">
        <f>IFERROR([1]!s_fa_invturndays($A795,TEXT($B$1,"yyyy/mm/dd")),"")</f>
        <v>138.34979999999999</v>
      </c>
    </row>
    <row r="796" spans="1:16">
      <c r="A796" t="s">
        <v>809</v>
      </c>
      <c r="B796">
        <f>IFERROR([1]!s_stm07_is($A796,"W70156729",TEXT($B$1,"yyyy/mm/dd"),1),"")</f>
        <v>740496305.72000003</v>
      </c>
      <c r="C796">
        <f>IFERROR([1]!s_stm07_is($A796,"W75682424",TEXT($B$1,"yyyy/mm/dd"),1),"")</f>
        <v>473043626.43000001</v>
      </c>
      <c r="D796">
        <f>IFERROR([1]!s_stm07_is($A796,"W76031679",TEXT($B$1,"yyyy/mm/dd"),1),"")</f>
        <v>8866853.5199999996</v>
      </c>
      <c r="E796">
        <f>IFERROR([1]!s_stm07_is($A796,"W70752487",TEXT($B$1,"yyyy/mm/dd"),1),"")</f>
        <v>40540718.530000001</v>
      </c>
      <c r="F796">
        <f>IFERROR([1]!s_stm07_is_103($A796,TEXT($B$1,"yyyy/mm/dd"),1),"")</f>
        <v>65931962.009999998</v>
      </c>
      <c r="G796">
        <f>IFERROR([1]!s_stm07_is_104($A796,TEXT($B$1,"yyyy/mm/dd"),1),"")</f>
        <v>450508.35</v>
      </c>
      <c r="H796">
        <f>IFERROR([1]!s_stm07_is_105($A796,TEXT($B$1,"yyyy/mm/dd"),1),"")</f>
        <v>18861403.09</v>
      </c>
      <c r="I796">
        <f>IFERROR([1]!s_stm07_is($A796,"W72946623",TEXT($B$1,"yyyy/mm/dd"),1),"")</f>
        <v>190019964.13</v>
      </c>
      <c r="J796">
        <f>IFERROR([1]!s_stm07_is($A796,"W30028333",TEXT($B$1,"yyyy/mm/dd"),1),"")</f>
        <v>164343494.56</v>
      </c>
      <c r="K796">
        <f>IFERROR([1]!s_stm07_cs($A796,"W77130581",TEXT($B$1,"yyyy/mm/dd"),1),"")</f>
        <v>239718494.69</v>
      </c>
      <c r="L796">
        <f>IFERROR([1]!s_stm07_cs($A796,"W77745895",TEXT($B$1,"yyyy/mm/dd"),1),"")</f>
        <v>14880060.65</v>
      </c>
      <c r="M796">
        <f>IFERROR([1]!S_FA_EPS_basic2($A796,$B$1,"Cur=CNY"),"")</f>
        <v>0.67</v>
      </c>
      <c r="N796">
        <f>IFERROR([1]!s_fa_arturndays($A796,TEXT($B$1,"yyyy/mm/dd")),"")</f>
        <v>197.47669999999999</v>
      </c>
      <c r="O796" t="str">
        <f>IFERROR([1]!fa_apturndays($A796,TEXT($B$1,"yyyy/mm/dd")),"")</f>
        <v>Fetch...</v>
      </c>
      <c r="P796">
        <f>IFERROR([1]!s_fa_invturndays($A796,TEXT($B$1,"yyyy/mm/dd")),"")</f>
        <v>900.2251</v>
      </c>
    </row>
    <row r="797" spans="1:16">
      <c r="A797" t="s">
        <v>810</v>
      </c>
      <c r="B797">
        <f>IFERROR([1]!s_stm07_is($A797,"W70156729",TEXT($B$1,"yyyy/mm/dd"),1),"")</f>
        <v>3379089998.1599998</v>
      </c>
      <c r="C797">
        <f>IFERROR([1]!s_stm07_is($A797,"W75682424",TEXT($B$1,"yyyy/mm/dd"),1),"")</f>
        <v>2051442437.1700001</v>
      </c>
      <c r="D797">
        <f>IFERROR([1]!s_stm07_is($A797,"W76031679",TEXT($B$1,"yyyy/mm/dd"),1),"")</f>
        <v>109757904.16</v>
      </c>
      <c r="E797">
        <f>IFERROR([1]!s_stm07_is($A797,"W70752487",TEXT($B$1,"yyyy/mm/dd"),1),"")</f>
        <v>94575536.719999999</v>
      </c>
      <c r="F797">
        <f>IFERROR([1]!s_stm07_is_103($A797,TEXT($B$1,"yyyy/mm/dd"),1),"")</f>
        <v>156725464.05000001</v>
      </c>
      <c r="G797">
        <f>IFERROR([1]!s_stm07_is_104($A797,TEXT($B$1,"yyyy/mm/dd"),1),"")</f>
        <v>12221316.92</v>
      </c>
      <c r="H797">
        <f>IFERROR([1]!s_stm07_is_105($A797,TEXT($B$1,"yyyy/mm/dd"),1),"")</f>
        <v>62027168.57</v>
      </c>
      <c r="I797">
        <f>IFERROR([1]!s_stm07_is($A797,"W72946623",TEXT($B$1,"yyyy/mm/dd"),1),"")</f>
        <v>969743303.50999999</v>
      </c>
      <c r="J797">
        <f>IFERROR([1]!s_stm07_is($A797,"W30028333",TEXT($B$1,"yyyy/mm/dd"),1),"")</f>
        <v>857479611.12</v>
      </c>
      <c r="K797">
        <f>IFERROR([1]!s_stm07_cs($A797,"W77130581",TEXT($B$1,"yyyy/mm/dd"),1),"")</f>
        <v>788922521.50999999</v>
      </c>
      <c r="L797">
        <f>IFERROR([1]!s_stm07_cs($A797,"W77745895",TEXT($B$1,"yyyy/mm/dd"),1),"")</f>
        <v>84251292.019999996</v>
      </c>
      <c r="M797">
        <f>IFERROR([1]!S_FA_EPS_basic2($A797,$B$1,"Cur=CNY"),"")</f>
        <v>3.94</v>
      </c>
      <c r="N797">
        <f>IFERROR([1]!s_fa_arturndays($A797,TEXT($B$1,"yyyy/mm/dd")),"")</f>
        <v>44.883299999999998</v>
      </c>
      <c r="O797" t="str">
        <f>IFERROR([1]!fa_apturndays($A797,TEXT($B$1,"yyyy/mm/dd")),"")</f>
        <v>Fetch...</v>
      </c>
      <c r="P797">
        <f>IFERROR([1]!s_fa_invturndays($A797,TEXT($B$1,"yyyy/mm/dd")),"")</f>
        <v>83.368099999999998</v>
      </c>
    </row>
    <row r="798" spans="1:16">
      <c r="A798" t="s">
        <v>811</v>
      </c>
      <c r="B798">
        <f>IFERROR([1]!s_stm07_is($A798,"W70156729",TEXT($B$1,"yyyy/mm/dd"),1),"")</f>
        <v>632444992.15999997</v>
      </c>
      <c r="C798">
        <f>IFERROR([1]!s_stm07_is($A798,"W75682424",TEXT($B$1,"yyyy/mm/dd"),1),"")</f>
        <v>491825379.51999998</v>
      </c>
      <c r="D798">
        <f>IFERROR([1]!s_stm07_is($A798,"W76031679",TEXT($B$1,"yyyy/mm/dd"),1),"")</f>
        <v>8393142.9700000007</v>
      </c>
      <c r="E798">
        <f>IFERROR([1]!s_stm07_is($A798,"W70752487",TEXT($B$1,"yyyy/mm/dd"),1),"")</f>
        <v>36359666.520000003</v>
      </c>
      <c r="F798">
        <f>IFERROR([1]!s_stm07_is_103($A798,TEXT($B$1,"yyyy/mm/dd"),1),"")</f>
        <v>65060968.659999996</v>
      </c>
      <c r="G798">
        <f>IFERROR([1]!s_stm07_is_104($A798,TEXT($B$1,"yyyy/mm/dd"),1),"")</f>
        <v>16204122.83</v>
      </c>
      <c r="H798">
        <f>IFERROR([1]!s_stm07_is_105($A798,TEXT($B$1,"yyyy/mm/dd"),1),"")</f>
        <v>28516587.399999999</v>
      </c>
      <c r="I798">
        <f>IFERROR([1]!s_stm07_is($A798,"W72946623",TEXT($B$1,"yyyy/mm/dd"),1),"")</f>
        <v>114418824.14</v>
      </c>
      <c r="J798">
        <f>IFERROR([1]!s_stm07_is($A798,"W30028333",TEXT($B$1,"yyyy/mm/dd"),1),"")</f>
        <v>109301515.51000001</v>
      </c>
      <c r="K798">
        <f>IFERROR([1]!s_stm07_cs($A798,"W77130581",TEXT($B$1,"yyyy/mm/dd"),1),"")</f>
        <v>418414153.13999999</v>
      </c>
      <c r="L798">
        <f>IFERROR([1]!s_stm07_cs($A798,"W77745895",TEXT($B$1,"yyyy/mm/dd"),1),"")</f>
        <v>391104100.74000001</v>
      </c>
      <c r="M798">
        <f>IFERROR([1]!S_FA_EPS_basic2($A798,$B$1,"Cur=CNY"),"")</f>
        <v>0.43</v>
      </c>
      <c r="N798">
        <f>IFERROR([1]!s_fa_arturndays($A798,TEXT($B$1,"yyyy/mm/dd")),"")</f>
        <v>17.312799999999999</v>
      </c>
      <c r="O798" t="str">
        <f>IFERROR([1]!fa_apturndays($A798,TEXT($B$1,"yyyy/mm/dd")),"")</f>
        <v>Fetch...</v>
      </c>
      <c r="P798">
        <f>IFERROR([1]!s_fa_invturndays($A798,TEXT($B$1,"yyyy/mm/dd")),"")</f>
        <v>305.5249</v>
      </c>
    </row>
    <row r="799" spans="1:16">
      <c r="A799" t="s">
        <v>812</v>
      </c>
      <c r="B799">
        <f>IFERROR([1]!s_stm07_is($A799,"W70156729",TEXT($B$1,"yyyy/mm/dd"),1),"")</f>
        <v>10273325632.4</v>
      </c>
      <c r="C799">
        <f>IFERROR([1]!s_stm07_is($A799,"W75682424",TEXT($B$1,"yyyy/mm/dd"),1),"")</f>
        <v>7238592563.8500004</v>
      </c>
      <c r="D799">
        <f>IFERROR([1]!s_stm07_is($A799,"W76031679",TEXT($B$1,"yyyy/mm/dd"),1),"")</f>
        <v>1985579727.6800001</v>
      </c>
      <c r="E799">
        <f>IFERROR([1]!s_stm07_is($A799,"W70752487",TEXT($B$1,"yyyy/mm/dd"),1),"")</f>
        <v>499270420.86000001</v>
      </c>
      <c r="F799">
        <f>IFERROR([1]!s_stm07_is_103($A799,TEXT($B$1,"yyyy/mm/dd"),1),"")</f>
        <v>44080687.859999999</v>
      </c>
      <c r="G799">
        <f>IFERROR([1]!s_stm07_is_104($A799,TEXT($B$1,"yyyy/mm/dd"),1),"")</f>
        <v>115034971.19</v>
      </c>
      <c r="H799">
        <f>IFERROR([1]!s_stm07_is_105($A799,TEXT($B$1,"yyyy/mm/dd"),1),"")</f>
        <v>16218826</v>
      </c>
      <c r="I799">
        <f>IFERROR([1]!s_stm07_is($A799,"W72946623",TEXT($B$1,"yyyy/mm/dd"),1),"")</f>
        <v>419224435.82999998</v>
      </c>
      <c r="J799">
        <f>IFERROR([1]!s_stm07_is($A799,"W30028333",TEXT($B$1,"yyyy/mm/dd"),1),"")</f>
        <v>297646558.76999998</v>
      </c>
      <c r="K799">
        <f>IFERROR([1]!s_stm07_cs($A799,"W77130581",TEXT($B$1,"yyyy/mm/dd"),1),"")</f>
        <v>1437849521.9200001</v>
      </c>
      <c r="L799">
        <f>IFERROR([1]!s_stm07_cs($A799,"W77745895",TEXT($B$1,"yyyy/mm/dd"),1),"")</f>
        <v>518472289.57999998</v>
      </c>
      <c r="M799">
        <f>IFERROR([1]!S_FA_EPS_basic2($A799,$B$1,"Cur=CNY"),"")</f>
        <v>0.2379</v>
      </c>
      <c r="N799">
        <f>IFERROR([1]!s_fa_arturndays($A799,TEXT($B$1,"yyyy/mm/dd")),"")</f>
        <v>3.1770999999999998</v>
      </c>
      <c r="O799" t="str">
        <f>IFERROR([1]!fa_apturndays($A799,TEXT($B$1,"yyyy/mm/dd")),"")</f>
        <v>Fetch...</v>
      </c>
      <c r="P799">
        <f>IFERROR([1]!s_fa_invturndays($A799,TEXT($B$1,"yyyy/mm/dd")),"")</f>
        <v>45.501100000000001</v>
      </c>
    </row>
    <row r="800" spans="1:16">
      <c r="A800" t="s">
        <v>813</v>
      </c>
      <c r="B800">
        <f>IFERROR([1]!s_stm07_is($A800,"W70156729",TEXT($B$1,"yyyy/mm/dd"),1),"")</f>
        <v>3387499253.2399998</v>
      </c>
      <c r="C800">
        <f>IFERROR([1]!s_stm07_is($A800,"W75682424",TEXT($B$1,"yyyy/mm/dd"),1),"")</f>
        <v>1586607952.8</v>
      </c>
      <c r="D800">
        <f>IFERROR([1]!s_stm07_is($A800,"W76031679",TEXT($B$1,"yyyy/mm/dd"),1),"")</f>
        <v>1158175337.6099999</v>
      </c>
      <c r="E800">
        <f>IFERROR([1]!s_stm07_is($A800,"W70752487",TEXT($B$1,"yyyy/mm/dd"),1),"")</f>
        <v>173075388.28999999</v>
      </c>
      <c r="F800">
        <f>IFERROR([1]!s_stm07_is_103($A800,TEXT($B$1,"yyyy/mm/dd"),1),"")</f>
        <v>87284427.950000003</v>
      </c>
      <c r="G800">
        <f>IFERROR([1]!s_stm07_is_104($A800,TEXT($B$1,"yyyy/mm/dd"),1),"")</f>
        <v>16066144.73</v>
      </c>
      <c r="H800">
        <f>IFERROR([1]!s_stm07_is_105($A800,TEXT($B$1,"yyyy/mm/dd"),1),"")</f>
        <v>26428809.149999999</v>
      </c>
      <c r="I800">
        <f>IFERROR([1]!s_stm07_is($A800,"W72946623",TEXT($B$1,"yyyy/mm/dd"),1),"")</f>
        <v>425842807.11000001</v>
      </c>
      <c r="J800">
        <f>IFERROR([1]!s_stm07_is($A800,"W30028333",TEXT($B$1,"yyyy/mm/dd"),1),"")</f>
        <v>371608606.66000003</v>
      </c>
      <c r="K800">
        <f>IFERROR([1]!s_stm07_cs($A800,"W77130581",TEXT($B$1,"yyyy/mm/dd"),1),"")</f>
        <v>695725816.71000004</v>
      </c>
      <c r="L800">
        <f>IFERROR([1]!s_stm07_cs($A800,"W77745895",TEXT($B$1,"yyyy/mm/dd"),1),"")</f>
        <v>178096173.40000001</v>
      </c>
      <c r="M800">
        <f>IFERROR([1]!S_FA_EPS_basic2($A800,$B$1,"Cur=CNY"),"")</f>
        <v>1.83</v>
      </c>
      <c r="N800">
        <f>IFERROR([1]!s_fa_arturndays($A800,TEXT($B$1,"yyyy/mm/dd")),"")</f>
        <v>41.382199999999997</v>
      </c>
      <c r="O800" t="str">
        <f>IFERROR([1]!fa_apturndays($A800,TEXT($B$1,"yyyy/mm/dd")),"")</f>
        <v>Fetch...</v>
      </c>
      <c r="P800">
        <f>IFERROR([1]!s_fa_invturndays($A800,TEXT($B$1,"yyyy/mm/dd")),"")</f>
        <v>151.46420000000001</v>
      </c>
    </row>
    <row r="801" spans="1:16">
      <c r="A801" t="s">
        <v>814</v>
      </c>
      <c r="B801">
        <f>IFERROR([1]!s_stm07_is($A801,"W70156729",TEXT($B$1,"yyyy/mm/dd"),1),"")</f>
        <v>1205142310.5799999</v>
      </c>
      <c r="C801">
        <f>IFERROR([1]!s_stm07_is($A801,"W75682424",TEXT($B$1,"yyyy/mm/dd"),1),"")</f>
        <v>716317224.49000001</v>
      </c>
      <c r="D801">
        <f>IFERROR([1]!s_stm07_is($A801,"W76031679",TEXT($B$1,"yyyy/mm/dd"),1),"")</f>
        <v>36773331.460000001</v>
      </c>
      <c r="E801">
        <f>IFERROR([1]!s_stm07_is($A801,"W70752487",TEXT($B$1,"yyyy/mm/dd"),1),"")</f>
        <v>125618061.66</v>
      </c>
      <c r="F801">
        <f>IFERROR([1]!s_stm07_is_103($A801,TEXT($B$1,"yyyy/mm/dd"),1),"")</f>
        <v>140786329.19999999</v>
      </c>
      <c r="G801">
        <f>IFERROR([1]!s_stm07_is_104($A801,TEXT($B$1,"yyyy/mm/dd"),1),"")</f>
        <v>4676653.0999999996</v>
      </c>
      <c r="H801">
        <f>IFERROR([1]!s_stm07_is_105($A801,TEXT($B$1,"yyyy/mm/dd"),1),"")</f>
        <v>7440450.5700000003</v>
      </c>
      <c r="I801">
        <f>IFERROR([1]!s_stm07_is($A801,"W72946623",TEXT($B$1,"yyyy/mm/dd"),1),"")</f>
        <v>69322898.340000004</v>
      </c>
      <c r="J801">
        <f>IFERROR([1]!s_stm07_is($A801,"W30028333",TEXT($B$1,"yyyy/mm/dd"),1),"")</f>
        <v>61166481.030000001</v>
      </c>
      <c r="K801">
        <f>IFERROR([1]!s_stm07_cs($A801,"W77130581",TEXT($B$1,"yyyy/mm/dd"),1),"")</f>
        <v>-44517495.399999999</v>
      </c>
      <c r="L801">
        <f>IFERROR([1]!s_stm07_cs($A801,"W77745895",TEXT($B$1,"yyyy/mm/dd"),1),"")</f>
        <v>187796037.72</v>
      </c>
      <c r="M801">
        <f>IFERROR([1]!S_FA_EPS_basic2($A801,$B$1,"Cur=CNY"),"")</f>
        <v>0.12</v>
      </c>
      <c r="N801">
        <f>IFERROR([1]!s_fa_arturndays($A801,TEXT($B$1,"yyyy/mm/dd")),"")</f>
        <v>368.13580000000002</v>
      </c>
      <c r="O801" t="str">
        <f>IFERROR([1]!fa_apturndays($A801,TEXT($B$1,"yyyy/mm/dd")),"")</f>
        <v>Fetch...</v>
      </c>
      <c r="P801">
        <f>IFERROR([1]!s_fa_invturndays($A801,TEXT($B$1,"yyyy/mm/dd")),"")</f>
        <v>92.537899999999993</v>
      </c>
    </row>
    <row r="802" spans="1:16">
      <c r="A802" t="s">
        <v>815</v>
      </c>
      <c r="B802">
        <f>IFERROR([1]!s_stm07_is($A802,"W70156729",TEXT($B$1,"yyyy/mm/dd"),1),"")</f>
        <v>734977273.04999995</v>
      </c>
      <c r="C802">
        <f>IFERROR([1]!s_stm07_is($A802,"W75682424",TEXT($B$1,"yyyy/mm/dd"),1),"")</f>
        <v>310339188.42000002</v>
      </c>
      <c r="D802">
        <f>IFERROR([1]!s_stm07_is($A802,"W76031679",TEXT($B$1,"yyyy/mm/dd"),1),"")</f>
        <v>52774935.170000002</v>
      </c>
      <c r="E802">
        <f>IFERROR([1]!s_stm07_is($A802,"W70752487",TEXT($B$1,"yyyy/mm/dd"),1),"")</f>
        <v>63846645.950000003</v>
      </c>
      <c r="F802">
        <f>IFERROR([1]!s_stm07_is_103($A802,TEXT($B$1,"yyyy/mm/dd"),1),"")</f>
        <v>302772246.16000003</v>
      </c>
      <c r="G802">
        <f>IFERROR([1]!s_stm07_is_104($A802,TEXT($B$1,"yyyy/mm/dd"),1),"")</f>
        <v>1656899.52</v>
      </c>
      <c r="H802">
        <f>IFERROR([1]!s_stm07_is_105($A802,TEXT($B$1,"yyyy/mm/dd"),1),"")</f>
        <v>19587938.879999999</v>
      </c>
      <c r="I802">
        <f>IFERROR([1]!s_stm07_is($A802,"W72946623",TEXT($B$1,"yyyy/mm/dd"),1),"")</f>
        <v>82435843.939999998</v>
      </c>
      <c r="J802">
        <f>IFERROR([1]!s_stm07_is($A802,"W30028333",TEXT($B$1,"yyyy/mm/dd"),1),"")</f>
        <v>88687964.489999995</v>
      </c>
      <c r="K802">
        <f>IFERROR([1]!s_stm07_cs($A802,"W77130581",TEXT($B$1,"yyyy/mm/dd"),1),"")</f>
        <v>-121781443.73</v>
      </c>
      <c r="L802">
        <f>IFERROR([1]!s_stm07_cs($A802,"W77745895",TEXT($B$1,"yyyy/mm/dd"),1),"")</f>
        <v>151685846.22</v>
      </c>
      <c r="M802">
        <f>IFERROR([1]!S_FA_EPS_basic2($A802,$B$1,"Cur=CNY"),"")</f>
        <v>0.45</v>
      </c>
      <c r="N802">
        <f>IFERROR([1]!s_fa_arturndays($A802,TEXT($B$1,"yyyy/mm/dd")),"")</f>
        <v>247.13390000000001</v>
      </c>
      <c r="O802" t="str">
        <f>IFERROR([1]!fa_apturndays($A802,TEXT($B$1,"yyyy/mm/dd")),"")</f>
        <v>Fetch...</v>
      </c>
      <c r="P802">
        <f>IFERROR([1]!s_fa_invturndays($A802,TEXT($B$1,"yyyy/mm/dd")),"")</f>
        <v>311.49950000000001</v>
      </c>
    </row>
    <row r="803" spans="1:16">
      <c r="A803" t="s">
        <v>816</v>
      </c>
      <c r="B803">
        <f>IFERROR([1]!s_stm07_is($A803,"W70156729",TEXT($B$1,"yyyy/mm/dd"),1),"")</f>
        <v>827500710.27999997</v>
      </c>
      <c r="C803">
        <f>IFERROR([1]!s_stm07_is($A803,"W75682424",TEXT($B$1,"yyyy/mm/dd"),1),"")</f>
        <v>352935888.54000002</v>
      </c>
      <c r="D803">
        <f>IFERROR([1]!s_stm07_is($A803,"W76031679",TEXT($B$1,"yyyy/mm/dd"),1),"")</f>
        <v>140041322.49000001</v>
      </c>
      <c r="E803">
        <f>IFERROR([1]!s_stm07_is($A803,"W70752487",TEXT($B$1,"yyyy/mm/dd"),1),"")</f>
        <v>77908776.659999996</v>
      </c>
      <c r="F803">
        <f>IFERROR([1]!s_stm07_is_103($A803,TEXT($B$1,"yyyy/mm/dd"),1),"")</f>
        <v>45662469.859999999</v>
      </c>
      <c r="G803">
        <f>IFERROR([1]!s_stm07_is_104($A803,TEXT($B$1,"yyyy/mm/dd"),1),"")</f>
        <v>1206933.6100000001</v>
      </c>
      <c r="H803">
        <f>IFERROR([1]!s_stm07_is_105($A803,TEXT($B$1,"yyyy/mm/dd"),1),"")</f>
        <v>494536.35</v>
      </c>
      <c r="I803">
        <f>IFERROR([1]!s_stm07_is($A803,"W72946623",TEXT($B$1,"yyyy/mm/dd"),1),"")</f>
        <v>233612037.41</v>
      </c>
      <c r="J803">
        <f>IFERROR([1]!s_stm07_is($A803,"W30028333",TEXT($B$1,"yyyy/mm/dd"),1),"")</f>
        <v>192922622.65000001</v>
      </c>
      <c r="K803">
        <f>IFERROR([1]!s_stm07_cs($A803,"W77130581",TEXT($B$1,"yyyy/mm/dd"),1),"")</f>
        <v>282824193.83999997</v>
      </c>
      <c r="L803">
        <f>IFERROR([1]!s_stm07_cs($A803,"W77745895",TEXT($B$1,"yyyy/mm/dd"),1),"")</f>
        <v>96846588.209999993</v>
      </c>
      <c r="M803">
        <f>IFERROR([1]!S_FA_EPS_basic2($A803,$B$1,"Cur=CNY"),"")</f>
        <v>0.96109999999999995</v>
      </c>
      <c r="N803">
        <f>IFERROR([1]!s_fa_arturndays($A803,TEXT($B$1,"yyyy/mm/dd")),"")</f>
        <v>43.862299999999998</v>
      </c>
      <c r="O803" t="str">
        <f>IFERROR([1]!fa_apturndays($A803,TEXT($B$1,"yyyy/mm/dd")),"")</f>
        <v>Fetch...</v>
      </c>
      <c r="P803">
        <f>IFERROR([1]!s_fa_invturndays($A803,TEXT($B$1,"yyyy/mm/dd")),"")</f>
        <v>94.312399999999997</v>
      </c>
    </row>
    <row r="804" spans="1:16">
      <c r="A804" t="s">
        <v>817</v>
      </c>
      <c r="B804">
        <f>IFERROR([1]!s_stm07_is($A804,"W70156729",TEXT($B$1,"yyyy/mm/dd"),1),"")</f>
        <v>2747816617.4299998</v>
      </c>
      <c r="C804">
        <f>IFERROR([1]!s_stm07_is($A804,"W75682424",TEXT($B$1,"yyyy/mm/dd"),1),"")</f>
        <v>1228086114.5999999</v>
      </c>
      <c r="D804">
        <f>IFERROR([1]!s_stm07_is($A804,"W76031679",TEXT($B$1,"yyyy/mm/dd"),1),"")</f>
        <v>128451.66</v>
      </c>
      <c r="E804">
        <f>IFERROR([1]!s_stm07_is($A804,"W70752487",TEXT($B$1,"yyyy/mm/dd"),1),"")</f>
        <v>220189202.21000001</v>
      </c>
      <c r="F804">
        <f>IFERROR([1]!s_stm07_is_103($A804,TEXT($B$1,"yyyy/mm/dd"),1),"")</f>
        <v>89860010.569999993</v>
      </c>
      <c r="G804">
        <f>IFERROR([1]!s_stm07_is_104($A804,TEXT($B$1,"yyyy/mm/dd"),1),"")</f>
        <v>116493188.48999999</v>
      </c>
      <c r="H804">
        <f>IFERROR([1]!s_stm07_is_105($A804,TEXT($B$1,"yyyy/mm/dd"),1),"")</f>
        <v>9194227.3599999994</v>
      </c>
      <c r="I804">
        <f>IFERROR([1]!s_stm07_is($A804,"W72946623",TEXT($B$1,"yyyy/mm/dd"),1),"")</f>
        <v>1151485049.55</v>
      </c>
      <c r="J804">
        <f>IFERROR([1]!s_stm07_is($A804,"W30028333",TEXT($B$1,"yyyy/mm/dd"),1),"")</f>
        <v>716574992.29999995</v>
      </c>
      <c r="K804">
        <f>IFERROR([1]!s_stm07_cs($A804,"W77130581",TEXT($B$1,"yyyy/mm/dd"),1),"")</f>
        <v>1699238652.27</v>
      </c>
      <c r="L804">
        <f>IFERROR([1]!s_stm07_cs($A804,"W77745895",TEXT($B$1,"yyyy/mm/dd"),1),"")</f>
        <v>600346538.65999997</v>
      </c>
      <c r="M804">
        <f>IFERROR([1]!S_FA_EPS_basic2($A804,$B$1,"Cur=CNY"),"")</f>
        <v>0.91600000000000004</v>
      </c>
      <c r="N804">
        <f>IFERROR([1]!s_fa_arturndays($A804,TEXT($B$1,"yyyy/mm/dd")),"")</f>
        <v>233.34200000000001</v>
      </c>
      <c r="O804" t="str">
        <f>IFERROR([1]!fa_apturndays($A804,TEXT($B$1,"yyyy/mm/dd")),"")</f>
        <v>Fetch...</v>
      </c>
      <c r="P804">
        <f>IFERROR([1]!s_fa_invturndays($A804,TEXT($B$1,"yyyy/mm/dd")),"")</f>
        <v>19.013999999999999</v>
      </c>
    </row>
    <row r="805" spans="1:16">
      <c r="A805" t="s">
        <v>818</v>
      </c>
      <c r="B805">
        <f>IFERROR([1]!s_stm07_is($A805,"W70156729",TEXT($B$1,"yyyy/mm/dd"),1),"")</f>
        <v>1708672447.3299999</v>
      </c>
      <c r="C805">
        <f>IFERROR([1]!s_stm07_is($A805,"W75682424",TEXT($B$1,"yyyy/mm/dd"),1),"")</f>
        <v>1121312438.51</v>
      </c>
      <c r="D805">
        <f>IFERROR([1]!s_stm07_is($A805,"W76031679",TEXT($B$1,"yyyy/mm/dd"),1),"")</f>
        <v>28740367.710000001</v>
      </c>
      <c r="E805">
        <f>IFERROR([1]!s_stm07_is($A805,"W70752487",TEXT($B$1,"yyyy/mm/dd"),1),"")</f>
        <v>78236436.819999993</v>
      </c>
      <c r="F805">
        <f>IFERROR([1]!s_stm07_is_103($A805,TEXT($B$1,"yyyy/mm/dd"),1),"")</f>
        <v>72192297.260000005</v>
      </c>
      <c r="G805">
        <f>IFERROR([1]!s_stm07_is_104($A805,TEXT($B$1,"yyyy/mm/dd"),1),"")</f>
        <v>98013312.810000002</v>
      </c>
      <c r="H805">
        <f>IFERROR([1]!s_stm07_is_105($A805,TEXT($B$1,"yyyy/mm/dd"),1),"")</f>
        <v>6552830.6799999997</v>
      </c>
      <c r="I805">
        <f>IFERROR([1]!s_stm07_is($A805,"W72946623",TEXT($B$1,"yyyy/mm/dd"),1),"")</f>
        <v>236028510.78</v>
      </c>
      <c r="J805">
        <f>IFERROR([1]!s_stm07_is($A805,"W30028333",TEXT($B$1,"yyyy/mm/dd"),1),"")</f>
        <v>219619654.61000001</v>
      </c>
      <c r="K805">
        <f>IFERROR([1]!s_stm07_cs($A805,"W77130581",TEXT($B$1,"yyyy/mm/dd"),1),"")</f>
        <v>-201406866.40000001</v>
      </c>
      <c r="L805">
        <f>IFERROR([1]!s_stm07_cs($A805,"W77745895",TEXT($B$1,"yyyy/mm/dd"),1),"")</f>
        <v>2490750691.1399999</v>
      </c>
      <c r="M805">
        <f>IFERROR([1]!S_FA_EPS_basic2($A805,$B$1,"Cur=CNY"),"")</f>
        <v>0.34</v>
      </c>
      <c r="N805">
        <f>IFERROR([1]!s_fa_arturndays($A805,TEXT($B$1,"yyyy/mm/dd")),"")</f>
        <v>142.6534</v>
      </c>
      <c r="O805" t="str">
        <f>IFERROR([1]!fa_apturndays($A805,TEXT($B$1,"yyyy/mm/dd")),"")</f>
        <v>Fetch...</v>
      </c>
      <c r="P805">
        <f>IFERROR([1]!s_fa_invturndays($A805,TEXT($B$1,"yyyy/mm/dd")),"")</f>
        <v>95.930899999999994</v>
      </c>
    </row>
    <row r="806" spans="1:16">
      <c r="A806" t="s">
        <v>819</v>
      </c>
      <c r="B806">
        <f>IFERROR([1]!s_stm07_is($A806,"W70156729",TEXT($B$1,"yyyy/mm/dd"),1),"")</f>
        <v>827453905.21000004</v>
      </c>
      <c r="C806">
        <f>IFERROR([1]!s_stm07_is($A806,"W75682424",TEXT($B$1,"yyyy/mm/dd"),1),"")</f>
        <v>339935526.74000001</v>
      </c>
      <c r="D806">
        <f>IFERROR([1]!s_stm07_is($A806,"W76031679",TEXT($B$1,"yyyy/mm/dd"),1),"")</f>
        <v>106458680.16</v>
      </c>
      <c r="E806">
        <f>IFERROR([1]!s_stm07_is($A806,"W70752487",TEXT($B$1,"yyyy/mm/dd"),1),"")</f>
        <v>59761693.829999998</v>
      </c>
      <c r="F806">
        <f>IFERROR([1]!s_stm07_is_103($A806,TEXT($B$1,"yyyy/mm/dd"),1),"")</f>
        <v>199541027.47999999</v>
      </c>
      <c r="G806">
        <f>IFERROR([1]!s_stm07_is_104($A806,TEXT($B$1,"yyyy/mm/dd"),1),"")</f>
        <v>184062.21</v>
      </c>
      <c r="H806">
        <f>IFERROR([1]!s_stm07_is_105($A806,TEXT($B$1,"yyyy/mm/dd"),1),"")</f>
        <v>24505380.91</v>
      </c>
      <c r="I806">
        <f>IFERROR([1]!s_stm07_is($A806,"W72946623",TEXT($B$1,"yyyy/mm/dd"),1),"")</f>
        <v>98673643.900000006</v>
      </c>
      <c r="J806">
        <f>IFERROR([1]!s_stm07_is($A806,"W30028333",TEXT($B$1,"yyyy/mm/dd"),1),"")</f>
        <v>100869812.79000001</v>
      </c>
      <c r="K806">
        <f>IFERROR([1]!s_stm07_cs($A806,"W77130581",TEXT($B$1,"yyyy/mm/dd"),1),"")</f>
        <v>129638848.15000001</v>
      </c>
      <c r="L806">
        <f>IFERROR([1]!s_stm07_cs($A806,"W77745895",TEXT($B$1,"yyyy/mm/dd"),1),"")</f>
        <v>1114100.42</v>
      </c>
      <c r="M806">
        <f>IFERROR([1]!S_FA_EPS_basic2($A806,$B$1,"Cur=CNY"),"")</f>
        <v>0.28999999999999998</v>
      </c>
      <c r="N806">
        <f>IFERROR([1]!s_fa_arturndays($A806,TEXT($B$1,"yyyy/mm/dd")),"")</f>
        <v>175.71260000000001</v>
      </c>
      <c r="O806" t="str">
        <f>IFERROR([1]!fa_apturndays($A806,TEXT($B$1,"yyyy/mm/dd")),"")</f>
        <v>Fetch...</v>
      </c>
      <c r="P806">
        <f>IFERROR([1]!s_fa_invturndays($A806,TEXT($B$1,"yyyy/mm/dd")),"")</f>
        <v>54.897300000000001</v>
      </c>
    </row>
    <row r="807" spans="1:16">
      <c r="A807" t="s">
        <v>820</v>
      </c>
      <c r="B807">
        <f>IFERROR([1]!s_stm07_is($A807,"W70156729",TEXT($B$1,"yyyy/mm/dd"),1),"")</f>
        <v>4641391673.5600004</v>
      </c>
      <c r="C807">
        <f>IFERROR([1]!s_stm07_is($A807,"W75682424",TEXT($B$1,"yyyy/mm/dd"),1),"")</f>
        <v>3995515521.4299998</v>
      </c>
      <c r="D807">
        <f>IFERROR([1]!s_stm07_is($A807,"W76031679",TEXT($B$1,"yyyy/mm/dd"),1),"")</f>
        <v>25248978.890000001</v>
      </c>
      <c r="E807">
        <f>IFERROR([1]!s_stm07_is($A807,"W70752487",TEXT($B$1,"yyyy/mm/dd"),1),"")</f>
        <v>157354536.65000001</v>
      </c>
      <c r="F807">
        <f>IFERROR([1]!s_stm07_is_103($A807,TEXT($B$1,"yyyy/mm/dd"),1),"")</f>
        <v>41600097.460000001</v>
      </c>
      <c r="G807">
        <f>IFERROR([1]!s_stm07_is_104($A807,TEXT($B$1,"yyyy/mm/dd"),1),"")</f>
        <v>34231572.43</v>
      </c>
      <c r="H807">
        <f>IFERROR([1]!s_stm07_is_105($A807,TEXT($B$1,"yyyy/mm/dd"),1),"")</f>
        <v>4076434.57</v>
      </c>
      <c r="I807">
        <f>IFERROR([1]!s_stm07_is($A807,"W72946623",TEXT($B$1,"yyyy/mm/dd"),1),"")</f>
        <v>411650043.12</v>
      </c>
      <c r="J807">
        <f>IFERROR([1]!s_stm07_is($A807,"W30028333",TEXT($B$1,"yyyy/mm/dd"),1),"")</f>
        <v>346916321.41000003</v>
      </c>
      <c r="K807">
        <f>IFERROR([1]!s_stm07_cs($A807,"W77130581",TEXT($B$1,"yyyy/mm/dd"),1),"")</f>
        <v>2910565.59</v>
      </c>
      <c r="L807">
        <f>IFERROR([1]!s_stm07_cs($A807,"W77745895",TEXT($B$1,"yyyy/mm/dd"),1),"")</f>
        <v>538019497.63999999</v>
      </c>
      <c r="M807">
        <f>IFERROR([1]!S_FA_EPS_basic2($A807,$B$1,"Cur=CNY"),"")</f>
        <v>1.6</v>
      </c>
      <c r="N807">
        <f>IFERROR([1]!s_fa_arturndays($A807,TEXT($B$1,"yyyy/mm/dd")),"")</f>
        <v>117.4551</v>
      </c>
      <c r="O807" t="str">
        <f>IFERROR([1]!fa_apturndays($A807,TEXT($B$1,"yyyy/mm/dd")),"")</f>
        <v>Fetch...</v>
      </c>
      <c r="P807">
        <f>IFERROR([1]!s_fa_invturndays($A807,TEXT($B$1,"yyyy/mm/dd")),"")</f>
        <v>171.69839999999999</v>
      </c>
    </row>
    <row r="808" spans="1:16">
      <c r="A808" t="s">
        <v>821</v>
      </c>
      <c r="B808">
        <f>IFERROR([1]!s_stm07_is($A808,"W70156729",TEXT($B$1,"yyyy/mm/dd"),1),"")</f>
        <v>3830067158.6300001</v>
      </c>
      <c r="C808">
        <f>IFERROR([1]!s_stm07_is($A808,"W75682424",TEXT($B$1,"yyyy/mm/dd"),1),"")</f>
        <v>3281037160.1100001</v>
      </c>
      <c r="D808">
        <f>IFERROR([1]!s_stm07_is($A808,"W76031679",TEXT($B$1,"yyyy/mm/dd"),1),"")</f>
        <v>65199729.530000001</v>
      </c>
      <c r="E808">
        <f>IFERROR([1]!s_stm07_is($A808,"W70752487",TEXT($B$1,"yyyy/mm/dd"),1),"")</f>
        <v>189274580.12</v>
      </c>
      <c r="F808">
        <f>IFERROR([1]!s_stm07_is_103($A808,TEXT($B$1,"yyyy/mm/dd"),1),"")</f>
        <v>159270126.28999999</v>
      </c>
      <c r="G808">
        <f>IFERROR([1]!s_stm07_is_104($A808,TEXT($B$1,"yyyy/mm/dd"),1),"")</f>
        <v>13790796.25</v>
      </c>
      <c r="H808">
        <f>IFERROR([1]!s_stm07_is_105($A808,TEXT($B$1,"yyyy/mm/dd"),1),"")</f>
        <v>63074968.140000001</v>
      </c>
      <c r="I808">
        <f>IFERROR([1]!s_stm07_is($A808,"W72946623",TEXT($B$1,"yyyy/mm/dd"),1),"")</f>
        <v>179487642.99000001</v>
      </c>
      <c r="J808">
        <f>IFERROR([1]!s_stm07_is($A808,"W30028333",TEXT($B$1,"yyyy/mm/dd"),1),"")</f>
        <v>158106464.15000001</v>
      </c>
      <c r="K808">
        <f>IFERROR([1]!s_stm07_cs($A808,"W77130581",TEXT($B$1,"yyyy/mm/dd"),1),"")</f>
        <v>161323847.25999999</v>
      </c>
      <c r="L808">
        <f>IFERROR([1]!s_stm07_cs($A808,"W77745895",TEXT($B$1,"yyyy/mm/dd"),1),"")</f>
        <v>7971523.4000000004</v>
      </c>
      <c r="M808">
        <f>IFERROR([1]!S_FA_EPS_basic2($A808,$B$1,"Cur=CNY"),"")</f>
        <v>0.34</v>
      </c>
      <c r="N808">
        <f>IFERROR([1]!s_fa_arturndays($A808,TEXT($B$1,"yyyy/mm/dd")),"")</f>
        <v>80.112200000000001</v>
      </c>
      <c r="O808" t="str">
        <f>IFERROR([1]!fa_apturndays($A808,TEXT($B$1,"yyyy/mm/dd")),"")</f>
        <v>Fetch...</v>
      </c>
      <c r="P808">
        <f>IFERROR([1]!s_fa_invturndays($A808,TEXT($B$1,"yyyy/mm/dd")),"")</f>
        <v>7.8E-2</v>
      </c>
    </row>
    <row r="809" spans="1:16">
      <c r="A809" t="s">
        <v>822</v>
      </c>
      <c r="B809">
        <f>IFERROR([1]!s_stm07_is($A809,"W70156729",TEXT($B$1,"yyyy/mm/dd"),1),"")</f>
        <v>1872576369.9400001</v>
      </c>
      <c r="C809">
        <f>IFERROR([1]!s_stm07_is($A809,"W75682424",TEXT($B$1,"yyyy/mm/dd"),1),"")</f>
        <v>1119833112.0699999</v>
      </c>
      <c r="D809">
        <f>IFERROR([1]!s_stm07_is($A809,"W76031679",TEXT($B$1,"yyyy/mm/dd"),1),"")</f>
        <v>17384025.940000001</v>
      </c>
      <c r="E809">
        <f>IFERROR([1]!s_stm07_is($A809,"W70752487",TEXT($B$1,"yyyy/mm/dd"),1),"")</f>
        <v>163100083.06999999</v>
      </c>
      <c r="F809">
        <f>IFERROR([1]!s_stm07_is_103($A809,TEXT($B$1,"yyyy/mm/dd"),1),"")</f>
        <v>47329774.240000002</v>
      </c>
      <c r="G809">
        <f>IFERROR([1]!s_stm07_is_104($A809,TEXT($B$1,"yyyy/mm/dd"),1),"")</f>
        <v>89214748.180000007</v>
      </c>
      <c r="H809">
        <f>IFERROR([1]!s_stm07_is_105($A809,TEXT($B$1,"yyyy/mm/dd"),1),"")</f>
        <v>15058723.5</v>
      </c>
      <c r="I809">
        <f>IFERROR([1]!s_stm07_is($A809,"W72946623",TEXT($B$1,"yyyy/mm/dd"),1),"")</f>
        <v>462281697.60000002</v>
      </c>
      <c r="J809">
        <f>IFERROR([1]!s_stm07_is($A809,"W30028333",TEXT($B$1,"yyyy/mm/dd"),1),"")</f>
        <v>381764715.89999998</v>
      </c>
      <c r="K809">
        <f>IFERROR([1]!s_stm07_cs($A809,"W77130581",TEXT($B$1,"yyyy/mm/dd"),1),"")</f>
        <v>771405793.46000004</v>
      </c>
      <c r="L809">
        <f>IFERROR([1]!s_stm07_cs($A809,"W77745895",TEXT($B$1,"yyyy/mm/dd"),1),"")</f>
        <v>602674258.38999999</v>
      </c>
      <c r="M809">
        <f>IFERROR([1]!S_FA_EPS_basic2($A809,$B$1,"Cur=CNY"),"")</f>
        <v>0.26</v>
      </c>
      <c r="N809">
        <f>IFERROR([1]!s_fa_arturndays($A809,TEXT($B$1,"yyyy/mm/dd")),"")</f>
        <v>135.13509999999999</v>
      </c>
      <c r="O809" t="str">
        <f>IFERROR([1]!fa_apturndays($A809,TEXT($B$1,"yyyy/mm/dd")),"")</f>
        <v>Fetch...</v>
      </c>
      <c r="P809">
        <f>IFERROR([1]!s_fa_invturndays($A809,TEXT($B$1,"yyyy/mm/dd")),"")</f>
        <v>38.435299999999998</v>
      </c>
    </row>
    <row r="810" spans="1:16">
      <c r="A810" t="s">
        <v>823</v>
      </c>
      <c r="B810">
        <f>IFERROR([1]!s_stm07_is($A810,"W70156729",TEXT($B$1,"yyyy/mm/dd"),1),"")</f>
        <v>1520123270.5599999</v>
      </c>
      <c r="C810">
        <f>IFERROR([1]!s_stm07_is($A810,"W75682424",TEXT($B$1,"yyyy/mm/dd"),1),"")</f>
        <v>519645144.24000001</v>
      </c>
      <c r="D810">
        <f>IFERROR([1]!s_stm07_is($A810,"W76031679",TEXT($B$1,"yyyy/mm/dd"),1),"")</f>
        <v>751560974.16999996</v>
      </c>
      <c r="E810">
        <f>IFERROR([1]!s_stm07_is($A810,"W70752487",TEXT($B$1,"yyyy/mm/dd"),1),"")</f>
        <v>143704100.94999999</v>
      </c>
      <c r="F810">
        <f>IFERROR([1]!s_stm07_is_103($A810,TEXT($B$1,"yyyy/mm/dd"),1),"")</f>
        <v>14717312.039999999</v>
      </c>
      <c r="G810">
        <f>IFERROR([1]!s_stm07_is_104($A810,TEXT($B$1,"yyyy/mm/dd"),1),"")</f>
        <v>15080305.5</v>
      </c>
      <c r="H810">
        <f>IFERROR([1]!s_stm07_is_105($A810,TEXT($B$1,"yyyy/mm/dd"),1),"")</f>
        <v>1258964.6599999999</v>
      </c>
      <c r="I810">
        <f>IFERROR([1]!s_stm07_is($A810,"W72946623",TEXT($B$1,"yyyy/mm/dd"),1),"")</f>
        <v>148499973.81999999</v>
      </c>
      <c r="J810">
        <f>IFERROR([1]!s_stm07_is($A810,"W30028333",TEXT($B$1,"yyyy/mm/dd"),1),"")</f>
        <v>139104912.36000001</v>
      </c>
      <c r="K810">
        <f>IFERROR([1]!s_stm07_cs($A810,"W77130581",TEXT($B$1,"yyyy/mm/dd"),1),"")</f>
        <v>-276945398.32999998</v>
      </c>
      <c r="L810">
        <f>IFERROR([1]!s_stm07_cs($A810,"W77745895",TEXT($B$1,"yyyy/mm/dd"),1),"")</f>
        <v>313484710.94999999</v>
      </c>
      <c r="M810">
        <f>IFERROR([1]!S_FA_EPS_basic2($A810,$B$1,"Cur=CNY"),"")</f>
        <v>0.35</v>
      </c>
      <c r="N810">
        <f>IFERROR([1]!s_fa_arturndays($A810,TEXT($B$1,"yyyy/mm/dd")),"")</f>
        <v>18.607700000000001</v>
      </c>
      <c r="O810" t="str">
        <f>IFERROR([1]!fa_apturndays($A810,TEXT($B$1,"yyyy/mm/dd")),"")</f>
        <v>Fetch...</v>
      </c>
      <c r="P810">
        <f>IFERROR([1]!s_fa_invturndays($A810,TEXT($B$1,"yyyy/mm/dd")),"")</f>
        <v>400.17790000000002</v>
      </c>
    </row>
    <row r="811" spans="1:16">
      <c r="A811" t="s">
        <v>824</v>
      </c>
      <c r="B811">
        <f>IFERROR([1]!s_stm07_is($A811,"W70156729",TEXT($B$1,"yyyy/mm/dd"),1),"")</f>
        <v>5772935488.4700003</v>
      </c>
      <c r="C811">
        <f>IFERROR([1]!s_stm07_is($A811,"W75682424",TEXT($B$1,"yyyy/mm/dd"),1),"")</f>
        <v>3745507247.29</v>
      </c>
      <c r="D811">
        <f>IFERROR([1]!s_stm07_is($A811,"W76031679",TEXT($B$1,"yyyy/mm/dd"),1),"")</f>
        <v>311403606.74000001</v>
      </c>
      <c r="E811">
        <f>IFERROR([1]!s_stm07_is($A811,"W70752487",TEXT($B$1,"yyyy/mm/dd"),1),"")</f>
        <v>288002095.81</v>
      </c>
      <c r="F811">
        <f>IFERROR([1]!s_stm07_is_103($A811,TEXT($B$1,"yyyy/mm/dd"),1),"")</f>
        <v>457541414.31</v>
      </c>
      <c r="G811">
        <f>IFERROR([1]!s_stm07_is_104($A811,TEXT($B$1,"yyyy/mm/dd"),1),"")</f>
        <v>19023572.809999999</v>
      </c>
      <c r="H811">
        <f>IFERROR([1]!s_stm07_is_105($A811,TEXT($B$1,"yyyy/mm/dd"),1),"")</f>
        <v>58698504</v>
      </c>
      <c r="I811">
        <f>IFERROR([1]!s_stm07_is($A811,"W72946623",TEXT($B$1,"yyyy/mm/dd"),1),"")</f>
        <v>931341775.10000002</v>
      </c>
      <c r="J811">
        <f>IFERROR([1]!s_stm07_is($A811,"W30028333",TEXT($B$1,"yyyy/mm/dd"),1),"")</f>
        <v>824267918.74000001</v>
      </c>
      <c r="K811">
        <f>IFERROR([1]!s_stm07_cs($A811,"W77130581",TEXT($B$1,"yyyy/mm/dd"),1),"")</f>
        <v>180606678.16</v>
      </c>
      <c r="L811">
        <f>IFERROR([1]!s_stm07_cs($A811,"W77745895",TEXT($B$1,"yyyy/mm/dd"),1),"")</f>
        <v>157339719.90000001</v>
      </c>
      <c r="M811">
        <f>IFERROR([1]!S_FA_EPS_basic2($A811,$B$1,"Cur=CNY"),"")</f>
        <v>1.95</v>
      </c>
      <c r="N811">
        <f>IFERROR([1]!s_fa_arturndays($A811,TEXT($B$1,"yyyy/mm/dd")),"")</f>
        <v>157.22579999999999</v>
      </c>
      <c r="O811" t="str">
        <f>IFERROR([1]!fa_apturndays($A811,TEXT($B$1,"yyyy/mm/dd")),"")</f>
        <v>Fetch...</v>
      </c>
      <c r="P811">
        <f>IFERROR([1]!s_fa_invturndays($A811,TEXT($B$1,"yyyy/mm/dd")),"")</f>
        <v>137.6199</v>
      </c>
    </row>
    <row r="812" spans="1:16">
      <c r="A812" t="s">
        <v>825</v>
      </c>
      <c r="B812">
        <f>IFERROR([1]!s_stm07_is($A812,"W70156729",TEXT($B$1,"yyyy/mm/dd"),1),"")</f>
        <v>1257525262.45</v>
      </c>
      <c r="C812">
        <f>IFERROR([1]!s_stm07_is($A812,"W75682424",TEXT($B$1,"yyyy/mm/dd"),1),"")</f>
        <v>828279229.33000004</v>
      </c>
      <c r="D812">
        <f>IFERROR([1]!s_stm07_is($A812,"W76031679",TEXT($B$1,"yyyy/mm/dd"),1),"")</f>
        <v>28929347.75</v>
      </c>
      <c r="E812">
        <f>IFERROR([1]!s_stm07_is($A812,"W70752487",TEXT($B$1,"yyyy/mm/dd"),1),"")</f>
        <v>92660174.450000003</v>
      </c>
      <c r="F812">
        <f>IFERROR([1]!s_stm07_is_103($A812,TEXT($B$1,"yyyy/mm/dd"),1),"")</f>
        <v>98561494.950000003</v>
      </c>
      <c r="G812">
        <f>IFERROR([1]!s_stm07_is_104($A812,TEXT($B$1,"yyyy/mm/dd"),1),"")</f>
        <v>13165976.68</v>
      </c>
      <c r="H812">
        <f>IFERROR([1]!s_stm07_is_105($A812,TEXT($B$1,"yyyy/mm/dd"),1),"")</f>
        <v>5249297.1100000003</v>
      </c>
      <c r="I812">
        <f>IFERROR([1]!s_stm07_is($A812,"W72946623",TEXT($B$1,"yyyy/mm/dd"),1),"")</f>
        <v>110187264.70999999</v>
      </c>
      <c r="J812">
        <f>IFERROR([1]!s_stm07_is($A812,"W30028333",TEXT($B$1,"yyyy/mm/dd"),1),"")</f>
        <v>103086531.28</v>
      </c>
      <c r="K812">
        <f>IFERROR([1]!s_stm07_cs($A812,"W77130581",TEXT($B$1,"yyyy/mm/dd"),1),"")</f>
        <v>-206196445.25999999</v>
      </c>
      <c r="L812">
        <f>IFERROR([1]!s_stm07_cs($A812,"W77745895",TEXT($B$1,"yyyy/mm/dd"),1),"")</f>
        <v>441415713.07999998</v>
      </c>
      <c r="M812">
        <f>IFERROR([1]!S_FA_EPS_basic2($A812,$B$1,"Cur=CNY"),"")</f>
        <v>0.79449999999999998</v>
      </c>
      <c r="N812">
        <f>IFERROR([1]!s_fa_arturndays($A812,TEXT($B$1,"yyyy/mm/dd")),"")</f>
        <v>48.7851</v>
      </c>
      <c r="O812" t="str">
        <f>IFERROR([1]!fa_apturndays($A812,TEXT($B$1,"yyyy/mm/dd")),"")</f>
        <v>Fetch...</v>
      </c>
      <c r="P812">
        <f>IFERROR([1]!s_fa_invturndays($A812,TEXT($B$1,"yyyy/mm/dd")),"")</f>
        <v>326.29379999999998</v>
      </c>
    </row>
    <row r="813" spans="1:16">
      <c r="A813" t="s">
        <v>826</v>
      </c>
      <c r="B813">
        <f>IFERROR([1]!s_stm07_is($A813,"W70156729",TEXT($B$1,"yyyy/mm/dd"),1),"")</f>
        <v>1202505820.54</v>
      </c>
      <c r="C813">
        <f>IFERROR([1]!s_stm07_is($A813,"W75682424",TEXT($B$1,"yyyy/mm/dd"),1),"")</f>
        <v>266941314.06</v>
      </c>
      <c r="D813">
        <f>IFERROR([1]!s_stm07_is($A813,"W76031679",TEXT($B$1,"yyyy/mm/dd"),1),"")</f>
        <v>544474956.01999998</v>
      </c>
      <c r="E813">
        <f>IFERROR([1]!s_stm07_is($A813,"W70752487",TEXT($B$1,"yyyy/mm/dd"),1),"")</f>
        <v>50323036.799999997</v>
      </c>
      <c r="F813">
        <f>IFERROR([1]!s_stm07_is_103($A813,TEXT($B$1,"yyyy/mm/dd"),1),"")</f>
        <v>151302562.02000001</v>
      </c>
      <c r="G813">
        <f>IFERROR([1]!s_stm07_is_104($A813,TEXT($B$1,"yyyy/mm/dd"),1),"")</f>
        <v>2550000.02</v>
      </c>
      <c r="H813">
        <f>IFERROR([1]!s_stm07_is_105($A813,TEXT($B$1,"yyyy/mm/dd"),1),"")</f>
        <v>4444764.66</v>
      </c>
      <c r="I813">
        <f>IFERROR([1]!s_stm07_is($A813,"W72946623",TEXT($B$1,"yyyy/mm/dd"),1),"")</f>
        <v>187785927.55000001</v>
      </c>
      <c r="J813">
        <f>IFERROR([1]!s_stm07_is($A813,"W30028333",TEXT($B$1,"yyyy/mm/dd"),1),"")</f>
        <v>182919690.84</v>
      </c>
      <c r="K813">
        <f>IFERROR([1]!s_stm07_cs($A813,"W77130581",TEXT($B$1,"yyyy/mm/dd"),1),"")</f>
        <v>357132204.80000001</v>
      </c>
      <c r="L813">
        <f>IFERROR([1]!s_stm07_cs($A813,"W77745895",TEXT($B$1,"yyyy/mm/dd"),1),"")</f>
        <v>9703311.75</v>
      </c>
      <c r="M813">
        <f>IFERROR([1]!S_FA_EPS_basic2($A813,$B$1,"Cur=CNY"),"")</f>
        <v>0.30740000000000001</v>
      </c>
      <c r="N813">
        <f>IFERROR([1]!s_fa_arturndays($A813,TEXT($B$1,"yyyy/mm/dd")),"")</f>
        <v>416.95620000000002</v>
      </c>
      <c r="O813" t="str">
        <f>IFERROR([1]!fa_apturndays($A813,TEXT($B$1,"yyyy/mm/dd")),"")</f>
        <v>Fetch...</v>
      </c>
      <c r="P813">
        <f>IFERROR([1]!s_fa_invturndays($A813,TEXT($B$1,"yyyy/mm/dd")),"")</f>
        <v>261.66590000000002</v>
      </c>
    </row>
    <row r="814" spans="1:16">
      <c r="A814" t="s">
        <v>827</v>
      </c>
      <c r="B814">
        <f>IFERROR([1]!s_stm07_is($A814,"W70156729",TEXT($B$1,"yyyy/mm/dd"),1),"")</f>
        <v>577773476.35000002</v>
      </c>
      <c r="C814">
        <f>IFERROR([1]!s_stm07_is($A814,"W75682424",TEXT($B$1,"yyyy/mm/dd"),1),"")</f>
        <v>209907270.31999999</v>
      </c>
      <c r="D814">
        <f>IFERROR([1]!s_stm07_is($A814,"W76031679",TEXT($B$1,"yyyy/mm/dd"),1),"")</f>
        <v>9607247.1999999993</v>
      </c>
      <c r="E814">
        <f>IFERROR([1]!s_stm07_is($A814,"W70752487",TEXT($B$1,"yyyy/mm/dd"),1),"")</f>
        <v>99319786.549999997</v>
      </c>
      <c r="F814">
        <f>IFERROR([1]!s_stm07_is_103($A814,TEXT($B$1,"yyyy/mm/dd"),1),"")</f>
        <v>21844203.600000001</v>
      </c>
      <c r="G814">
        <f>IFERROR([1]!s_stm07_is_104($A814,TEXT($B$1,"yyyy/mm/dd"),1),"")</f>
        <v>669785.99</v>
      </c>
      <c r="H814">
        <f>IFERROR([1]!s_stm07_is_105($A814,TEXT($B$1,"yyyy/mm/dd"),1),"")</f>
        <v>696707.27</v>
      </c>
      <c r="I814">
        <f>IFERROR([1]!s_stm07_is($A814,"W72946623",TEXT($B$1,"yyyy/mm/dd"),1),"")</f>
        <v>245427517.33000001</v>
      </c>
      <c r="J814">
        <f>IFERROR([1]!s_stm07_is($A814,"W30028333",TEXT($B$1,"yyyy/mm/dd"),1),"")</f>
        <v>212675647.52000001</v>
      </c>
      <c r="K814">
        <f>IFERROR([1]!s_stm07_cs($A814,"W77130581",TEXT($B$1,"yyyy/mm/dd"),1),"")</f>
        <v>300161144.06</v>
      </c>
      <c r="L814">
        <f>IFERROR([1]!s_stm07_cs($A814,"W77745895",TEXT($B$1,"yyyy/mm/dd"),1),"")</f>
        <v>180795080.38</v>
      </c>
      <c r="M814">
        <f>IFERROR([1]!S_FA_EPS_basic2($A814,$B$1,"Cur=CNY"),"")</f>
        <v>0.16</v>
      </c>
      <c r="N814">
        <f>IFERROR([1]!s_fa_arturndays($A814,TEXT($B$1,"yyyy/mm/dd")),"")</f>
        <v>116.0093</v>
      </c>
      <c r="O814" t="str">
        <f>IFERROR([1]!fa_apturndays($A814,TEXT($B$1,"yyyy/mm/dd")),"")</f>
        <v>Fetch...</v>
      </c>
      <c r="P814">
        <f>IFERROR([1]!s_fa_invturndays($A814,TEXT($B$1,"yyyy/mm/dd")),"")</f>
        <v>1.3974</v>
      </c>
    </row>
    <row r="815" spans="1:16">
      <c r="A815" t="s">
        <v>828</v>
      </c>
      <c r="B815">
        <f>IFERROR([1]!s_stm07_is($A815,"W70156729",TEXT($B$1,"yyyy/mm/dd"),1),"")</f>
        <v>6689205991.6700001</v>
      </c>
      <c r="C815">
        <f>IFERROR([1]!s_stm07_is($A815,"W75682424",TEXT($B$1,"yyyy/mm/dd"),1),"")</f>
        <v>6451731301.8500004</v>
      </c>
      <c r="D815">
        <f>IFERROR([1]!s_stm07_is($A815,"W76031679",TEXT($B$1,"yyyy/mm/dd"),1),"")</f>
        <v>7299077.4199999999</v>
      </c>
      <c r="E815">
        <f>IFERROR([1]!s_stm07_is($A815,"W70752487",TEXT($B$1,"yyyy/mm/dd"),1),"")</f>
        <v>34484133.350000001</v>
      </c>
      <c r="F815">
        <f>IFERROR([1]!s_stm07_is_103($A815,TEXT($B$1,"yyyy/mm/dd"),1),"")</f>
        <v>93663566.579999998</v>
      </c>
      <c r="G815">
        <f>IFERROR([1]!s_stm07_is_104($A815,TEXT($B$1,"yyyy/mm/dd"),1),"")</f>
        <v>46402319.729999997</v>
      </c>
      <c r="H815">
        <f>IFERROR([1]!s_stm07_is_105($A815,TEXT($B$1,"yyyy/mm/dd"),1),"")</f>
        <v>3901796.52</v>
      </c>
      <c r="I815">
        <f>IFERROR([1]!s_stm07_is($A815,"W72946623",TEXT($B$1,"yyyy/mm/dd"),1),"")</f>
        <v>52923788.850000001</v>
      </c>
      <c r="J815">
        <f>IFERROR([1]!s_stm07_is($A815,"W30028333",TEXT($B$1,"yyyy/mm/dd"),1),"")</f>
        <v>62649871.759999998</v>
      </c>
      <c r="K815">
        <f>IFERROR([1]!s_stm07_cs($A815,"W77130581",TEXT($B$1,"yyyy/mm/dd"),1),"")</f>
        <v>-171476027.03999999</v>
      </c>
      <c r="L815">
        <f>IFERROR([1]!s_stm07_cs($A815,"W77745895",TEXT($B$1,"yyyy/mm/dd"),1),"")</f>
        <v>312859728.27999997</v>
      </c>
      <c r="M815">
        <f>IFERROR([1]!S_FA_EPS_basic2($A815,$B$1,"Cur=CNY"),"")</f>
        <v>0.08</v>
      </c>
      <c r="N815">
        <f>IFERROR([1]!s_fa_arturndays($A815,TEXT($B$1,"yyyy/mm/dd")),"")</f>
        <v>75.760800000000003</v>
      </c>
      <c r="O815" t="str">
        <f>IFERROR([1]!fa_apturndays($A815,TEXT($B$1,"yyyy/mm/dd")),"")</f>
        <v>Fetch...</v>
      </c>
      <c r="P815">
        <f>IFERROR([1]!s_fa_invturndays($A815,TEXT($B$1,"yyyy/mm/dd")),"")</f>
        <v>36.986800000000002</v>
      </c>
    </row>
    <row r="816" spans="1:16">
      <c r="A816" t="s">
        <v>829</v>
      </c>
      <c r="B816">
        <f>IFERROR([1]!s_stm07_is($A816,"W70156729",TEXT($B$1,"yyyy/mm/dd"),1),"")</f>
        <v>8339950841.3500004</v>
      </c>
      <c r="C816">
        <f>IFERROR([1]!s_stm07_is($A816,"W75682424",TEXT($B$1,"yyyy/mm/dd"),1),"")</f>
        <v>6027496568.3800001</v>
      </c>
      <c r="D816">
        <f>IFERROR([1]!s_stm07_is($A816,"W76031679",TEXT($B$1,"yyyy/mm/dd"),1),"")</f>
        <v>13269049.539999999</v>
      </c>
      <c r="E816">
        <f>IFERROR([1]!s_stm07_is($A816,"W70752487",TEXT($B$1,"yyyy/mm/dd"),1),"")</f>
        <v>504486591.92000002</v>
      </c>
      <c r="F816">
        <f>IFERROR([1]!s_stm07_is_103($A816,TEXT($B$1,"yyyy/mm/dd"),1),"")</f>
        <v>186115335.09999999</v>
      </c>
      <c r="G816">
        <f>IFERROR([1]!s_stm07_is_104($A816,TEXT($B$1,"yyyy/mm/dd"),1),"")</f>
        <v>11367950.41</v>
      </c>
      <c r="H816">
        <f>IFERROR([1]!s_stm07_is_105($A816,TEXT($B$1,"yyyy/mm/dd"),1),"")</f>
        <v>49316582.399999999</v>
      </c>
      <c r="I816">
        <f>IFERROR([1]!s_stm07_is($A816,"W72946623",TEXT($B$1,"yyyy/mm/dd"),1),"")</f>
        <v>1290592574.74</v>
      </c>
      <c r="J816">
        <f>IFERROR([1]!s_stm07_is($A816,"W30028333",TEXT($B$1,"yyyy/mm/dd"),1),"")</f>
        <v>1110798846.5999999</v>
      </c>
      <c r="K816">
        <f>IFERROR([1]!s_stm07_cs($A816,"W77130581",TEXT($B$1,"yyyy/mm/dd"),1),"")</f>
        <v>932992601.86000001</v>
      </c>
      <c r="L816">
        <f>IFERROR([1]!s_stm07_cs($A816,"W77745895",TEXT($B$1,"yyyy/mm/dd"),1),"")</f>
        <v>798660673.41999996</v>
      </c>
      <c r="M816">
        <f>IFERROR([1]!S_FA_EPS_basic2($A816,$B$1,"Cur=CNY"),"")</f>
        <v>3.77</v>
      </c>
      <c r="N816">
        <f>IFERROR([1]!s_fa_arturndays($A816,TEXT($B$1,"yyyy/mm/dd")),"")</f>
        <v>17.728100000000001</v>
      </c>
      <c r="O816" t="str">
        <f>IFERROR([1]!fa_apturndays($A816,TEXT($B$1,"yyyy/mm/dd")),"")</f>
        <v>Fetch...</v>
      </c>
      <c r="P816">
        <f>IFERROR([1]!s_fa_invturndays($A816,TEXT($B$1,"yyyy/mm/dd")),"")</f>
        <v>196.4315</v>
      </c>
    </row>
    <row r="817" spans="1:16">
      <c r="A817" t="s">
        <v>830</v>
      </c>
      <c r="B817">
        <f>IFERROR([1]!s_stm07_is($A817,"W70156729",TEXT($B$1,"yyyy/mm/dd"),1),"")</f>
        <v>35089898380.660004</v>
      </c>
      <c r="C817">
        <f>IFERROR([1]!s_stm07_is($A817,"W75682424",TEXT($B$1,"yyyy/mm/dd"),1),"")</f>
        <v>31159170401.950001</v>
      </c>
      <c r="D817">
        <f>IFERROR([1]!s_stm07_is($A817,"W76031679",TEXT($B$1,"yyyy/mm/dd"),1),"")</f>
        <v>1090575121.8299999</v>
      </c>
      <c r="E817">
        <f>IFERROR([1]!s_stm07_is($A817,"W70752487",TEXT($B$1,"yyyy/mm/dd"),1),"")</f>
        <v>1556631689.6099999</v>
      </c>
      <c r="F817">
        <f>IFERROR([1]!s_stm07_is_103($A817,TEXT($B$1,"yyyy/mm/dd"),1),"")</f>
        <v>905734902.27999997</v>
      </c>
      <c r="G817">
        <f>IFERROR([1]!s_stm07_is_104($A817,TEXT($B$1,"yyyy/mm/dd"),1),"")</f>
        <v>221522769.27000001</v>
      </c>
      <c r="H817">
        <f>IFERROR([1]!s_stm07_is_105($A817,TEXT($B$1,"yyyy/mm/dd"),1),"")</f>
        <v>36286482.549999997</v>
      </c>
      <c r="I817">
        <f>IFERROR([1]!s_stm07_is($A817,"W72946623",TEXT($B$1,"yyyy/mm/dd"),1),"")</f>
        <v>5586777.9699999997</v>
      </c>
      <c r="J817">
        <f>IFERROR([1]!s_stm07_is($A817,"W30028333",TEXT($B$1,"yyyy/mm/dd"),1),"")</f>
        <v>206113321.53999999</v>
      </c>
      <c r="K817">
        <f>IFERROR([1]!s_stm07_cs($A817,"W77130581",TEXT($B$1,"yyyy/mm/dd"),1),"")</f>
        <v>-242025480.33000001</v>
      </c>
      <c r="L817">
        <f>IFERROR([1]!s_stm07_cs($A817,"W77745895",TEXT($B$1,"yyyy/mm/dd"),1),"")</f>
        <v>983101879.82000005</v>
      </c>
      <c r="M817">
        <f>IFERROR([1]!S_FA_EPS_basic2($A817,$B$1,"Cur=CNY"),"")</f>
        <v>0.22</v>
      </c>
      <c r="N817">
        <f>IFERROR([1]!s_fa_arturndays($A817,TEXT($B$1,"yyyy/mm/dd")),"")</f>
        <v>64.281099999999995</v>
      </c>
      <c r="O817" t="str">
        <f>IFERROR([1]!fa_apturndays($A817,TEXT($B$1,"yyyy/mm/dd")),"")</f>
        <v>Fetch...</v>
      </c>
      <c r="P817">
        <f>IFERROR([1]!s_fa_invturndays($A817,TEXT($B$1,"yyyy/mm/dd")),"")</f>
        <v>67.942499999999995</v>
      </c>
    </row>
    <row r="818" spans="1:16">
      <c r="A818" t="s">
        <v>831</v>
      </c>
      <c r="B818">
        <f>IFERROR([1]!s_stm07_is($A818,"W70156729",TEXT($B$1,"yyyy/mm/dd"),1),"")</f>
        <v>2051045568.03</v>
      </c>
      <c r="C818">
        <f>IFERROR([1]!s_stm07_is($A818,"W75682424",TEXT($B$1,"yyyy/mm/dd"),1),"")</f>
        <v>1684805475.3900001</v>
      </c>
      <c r="D818">
        <f>IFERROR([1]!s_stm07_is($A818,"W76031679",TEXT($B$1,"yyyy/mm/dd"),1),"")</f>
        <v>29440792.879999999</v>
      </c>
      <c r="E818">
        <f>IFERROR([1]!s_stm07_is($A818,"W70752487",TEXT($B$1,"yyyy/mm/dd"),1),"")</f>
        <v>121049155.52</v>
      </c>
      <c r="F818">
        <f>IFERROR([1]!s_stm07_is_103($A818,TEXT($B$1,"yyyy/mm/dd"),1),"")</f>
        <v>67762433.260000005</v>
      </c>
      <c r="G818">
        <f>IFERROR([1]!s_stm07_is_104($A818,TEXT($B$1,"yyyy/mm/dd"),1),"")</f>
        <v>25467848.370000001</v>
      </c>
      <c r="H818">
        <f>IFERROR([1]!s_stm07_is_105($A818,TEXT($B$1,"yyyy/mm/dd"),1),"")</f>
        <v>12357425.630000001</v>
      </c>
      <c r="I818">
        <f>IFERROR([1]!s_stm07_is($A818,"W72946623",TEXT($B$1,"yyyy/mm/dd"),1),"")</f>
        <v>359640018.11000001</v>
      </c>
      <c r="J818">
        <f>IFERROR([1]!s_stm07_is($A818,"W30028333",TEXT($B$1,"yyyy/mm/dd"),1),"")</f>
        <v>222370949.97</v>
      </c>
      <c r="K818">
        <f>IFERROR([1]!s_stm07_cs($A818,"W77130581",TEXT($B$1,"yyyy/mm/dd"),1),"")</f>
        <v>67944968.459999993</v>
      </c>
      <c r="L818">
        <f>IFERROR([1]!s_stm07_cs($A818,"W77745895",TEXT($B$1,"yyyy/mm/dd"),1),"")</f>
        <v>174950021.66</v>
      </c>
      <c r="M818">
        <f>IFERROR([1]!S_FA_EPS_basic2($A818,$B$1,"Cur=CNY"),"")</f>
        <v>0.3</v>
      </c>
      <c r="N818">
        <f>IFERROR([1]!s_fa_arturndays($A818,TEXT($B$1,"yyyy/mm/dd")),"")</f>
        <v>153.96459999999999</v>
      </c>
      <c r="O818" t="str">
        <f>IFERROR([1]!fa_apturndays($A818,TEXT($B$1,"yyyy/mm/dd")),"")</f>
        <v>Fetch...</v>
      </c>
      <c r="P818">
        <f>IFERROR([1]!s_fa_invturndays($A818,TEXT($B$1,"yyyy/mm/dd")),"")</f>
        <v>51.5398</v>
      </c>
    </row>
    <row r="819" spans="1:16">
      <c r="A819" t="s">
        <v>832</v>
      </c>
      <c r="B819">
        <f>IFERROR([1]!s_stm07_is($A819,"W70156729",TEXT($B$1,"yyyy/mm/dd"),1),"")</f>
        <v>938563354.82000005</v>
      </c>
      <c r="C819">
        <f>IFERROR([1]!s_stm07_is($A819,"W75682424",TEXT($B$1,"yyyy/mm/dd"),1),"")</f>
        <v>418807118.27999997</v>
      </c>
      <c r="D819">
        <f>IFERROR([1]!s_stm07_is($A819,"W76031679",TEXT($B$1,"yyyy/mm/dd"),1),"")</f>
        <v>13002256.939999999</v>
      </c>
      <c r="E819">
        <f>IFERROR([1]!s_stm07_is($A819,"W70752487",TEXT($B$1,"yyyy/mm/dd"),1),"")</f>
        <v>57681606.280000001</v>
      </c>
      <c r="F819">
        <f>IFERROR([1]!s_stm07_is_103($A819,TEXT($B$1,"yyyy/mm/dd"),1),"")</f>
        <v>37570939.859999999</v>
      </c>
      <c r="G819">
        <f>IFERROR([1]!s_stm07_is_104($A819,TEXT($B$1,"yyyy/mm/dd"),1),"")</f>
        <v>0</v>
      </c>
      <c r="H819">
        <f>IFERROR([1]!s_stm07_is_105($A819,TEXT($B$1,"yyyy/mm/dd"),1),"")</f>
        <v>13104572.199999999</v>
      </c>
      <c r="I819">
        <f>IFERROR([1]!s_stm07_is($A819,"W72946623",TEXT($B$1,"yyyy/mm/dd"),1),"")</f>
        <v>483742977.00999999</v>
      </c>
      <c r="J819">
        <f>IFERROR([1]!s_stm07_is($A819,"W30028333",TEXT($B$1,"yyyy/mm/dd"),1),"")</f>
        <v>415006746.5</v>
      </c>
      <c r="K819">
        <f>IFERROR([1]!s_stm07_cs($A819,"W77130581",TEXT($B$1,"yyyy/mm/dd"),1),"")</f>
        <v>428120083.99000001</v>
      </c>
      <c r="L819">
        <f>IFERROR([1]!s_stm07_cs($A819,"W77745895",TEXT($B$1,"yyyy/mm/dd"),1),"")</f>
        <v>34497276.729999997</v>
      </c>
      <c r="M819">
        <f>IFERROR([1]!S_FA_EPS_basic2($A819,$B$1,"Cur=CNY"),"")</f>
        <v>1</v>
      </c>
      <c r="N819">
        <f>IFERROR([1]!s_fa_arturndays($A819,TEXT($B$1,"yyyy/mm/dd")),"")</f>
        <v>333.05579999999998</v>
      </c>
      <c r="O819" t="str">
        <f>IFERROR([1]!fa_apturndays($A819,TEXT($B$1,"yyyy/mm/dd")),"")</f>
        <v>Fetch...</v>
      </c>
      <c r="P819">
        <f>IFERROR([1]!s_fa_invturndays($A819,TEXT($B$1,"yyyy/mm/dd")),"")</f>
        <v>1.3416999999999999</v>
      </c>
    </row>
    <row r="820" spans="1:16">
      <c r="A820" t="s">
        <v>833</v>
      </c>
      <c r="B820">
        <f>IFERROR([1]!s_stm07_is($A820,"W70156729",TEXT($B$1,"yyyy/mm/dd"),1),"")</f>
        <v>674896761.63</v>
      </c>
      <c r="C820">
        <f>IFERROR([1]!s_stm07_is($A820,"W75682424",TEXT($B$1,"yyyy/mm/dd"),1),"")</f>
        <v>310065697.80000001</v>
      </c>
      <c r="D820">
        <f>IFERROR([1]!s_stm07_is($A820,"W76031679",TEXT($B$1,"yyyy/mm/dd"),1),"")</f>
        <v>180451695.37</v>
      </c>
      <c r="E820">
        <f>IFERROR([1]!s_stm07_is($A820,"W70752487",TEXT($B$1,"yyyy/mm/dd"),1),"")</f>
        <v>91143522.480000004</v>
      </c>
      <c r="F820">
        <f>IFERROR([1]!s_stm07_is_103($A820,TEXT($B$1,"yyyy/mm/dd"),1),"")</f>
        <v>77678496.489999995</v>
      </c>
      <c r="G820">
        <f>IFERROR([1]!s_stm07_is_104($A820,TEXT($B$1,"yyyy/mm/dd"),1),"")</f>
        <v>12631916.59</v>
      </c>
      <c r="H820">
        <f>IFERROR([1]!s_stm07_is_105($A820,TEXT($B$1,"yyyy/mm/dd"),1),"")</f>
        <v>3234866.56</v>
      </c>
      <c r="I820">
        <f>IFERROR([1]!s_stm07_is($A820,"W72946623",TEXT($B$1,"yyyy/mm/dd"),1),"")</f>
        <v>-8171367.5099999998</v>
      </c>
      <c r="J820">
        <f>IFERROR([1]!s_stm07_is($A820,"W30028333",TEXT($B$1,"yyyy/mm/dd"),1),"")</f>
        <v>28632895.66</v>
      </c>
      <c r="K820">
        <f>IFERROR([1]!s_stm07_cs($A820,"W77130581",TEXT($B$1,"yyyy/mm/dd"),1),"")</f>
        <v>-12877270.99</v>
      </c>
      <c r="L820">
        <f>IFERROR([1]!s_stm07_cs($A820,"W77745895",TEXT($B$1,"yyyy/mm/dd"),1),"")</f>
        <v>108279292.15000001</v>
      </c>
      <c r="M820">
        <f>IFERROR([1]!S_FA_EPS_basic2($A820,$B$1,"Cur=CNY"),"")</f>
        <v>7.0000000000000007E-2</v>
      </c>
      <c r="N820">
        <f>IFERROR([1]!s_fa_arturndays($A820,TEXT($B$1,"yyyy/mm/dd")),"")</f>
        <v>173.74520000000001</v>
      </c>
      <c r="O820" t="str">
        <f>IFERROR([1]!fa_apturndays($A820,TEXT($B$1,"yyyy/mm/dd")),"")</f>
        <v>Fetch...</v>
      </c>
      <c r="P820">
        <f>IFERROR([1]!s_fa_invturndays($A820,TEXT($B$1,"yyyy/mm/dd")),"")</f>
        <v>121.1713</v>
      </c>
    </row>
    <row r="821" spans="1:16">
      <c r="A821" t="s">
        <v>834</v>
      </c>
      <c r="B821">
        <f>IFERROR([1]!s_stm07_is($A821,"W70156729",TEXT($B$1,"yyyy/mm/dd"),1),"")</f>
        <v>4139163024.6399999</v>
      </c>
      <c r="C821">
        <f>IFERROR([1]!s_stm07_is($A821,"W75682424",TEXT($B$1,"yyyy/mm/dd"),1),"")</f>
        <v>2346559577.4000001</v>
      </c>
      <c r="D821">
        <f>IFERROR([1]!s_stm07_is($A821,"W76031679",TEXT($B$1,"yyyy/mm/dd"),1),"")</f>
        <v>572723556.82000005</v>
      </c>
      <c r="E821">
        <f>IFERROR([1]!s_stm07_is($A821,"W70752487",TEXT($B$1,"yyyy/mm/dd"),1),"")</f>
        <v>521469213.52999997</v>
      </c>
      <c r="F821">
        <f>IFERROR([1]!s_stm07_is_103($A821,TEXT($B$1,"yyyy/mm/dd"),1),"")</f>
        <v>61437372.829999998</v>
      </c>
      <c r="G821">
        <f>IFERROR([1]!s_stm07_is_104($A821,TEXT($B$1,"yyyy/mm/dd"),1),"")</f>
        <v>46957949.789999999</v>
      </c>
      <c r="H821">
        <f>IFERROR([1]!s_stm07_is_105($A821,TEXT($B$1,"yyyy/mm/dd"),1),"")</f>
        <v>5620176.0099999998</v>
      </c>
      <c r="I821">
        <f>IFERROR([1]!s_stm07_is($A821,"W72946623",TEXT($B$1,"yyyy/mm/dd"),1),"")</f>
        <v>573812327.59000003</v>
      </c>
      <c r="J821">
        <f>IFERROR([1]!s_stm07_is($A821,"W30028333",TEXT($B$1,"yyyy/mm/dd"),1),"")</f>
        <v>440654460.97000003</v>
      </c>
      <c r="K821">
        <f>IFERROR([1]!s_stm07_cs($A821,"W77130581",TEXT($B$1,"yyyy/mm/dd"),1),"")</f>
        <v>867582284.84000003</v>
      </c>
      <c r="L821">
        <f>IFERROR([1]!s_stm07_cs($A821,"W77745895",TEXT($B$1,"yyyy/mm/dd"),1),"")</f>
        <v>231992196.31</v>
      </c>
      <c r="M821">
        <f>IFERROR([1]!S_FA_EPS_basic2($A821,$B$1,"Cur=CNY"),"")</f>
        <v>0.53</v>
      </c>
      <c r="N821">
        <f>IFERROR([1]!s_fa_arturndays($A821,TEXT($B$1,"yyyy/mm/dd")),"")</f>
        <v>26.289300000000001</v>
      </c>
      <c r="O821" t="str">
        <f>IFERROR([1]!fa_apturndays($A821,TEXT($B$1,"yyyy/mm/dd")),"")</f>
        <v>Fetch...</v>
      </c>
      <c r="P821">
        <f>IFERROR([1]!s_fa_invturndays($A821,TEXT($B$1,"yyyy/mm/dd")),"")</f>
        <v>25.768999999999998</v>
      </c>
    </row>
    <row r="822" spans="1:16">
      <c r="A822" t="s">
        <v>835</v>
      </c>
      <c r="B822">
        <f>IFERROR([1]!s_stm07_is($A822,"W70156729",TEXT($B$1,"yyyy/mm/dd"),1),"")</f>
        <v>3516844093.27</v>
      </c>
      <c r="C822">
        <f>IFERROR([1]!s_stm07_is($A822,"W75682424",TEXT($B$1,"yyyy/mm/dd"),1),"")</f>
        <v>3135317661.1500001</v>
      </c>
      <c r="D822">
        <f>IFERROR([1]!s_stm07_is($A822,"W76031679",TEXT($B$1,"yyyy/mm/dd"),1),"")</f>
        <v>51325380.280000001</v>
      </c>
      <c r="E822">
        <f>IFERROR([1]!s_stm07_is($A822,"W70752487",TEXT($B$1,"yyyy/mm/dd"),1),"")</f>
        <v>200436514.16</v>
      </c>
      <c r="F822">
        <f>IFERROR([1]!s_stm07_is_103($A822,TEXT($B$1,"yyyy/mm/dd"),1),"")</f>
        <v>155682527.30000001</v>
      </c>
      <c r="G822">
        <f>IFERROR([1]!s_stm07_is_104($A822,TEXT($B$1,"yyyy/mm/dd"),1),"")</f>
        <v>106473406.8</v>
      </c>
      <c r="H822">
        <f>IFERROR([1]!s_stm07_is_105($A822,TEXT($B$1,"yyyy/mm/dd"),1),"")</f>
        <v>2653202.9900000002</v>
      </c>
      <c r="I822">
        <f>IFERROR([1]!s_stm07_is($A822,"W72946623",TEXT($B$1,"yyyy/mm/dd"),1),"")</f>
        <v>-254883860.83000001</v>
      </c>
      <c r="J822">
        <f>IFERROR([1]!s_stm07_is($A822,"W30028333",TEXT($B$1,"yyyy/mm/dd"),1),"")</f>
        <v>-235375558.53</v>
      </c>
      <c r="K822">
        <f>IFERROR([1]!s_stm07_cs($A822,"W77130581",TEXT($B$1,"yyyy/mm/dd"),1),"")</f>
        <v>-31150006.140000001</v>
      </c>
      <c r="L822">
        <f>IFERROR([1]!s_stm07_cs($A822,"W77745895",TEXT($B$1,"yyyy/mm/dd"),1),"")</f>
        <v>421810489.83999997</v>
      </c>
      <c r="M822">
        <f>IFERROR([1]!S_FA_EPS_basic2($A822,$B$1,"Cur=CNY"),"")</f>
        <v>-0.59</v>
      </c>
      <c r="N822">
        <f>IFERROR([1]!s_fa_arturndays($A822,TEXT($B$1,"yyyy/mm/dd")),"")</f>
        <v>102.9101</v>
      </c>
      <c r="O822" t="str">
        <f>IFERROR([1]!fa_apturndays($A822,TEXT($B$1,"yyyy/mm/dd")),"")</f>
        <v>Fetch...</v>
      </c>
      <c r="P822">
        <f>IFERROR([1]!s_fa_invturndays($A822,TEXT($B$1,"yyyy/mm/dd")),"")</f>
        <v>124.23650000000001</v>
      </c>
    </row>
    <row r="823" spans="1:16">
      <c r="A823" t="s">
        <v>836</v>
      </c>
      <c r="B823">
        <f>IFERROR([1]!s_stm07_is($A823,"W70156729",TEXT($B$1,"yyyy/mm/dd"),1),"")</f>
        <v>1324976566.6300001</v>
      </c>
      <c r="C823">
        <f>IFERROR([1]!s_stm07_is($A823,"W75682424",TEXT($B$1,"yyyy/mm/dd"),1),"")</f>
        <v>142400575.43000001</v>
      </c>
      <c r="D823">
        <f>IFERROR([1]!s_stm07_is($A823,"W76031679",TEXT($B$1,"yyyy/mm/dd"),1),"")</f>
        <v>266207025.38</v>
      </c>
      <c r="E823">
        <f>IFERROR([1]!s_stm07_is($A823,"W70752487",TEXT($B$1,"yyyy/mm/dd"),1),"")</f>
        <v>169684706.18000001</v>
      </c>
      <c r="F823">
        <f>IFERROR([1]!s_stm07_is_103($A823,TEXT($B$1,"yyyy/mm/dd"),1),"")</f>
        <v>859175124.90999997</v>
      </c>
      <c r="G823">
        <f>IFERROR([1]!s_stm07_is_104($A823,TEXT($B$1,"yyyy/mm/dd"),1),"")</f>
        <v>3187319.17</v>
      </c>
      <c r="H823">
        <f>IFERROR([1]!s_stm07_is_105($A823,TEXT($B$1,"yyyy/mm/dd"),1),"")</f>
        <v>47833844.270000003</v>
      </c>
      <c r="I823">
        <f>IFERROR([1]!s_stm07_is($A823,"W72946623",TEXT($B$1,"yyyy/mm/dd"),1),"")</f>
        <v>62679410.909999996</v>
      </c>
      <c r="J823">
        <f>IFERROR([1]!s_stm07_is($A823,"W30028333",TEXT($B$1,"yyyy/mm/dd"),1),"")</f>
        <v>60983525.270000003</v>
      </c>
      <c r="K823">
        <f>IFERROR([1]!s_stm07_cs($A823,"W77130581",TEXT($B$1,"yyyy/mm/dd"),1),"")</f>
        <v>560653590.01999998</v>
      </c>
      <c r="L823">
        <f>IFERROR([1]!s_stm07_cs($A823,"W77745895",TEXT($B$1,"yyyy/mm/dd"),1),"")</f>
        <v>185331836.40000001</v>
      </c>
      <c r="M823">
        <f>IFERROR([1]!S_FA_EPS_basic2($A823,$B$1,"Cur=CNY"),"")</f>
        <v>0.11</v>
      </c>
      <c r="N823">
        <f>IFERROR([1]!s_fa_arturndays($A823,TEXT($B$1,"yyyy/mm/dd")),"")</f>
        <v>169.65129999999999</v>
      </c>
      <c r="O823" t="str">
        <f>IFERROR([1]!fa_apturndays($A823,TEXT($B$1,"yyyy/mm/dd")),"")</f>
        <v>Fetch...</v>
      </c>
      <c r="P823">
        <f>IFERROR([1]!s_fa_invturndays($A823,TEXT($B$1,"yyyy/mm/dd")),"")</f>
        <v>139.0283</v>
      </c>
    </row>
    <row r="824" spans="1:16">
      <c r="A824" t="s">
        <v>837</v>
      </c>
      <c r="B824">
        <f>IFERROR([1]!s_stm07_is($A824,"W70156729",TEXT($B$1,"yyyy/mm/dd"),1),"")</f>
        <v>4211534591.4499998</v>
      </c>
      <c r="C824">
        <f>IFERROR([1]!s_stm07_is($A824,"W75682424",TEXT($B$1,"yyyy/mm/dd"),1),"")</f>
        <v>2905069156.25</v>
      </c>
      <c r="D824">
        <f>IFERROR([1]!s_stm07_is($A824,"W76031679",TEXT($B$1,"yyyy/mm/dd"),1),"")</f>
        <v>336678463.54000002</v>
      </c>
      <c r="E824">
        <f>IFERROR([1]!s_stm07_is($A824,"W70752487",TEXT($B$1,"yyyy/mm/dd"),1),"")</f>
        <v>270177362.56</v>
      </c>
      <c r="F824">
        <f>IFERROR([1]!s_stm07_is_103($A824,TEXT($B$1,"yyyy/mm/dd"),1),"")</f>
        <v>202558755.18000001</v>
      </c>
      <c r="G824">
        <f>IFERROR([1]!s_stm07_is_104($A824,TEXT($B$1,"yyyy/mm/dd"),1),"")</f>
        <v>5438328.4000000004</v>
      </c>
      <c r="H824">
        <f>IFERROR([1]!s_stm07_is_105($A824,TEXT($B$1,"yyyy/mm/dd"),1),"")</f>
        <v>54294319.539999999</v>
      </c>
      <c r="I824">
        <f>IFERROR([1]!s_stm07_is($A824,"W72946623",TEXT($B$1,"yyyy/mm/dd"),1),"")</f>
        <v>494974834.27999997</v>
      </c>
      <c r="J824">
        <f>IFERROR([1]!s_stm07_is($A824,"W30028333",TEXT($B$1,"yyyy/mm/dd"),1),"")</f>
        <v>451740705.95999998</v>
      </c>
      <c r="K824">
        <f>IFERROR([1]!s_stm07_cs($A824,"W77130581",TEXT($B$1,"yyyy/mm/dd"),1),"")</f>
        <v>-163464607.47999999</v>
      </c>
      <c r="L824">
        <f>IFERROR([1]!s_stm07_cs($A824,"W77745895",TEXT($B$1,"yyyy/mm/dd"),1),"")</f>
        <v>420078697.01999998</v>
      </c>
      <c r="M824">
        <f>IFERROR([1]!S_FA_EPS_basic2($A824,$B$1,"Cur=CNY"),"")</f>
        <v>1.1000000000000001</v>
      </c>
      <c r="N824">
        <f>IFERROR([1]!s_fa_arturndays($A824,TEXT($B$1,"yyyy/mm/dd")),"")</f>
        <v>112.3981</v>
      </c>
      <c r="O824" t="str">
        <f>IFERROR([1]!fa_apturndays($A824,TEXT($B$1,"yyyy/mm/dd")),"")</f>
        <v>Fetch...</v>
      </c>
      <c r="P824">
        <f>IFERROR([1]!s_fa_invturndays($A824,TEXT($B$1,"yyyy/mm/dd")),"")</f>
        <v>114.97920000000001</v>
      </c>
    </row>
    <row r="825" spans="1:16">
      <c r="A825" t="s">
        <v>838</v>
      </c>
      <c r="B825">
        <f>IFERROR([1]!s_stm07_is($A825,"W70156729",TEXT($B$1,"yyyy/mm/dd"),1),"")</f>
        <v>6909626565.4300003</v>
      </c>
      <c r="C825">
        <f>IFERROR([1]!s_stm07_is($A825,"W75682424",TEXT($B$1,"yyyy/mm/dd"),1),"")</f>
        <v>5448928897.5799999</v>
      </c>
      <c r="D825">
        <f>IFERROR([1]!s_stm07_is($A825,"W76031679",TEXT($B$1,"yyyy/mm/dd"),1),"")</f>
        <v>267848492.33000001</v>
      </c>
      <c r="E825">
        <f>IFERROR([1]!s_stm07_is($A825,"W70752487",TEXT($B$1,"yyyy/mm/dd"),1),"")</f>
        <v>178907736.66</v>
      </c>
      <c r="F825">
        <f>IFERROR([1]!s_stm07_is_103($A825,TEXT($B$1,"yyyy/mm/dd"),1),"")</f>
        <v>213759918.69</v>
      </c>
      <c r="G825">
        <f>IFERROR([1]!s_stm07_is_104($A825,TEXT($B$1,"yyyy/mm/dd"),1),"")</f>
        <v>1949508.77</v>
      </c>
      <c r="H825">
        <f>IFERROR([1]!s_stm07_is_105($A825,TEXT($B$1,"yyyy/mm/dd"),1),"")</f>
        <v>12286009.970000001</v>
      </c>
      <c r="I825">
        <f>IFERROR([1]!s_stm07_is($A825,"W72946623",TEXT($B$1,"yyyy/mm/dd"),1),"")</f>
        <v>671279082.42999995</v>
      </c>
      <c r="J825">
        <f>IFERROR([1]!s_stm07_is($A825,"W30028333",TEXT($B$1,"yyyy/mm/dd"),1),"")</f>
        <v>588290773.33000004</v>
      </c>
      <c r="K825">
        <f>IFERROR([1]!s_stm07_cs($A825,"W77130581",TEXT($B$1,"yyyy/mm/dd"),1),"")</f>
        <v>95831699.480000004</v>
      </c>
      <c r="L825">
        <f>IFERROR([1]!s_stm07_cs($A825,"W77745895",TEXT($B$1,"yyyy/mm/dd"),1),"")</f>
        <v>331958016.51999998</v>
      </c>
      <c r="M825">
        <f>IFERROR([1]!S_FA_EPS_basic2($A825,$B$1,"Cur=CNY"),"")</f>
        <v>1.88</v>
      </c>
      <c r="N825">
        <f>IFERROR([1]!s_fa_arturndays($A825,TEXT($B$1,"yyyy/mm/dd")),"")</f>
        <v>154.63919999999999</v>
      </c>
      <c r="O825" t="str">
        <f>IFERROR([1]!fa_apturndays($A825,TEXT($B$1,"yyyy/mm/dd")),"")</f>
        <v>Fetch...</v>
      </c>
      <c r="P825">
        <f>IFERROR([1]!s_fa_invturndays($A825,TEXT($B$1,"yyyy/mm/dd")),"")</f>
        <v>85.894300000000001</v>
      </c>
    </row>
    <row r="826" spans="1:16">
      <c r="A826" t="s">
        <v>839</v>
      </c>
      <c r="B826">
        <f>IFERROR([1]!s_stm07_is($A826,"W70156729",TEXT($B$1,"yyyy/mm/dd"),1),"")</f>
        <v>1725125345.8099999</v>
      </c>
      <c r="C826">
        <f>IFERROR([1]!s_stm07_is($A826,"W75682424",TEXT($B$1,"yyyy/mm/dd"),1),"")</f>
        <v>1322853010.53</v>
      </c>
      <c r="D826">
        <f>IFERROR([1]!s_stm07_is($A826,"W76031679",TEXT($B$1,"yyyy/mm/dd"),1),"")</f>
        <v>38241749.729999997</v>
      </c>
      <c r="E826">
        <f>IFERROR([1]!s_stm07_is($A826,"W70752487",TEXT($B$1,"yyyy/mm/dd"),1),"")</f>
        <v>210293557.75999999</v>
      </c>
      <c r="F826">
        <f>IFERROR([1]!s_stm07_is_103($A826,TEXT($B$1,"yyyy/mm/dd"),1),"")</f>
        <v>0</v>
      </c>
      <c r="G826">
        <f>IFERROR([1]!s_stm07_is_104($A826,TEXT($B$1,"yyyy/mm/dd"),1),"")</f>
        <v>14045614</v>
      </c>
      <c r="H826">
        <f>IFERROR([1]!s_stm07_is_105($A826,TEXT($B$1,"yyyy/mm/dd"),1),"")</f>
        <v>3813272.81</v>
      </c>
      <c r="I826">
        <f>IFERROR([1]!s_stm07_is($A826,"W72946623",TEXT($B$1,"yyyy/mm/dd"),1),"")</f>
        <v>119637181.08</v>
      </c>
      <c r="J826">
        <f>IFERROR([1]!s_stm07_is($A826,"W30028333",TEXT($B$1,"yyyy/mm/dd"),1),"")</f>
        <v>84182769.680000007</v>
      </c>
      <c r="K826">
        <f>IFERROR([1]!s_stm07_cs($A826,"W77130581",TEXT($B$1,"yyyy/mm/dd"),1),"")</f>
        <v>188280790.77000001</v>
      </c>
      <c r="L826">
        <f>IFERROR([1]!s_stm07_cs($A826,"W77745895",TEXT($B$1,"yyyy/mm/dd"),1),"")</f>
        <v>586447372.35000002</v>
      </c>
      <c r="M826">
        <f>IFERROR([1]!S_FA_EPS_basic2($A826,$B$1,"Cur=CNY"),"")</f>
        <v>0.41</v>
      </c>
      <c r="N826">
        <f>IFERROR([1]!s_fa_arturndays($A826,TEXT($B$1,"yyyy/mm/dd")),"")</f>
        <v>23.886299999999999</v>
      </c>
      <c r="O826" t="str">
        <f>IFERROR([1]!fa_apturndays($A826,TEXT($B$1,"yyyy/mm/dd")),"")</f>
        <v>Fetch...</v>
      </c>
      <c r="P826">
        <f>IFERROR([1]!s_fa_invturndays($A826,TEXT($B$1,"yyyy/mm/dd")),"")</f>
        <v>16.704000000000001</v>
      </c>
    </row>
    <row r="827" spans="1:16">
      <c r="A827" t="s">
        <v>840</v>
      </c>
      <c r="B827">
        <f>IFERROR([1]!s_stm07_is($A827,"W70156729",TEXT($B$1,"yyyy/mm/dd"),1),"")</f>
        <v>2866526437.5599999</v>
      </c>
      <c r="C827">
        <f>IFERROR([1]!s_stm07_is($A827,"W75682424",TEXT($B$1,"yyyy/mm/dd"),1),"")</f>
        <v>2053653533.48</v>
      </c>
      <c r="D827">
        <f>IFERROR([1]!s_stm07_is($A827,"W76031679",TEXT($B$1,"yyyy/mm/dd"),1),"")</f>
        <v>92276150.209999993</v>
      </c>
      <c r="E827">
        <f>IFERROR([1]!s_stm07_is($A827,"W70752487",TEXT($B$1,"yyyy/mm/dd"),1),"")</f>
        <v>205666113.21000001</v>
      </c>
      <c r="F827">
        <f>IFERROR([1]!s_stm07_is_103($A827,TEXT($B$1,"yyyy/mm/dd"),1),"")</f>
        <v>178146991.88999999</v>
      </c>
      <c r="G827">
        <f>IFERROR([1]!s_stm07_is_104($A827,TEXT($B$1,"yyyy/mm/dd"),1),"")</f>
        <v>9772419.3100000005</v>
      </c>
      <c r="H827">
        <f>IFERROR([1]!s_stm07_is_105($A827,TEXT($B$1,"yyyy/mm/dd"),1),"")</f>
        <v>9366931.5600000005</v>
      </c>
      <c r="I827">
        <f>IFERROR([1]!s_stm07_is($A827,"W72946623",TEXT($B$1,"yyyy/mm/dd"),1),"")</f>
        <v>512410619.25</v>
      </c>
      <c r="J827">
        <f>IFERROR([1]!s_stm07_is($A827,"W30028333",TEXT($B$1,"yyyy/mm/dd"),1),"")</f>
        <v>402753459.98000002</v>
      </c>
      <c r="K827">
        <f>IFERROR([1]!s_stm07_cs($A827,"W77130581",TEXT($B$1,"yyyy/mm/dd"),1),"")</f>
        <v>375127546.11000001</v>
      </c>
      <c r="L827">
        <f>IFERROR([1]!s_stm07_cs($A827,"W77745895",TEXT($B$1,"yyyy/mm/dd"),1),"")</f>
        <v>457480192.12</v>
      </c>
      <c r="M827">
        <f>IFERROR([1]!S_FA_EPS_basic2($A827,$B$1,"Cur=CNY"),"")</f>
        <v>0.63</v>
      </c>
      <c r="N827">
        <f>IFERROR([1]!s_fa_arturndays($A827,TEXT($B$1,"yyyy/mm/dd")),"")</f>
        <v>57.539200000000001</v>
      </c>
      <c r="O827" t="str">
        <f>IFERROR([1]!fa_apturndays($A827,TEXT($B$1,"yyyy/mm/dd")),"")</f>
        <v>Fetch...</v>
      </c>
      <c r="P827">
        <f>IFERROR([1]!s_fa_invturndays($A827,TEXT($B$1,"yyyy/mm/dd")),"")</f>
        <v>66.377799999999993</v>
      </c>
    </row>
    <row r="828" spans="1:16">
      <c r="A828" t="s">
        <v>841</v>
      </c>
      <c r="B828">
        <f>IFERROR([1]!s_stm07_is($A828,"W70156729",TEXT($B$1,"yyyy/mm/dd"),1),"")</f>
        <v>4616269644.2399998</v>
      </c>
      <c r="C828">
        <f>IFERROR([1]!s_stm07_is($A828,"W75682424",TEXT($B$1,"yyyy/mm/dd"),1),"")</f>
        <v>3265956722.8000002</v>
      </c>
      <c r="D828">
        <f>IFERROR([1]!s_stm07_is($A828,"W76031679",TEXT($B$1,"yyyy/mm/dd"),1),"")</f>
        <v>29185254.149999999</v>
      </c>
      <c r="E828">
        <f>IFERROR([1]!s_stm07_is($A828,"W70752487",TEXT($B$1,"yyyy/mm/dd"),1),"")</f>
        <v>152018398.84</v>
      </c>
      <c r="F828">
        <f>IFERROR([1]!s_stm07_is_103($A828,TEXT($B$1,"yyyy/mm/dd"),1),"")</f>
        <v>102487895.56999999</v>
      </c>
      <c r="G828">
        <f>IFERROR([1]!s_stm07_is_104($A828,TEXT($B$1,"yyyy/mm/dd"),1),"")</f>
        <v>33819574.979999997</v>
      </c>
      <c r="H828">
        <f>IFERROR([1]!s_stm07_is_105($A828,TEXT($B$1,"yyyy/mm/dd"),1),"")</f>
        <v>4657248.26</v>
      </c>
      <c r="I828">
        <f>IFERROR([1]!s_stm07_is($A828,"W72946623",TEXT($B$1,"yyyy/mm/dd"),1),"")</f>
        <v>938685807.74000001</v>
      </c>
      <c r="J828">
        <f>IFERROR([1]!s_stm07_is($A828,"W30028333",TEXT($B$1,"yyyy/mm/dd"),1),"")</f>
        <v>769008907.25999999</v>
      </c>
      <c r="K828">
        <f>IFERROR([1]!s_stm07_cs($A828,"W77130581",TEXT($B$1,"yyyy/mm/dd"),1),"")</f>
        <v>549059478.33000004</v>
      </c>
      <c r="L828">
        <f>IFERROR([1]!s_stm07_cs($A828,"W77745895",TEXT($B$1,"yyyy/mm/dd"),1),"")</f>
        <v>97211603.799999997</v>
      </c>
      <c r="M828">
        <f>IFERROR([1]!S_FA_EPS_basic2($A828,$B$1,"Cur=CNY"),"")</f>
        <v>0.34</v>
      </c>
      <c r="N828">
        <f>IFERROR([1]!s_fa_arturndays($A828,TEXT($B$1,"yyyy/mm/dd")),"")</f>
        <v>76.909899999999993</v>
      </c>
      <c r="O828" t="str">
        <f>IFERROR([1]!fa_apturndays($A828,TEXT($B$1,"yyyy/mm/dd")),"")</f>
        <v>Fetch...</v>
      </c>
      <c r="P828">
        <f>IFERROR([1]!s_fa_invturndays($A828,TEXT($B$1,"yyyy/mm/dd")),"")</f>
        <v>156.65799999999999</v>
      </c>
    </row>
    <row r="829" spans="1:16">
      <c r="A829" t="s">
        <v>842</v>
      </c>
      <c r="B829">
        <f>IFERROR([1]!s_stm07_is($A829,"W70156729",TEXT($B$1,"yyyy/mm/dd"),1),"")</f>
        <v>22766169990.549999</v>
      </c>
      <c r="C829">
        <f>IFERROR([1]!s_stm07_is($A829,"W75682424",TEXT($B$1,"yyyy/mm/dd"),1),"")</f>
        <v>18349871088.360001</v>
      </c>
      <c r="D829">
        <f>IFERROR([1]!s_stm07_is($A829,"W76031679",TEXT($B$1,"yyyy/mm/dd"),1),"")</f>
        <v>885601630.37</v>
      </c>
      <c r="E829">
        <f>IFERROR([1]!s_stm07_is($A829,"W70752487",TEXT($B$1,"yyyy/mm/dd"),1),"")</f>
        <v>632161411.51999998</v>
      </c>
      <c r="F829">
        <f>IFERROR([1]!s_stm07_is_103($A829,TEXT($B$1,"yyyy/mm/dd"),1),"")</f>
        <v>1047823664.47</v>
      </c>
      <c r="G829">
        <f>IFERROR([1]!s_stm07_is_104($A829,TEXT($B$1,"yyyy/mm/dd"),1),"")</f>
        <v>230372211.59</v>
      </c>
      <c r="H829">
        <f>IFERROR([1]!s_stm07_is_105($A829,TEXT($B$1,"yyyy/mm/dd"),1),"")</f>
        <v>19080514.25</v>
      </c>
      <c r="I829">
        <f>IFERROR([1]!s_stm07_is($A829,"W72946623",TEXT($B$1,"yyyy/mm/dd"),1),"")</f>
        <v>1744965115.45</v>
      </c>
      <c r="J829">
        <f>IFERROR([1]!s_stm07_is($A829,"W30028333",TEXT($B$1,"yyyy/mm/dd"),1),"")</f>
        <v>1423298162.8800001</v>
      </c>
      <c r="K829">
        <f>IFERROR([1]!s_stm07_cs($A829,"W77130581",TEXT($B$1,"yyyy/mm/dd"),1),"")</f>
        <v>-1201201037.0999999</v>
      </c>
      <c r="L829">
        <f>IFERROR([1]!s_stm07_cs($A829,"W77745895",TEXT($B$1,"yyyy/mm/dd"),1),"")</f>
        <v>844772006.39999998</v>
      </c>
      <c r="M829">
        <f>IFERROR([1]!S_FA_EPS_basic2($A829,$B$1,"Cur=CNY"),"")</f>
        <v>3.41</v>
      </c>
      <c r="N829">
        <f>IFERROR([1]!s_fa_arturndays($A829,TEXT($B$1,"yyyy/mm/dd")),"")</f>
        <v>28.699000000000002</v>
      </c>
      <c r="O829" t="str">
        <f>IFERROR([1]!fa_apturndays($A829,TEXT($B$1,"yyyy/mm/dd")),"")</f>
        <v>Fetch...</v>
      </c>
      <c r="P829">
        <f>IFERROR([1]!s_fa_invturndays($A829,TEXT($B$1,"yyyy/mm/dd")),"")</f>
        <v>191.38759999999999</v>
      </c>
    </row>
    <row r="830" spans="1:16">
      <c r="A830" t="s">
        <v>843</v>
      </c>
      <c r="B830">
        <f>IFERROR([1]!s_stm07_is($A830,"W70156729",TEXT($B$1,"yyyy/mm/dd"),1),"")</f>
        <v>2245083530.9899998</v>
      </c>
      <c r="C830">
        <f>IFERROR([1]!s_stm07_is($A830,"W75682424",TEXT($B$1,"yyyy/mm/dd"),1),"")</f>
        <v>1780452151.3199999</v>
      </c>
      <c r="D830">
        <f>IFERROR([1]!s_stm07_is($A830,"W76031679",TEXT($B$1,"yyyy/mm/dd"),1),"")</f>
        <v>41890640.890000001</v>
      </c>
      <c r="E830">
        <f>IFERROR([1]!s_stm07_is($A830,"W70752487",TEXT($B$1,"yyyy/mm/dd"),1),"")</f>
        <v>197752608.34999999</v>
      </c>
      <c r="F830">
        <f>IFERROR([1]!s_stm07_is_103($A830,TEXT($B$1,"yyyy/mm/dd"),1),"")</f>
        <v>129957663.97</v>
      </c>
      <c r="G830">
        <f>IFERROR([1]!s_stm07_is_104($A830,TEXT($B$1,"yyyy/mm/dd"),1),"")</f>
        <v>10199972.800000001</v>
      </c>
      <c r="H830">
        <f>IFERROR([1]!s_stm07_is_105($A830,TEXT($B$1,"yyyy/mm/dd"),1),"")</f>
        <v>1121997.01</v>
      </c>
      <c r="I830">
        <f>IFERROR([1]!s_stm07_is($A830,"W72946623",TEXT($B$1,"yyyy/mm/dd"),1),"")</f>
        <v>86354591.340000004</v>
      </c>
      <c r="J830">
        <f>IFERROR([1]!s_stm07_is($A830,"W30028333",TEXT($B$1,"yyyy/mm/dd"),1),"")</f>
        <v>97792255.790000007</v>
      </c>
      <c r="K830">
        <f>IFERROR([1]!s_stm07_cs($A830,"W77130581",TEXT($B$1,"yyyy/mm/dd"),1),"")</f>
        <v>94372462.049999997</v>
      </c>
      <c r="L830">
        <f>IFERROR([1]!s_stm07_cs($A830,"W77745895",TEXT($B$1,"yyyy/mm/dd"),1),"")</f>
        <v>18376801.41</v>
      </c>
      <c r="M830">
        <f>IFERROR([1]!S_FA_EPS_basic2($A830,$B$1,"Cur=CNY"),"")</f>
        <v>0.2437</v>
      </c>
      <c r="N830">
        <f>IFERROR([1]!s_fa_arturndays($A830,TEXT($B$1,"yyyy/mm/dd")),"")</f>
        <v>118.5224</v>
      </c>
      <c r="O830" t="str">
        <f>IFERROR([1]!fa_apturndays($A830,TEXT($B$1,"yyyy/mm/dd")),"")</f>
        <v>Fetch...</v>
      </c>
      <c r="P830">
        <f>IFERROR([1]!s_fa_invturndays($A830,TEXT($B$1,"yyyy/mm/dd")),"")</f>
        <v>10.6335</v>
      </c>
    </row>
    <row r="831" spans="1:16">
      <c r="A831" t="s">
        <v>844</v>
      </c>
      <c r="B831">
        <f>IFERROR([1]!s_stm07_is($A831,"W70156729",TEXT($B$1,"yyyy/mm/dd"),1),"")</f>
        <v>1068271557.14</v>
      </c>
      <c r="C831">
        <f>IFERROR([1]!s_stm07_is($A831,"W75682424",TEXT($B$1,"yyyy/mm/dd"),1),"")</f>
        <v>795602601.46000004</v>
      </c>
      <c r="D831">
        <f>IFERROR([1]!s_stm07_is($A831,"W76031679",TEXT($B$1,"yyyy/mm/dd"),1),"")</f>
        <v>103116760.81</v>
      </c>
      <c r="E831">
        <f>IFERROR([1]!s_stm07_is($A831,"W70752487",TEXT($B$1,"yyyy/mm/dd"),1),"")</f>
        <v>129899016.65000001</v>
      </c>
      <c r="F831">
        <f>IFERROR([1]!s_stm07_is_103($A831,TEXT($B$1,"yyyy/mm/dd"),1),"")</f>
        <v>172940321.34</v>
      </c>
      <c r="G831">
        <f>IFERROR([1]!s_stm07_is_104($A831,TEXT($B$1,"yyyy/mm/dd"),1),"")</f>
        <v>15961670.49</v>
      </c>
      <c r="H831">
        <f>IFERROR([1]!s_stm07_is_105($A831,TEXT($B$1,"yyyy/mm/dd"),1),"")</f>
        <v>3002854.89</v>
      </c>
      <c r="I831">
        <f>IFERROR([1]!s_stm07_is($A831,"W72946623",TEXT($B$1,"yyyy/mm/dd"),1),"")</f>
        <v>-168749388.96000001</v>
      </c>
      <c r="J831">
        <f>IFERROR([1]!s_stm07_is($A831,"W30028333",TEXT($B$1,"yyyy/mm/dd"),1),"")</f>
        <v>-109864391.02</v>
      </c>
      <c r="K831">
        <f>IFERROR([1]!s_stm07_cs($A831,"W77130581",TEXT($B$1,"yyyy/mm/dd"),1),"")</f>
        <v>-652591696.16999996</v>
      </c>
      <c r="L831">
        <f>IFERROR([1]!s_stm07_cs($A831,"W77745895",TEXT($B$1,"yyyy/mm/dd"),1),"")</f>
        <v>169909272.90000001</v>
      </c>
      <c r="M831">
        <f>IFERROR([1]!S_FA_EPS_basic2($A831,$B$1,"Cur=CNY"),"")</f>
        <v>-0.77</v>
      </c>
      <c r="N831">
        <f>IFERROR([1]!s_fa_arturndays($A831,TEXT($B$1,"yyyy/mm/dd")),"")</f>
        <v>181.45160000000001</v>
      </c>
      <c r="O831" t="str">
        <f>IFERROR([1]!fa_apturndays($A831,TEXT($B$1,"yyyy/mm/dd")),"")</f>
        <v>Fetch...</v>
      </c>
      <c r="P831">
        <f>IFERROR([1]!s_fa_invturndays($A831,TEXT($B$1,"yyyy/mm/dd")),"")</f>
        <v>390.07479999999998</v>
      </c>
    </row>
    <row r="832" spans="1:16">
      <c r="A832" t="s">
        <v>845</v>
      </c>
      <c r="B832">
        <f>IFERROR([1]!s_stm07_is($A832,"W70156729",TEXT($B$1,"yyyy/mm/dd"),1),"")</f>
        <v>4141510076.46</v>
      </c>
      <c r="C832">
        <f>IFERROR([1]!s_stm07_is($A832,"W75682424",TEXT($B$1,"yyyy/mm/dd"),1),"")</f>
        <v>2582774722.8000002</v>
      </c>
      <c r="D832">
        <f>IFERROR([1]!s_stm07_is($A832,"W76031679",TEXT($B$1,"yyyy/mm/dd"),1),"")</f>
        <v>1182154559.6500001</v>
      </c>
      <c r="E832">
        <f>IFERROR([1]!s_stm07_is($A832,"W70752487",TEXT($B$1,"yyyy/mm/dd"),1),"")</f>
        <v>206308327.62</v>
      </c>
      <c r="F832">
        <f>IFERROR([1]!s_stm07_is_103($A832,TEXT($B$1,"yyyy/mm/dd"),1),"")</f>
        <v>177766430.05000001</v>
      </c>
      <c r="G832">
        <f>IFERROR([1]!s_stm07_is_104($A832,TEXT($B$1,"yyyy/mm/dd"),1),"")</f>
        <v>1919330.92</v>
      </c>
      <c r="H832">
        <f>IFERROR([1]!s_stm07_is_105($A832,TEXT($B$1,"yyyy/mm/dd"),1),"")</f>
        <v>15928177.109999999</v>
      </c>
      <c r="I832">
        <f>IFERROR([1]!s_stm07_is($A832,"W72946623",TEXT($B$1,"yyyy/mm/dd"),1),"")</f>
        <v>2329643.2400000002</v>
      </c>
      <c r="J832">
        <f>IFERROR([1]!s_stm07_is($A832,"W30028333",TEXT($B$1,"yyyy/mm/dd"),1),"")</f>
        <v>17153881.210000001</v>
      </c>
      <c r="K832">
        <f>IFERROR([1]!s_stm07_cs($A832,"W77130581",TEXT($B$1,"yyyy/mm/dd"),1),"")</f>
        <v>-750488573.11000001</v>
      </c>
      <c r="L832">
        <f>IFERROR([1]!s_stm07_cs($A832,"W77745895",TEXT($B$1,"yyyy/mm/dd"),1),"")</f>
        <v>90989450.379999995</v>
      </c>
      <c r="M832">
        <f>IFERROR([1]!S_FA_EPS_basic2($A832,$B$1,"Cur=CNY"),"")</f>
        <v>0.1</v>
      </c>
      <c r="N832">
        <f>IFERROR([1]!s_fa_arturndays($A832,TEXT($B$1,"yyyy/mm/dd")),"")</f>
        <v>10.3367</v>
      </c>
      <c r="O832" t="str">
        <f>IFERROR([1]!fa_apturndays($A832,TEXT($B$1,"yyyy/mm/dd")),"")</f>
        <v>Fetch...</v>
      </c>
      <c r="P832">
        <f>IFERROR([1]!s_fa_invturndays($A832,TEXT($B$1,"yyyy/mm/dd")),"")</f>
        <v>133.98840000000001</v>
      </c>
    </row>
    <row r="833" spans="1:16">
      <c r="A833" t="s">
        <v>846</v>
      </c>
      <c r="B833">
        <f>IFERROR([1]!s_stm07_is($A833,"W70156729",TEXT($B$1,"yyyy/mm/dd"),1),"")</f>
        <v>1067785967.64</v>
      </c>
      <c r="C833">
        <f>IFERROR([1]!s_stm07_is($A833,"W75682424",TEXT($B$1,"yyyy/mm/dd"),1),"")</f>
        <v>598272936.02999997</v>
      </c>
      <c r="D833">
        <f>IFERROR([1]!s_stm07_is($A833,"W76031679",TEXT($B$1,"yyyy/mm/dd"),1),"")</f>
        <v>94304565.25</v>
      </c>
      <c r="E833">
        <f>IFERROR([1]!s_stm07_is($A833,"W70752487",TEXT($B$1,"yyyy/mm/dd"),1),"")</f>
        <v>91959580.260000005</v>
      </c>
      <c r="F833">
        <f>IFERROR([1]!s_stm07_is_103($A833,TEXT($B$1,"yyyy/mm/dd"),1),"")</f>
        <v>76225776.709999993</v>
      </c>
      <c r="G833">
        <f>IFERROR([1]!s_stm07_is_104($A833,TEXT($B$1,"yyyy/mm/dd"),1),"")</f>
        <v>906777.45</v>
      </c>
      <c r="H833">
        <f>IFERROR([1]!s_stm07_is_105($A833,TEXT($B$1,"yyyy/mm/dd"),1),"")</f>
        <v>43967144.869999997</v>
      </c>
      <c r="I833">
        <f>IFERROR([1]!s_stm07_is($A833,"W72946623",TEXT($B$1,"yyyy/mm/dd"),1),"")</f>
        <v>280639612.06</v>
      </c>
      <c r="J833">
        <f>IFERROR([1]!s_stm07_is($A833,"W30028333",TEXT($B$1,"yyyy/mm/dd"),1),"")</f>
        <v>221006413.62</v>
      </c>
      <c r="K833">
        <f>IFERROR([1]!s_stm07_cs($A833,"W77130581",TEXT($B$1,"yyyy/mm/dd"),1),"")</f>
        <v>458445887.08999997</v>
      </c>
      <c r="L833">
        <f>IFERROR([1]!s_stm07_cs($A833,"W77745895",TEXT($B$1,"yyyy/mm/dd"),1),"")</f>
        <v>129461507.89</v>
      </c>
      <c r="M833">
        <f>IFERROR([1]!S_FA_EPS_basic2($A833,$B$1,"Cur=CNY"),"")</f>
        <v>0.38090000000000002</v>
      </c>
      <c r="N833">
        <f>IFERROR([1]!s_fa_arturndays($A833,TEXT($B$1,"yyyy/mm/dd")),"")</f>
        <v>73.891599999999997</v>
      </c>
      <c r="O833" t="str">
        <f>IFERROR([1]!fa_apturndays($A833,TEXT($B$1,"yyyy/mm/dd")),"")</f>
        <v>Fetch...</v>
      </c>
      <c r="P833">
        <f>IFERROR([1]!s_fa_invturndays($A833,TEXT($B$1,"yyyy/mm/dd")),"")</f>
        <v>67.3048</v>
      </c>
    </row>
    <row r="834" spans="1:16">
      <c r="A834" t="s">
        <v>847</v>
      </c>
      <c r="B834">
        <f>IFERROR([1]!s_stm07_is($A834,"W70156729",TEXT($B$1,"yyyy/mm/dd"),1),"")</f>
        <v>3941430356.3200002</v>
      </c>
      <c r="C834">
        <f>IFERROR([1]!s_stm07_is($A834,"W75682424",TEXT($B$1,"yyyy/mm/dd"),1),"")</f>
        <v>2306625741.8600001</v>
      </c>
      <c r="D834">
        <f>IFERROR([1]!s_stm07_is($A834,"W76031679",TEXT($B$1,"yyyy/mm/dd"),1),"")</f>
        <v>351980856.89999998</v>
      </c>
      <c r="E834">
        <f>IFERROR([1]!s_stm07_is($A834,"W70752487",TEXT($B$1,"yyyy/mm/dd"),1),"")</f>
        <v>158922626.06</v>
      </c>
      <c r="F834">
        <f>IFERROR([1]!s_stm07_is_103($A834,TEXT($B$1,"yyyy/mm/dd"),1),"")</f>
        <v>123371000.54000001</v>
      </c>
      <c r="G834">
        <f>IFERROR([1]!s_stm07_is_104($A834,TEXT($B$1,"yyyy/mm/dd"),1),"")</f>
        <v>31810463.609999999</v>
      </c>
      <c r="H834">
        <f>IFERROR([1]!s_stm07_is_105($A834,TEXT($B$1,"yyyy/mm/dd"),1),"")</f>
        <v>51416771.509999998</v>
      </c>
      <c r="I834">
        <f>IFERROR([1]!s_stm07_is($A834,"W72946623",TEXT($B$1,"yyyy/mm/dd"),1),"")</f>
        <v>947254386.21000004</v>
      </c>
      <c r="J834">
        <f>IFERROR([1]!s_stm07_is($A834,"W30028333",TEXT($B$1,"yyyy/mm/dd"),1),"")</f>
        <v>816322513.73000002</v>
      </c>
      <c r="K834">
        <f>IFERROR([1]!s_stm07_cs($A834,"W77130581",TEXT($B$1,"yyyy/mm/dd"),1),"")</f>
        <v>753822365.67999995</v>
      </c>
      <c r="L834">
        <f>IFERROR([1]!s_stm07_cs($A834,"W77745895",TEXT($B$1,"yyyy/mm/dd"),1),"")</f>
        <v>212110160.66999999</v>
      </c>
      <c r="M834">
        <f>IFERROR([1]!S_FA_EPS_basic2($A834,$B$1,"Cur=CNY"),"")</f>
        <v>7.5</v>
      </c>
      <c r="N834">
        <f>IFERROR([1]!s_fa_arturndays($A834,TEXT($B$1,"yyyy/mm/dd")),"")</f>
        <v>74.777199999999993</v>
      </c>
      <c r="O834" t="str">
        <f>IFERROR([1]!fa_apturndays($A834,TEXT($B$1,"yyyy/mm/dd")),"")</f>
        <v>Fetch...</v>
      </c>
      <c r="P834">
        <f>IFERROR([1]!s_fa_invturndays($A834,TEXT($B$1,"yyyy/mm/dd")),"")</f>
        <v>227.22970000000001</v>
      </c>
    </row>
    <row r="835" spans="1:16">
      <c r="A835" t="s">
        <v>848</v>
      </c>
      <c r="B835">
        <f>IFERROR([1]!s_stm07_is($A835,"W70156729",TEXT($B$1,"yyyy/mm/dd"),1),"")</f>
        <v>34624768328.389999</v>
      </c>
      <c r="C835">
        <f>IFERROR([1]!s_stm07_is($A835,"W75682424",TEXT($B$1,"yyyy/mm/dd"),1),"")</f>
        <v>31454908506.93</v>
      </c>
      <c r="D835">
        <f>IFERROR([1]!s_stm07_is($A835,"W76031679",TEXT($B$1,"yyyy/mm/dd"),1),"")</f>
        <v>49825692.32</v>
      </c>
      <c r="E835">
        <f>IFERROR([1]!s_stm07_is($A835,"W70752487",TEXT($B$1,"yyyy/mm/dd"),1),"")</f>
        <v>495490496.57999998</v>
      </c>
      <c r="F835">
        <f>IFERROR([1]!s_stm07_is_103($A835,TEXT($B$1,"yyyy/mm/dd"),1),"")</f>
        <v>380853757.48000002</v>
      </c>
      <c r="G835">
        <f>IFERROR([1]!s_stm07_is_104($A835,TEXT($B$1,"yyyy/mm/dd"),1),"")</f>
        <v>206766190.55000001</v>
      </c>
      <c r="H835">
        <f>IFERROR([1]!s_stm07_is_105($A835,TEXT($B$1,"yyyy/mm/dd"),1),"")</f>
        <v>14815729.189999999</v>
      </c>
      <c r="I835">
        <f>IFERROR([1]!s_stm07_is($A835,"W72946623",TEXT($B$1,"yyyy/mm/dd"),1),"")</f>
        <v>1472431145.3599999</v>
      </c>
      <c r="J835">
        <f>IFERROR([1]!s_stm07_is($A835,"W30028333",TEXT($B$1,"yyyy/mm/dd"),1),"")</f>
        <v>1277183442.45</v>
      </c>
      <c r="K835">
        <f>IFERROR([1]!s_stm07_cs($A835,"W77130581",TEXT($B$1,"yyyy/mm/dd"),1),"")</f>
        <v>-1546350345.4100001</v>
      </c>
      <c r="L835">
        <f>IFERROR([1]!s_stm07_cs($A835,"W77745895",TEXT($B$1,"yyyy/mm/dd"),1),"")</f>
        <v>2225654327.29</v>
      </c>
      <c r="M835">
        <f>IFERROR([1]!S_FA_EPS_basic2($A835,$B$1,"Cur=CNY"),"")</f>
        <v>1.68</v>
      </c>
      <c r="N835">
        <f>IFERROR([1]!s_fa_arturndays($A835,TEXT($B$1,"yyyy/mm/dd")),"")</f>
        <v>62.365699999999997</v>
      </c>
      <c r="O835" t="str">
        <f>IFERROR([1]!fa_apturndays($A835,TEXT($B$1,"yyyy/mm/dd")),"")</f>
        <v>Fetch...</v>
      </c>
      <c r="P835">
        <f>IFERROR([1]!s_fa_invturndays($A835,TEXT($B$1,"yyyy/mm/dd")),"")</f>
        <v>36.778599999999997</v>
      </c>
    </row>
    <row r="836" spans="1:16">
      <c r="A836" t="s">
        <v>849</v>
      </c>
      <c r="B836">
        <f>IFERROR([1]!s_stm07_is($A836,"W70156729",TEXT($B$1,"yyyy/mm/dd"),1),"")</f>
        <v>1625486540.4200001</v>
      </c>
      <c r="C836">
        <f>IFERROR([1]!s_stm07_is($A836,"W75682424",TEXT($B$1,"yyyy/mm/dd"),1),"")</f>
        <v>973791008.85000002</v>
      </c>
      <c r="D836">
        <f>IFERROR([1]!s_stm07_is($A836,"W76031679",TEXT($B$1,"yyyy/mm/dd"),1),"")</f>
        <v>47365924.009999998</v>
      </c>
      <c r="E836">
        <f>IFERROR([1]!s_stm07_is($A836,"W70752487",TEXT($B$1,"yyyy/mm/dd"),1),"")</f>
        <v>123595016.56999999</v>
      </c>
      <c r="F836">
        <f>IFERROR([1]!s_stm07_is_103($A836,TEXT($B$1,"yyyy/mm/dd"),1),"")</f>
        <v>133823843.76000001</v>
      </c>
      <c r="G836">
        <f>IFERROR([1]!s_stm07_is_104($A836,TEXT($B$1,"yyyy/mm/dd"),1),"")</f>
        <v>958885.78</v>
      </c>
      <c r="H836">
        <f>IFERROR([1]!s_stm07_is_105($A836,TEXT($B$1,"yyyy/mm/dd"),1),"")</f>
        <v>47517801.799999997</v>
      </c>
      <c r="I836">
        <f>IFERROR([1]!s_stm07_is($A836,"W72946623",TEXT($B$1,"yyyy/mm/dd"),1),"")</f>
        <v>324696407.61000001</v>
      </c>
      <c r="J836">
        <f>IFERROR([1]!s_stm07_is($A836,"W30028333",TEXT($B$1,"yyyy/mm/dd"),1),"")</f>
        <v>283080971.89999998</v>
      </c>
      <c r="K836">
        <f>IFERROR([1]!s_stm07_cs($A836,"W77130581",TEXT($B$1,"yyyy/mm/dd"),1),"")</f>
        <v>352151185.50999999</v>
      </c>
      <c r="L836">
        <f>IFERROR([1]!s_stm07_cs($A836,"W77745895",TEXT($B$1,"yyyy/mm/dd"),1),"")</f>
        <v>461710635.06</v>
      </c>
      <c r="M836">
        <f>IFERROR([1]!S_FA_EPS_basic2($A836,$B$1,"Cur=CNY"),"")</f>
        <v>0.5</v>
      </c>
      <c r="N836">
        <f>IFERROR([1]!s_fa_arturndays($A836,TEXT($B$1,"yyyy/mm/dd")),"")</f>
        <v>79.884600000000006</v>
      </c>
      <c r="O836" t="str">
        <f>IFERROR([1]!fa_apturndays($A836,TEXT($B$1,"yyyy/mm/dd")),"")</f>
        <v>Fetch...</v>
      </c>
      <c r="P836">
        <f>IFERROR([1]!s_fa_invturndays($A836,TEXT($B$1,"yyyy/mm/dd")),"")</f>
        <v>130.99010000000001</v>
      </c>
    </row>
    <row r="837" spans="1:16">
      <c r="A837" t="s">
        <v>850</v>
      </c>
      <c r="B837">
        <f>IFERROR([1]!s_stm07_is($A837,"W70156729",TEXT($B$1,"yyyy/mm/dd"),1),"")</f>
        <v>1893150416.01</v>
      </c>
      <c r="C837">
        <f>IFERROR([1]!s_stm07_is($A837,"W75682424",TEXT($B$1,"yyyy/mm/dd"),1),"")</f>
        <v>377537009.10000002</v>
      </c>
      <c r="D837">
        <f>IFERROR([1]!s_stm07_is($A837,"W76031679",TEXT($B$1,"yyyy/mm/dd"),1),"")</f>
        <v>914857211.66999996</v>
      </c>
      <c r="E837">
        <f>IFERROR([1]!s_stm07_is($A837,"W70752487",TEXT($B$1,"yyyy/mm/dd"),1),"")</f>
        <v>93439734.879999995</v>
      </c>
      <c r="F837">
        <f>IFERROR([1]!s_stm07_is_103($A837,TEXT($B$1,"yyyy/mm/dd"),1),"")</f>
        <v>50906745.689999998</v>
      </c>
      <c r="G837">
        <f>IFERROR([1]!s_stm07_is_104($A837,TEXT($B$1,"yyyy/mm/dd"),1),"")</f>
        <v>466885.91</v>
      </c>
      <c r="H837">
        <f>IFERROR([1]!s_stm07_is_105($A837,TEXT($B$1,"yyyy/mm/dd"),1),"")</f>
        <v>31797405.16</v>
      </c>
      <c r="I837">
        <f>IFERROR([1]!s_stm07_is($A837,"W72946623",TEXT($B$1,"yyyy/mm/dd"),1),"")</f>
        <v>591521231.64999998</v>
      </c>
      <c r="J837">
        <f>IFERROR([1]!s_stm07_is($A837,"W30028333",TEXT($B$1,"yyyy/mm/dd"),1),"")</f>
        <v>432672747.00999999</v>
      </c>
      <c r="K837">
        <f>IFERROR([1]!s_stm07_cs($A837,"W77130581",TEXT($B$1,"yyyy/mm/dd"),1),"")</f>
        <v>366516441.30000001</v>
      </c>
      <c r="L837">
        <f>IFERROR([1]!s_stm07_cs($A837,"W77745895",TEXT($B$1,"yyyy/mm/dd"),1),"")</f>
        <v>40130133.280000001</v>
      </c>
      <c r="M837">
        <f>IFERROR([1]!S_FA_EPS_basic2($A837,$B$1,"Cur=CNY"),"")</f>
        <v>0.83</v>
      </c>
      <c r="N837">
        <f>IFERROR([1]!s_fa_arturndays($A837,TEXT($B$1,"yyyy/mm/dd")),"")</f>
        <v>5.1802999999999999</v>
      </c>
      <c r="O837" t="str">
        <f>IFERROR([1]!fa_apturndays($A837,TEXT($B$1,"yyyy/mm/dd")),"")</f>
        <v>Fetch...</v>
      </c>
      <c r="P837">
        <f>IFERROR([1]!s_fa_invturndays($A837,TEXT($B$1,"yyyy/mm/dd")),"")</f>
        <v>155.52770000000001</v>
      </c>
    </row>
    <row r="838" spans="1:16">
      <c r="A838" t="s">
        <v>851</v>
      </c>
      <c r="B838">
        <f>IFERROR([1]!s_stm07_is($A838,"W70156729",TEXT($B$1,"yyyy/mm/dd"),1),"")</f>
        <v>8700946185.9200001</v>
      </c>
      <c r="C838">
        <f>IFERROR([1]!s_stm07_is($A838,"W75682424",TEXT($B$1,"yyyy/mm/dd"),1),"")</f>
        <v>5700895379.7299995</v>
      </c>
      <c r="D838">
        <f>IFERROR([1]!s_stm07_is($A838,"W76031679",TEXT($B$1,"yyyy/mm/dd"),1),"")</f>
        <v>2191788654.25</v>
      </c>
      <c r="E838">
        <f>IFERROR([1]!s_stm07_is($A838,"W70752487",TEXT($B$1,"yyyy/mm/dd"),1),"")</f>
        <v>327859145.31999999</v>
      </c>
      <c r="F838">
        <f>IFERROR([1]!s_stm07_is_103($A838,TEXT($B$1,"yyyy/mm/dd"),1),"")</f>
        <v>66678745.810000002</v>
      </c>
      <c r="G838">
        <f>IFERROR([1]!s_stm07_is_104($A838,TEXT($B$1,"yyyy/mm/dd"),1),"")</f>
        <v>53568685.630000003</v>
      </c>
      <c r="H838">
        <f>IFERROR([1]!s_stm07_is_105($A838,TEXT($B$1,"yyyy/mm/dd"),1),"")</f>
        <v>11670321.880000001</v>
      </c>
      <c r="I838">
        <f>IFERROR([1]!s_stm07_is($A838,"W72946623",TEXT($B$1,"yyyy/mm/dd"),1),"")</f>
        <v>417832286.18000001</v>
      </c>
      <c r="J838">
        <f>IFERROR([1]!s_stm07_is($A838,"W30028333",TEXT($B$1,"yyyy/mm/dd"),1),"")</f>
        <v>335806096.82999998</v>
      </c>
      <c r="K838">
        <f>IFERROR([1]!s_stm07_cs($A838,"W77130581",TEXT($B$1,"yyyy/mm/dd"),1),"")</f>
        <v>2470477014.1700001</v>
      </c>
      <c r="L838">
        <f>IFERROR([1]!s_stm07_cs($A838,"W77745895",TEXT($B$1,"yyyy/mm/dd"),1),"")</f>
        <v>35930023.909999996</v>
      </c>
      <c r="M838">
        <f>IFERROR([1]!S_FA_EPS_basic2($A838,$B$1,"Cur=CNY"),"")</f>
        <v>0.84</v>
      </c>
      <c r="N838">
        <f>IFERROR([1]!s_fa_arturndays($A838,TEXT($B$1,"yyyy/mm/dd")),"")</f>
        <v>21.343499999999999</v>
      </c>
      <c r="O838" t="str">
        <f>IFERROR([1]!fa_apturndays($A838,TEXT($B$1,"yyyy/mm/dd")),"")</f>
        <v>Fetch...</v>
      </c>
      <c r="P838">
        <f>IFERROR([1]!s_fa_invturndays($A838,TEXT($B$1,"yyyy/mm/dd")),"")</f>
        <v>82.122399999999999</v>
      </c>
    </row>
    <row r="839" spans="1:16">
      <c r="A839" t="s">
        <v>852</v>
      </c>
      <c r="B839">
        <f>IFERROR([1]!s_stm07_is($A839,"W70156729",TEXT($B$1,"yyyy/mm/dd"),1),"")</f>
        <v>2143538078.96</v>
      </c>
      <c r="C839">
        <f>IFERROR([1]!s_stm07_is($A839,"W75682424",TEXT($B$1,"yyyy/mm/dd"),1),"")</f>
        <v>1235929416.8299999</v>
      </c>
      <c r="D839">
        <f>IFERROR([1]!s_stm07_is($A839,"W76031679",TEXT($B$1,"yyyy/mm/dd"),1),"")</f>
        <v>87504969.950000003</v>
      </c>
      <c r="E839">
        <f>IFERROR([1]!s_stm07_is($A839,"W70752487",TEXT($B$1,"yyyy/mm/dd"),1),"")</f>
        <v>159371126.31999999</v>
      </c>
      <c r="F839">
        <f>IFERROR([1]!s_stm07_is_103($A839,TEXT($B$1,"yyyy/mm/dd"),1),"")</f>
        <v>135893980.55000001</v>
      </c>
      <c r="G839">
        <f>IFERROR([1]!s_stm07_is_104($A839,TEXT($B$1,"yyyy/mm/dd"),1),"")</f>
        <v>8604713.0299999993</v>
      </c>
      <c r="H839">
        <f>IFERROR([1]!s_stm07_is_105($A839,TEXT($B$1,"yyyy/mm/dd"),1),"")</f>
        <v>2713326.68</v>
      </c>
      <c r="I839">
        <f>IFERROR([1]!s_stm07_is($A839,"W72946623",TEXT($B$1,"yyyy/mm/dd"),1),"")</f>
        <v>491750451.44999999</v>
      </c>
      <c r="J839">
        <f>IFERROR([1]!s_stm07_is($A839,"W30028333",TEXT($B$1,"yyyy/mm/dd"),1),"")</f>
        <v>433634347.56</v>
      </c>
      <c r="K839">
        <f>IFERROR([1]!s_stm07_cs($A839,"W77130581",TEXT($B$1,"yyyy/mm/dd"),1),"")</f>
        <v>290851781.25999999</v>
      </c>
      <c r="L839">
        <f>IFERROR([1]!s_stm07_cs($A839,"W77745895",TEXT($B$1,"yyyy/mm/dd"),1),"")</f>
        <v>519784341.13999999</v>
      </c>
      <c r="M839">
        <f>IFERROR([1]!S_FA_EPS_basic2($A839,$B$1,"Cur=CNY"),"")</f>
        <v>1.06</v>
      </c>
      <c r="N839">
        <f>IFERROR([1]!s_fa_arturndays($A839,TEXT($B$1,"yyyy/mm/dd")),"")</f>
        <v>128.6771</v>
      </c>
      <c r="O839" t="str">
        <f>IFERROR([1]!fa_apturndays($A839,TEXT($B$1,"yyyy/mm/dd")),"")</f>
        <v>Fetch...</v>
      </c>
      <c r="P839">
        <f>IFERROR([1]!s_fa_invturndays($A839,TEXT($B$1,"yyyy/mm/dd")),"")</f>
        <v>141.41489999999999</v>
      </c>
    </row>
    <row r="840" spans="1:16">
      <c r="A840" t="s">
        <v>853</v>
      </c>
      <c r="B840">
        <f>IFERROR([1]!s_stm07_is($A840,"W70156729",TEXT($B$1,"yyyy/mm/dd"),1),"")</f>
        <v>11816529344.620001</v>
      </c>
      <c r="C840">
        <f>IFERROR([1]!s_stm07_is($A840,"W75682424",TEXT($B$1,"yyyy/mm/dd"),1),"")</f>
        <v>6772229002.0799999</v>
      </c>
      <c r="D840">
        <f>IFERROR([1]!s_stm07_is($A840,"W76031679",TEXT($B$1,"yyyy/mm/dd"),1),"")</f>
        <v>4187526377.1399999</v>
      </c>
      <c r="E840">
        <f>IFERROR([1]!s_stm07_is($A840,"W70752487",TEXT($B$1,"yyyy/mm/dd"),1),"")</f>
        <v>224068772.84999999</v>
      </c>
      <c r="F840">
        <f>IFERROR([1]!s_stm07_is_103($A840,TEXT($B$1,"yyyy/mm/dd"),1),"")</f>
        <v>106781388.56999999</v>
      </c>
      <c r="G840">
        <f>IFERROR([1]!s_stm07_is_104($A840,TEXT($B$1,"yyyy/mm/dd"),1),"")</f>
        <v>27020954.41</v>
      </c>
      <c r="H840">
        <f>IFERROR([1]!s_stm07_is_105($A840,TEXT($B$1,"yyyy/mm/dd"),1),"")</f>
        <v>9569559.7400000002</v>
      </c>
      <c r="I840">
        <f>IFERROR([1]!s_stm07_is($A840,"W72946623",TEXT($B$1,"yyyy/mm/dd"),1),"")</f>
        <v>368768562.69</v>
      </c>
      <c r="J840">
        <f>IFERROR([1]!s_stm07_is($A840,"W30028333",TEXT($B$1,"yyyy/mm/dd"),1),"")</f>
        <v>282977761.37</v>
      </c>
      <c r="K840">
        <f>IFERROR([1]!s_stm07_cs($A840,"W77130581",TEXT($B$1,"yyyy/mm/dd"),1),"")</f>
        <v>1249730547.05</v>
      </c>
      <c r="L840">
        <f>IFERROR([1]!s_stm07_cs($A840,"W77745895",TEXT($B$1,"yyyy/mm/dd"),1),"")</f>
        <v>116039694.08</v>
      </c>
      <c r="M840">
        <f>IFERROR([1]!S_FA_EPS_basic2($A840,$B$1,"Cur=CNY"),"")</f>
        <v>0.70430000000000004</v>
      </c>
      <c r="N840">
        <f>IFERROR([1]!s_fa_arturndays($A840,TEXT($B$1,"yyyy/mm/dd")),"")</f>
        <v>9.5991999999999997</v>
      </c>
      <c r="O840" t="str">
        <f>IFERROR([1]!fa_apturndays($A840,TEXT($B$1,"yyyy/mm/dd")),"")</f>
        <v>Fetch...</v>
      </c>
      <c r="P840">
        <f>IFERROR([1]!s_fa_invturndays($A840,TEXT($B$1,"yyyy/mm/dd")),"")</f>
        <v>81.907499999999999</v>
      </c>
    </row>
    <row r="841" spans="1:16">
      <c r="A841" t="s">
        <v>854</v>
      </c>
      <c r="B841">
        <f>IFERROR([1]!s_stm07_is($A841,"W70156729",TEXT($B$1,"yyyy/mm/dd"),1),"")</f>
        <v>469672866.30000001</v>
      </c>
      <c r="C841">
        <f>IFERROR([1]!s_stm07_is($A841,"W75682424",TEXT($B$1,"yyyy/mm/dd"),1),"")</f>
        <v>359495719.88999999</v>
      </c>
      <c r="D841">
        <f>IFERROR([1]!s_stm07_is($A841,"W76031679",TEXT($B$1,"yyyy/mm/dd"),1),"")</f>
        <v>22473374.43</v>
      </c>
      <c r="E841">
        <f>IFERROR([1]!s_stm07_is($A841,"W70752487",TEXT($B$1,"yyyy/mm/dd"),1),"")</f>
        <v>30333905.370000001</v>
      </c>
      <c r="F841">
        <f>IFERROR([1]!s_stm07_is_103($A841,TEXT($B$1,"yyyy/mm/dd"),1),"")</f>
        <v>34601435.409999996</v>
      </c>
      <c r="G841">
        <f>IFERROR([1]!s_stm07_is_104($A841,TEXT($B$1,"yyyy/mm/dd"),1),"")</f>
        <v>1136300.04</v>
      </c>
      <c r="H841">
        <f>IFERROR([1]!s_stm07_is_105($A841,TEXT($B$1,"yyyy/mm/dd"),1),"")</f>
        <v>3009852.26</v>
      </c>
      <c r="I841">
        <f>IFERROR([1]!s_stm07_is($A841,"W72946623",TEXT($B$1,"yyyy/mm/dd"),1),"")</f>
        <v>20121273.27</v>
      </c>
      <c r="J841">
        <f>IFERROR([1]!s_stm07_is($A841,"W30028333",TEXT($B$1,"yyyy/mm/dd"),1),"")</f>
        <v>22253231.41</v>
      </c>
      <c r="K841">
        <f>IFERROR([1]!s_stm07_cs($A841,"W77130581",TEXT($B$1,"yyyy/mm/dd"),1),"")</f>
        <v>226536822.46000001</v>
      </c>
      <c r="L841">
        <f>IFERROR([1]!s_stm07_cs($A841,"W77745895",TEXT($B$1,"yyyy/mm/dd"),1),"")</f>
        <v>40031658.700000003</v>
      </c>
      <c r="M841">
        <f>IFERROR([1]!S_FA_EPS_basic2($A841,$B$1,"Cur=CNY"),"")</f>
        <v>0.22</v>
      </c>
      <c r="N841">
        <f>IFERROR([1]!s_fa_arturndays($A841,TEXT($B$1,"yyyy/mm/dd")),"")</f>
        <v>181.7998</v>
      </c>
      <c r="O841" t="str">
        <f>IFERROR([1]!fa_apturndays($A841,TEXT($B$1,"yyyy/mm/dd")),"")</f>
        <v>Fetch...</v>
      </c>
      <c r="P841">
        <f>IFERROR([1]!s_fa_invturndays($A841,TEXT($B$1,"yyyy/mm/dd")),"")</f>
        <v>394.56380000000001</v>
      </c>
    </row>
    <row r="842" spans="1:16">
      <c r="A842" t="s">
        <v>855</v>
      </c>
      <c r="B842">
        <f>IFERROR([1]!s_stm07_is($A842,"W70156729",TEXT($B$1,"yyyy/mm/dd"),1),"")</f>
        <v>778985590.09000003</v>
      </c>
      <c r="C842">
        <f>IFERROR([1]!s_stm07_is($A842,"W75682424",TEXT($B$1,"yyyy/mm/dd"),1),"")</f>
        <v>386624563.35000002</v>
      </c>
      <c r="D842">
        <f>IFERROR([1]!s_stm07_is($A842,"W76031679",TEXT($B$1,"yyyy/mm/dd"),1),"")</f>
        <v>49096165.329999998</v>
      </c>
      <c r="E842">
        <f>IFERROR([1]!s_stm07_is($A842,"W70752487",TEXT($B$1,"yyyy/mm/dd"),1),"")</f>
        <v>143347862.81999999</v>
      </c>
      <c r="F842">
        <f>IFERROR([1]!s_stm07_is_103($A842,TEXT($B$1,"yyyy/mm/dd"),1),"")</f>
        <v>30794799.460000001</v>
      </c>
      <c r="G842">
        <f>IFERROR([1]!s_stm07_is_104($A842,TEXT($B$1,"yyyy/mm/dd"),1),"")</f>
        <v>2768544.32</v>
      </c>
      <c r="H842">
        <f>IFERROR([1]!s_stm07_is_105($A842,TEXT($B$1,"yyyy/mm/dd"),1),"")</f>
        <v>11128290.91</v>
      </c>
      <c r="I842">
        <f>IFERROR([1]!s_stm07_is($A842,"W72946623",TEXT($B$1,"yyyy/mm/dd"),1),"")</f>
        <v>155728277.87</v>
      </c>
      <c r="J842">
        <f>IFERROR([1]!s_stm07_is($A842,"W30028333",TEXT($B$1,"yyyy/mm/dd"),1),"")</f>
        <v>131189562.5</v>
      </c>
      <c r="K842">
        <f>IFERROR([1]!s_stm07_cs($A842,"W77130581",TEXT($B$1,"yyyy/mm/dd"),1),"")</f>
        <v>173776561.62</v>
      </c>
      <c r="L842">
        <f>IFERROR([1]!s_stm07_cs($A842,"W77745895",TEXT($B$1,"yyyy/mm/dd"),1),"")</f>
        <v>118976978.08</v>
      </c>
      <c r="M842">
        <f>IFERROR([1]!S_FA_EPS_basic2($A842,$B$1,"Cur=CNY"),"")</f>
        <v>0.5</v>
      </c>
      <c r="N842">
        <f>IFERROR([1]!s_fa_arturndays($A842,TEXT($B$1,"yyyy/mm/dd")),"")</f>
        <v>76.577799999999996</v>
      </c>
      <c r="O842" t="str">
        <f>IFERROR([1]!fa_apturndays($A842,TEXT($B$1,"yyyy/mm/dd")),"")</f>
        <v>Fetch...</v>
      </c>
      <c r="P842">
        <f>IFERROR([1]!s_fa_invturndays($A842,TEXT($B$1,"yyyy/mm/dd")),"")</f>
        <v>83.785200000000003</v>
      </c>
    </row>
    <row r="843" spans="1:16">
      <c r="A843" t="s">
        <v>856</v>
      </c>
      <c r="B843">
        <f>IFERROR([1]!s_stm07_is($A843,"W70156729",TEXT($B$1,"yyyy/mm/dd"),1),"")</f>
        <v>2320908997.6999998</v>
      </c>
      <c r="C843">
        <f>IFERROR([1]!s_stm07_is($A843,"W75682424",TEXT($B$1,"yyyy/mm/dd"),1),"")</f>
        <v>2135533213.01</v>
      </c>
      <c r="D843">
        <f>IFERROR([1]!s_stm07_is($A843,"W76031679",TEXT($B$1,"yyyy/mm/dd"),1),"")</f>
        <v>13325079.119999999</v>
      </c>
      <c r="E843">
        <f>IFERROR([1]!s_stm07_is($A843,"W70752487",TEXT($B$1,"yyyy/mm/dd"),1),"")</f>
        <v>51715889.710000001</v>
      </c>
      <c r="F843">
        <f>IFERROR([1]!s_stm07_is_103($A843,TEXT($B$1,"yyyy/mm/dd"),1),"")</f>
        <v>105177672.42</v>
      </c>
      <c r="G843">
        <f>IFERROR([1]!s_stm07_is_104($A843,TEXT($B$1,"yyyy/mm/dd"),1),"")</f>
        <v>5644081.8099999996</v>
      </c>
      <c r="H843">
        <f>IFERROR([1]!s_stm07_is_105($A843,TEXT($B$1,"yyyy/mm/dd"),1),"")</f>
        <v>3871365.29</v>
      </c>
      <c r="I843">
        <f>IFERROR([1]!s_stm07_is($A843,"W72946623",TEXT($B$1,"yyyy/mm/dd"),1),"")</f>
        <v>11867884.789999999</v>
      </c>
      <c r="J843">
        <f>IFERROR([1]!s_stm07_is($A843,"W30028333",TEXT($B$1,"yyyy/mm/dd"),1),"")</f>
        <v>27194080.550000001</v>
      </c>
      <c r="K843">
        <f>IFERROR([1]!s_stm07_cs($A843,"W77130581",TEXT($B$1,"yyyy/mm/dd"),1),"")</f>
        <v>346104261.89999998</v>
      </c>
      <c r="L843">
        <f>IFERROR([1]!s_stm07_cs($A843,"W77745895",TEXT($B$1,"yyyy/mm/dd"),1),"")</f>
        <v>43368379.149999999</v>
      </c>
      <c r="M843">
        <f>IFERROR([1]!S_FA_EPS_basic2($A843,$B$1,"Cur=CNY"),"")</f>
        <v>5.9200000000000003E-2</v>
      </c>
      <c r="N843">
        <f>IFERROR([1]!s_fa_arturndays($A843,TEXT($B$1,"yyyy/mm/dd")),"")</f>
        <v>155.13229999999999</v>
      </c>
      <c r="O843" t="str">
        <f>IFERROR([1]!fa_apturndays($A843,TEXT($B$1,"yyyy/mm/dd")),"")</f>
        <v>Fetch...</v>
      </c>
      <c r="P843">
        <f>IFERROR([1]!s_fa_invturndays($A843,TEXT($B$1,"yyyy/mm/dd")),"")</f>
        <v>105.90730000000001</v>
      </c>
    </row>
    <row r="844" spans="1:16">
      <c r="A844" t="s">
        <v>857</v>
      </c>
      <c r="B844">
        <f>IFERROR([1]!s_stm07_is($A844,"W70156729",TEXT($B$1,"yyyy/mm/dd"),1),"")</f>
        <v>6768959695.3100004</v>
      </c>
      <c r="C844">
        <f>IFERROR([1]!s_stm07_is($A844,"W75682424",TEXT($B$1,"yyyy/mm/dd"),1),"")</f>
        <v>3892851376.0900002</v>
      </c>
      <c r="D844">
        <f>IFERROR([1]!s_stm07_is($A844,"W76031679",TEXT($B$1,"yyyy/mm/dd"),1),"")</f>
        <v>1527077269.8099999</v>
      </c>
      <c r="E844">
        <f>IFERROR([1]!s_stm07_is($A844,"W70752487",TEXT($B$1,"yyyy/mm/dd"),1),"")</f>
        <v>395903410.13999999</v>
      </c>
      <c r="F844">
        <f>IFERROR([1]!s_stm07_is_103($A844,TEXT($B$1,"yyyy/mm/dd"),1),"")</f>
        <v>92349584.430000007</v>
      </c>
      <c r="G844">
        <f>IFERROR([1]!s_stm07_is_104($A844,TEXT($B$1,"yyyy/mm/dd"),1),"")</f>
        <v>1848532.98</v>
      </c>
      <c r="H844">
        <f>IFERROR([1]!s_stm07_is_105($A844,TEXT($B$1,"yyyy/mm/dd"),1),"")</f>
        <v>9895383.3399999999</v>
      </c>
      <c r="I844">
        <f>IFERROR([1]!s_stm07_is($A844,"W72946623",TEXT($B$1,"yyyy/mm/dd"),1),"")</f>
        <v>882180202.01999998</v>
      </c>
      <c r="J844">
        <f>IFERROR([1]!s_stm07_is($A844,"W30028333",TEXT($B$1,"yyyy/mm/dd"),1),"")</f>
        <v>673144046.69000006</v>
      </c>
      <c r="K844">
        <f>IFERROR([1]!s_stm07_cs($A844,"W77130581",TEXT($B$1,"yyyy/mm/dd"),1),"")</f>
        <v>842381514.13999999</v>
      </c>
      <c r="L844">
        <f>IFERROR([1]!s_stm07_cs($A844,"W77745895",TEXT($B$1,"yyyy/mm/dd"),1),"")</f>
        <v>698536439.88</v>
      </c>
      <c r="M844">
        <f>IFERROR([1]!S_FA_EPS_basic2($A844,$B$1,"Cur=CNY"),"")</f>
        <v>1.68</v>
      </c>
      <c r="N844">
        <f>IFERROR([1]!s_fa_arturndays($A844,TEXT($B$1,"yyyy/mm/dd")),"")</f>
        <v>21.506</v>
      </c>
      <c r="O844" t="str">
        <f>IFERROR([1]!fa_apturndays($A844,TEXT($B$1,"yyyy/mm/dd")),"")</f>
        <v>Fetch...</v>
      </c>
      <c r="P844">
        <f>IFERROR([1]!s_fa_invturndays($A844,TEXT($B$1,"yyyy/mm/dd")),"")</f>
        <v>79.221900000000005</v>
      </c>
    </row>
    <row r="845" spans="1:16">
      <c r="A845" t="s">
        <v>858</v>
      </c>
      <c r="B845">
        <f>IFERROR([1]!s_stm07_is($A845,"W70156729",TEXT($B$1,"yyyy/mm/dd"),1),"")</f>
        <v>14840459747.73</v>
      </c>
      <c r="C845">
        <f>IFERROR([1]!s_stm07_is($A845,"W75682424",TEXT($B$1,"yyyy/mm/dd"),1),"")</f>
        <v>13850493513.15</v>
      </c>
      <c r="D845">
        <f>IFERROR([1]!s_stm07_is($A845,"W76031679",TEXT($B$1,"yyyy/mm/dd"),1),"")</f>
        <v>1675351.74</v>
      </c>
      <c r="E845">
        <f>IFERROR([1]!s_stm07_is($A845,"W70752487",TEXT($B$1,"yyyy/mm/dd"),1),"")</f>
        <v>280087950.49000001</v>
      </c>
      <c r="F845">
        <f>IFERROR([1]!s_stm07_is_103($A845,TEXT($B$1,"yyyy/mm/dd"),1),"")</f>
        <v>24456541.579999998</v>
      </c>
      <c r="G845">
        <f>IFERROR([1]!s_stm07_is_104($A845,TEXT($B$1,"yyyy/mm/dd"),1),"")</f>
        <v>172741588.96000001</v>
      </c>
      <c r="H845">
        <f>IFERROR([1]!s_stm07_is_105($A845,TEXT($B$1,"yyyy/mm/dd"),1),"")</f>
        <v>12713160.09</v>
      </c>
      <c r="I845">
        <f>IFERROR([1]!s_stm07_is($A845,"W72946623",TEXT($B$1,"yyyy/mm/dd"),1),"")</f>
        <v>296220298.47000003</v>
      </c>
      <c r="J845">
        <f>IFERROR([1]!s_stm07_is($A845,"W30028333",TEXT($B$1,"yyyy/mm/dd"),1),"")</f>
        <v>287258765.97000003</v>
      </c>
      <c r="K845">
        <f>IFERROR([1]!s_stm07_cs($A845,"W77130581",TEXT($B$1,"yyyy/mm/dd"),1),"")</f>
        <v>19179936.5</v>
      </c>
      <c r="L845">
        <f>IFERROR([1]!s_stm07_cs($A845,"W77745895",TEXT($B$1,"yyyy/mm/dd"),1),"")</f>
        <v>600702326.13999999</v>
      </c>
      <c r="M845">
        <f>IFERROR([1]!S_FA_EPS_basic2($A845,$B$1,"Cur=CNY"),"")</f>
        <v>0.51290000000000002</v>
      </c>
      <c r="N845">
        <f>IFERROR([1]!s_fa_arturndays($A845,TEXT($B$1,"yyyy/mm/dd")),"")</f>
        <v>3.4973000000000001</v>
      </c>
      <c r="O845" t="str">
        <f>IFERROR([1]!fa_apturndays($A845,TEXT($B$1,"yyyy/mm/dd")),"")</f>
        <v>Fetch...</v>
      </c>
      <c r="P845">
        <f>IFERROR([1]!s_fa_invturndays($A845,TEXT($B$1,"yyyy/mm/dd")),"")</f>
        <v>118.2227</v>
      </c>
    </row>
    <row r="846" spans="1:16">
      <c r="A846" t="s">
        <v>859</v>
      </c>
      <c r="B846">
        <f>IFERROR([1]!s_stm07_is($A846,"W70156729",TEXT($B$1,"yyyy/mm/dd"),1),"")</f>
        <v>879891677.20000005</v>
      </c>
      <c r="C846">
        <f>IFERROR([1]!s_stm07_is($A846,"W75682424",TEXT($B$1,"yyyy/mm/dd"),1),"")</f>
        <v>497220806.99000001</v>
      </c>
      <c r="D846">
        <f>IFERROR([1]!s_stm07_is($A846,"W76031679",TEXT($B$1,"yyyy/mm/dd"),1),"")</f>
        <v>19520648.420000002</v>
      </c>
      <c r="E846">
        <f>IFERROR([1]!s_stm07_is($A846,"W70752487",TEXT($B$1,"yyyy/mm/dd"),1),"")</f>
        <v>96527722.709999993</v>
      </c>
      <c r="F846">
        <f>IFERROR([1]!s_stm07_is_103($A846,TEXT($B$1,"yyyy/mm/dd"),1),"")</f>
        <v>71043381.030000001</v>
      </c>
      <c r="G846">
        <f>IFERROR([1]!s_stm07_is_104($A846,TEXT($B$1,"yyyy/mm/dd"),1),"")</f>
        <v>6664912.4500000002</v>
      </c>
      <c r="H846">
        <f>IFERROR([1]!s_stm07_is_105($A846,TEXT($B$1,"yyyy/mm/dd"),1),"")</f>
        <v>1065855.23</v>
      </c>
      <c r="I846">
        <f>IFERROR([1]!s_stm07_is($A846,"W72946623",TEXT($B$1,"yyyy/mm/dd"),1),"")</f>
        <v>189218373.06999999</v>
      </c>
      <c r="J846">
        <f>IFERROR([1]!s_stm07_is($A846,"W30028333",TEXT($B$1,"yyyy/mm/dd"),1),"")</f>
        <v>151614019.59</v>
      </c>
      <c r="K846">
        <f>IFERROR([1]!s_stm07_cs($A846,"W77130581",TEXT($B$1,"yyyy/mm/dd"),1),"")</f>
        <v>172297751.97</v>
      </c>
      <c r="L846">
        <f>IFERROR([1]!s_stm07_cs($A846,"W77745895",TEXT($B$1,"yyyy/mm/dd"),1),"")</f>
        <v>223436943.09999999</v>
      </c>
      <c r="M846">
        <f>IFERROR([1]!S_FA_EPS_basic2($A846,$B$1,"Cur=CNY"),"")</f>
        <v>0.67059999999999997</v>
      </c>
      <c r="N846">
        <f>IFERROR([1]!s_fa_arturndays($A846,TEXT($B$1,"yyyy/mm/dd")),"")</f>
        <v>104.7364</v>
      </c>
      <c r="O846" t="str">
        <f>IFERROR([1]!fa_apturndays($A846,TEXT($B$1,"yyyy/mm/dd")),"")</f>
        <v>Fetch...</v>
      </c>
      <c r="P846">
        <f>IFERROR([1]!s_fa_invturndays($A846,TEXT($B$1,"yyyy/mm/dd")),"")</f>
        <v>1.9672000000000001</v>
      </c>
    </row>
    <row r="847" spans="1:16">
      <c r="A847" t="s">
        <v>860</v>
      </c>
      <c r="B847">
        <f>IFERROR([1]!s_stm07_is($A847,"W70156729",TEXT($B$1,"yyyy/mm/dd"),1),"")</f>
        <v>549585556.38</v>
      </c>
      <c r="C847">
        <f>IFERROR([1]!s_stm07_is($A847,"W75682424",TEXT($B$1,"yyyy/mm/dd"),1),"")</f>
        <v>281965534.73000002</v>
      </c>
      <c r="D847">
        <f>IFERROR([1]!s_stm07_is($A847,"W76031679",TEXT($B$1,"yyyy/mm/dd"),1),"")</f>
        <v>60430471.200000003</v>
      </c>
      <c r="E847">
        <f>IFERROR([1]!s_stm07_is($A847,"W70752487",TEXT($B$1,"yyyy/mm/dd"),1),"")</f>
        <v>31096857.890000001</v>
      </c>
      <c r="F847">
        <f>IFERROR([1]!s_stm07_is_103($A847,TEXT($B$1,"yyyy/mm/dd"),1),"")</f>
        <v>93641992.140000001</v>
      </c>
      <c r="G847">
        <f>IFERROR([1]!s_stm07_is_104($A847,TEXT($B$1,"yyyy/mm/dd"),1),"")</f>
        <v>554432.63</v>
      </c>
      <c r="H847">
        <f>IFERROR([1]!s_stm07_is_105($A847,TEXT($B$1,"yyyy/mm/dd"),1),"")</f>
        <v>2595956.79</v>
      </c>
      <c r="I847">
        <f>IFERROR([1]!s_stm07_is($A847,"W72946623",TEXT($B$1,"yyyy/mm/dd"),1),"")</f>
        <v>73985178.189999998</v>
      </c>
      <c r="J847">
        <f>IFERROR([1]!s_stm07_is($A847,"W30028333",TEXT($B$1,"yyyy/mm/dd"),1),"")</f>
        <v>62955193.390000001</v>
      </c>
      <c r="K847">
        <f>IFERROR([1]!s_stm07_cs($A847,"W77130581",TEXT($B$1,"yyyy/mm/dd"),1),"")</f>
        <v>33513079.940000001</v>
      </c>
      <c r="L847">
        <f>IFERROR([1]!s_stm07_cs($A847,"W77745895",TEXT($B$1,"yyyy/mm/dd"),1),"")</f>
        <v>15389865.380000001</v>
      </c>
      <c r="M847">
        <f>IFERROR([1]!S_FA_EPS_basic2($A847,$B$1,"Cur=CNY"),"")</f>
        <v>0.16</v>
      </c>
      <c r="N847">
        <f>IFERROR([1]!s_fa_arturndays($A847,TEXT($B$1,"yyyy/mm/dd")),"")</f>
        <v>147.84389999999999</v>
      </c>
      <c r="O847" t="str">
        <f>IFERROR([1]!fa_apturndays($A847,TEXT($B$1,"yyyy/mm/dd")),"")</f>
        <v>Fetch...</v>
      </c>
      <c r="P847">
        <f>IFERROR([1]!s_fa_invturndays($A847,TEXT($B$1,"yyyy/mm/dd")),"")</f>
        <v>172.04300000000001</v>
      </c>
    </row>
    <row r="848" spans="1:16">
      <c r="A848" t="s">
        <v>861</v>
      </c>
      <c r="B848">
        <f>IFERROR([1]!s_stm07_is($A848,"W70156729",TEXT($B$1,"yyyy/mm/dd"),1),"")</f>
        <v>12436536572.549999</v>
      </c>
      <c r="C848">
        <f>IFERROR([1]!s_stm07_is($A848,"W75682424",TEXT($B$1,"yyyy/mm/dd"),1),"")</f>
        <v>11551669249.33</v>
      </c>
      <c r="D848">
        <f>IFERROR([1]!s_stm07_is($A848,"W76031679",TEXT($B$1,"yyyy/mm/dd"),1),"")</f>
        <v>49236703.420000002</v>
      </c>
      <c r="E848">
        <f>IFERROR([1]!s_stm07_is($A848,"W70752487",TEXT($B$1,"yyyy/mm/dd"),1),"")</f>
        <v>189327167.53999999</v>
      </c>
      <c r="F848">
        <f>IFERROR([1]!s_stm07_is_103($A848,TEXT($B$1,"yyyy/mm/dd"),1),"")</f>
        <v>200227650.68000001</v>
      </c>
      <c r="G848">
        <f>IFERROR([1]!s_stm07_is_104($A848,TEXT($B$1,"yyyy/mm/dd"),1),"")</f>
        <v>269411465.08999997</v>
      </c>
      <c r="H848">
        <f>IFERROR([1]!s_stm07_is_105($A848,TEXT($B$1,"yyyy/mm/dd"),1),"")</f>
        <v>64185349.229999997</v>
      </c>
      <c r="I848">
        <f>IFERROR([1]!s_stm07_is($A848,"W72946623",TEXT($B$1,"yyyy/mm/dd"),1),"")</f>
        <v>199788762.06</v>
      </c>
      <c r="J848">
        <f>IFERROR([1]!s_stm07_is($A848,"W30028333",TEXT($B$1,"yyyy/mm/dd"),1),"")</f>
        <v>112522522.31</v>
      </c>
      <c r="K848">
        <f>IFERROR([1]!s_stm07_cs($A848,"W77130581",TEXT($B$1,"yyyy/mm/dd"),1),"")</f>
        <v>-381332043.56</v>
      </c>
      <c r="L848">
        <f>IFERROR([1]!s_stm07_cs($A848,"W77745895",TEXT($B$1,"yyyy/mm/dd"),1),"")</f>
        <v>916445998.57000005</v>
      </c>
      <c r="M848">
        <f>IFERROR([1]!S_FA_EPS_basic2($A848,$B$1,"Cur=CNY"),"")</f>
        <v>0.17849999999999999</v>
      </c>
      <c r="N848">
        <f>IFERROR([1]!s_fa_arturndays($A848,TEXT($B$1,"yyyy/mm/dd")),"")</f>
        <v>83.489900000000006</v>
      </c>
      <c r="O848" t="str">
        <f>IFERROR([1]!fa_apturndays($A848,TEXT($B$1,"yyyy/mm/dd")),"")</f>
        <v>Fetch...</v>
      </c>
      <c r="P848">
        <f>IFERROR([1]!s_fa_invturndays($A848,TEXT($B$1,"yyyy/mm/dd")),"")</f>
        <v>53.142000000000003</v>
      </c>
    </row>
    <row r="849" spans="1:16">
      <c r="A849" t="s">
        <v>862</v>
      </c>
      <c r="B849">
        <f>IFERROR([1]!s_stm07_is($A849,"W70156729",TEXT($B$1,"yyyy/mm/dd"),1),"")</f>
        <v>2407444816.9899998</v>
      </c>
      <c r="C849">
        <f>IFERROR([1]!s_stm07_is($A849,"W75682424",TEXT($B$1,"yyyy/mm/dd"),1),"")</f>
        <v>2130588291.29</v>
      </c>
      <c r="D849">
        <f>IFERROR([1]!s_stm07_is($A849,"W76031679",TEXT($B$1,"yyyy/mm/dd"),1),"")</f>
        <v>27705957.899999999</v>
      </c>
      <c r="E849">
        <f>IFERROR([1]!s_stm07_is($A849,"W70752487",TEXT($B$1,"yyyy/mm/dd"),1),"")</f>
        <v>45623762.340000004</v>
      </c>
      <c r="F849">
        <f>IFERROR([1]!s_stm07_is_103($A849,TEXT($B$1,"yyyy/mm/dd"),1),"")</f>
        <v>106073388.94</v>
      </c>
      <c r="G849">
        <f>IFERROR([1]!s_stm07_is_104($A849,TEXT($B$1,"yyyy/mm/dd"),1),"")</f>
        <v>22597130.690000001</v>
      </c>
      <c r="H849">
        <f>IFERROR([1]!s_stm07_is_105($A849,TEXT($B$1,"yyyy/mm/dd"),1),"")</f>
        <v>5481043.71</v>
      </c>
      <c r="I849">
        <f>IFERROR([1]!s_stm07_is($A849,"W72946623",TEXT($B$1,"yyyy/mm/dd"),1),"")</f>
        <v>103794374.20999999</v>
      </c>
      <c r="J849">
        <f>IFERROR([1]!s_stm07_is($A849,"W30028333",TEXT($B$1,"yyyy/mm/dd"),1),"")</f>
        <v>100515075.13</v>
      </c>
      <c r="K849">
        <f>IFERROR([1]!s_stm07_cs($A849,"W77130581",TEXT($B$1,"yyyy/mm/dd"),1),"")</f>
        <v>-10466299.43</v>
      </c>
      <c r="L849">
        <f>IFERROR([1]!s_stm07_cs($A849,"W77745895",TEXT($B$1,"yyyy/mm/dd"),1),"")</f>
        <v>289890300.73000002</v>
      </c>
      <c r="M849">
        <f>IFERROR([1]!S_FA_EPS_basic2($A849,$B$1,"Cur=CNY"),"")</f>
        <v>0.27029999999999998</v>
      </c>
      <c r="N849">
        <f>IFERROR([1]!s_fa_arturndays($A849,TEXT($B$1,"yyyy/mm/dd")),"")</f>
        <v>100.5474</v>
      </c>
      <c r="O849" t="str">
        <f>IFERROR([1]!fa_apturndays($A849,TEXT($B$1,"yyyy/mm/dd")),"")</f>
        <v>Fetch...</v>
      </c>
      <c r="P849">
        <f>IFERROR([1]!s_fa_invturndays($A849,TEXT($B$1,"yyyy/mm/dd")),"")</f>
        <v>160.5566</v>
      </c>
    </row>
    <row r="850" spans="1:16">
      <c r="A850" t="s">
        <v>863</v>
      </c>
      <c r="B850">
        <f>IFERROR([1]!s_stm07_is($A850,"W70156729",TEXT($B$1,"yyyy/mm/dd"),1),"")</f>
        <v>8657832967.4099998</v>
      </c>
      <c r="C850">
        <f>IFERROR([1]!s_stm07_is($A850,"W75682424",TEXT($B$1,"yyyy/mm/dd"),1),"")</f>
        <v>7035037565.3599997</v>
      </c>
      <c r="D850">
        <f>IFERROR([1]!s_stm07_is($A850,"W76031679",TEXT($B$1,"yyyy/mm/dd"),1),"")</f>
        <v>157704877.12</v>
      </c>
      <c r="E850">
        <f>IFERROR([1]!s_stm07_is($A850,"W70752487",TEXT($B$1,"yyyy/mm/dd"),1),"")</f>
        <v>250624573.94</v>
      </c>
      <c r="F850">
        <f>IFERROR([1]!s_stm07_is_103($A850,TEXT($B$1,"yyyy/mm/dd"),1),"")</f>
        <v>302339968.88</v>
      </c>
      <c r="G850">
        <f>IFERROR([1]!s_stm07_is_104($A850,TEXT($B$1,"yyyy/mm/dd"),1),"")</f>
        <v>235908224.88</v>
      </c>
      <c r="H850">
        <f>IFERROR([1]!s_stm07_is_105($A850,TEXT($B$1,"yyyy/mm/dd"),1),"")</f>
        <v>12872882.869999999</v>
      </c>
      <c r="I850">
        <f>IFERROR([1]!s_stm07_is($A850,"W72946623",TEXT($B$1,"yyyy/mm/dd"),1),"")</f>
        <v>381572466.23000002</v>
      </c>
      <c r="J850">
        <f>IFERROR([1]!s_stm07_is($A850,"W30028333",TEXT($B$1,"yyyy/mm/dd"),1),"")</f>
        <v>272471070.35000002</v>
      </c>
      <c r="K850">
        <f>IFERROR([1]!s_stm07_cs($A850,"W77130581",TEXT($B$1,"yyyy/mm/dd"),1),"")</f>
        <v>1730947081.52</v>
      </c>
      <c r="L850">
        <f>IFERROR([1]!s_stm07_cs($A850,"W77745895",TEXT($B$1,"yyyy/mm/dd"),1),"")</f>
        <v>2451272837.48</v>
      </c>
      <c r="M850">
        <f>IFERROR([1]!S_FA_EPS_basic2($A850,$B$1,"Cur=CNY"),"")</f>
        <v>7.2300000000000003E-2</v>
      </c>
      <c r="N850">
        <f>IFERROR([1]!s_fa_arturndays($A850,TEXT($B$1,"yyyy/mm/dd")),"")</f>
        <v>98.341800000000006</v>
      </c>
      <c r="O850" t="str">
        <f>IFERROR([1]!fa_apturndays($A850,TEXT($B$1,"yyyy/mm/dd")),"")</f>
        <v>Fetch...</v>
      </c>
      <c r="P850">
        <f>IFERROR([1]!s_fa_invturndays($A850,TEXT($B$1,"yyyy/mm/dd")),"")</f>
        <v>97.709299999999999</v>
      </c>
    </row>
    <row r="851" spans="1:16">
      <c r="A851" t="s">
        <v>864</v>
      </c>
      <c r="B851">
        <f>IFERROR([1]!s_stm07_is($A851,"W70156729",TEXT($B$1,"yyyy/mm/dd"),1),"")</f>
        <v>2972063050.6700001</v>
      </c>
      <c r="C851">
        <f>IFERROR([1]!s_stm07_is($A851,"W75682424",TEXT($B$1,"yyyy/mm/dd"),1),"")</f>
        <v>1956819792.6500001</v>
      </c>
      <c r="D851">
        <f>IFERROR([1]!s_stm07_is($A851,"W76031679",TEXT($B$1,"yyyy/mm/dd"),1),"")</f>
        <v>33283047.530000001</v>
      </c>
      <c r="E851">
        <f>IFERROR([1]!s_stm07_is($A851,"W70752487",TEXT($B$1,"yyyy/mm/dd"),1),"")</f>
        <v>111422620.17</v>
      </c>
      <c r="F851">
        <f>IFERROR([1]!s_stm07_is_103($A851,TEXT($B$1,"yyyy/mm/dd"),1),"")</f>
        <v>651950541.66999996</v>
      </c>
      <c r="G851">
        <f>IFERROR([1]!s_stm07_is_104($A851,TEXT($B$1,"yyyy/mm/dd"),1),"")</f>
        <v>30280054.48</v>
      </c>
      <c r="H851">
        <f>IFERROR([1]!s_stm07_is_105($A851,TEXT($B$1,"yyyy/mm/dd"),1),"")</f>
        <v>23700937.390000001</v>
      </c>
      <c r="I851">
        <f>IFERROR([1]!s_stm07_is($A851,"W72946623",TEXT($B$1,"yyyy/mm/dd"),1),"")</f>
        <v>322782434.41000003</v>
      </c>
      <c r="J851">
        <f>IFERROR([1]!s_stm07_is($A851,"W30028333",TEXT($B$1,"yyyy/mm/dd"),1),"")</f>
        <v>308367801.58999997</v>
      </c>
      <c r="K851">
        <f>IFERROR([1]!s_stm07_cs($A851,"W77130581",TEXT($B$1,"yyyy/mm/dd"),1),"")</f>
        <v>446420010.54000002</v>
      </c>
      <c r="L851">
        <f>IFERROR([1]!s_stm07_cs($A851,"W77745895",TEXT($B$1,"yyyy/mm/dd"),1),"")</f>
        <v>91914245.430000007</v>
      </c>
      <c r="M851">
        <f>IFERROR([1]!S_FA_EPS_basic2($A851,$B$1,"Cur=CNY"),"")</f>
        <v>0.73</v>
      </c>
      <c r="N851">
        <f>IFERROR([1]!s_fa_arturndays($A851,TEXT($B$1,"yyyy/mm/dd")),"")</f>
        <v>21.634599999999999</v>
      </c>
      <c r="O851" t="str">
        <f>IFERROR([1]!fa_apturndays($A851,TEXT($B$1,"yyyy/mm/dd")),"")</f>
        <v>Fetch...</v>
      </c>
      <c r="P851">
        <f>IFERROR([1]!s_fa_invturndays($A851,TEXT($B$1,"yyyy/mm/dd")),"")</f>
        <v>156.48089999999999</v>
      </c>
    </row>
    <row r="852" spans="1:16">
      <c r="A852" t="s">
        <v>865</v>
      </c>
      <c r="B852">
        <f>IFERROR([1]!s_stm07_is($A852,"W70156729",TEXT($B$1,"yyyy/mm/dd"),1),"")</f>
        <v>788172426.22000003</v>
      </c>
      <c r="C852">
        <f>IFERROR([1]!s_stm07_is($A852,"W75682424",TEXT($B$1,"yyyy/mm/dd"),1),"")</f>
        <v>530588222.88</v>
      </c>
      <c r="D852">
        <f>IFERROR([1]!s_stm07_is($A852,"W76031679",TEXT($B$1,"yyyy/mm/dd"),1),"")</f>
        <v>14887873.310000001</v>
      </c>
      <c r="E852">
        <f>IFERROR([1]!s_stm07_is($A852,"W70752487",TEXT($B$1,"yyyy/mm/dd"),1),"")</f>
        <v>35540152.950000003</v>
      </c>
      <c r="F852">
        <f>IFERROR([1]!s_stm07_is_103($A852,TEXT($B$1,"yyyy/mm/dd"),1),"")</f>
        <v>37645571.710000001</v>
      </c>
      <c r="G852">
        <f>IFERROR([1]!s_stm07_is_104($A852,TEXT($B$1,"yyyy/mm/dd"),1),"")</f>
        <v>455703.71</v>
      </c>
      <c r="H852">
        <f>IFERROR([1]!s_stm07_is_105($A852,TEXT($B$1,"yyyy/mm/dd"),1),"")</f>
        <v>33163532.260000002</v>
      </c>
      <c r="I852">
        <f>IFERROR([1]!s_stm07_is($A852,"W72946623",TEXT($B$1,"yyyy/mm/dd"),1),"")</f>
        <v>193681235.22</v>
      </c>
      <c r="J852">
        <f>IFERROR([1]!s_stm07_is($A852,"W30028333",TEXT($B$1,"yyyy/mm/dd"),1),"")</f>
        <v>172601709.56</v>
      </c>
      <c r="K852">
        <f>IFERROR([1]!s_stm07_cs($A852,"W77130581",TEXT($B$1,"yyyy/mm/dd"),1),"")</f>
        <v>185809591.22</v>
      </c>
      <c r="L852">
        <f>IFERROR([1]!s_stm07_cs($A852,"W77745895",TEXT($B$1,"yyyy/mm/dd"),1),"")</f>
        <v>132309215.8</v>
      </c>
      <c r="M852">
        <f>IFERROR([1]!S_FA_EPS_basic2($A852,$B$1,"Cur=CNY"),"")</f>
        <v>0.75</v>
      </c>
      <c r="N852">
        <f>IFERROR([1]!s_fa_arturndays($A852,TEXT($B$1,"yyyy/mm/dd")),"")</f>
        <v>112.5211</v>
      </c>
      <c r="O852" t="str">
        <f>IFERROR([1]!fa_apturndays($A852,TEXT($B$1,"yyyy/mm/dd")),"")</f>
        <v>Fetch...</v>
      </c>
      <c r="P852">
        <f>IFERROR([1]!s_fa_invturndays($A852,TEXT($B$1,"yyyy/mm/dd")),"")</f>
        <v>157.83240000000001</v>
      </c>
    </row>
    <row r="853" spans="1:16">
      <c r="A853" t="s">
        <v>866</v>
      </c>
      <c r="B853">
        <f>IFERROR([1]!s_stm07_is($A853,"W70156729",TEXT($B$1,"yyyy/mm/dd"),1),"")</f>
        <v>605046796.76999998</v>
      </c>
      <c r="C853">
        <f>IFERROR([1]!s_stm07_is($A853,"W75682424",TEXT($B$1,"yyyy/mm/dd"),1),"")</f>
        <v>269609262.48000002</v>
      </c>
      <c r="D853">
        <f>IFERROR([1]!s_stm07_is($A853,"W76031679",TEXT($B$1,"yyyy/mm/dd"),1),"")</f>
        <v>68459486.219999999</v>
      </c>
      <c r="E853">
        <f>IFERROR([1]!s_stm07_is($A853,"W70752487",TEXT($B$1,"yyyy/mm/dd"),1),"")</f>
        <v>31607814.440000001</v>
      </c>
      <c r="F853">
        <f>IFERROR([1]!s_stm07_is_103($A853,TEXT($B$1,"yyyy/mm/dd"),1),"")</f>
        <v>23313714.289999999</v>
      </c>
      <c r="G853">
        <f>IFERROR([1]!s_stm07_is_104($A853,TEXT($B$1,"yyyy/mm/dd"),1),"")</f>
        <v>39375.43</v>
      </c>
      <c r="H853">
        <f>IFERROR([1]!s_stm07_is_105($A853,TEXT($B$1,"yyyy/mm/dd"),1),"")</f>
        <v>43338035.670000002</v>
      </c>
      <c r="I853">
        <f>IFERROR([1]!s_stm07_is($A853,"W72946623",TEXT($B$1,"yyyy/mm/dd"),1),"")</f>
        <v>261564313.15000001</v>
      </c>
      <c r="J853">
        <f>IFERROR([1]!s_stm07_is($A853,"W30028333",TEXT($B$1,"yyyy/mm/dd"),1),"")</f>
        <v>261564313.15000001</v>
      </c>
      <c r="K853">
        <f>IFERROR([1]!s_stm07_cs($A853,"W77130581",TEXT($B$1,"yyyy/mm/dd"),1),"")</f>
        <v>412729943.56</v>
      </c>
      <c r="L853">
        <f>IFERROR([1]!s_stm07_cs($A853,"W77745895",TEXT($B$1,"yyyy/mm/dd"),1),"")</f>
        <v>28533912.82</v>
      </c>
      <c r="M853">
        <f>IFERROR([1]!S_FA_EPS_basic2($A853,$B$1,"Cur=CNY"),"")</f>
        <v>0.65390000000000004</v>
      </c>
      <c r="N853">
        <f>IFERROR([1]!s_fa_arturndays($A853,TEXT($B$1,"yyyy/mm/dd")),"")</f>
        <v>30.209700000000002</v>
      </c>
      <c r="O853" t="str">
        <f>IFERROR([1]!fa_apturndays($A853,TEXT($B$1,"yyyy/mm/dd")),"")</f>
        <v>Fetch...</v>
      </c>
      <c r="P853">
        <f>IFERROR([1]!s_fa_invturndays($A853,TEXT($B$1,"yyyy/mm/dd")),"")</f>
        <v>165.90629999999999</v>
      </c>
    </row>
    <row r="854" spans="1:16">
      <c r="A854" t="s">
        <v>867</v>
      </c>
      <c r="B854">
        <f>IFERROR([1]!s_stm07_is($A854,"W70156729",TEXT($B$1,"yyyy/mm/dd"),1),"")</f>
        <v>510580200.51999998</v>
      </c>
      <c r="C854">
        <f>IFERROR([1]!s_stm07_is($A854,"W75682424",TEXT($B$1,"yyyy/mm/dd"),1),"")</f>
        <v>260034509.47999999</v>
      </c>
      <c r="D854">
        <f>IFERROR([1]!s_stm07_is($A854,"W76031679",TEXT($B$1,"yyyy/mm/dd"),1),"")</f>
        <v>65244377.649999999</v>
      </c>
      <c r="E854">
        <f>IFERROR([1]!s_stm07_is($A854,"W70752487",TEXT($B$1,"yyyy/mm/dd"),1),"")</f>
        <v>37849692.579999998</v>
      </c>
      <c r="F854">
        <f>IFERROR([1]!s_stm07_is_103($A854,TEXT($B$1,"yyyy/mm/dd"),1),"")</f>
        <v>51214121.090000004</v>
      </c>
      <c r="G854">
        <f>IFERROR([1]!s_stm07_is_104($A854,TEXT($B$1,"yyyy/mm/dd"),1),"")</f>
        <v>0</v>
      </c>
      <c r="H854">
        <f>IFERROR([1]!s_stm07_is_105($A854,TEXT($B$1,"yyyy/mm/dd"),1),"")</f>
        <v>16242206.1</v>
      </c>
      <c r="I854">
        <f>IFERROR([1]!s_stm07_is($A854,"W72946623",TEXT($B$1,"yyyy/mm/dd"),1),"")</f>
        <v>118316985.90000001</v>
      </c>
      <c r="J854">
        <f>IFERROR([1]!s_stm07_is($A854,"W30028333",TEXT($B$1,"yyyy/mm/dd"),1),"")</f>
        <v>106405875.94</v>
      </c>
      <c r="K854">
        <f>IFERROR([1]!s_stm07_cs($A854,"W77130581",TEXT($B$1,"yyyy/mm/dd"),1),"")</f>
        <v>116204766.2</v>
      </c>
      <c r="L854">
        <f>IFERROR([1]!s_stm07_cs($A854,"W77745895",TEXT($B$1,"yyyy/mm/dd"),1),"")</f>
        <v>28995503.649999999</v>
      </c>
      <c r="M854">
        <f>IFERROR([1]!S_FA_EPS_basic2($A854,$B$1,"Cur=CNY"),"")</f>
        <v>1.25</v>
      </c>
      <c r="N854">
        <f>IFERROR([1]!s_fa_arturndays($A854,TEXT($B$1,"yyyy/mm/dd")),"")</f>
        <v>74.552700000000002</v>
      </c>
      <c r="O854" t="str">
        <f>IFERROR([1]!fa_apturndays($A854,TEXT($B$1,"yyyy/mm/dd")),"")</f>
        <v>Fetch...</v>
      </c>
      <c r="P854">
        <f>IFERROR([1]!s_fa_invturndays($A854,TEXT($B$1,"yyyy/mm/dd")),"")</f>
        <v>86.765799999999999</v>
      </c>
    </row>
    <row r="855" spans="1:16">
      <c r="A855" t="s">
        <v>868</v>
      </c>
      <c r="B855">
        <f>IFERROR([1]!s_stm07_is($A855,"W70156729",TEXT($B$1,"yyyy/mm/dd"),1),"")</f>
        <v>2126456034.1600001</v>
      </c>
      <c r="C855">
        <f>IFERROR([1]!s_stm07_is($A855,"W75682424",TEXT($B$1,"yyyy/mm/dd"),1),"")</f>
        <v>1840099621.3499999</v>
      </c>
      <c r="D855">
        <f>IFERROR([1]!s_stm07_is($A855,"W76031679",TEXT($B$1,"yyyy/mm/dd"),1),"")</f>
        <v>31409323.530000001</v>
      </c>
      <c r="E855">
        <f>IFERROR([1]!s_stm07_is($A855,"W70752487",TEXT($B$1,"yyyy/mm/dd"),1),"")</f>
        <v>77450042.670000002</v>
      </c>
      <c r="F855">
        <f>IFERROR([1]!s_stm07_is_103($A855,TEXT($B$1,"yyyy/mm/dd"),1),"")</f>
        <v>83451584.010000005</v>
      </c>
      <c r="G855">
        <f>IFERROR([1]!s_stm07_is_104($A855,TEXT($B$1,"yyyy/mm/dd"),1),"")</f>
        <v>2452105.44</v>
      </c>
      <c r="H855">
        <f>IFERROR([1]!s_stm07_is_105($A855,TEXT($B$1,"yyyy/mm/dd"),1),"")</f>
        <v>5892488.1399999997</v>
      </c>
      <c r="I855">
        <f>IFERROR([1]!s_stm07_is($A855,"W72946623",TEXT($B$1,"yyyy/mm/dd"),1),"")</f>
        <v>78895741.310000002</v>
      </c>
      <c r="J855">
        <f>IFERROR([1]!s_stm07_is($A855,"W30028333",TEXT($B$1,"yyyy/mm/dd"),1),"")</f>
        <v>78233126.870000005</v>
      </c>
      <c r="K855">
        <f>IFERROR([1]!s_stm07_cs($A855,"W77130581",TEXT($B$1,"yyyy/mm/dd"),1),"")</f>
        <v>119612747.87</v>
      </c>
      <c r="L855">
        <f>IFERROR([1]!s_stm07_cs($A855,"W77745895",TEXT($B$1,"yyyy/mm/dd"),1),"")</f>
        <v>860729186.88</v>
      </c>
      <c r="M855">
        <f>IFERROR([1]!S_FA_EPS_basic2($A855,$B$1,"Cur=CNY"),"")</f>
        <v>0.2</v>
      </c>
      <c r="N855">
        <f>IFERROR([1]!s_fa_arturndays($A855,TEXT($B$1,"yyyy/mm/dd")),"")</f>
        <v>36.574599999999997</v>
      </c>
      <c r="O855" t="str">
        <f>IFERROR([1]!fa_apturndays($A855,TEXT($B$1,"yyyy/mm/dd")),"")</f>
        <v>Fetch...</v>
      </c>
      <c r="P855">
        <f>IFERROR([1]!s_fa_invturndays($A855,TEXT($B$1,"yyyy/mm/dd")),"")</f>
        <v>65.946100000000001</v>
      </c>
    </row>
    <row r="856" spans="1:16">
      <c r="A856" t="s">
        <v>869</v>
      </c>
      <c r="B856">
        <f>IFERROR([1]!s_stm07_is($A856,"W70156729",TEXT($B$1,"yyyy/mm/dd"),1),"")</f>
        <v>1103385388.78</v>
      </c>
      <c r="C856">
        <f>IFERROR([1]!s_stm07_is($A856,"W75682424",TEXT($B$1,"yyyy/mm/dd"),1),"")</f>
        <v>668464015</v>
      </c>
      <c r="D856">
        <f>IFERROR([1]!s_stm07_is($A856,"W76031679",TEXT($B$1,"yyyy/mm/dd"),1),"")</f>
        <v>9352762.3000000007</v>
      </c>
      <c r="E856">
        <f>IFERROR([1]!s_stm07_is($A856,"W70752487",TEXT($B$1,"yyyy/mm/dd"),1),"")</f>
        <v>58459244.049999997</v>
      </c>
      <c r="F856">
        <f>IFERROR([1]!s_stm07_is_103($A856,TEXT($B$1,"yyyy/mm/dd"),1),"")</f>
        <v>65170079.130000003</v>
      </c>
      <c r="G856">
        <f>IFERROR([1]!s_stm07_is_104($A856,TEXT($B$1,"yyyy/mm/dd"),1),"")</f>
        <v>21377437.359999999</v>
      </c>
      <c r="H856">
        <f>IFERROR([1]!s_stm07_is_105($A856,TEXT($B$1,"yyyy/mm/dd"),1),"")</f>
        <v>662221.03</v>
      </c>
      <c r="I856">
        <f>IFERROR([1]!s_stm07_is($A856,"W72946623",TEXT($B$1,"yyyy/mm/dd"),1),"")</f>
        <v>237835638.41999999</v>
      </c>
      <c r="J856">
        <f>IFERROR([1]!s_stm07_is($A856,"W30028333",TEXT($B$1,"yyyy/mm/dd"),1),"")</f>
        <v>204121976.25</v>
      </c>
      <c r="K856">
        <f>IFERROR([1]!s_stm07_cs($A856,"W77130581",TEXT($B$1,"yyyy/mm/dd"),1),"")</f>
        <v>-129697192.56999999</v>
      </c>
      <c r="L856">
        <f>IFERROR([1]!s_stm07_cs($A856,"W77745895",TEXT($B$1,"yyyy/mm/dd"),1),"")</f>
        <v>328120527.5</v>
      </c>
      <c r="M856">
        <f>IFERROR([1]!S_FA_EPS_basic2($A856,$B$1,"Cur=CNY"),"")</f>
        <v>1.1399999999999999</v>
      </c>
      <c r="N856">
        <f>IFERROR([1]!s_fa_arturndays($A856,TEXT($B$1,"yyyy/mm/dd")),"")</f>
        <v>244.7148</v>
      </c>
      <c r="O856" t="str">
        <f>IFERROR([1]!fa_apturndays($A856,TEXT($B$1,"yyyy/mm/dd")),"")</f>
        <v>Fetch...</v>
      </c>
      <c r="P856">
        <f>IFERROR([1]!s_fa_invturndays($A856,TEXT($B$1,"yyyy/mm/dd")),"")</f>
        <v>340.78</v>
      </c>
    </row>
    <row r="857" spans="1:16">
      <c r="A857" t="s">
        <v>870</v>
      </c>
      <c r="B857">
        <f>IFERROR([1]!s_stm07_is($A857,"W70156729",TEXT($B$1,"yyyy/mm/dd"),1),"")</f>
        <v>3510328565.3499999</v>
      </c>
      <c r="C857">
        <f>IFERROR([1]!s_stm07_is($A857,"W75682424",TEXT($B$1,"yyyy/mm/dd"),1),"")</f>
        <v>1487701973.97</v>
      </c>
      <c r="D857">
        <f>IFERROR([1]!s_stm07_is($A857,"W76031679",TEXT($B$1,"yyyy/mm/dd"),1),"")</f>
        <v>550419429.17999995</v>
      </c>
      <c r="E857">
        <f>IFERROR([1]!s_stm07_is($A857,"W70752487",TEXT($B$1,"yyyy/mm/dd"),1),"")</f>
        <v>192172852.31999999</v>
      </c>
      <c r="F857">
        <f>IFERROR([1]!s_stm07_is_103($A857,TEXT($B$1,"yyyy/mm/dd"),1),"")</f>
        <v>555033021.70000005</v>
      </c>
      <c r="G857">
        <f>IFERROR([1]!s_stm07_is_104($A857,TEXT($B$1,"yyyy/mm/dd"),1),"")</f>
        <v>14708398.42</v>
      </c>
      <c r="H857">
        <f>IFERROR([1]!s_stm07_is_105($A857,TEXT($B$1,"yyyy/mm/dd"),1),"")</f>
        <v>12119951.630000001</v>
      </c>
      <c r="I857">
        <f>IFERROR([1]!s_stm07_is($A857,"W72946623",TEXT($B$1,"yyyy/mm/dd"),1),"")</f>
        <v>671928185.03999996</v>
      </c>
      <c r="J857">
        <f>IFERROR([1]!s_stm07_is($A857,"W30028333",TEXT($B$1,"yyyy/mm/dd"),1),"")</f>
        <v>587843843.27999997</v>
      </c>
      <c r="K857">
        <f>IFERROR([1]!s_stm07_cs($A857,"W77130581",TEXT($B$1,"yyyy/mm/dd"),1),"")</f>
        <v>675179800.30999994</v>
      </c>
      <c r="L857">
        <f>IFERROR([1]!s_stm07_cs($A857,"W77745895",TEXT($B$1,"yyyy/mm/dd"),1),"")</f>
        <v>97094235.980000004</v>
      </c>
      <c r="M857">
        <f>IFERROR([1]!S_FA_EPS_basic2($A857,$B$1,"Cur=CNY"),"")</f>
        <v>6.47</v>
      </c>
      <c r="N857">
        <f>IFERROR([1]!s_fa_arturndays($A857,TEXT($B$1,"yyyy/mm/dd")),"")</f>
        <v>98.084599999999995</v>
      </c>
      <c r="O857" t="str">
        <f>IFERROR([1]!fa_apturndays($A857,TEXT($B$1,"yyyy/mm/dd")),"")</f>
        <v>Fetch...</v>
      </c>
      <c r="P857">
        <f>IFERROR([1]!s_fa_invturndays($A857,TEXT($B$1,"yyyy/mm/dd")),"")</f>
        <v>358.24459999999999</v>
      </c>
    </row>
    <row r="858" spans="1:16">
      <c r="A858" t="s">
        <v>871</v>
      </c>
      <c r="B858">
        <f>IFERROR([1]!s_stm07_is($A858,"W70156729",TEXT($B$1,"yyyy/mm/dd"),1),"")</f>
        <v>452138960.29000002</v>
      </c>
      <c r="C858">
        <f>IFERROR([1]!s_stm07_is($A858,"W75682424",TEXT($B$1,"yyyy/mm/dd"),1),"")</f>
        <v>236671282.31</v>
      </c>
      <c r="D858">
        <f>IFERROR([1]!s_stm07_is($A858,"W76031679",TEXT($B$1,"yyyy/mm/dd"),1),"")</f>
        <v>27473033.25</v>
      </c>
      <c r="E858">
        <f>IFERROR([1]!s_stm07_is($A858,"W70752487",TEXT($B$1,"yyyy/mm/dd"),1),"")</f>
        <v>60739690.649999999</v>
      </c>
      <c r="F858">
        <f>IFERROR([1]!s_stm07_is_103($A858,TEXT($B$1,"yyyy/mm/dd"),1),"")</f>
        <v>30714045.109999999</v>
      </c>
      <c r="G858">
        <f>IFERROR([1]!s_stm07_is_104($A858,TEXT($B$1,"yyyy/mm/dd"),1),"")</f>
        <v>14553643.59</v>
      </c>
      <c r="H858">
        <f>IFERROR([1]!s_stm07_is_105($A858,TEXT($B$1,"yyyy/mm/dd"),1),"")</f>
        <v>5011947.9800000004</v>
      </c>
      <c r="I858">
        <f>IFERROR([1]!s_stm07_is($A858,"W72946623",TEXT($B$1,"yyyy/mm/dd"),1),"")</f>
        <v>46424475.289999999</v>
      </c>
      <c r="J858">
        <f>IFERROR([1]!s_stm07_is($A858,"W30028333",TEXT($B$1,"yyyy/mm/dd"),1),"")</f>
        <v>53244418</v>
      </c>
      <c r="K858">
        <f>IFERROR([1]!s_stm07_cs($A858,"W77130581",TEXT($B$1,"yyyy/mm/dd"),1),"")</f>
        <v>140934765.83000001</v>
      </c>
      <c r="L858">
        <f>IFERROR([1]!s_stm07_cs($A858,"W77745895",TEXT($B$1,"yyyy/mm/dd"),1),"")</f>
        <v>7887705.5899999999</v>
      </c>
      <c r="M858">
        <f>IFERROR([1]!S_FA_EPS_basic2($A858,$B$1,"Cur=CNY"),"")</f>
        <v>0.76060000000000005</v>
      </c>
      <c r="N858">
        <f>IFERROR([1]!s_fa_arturndays($A858,TEXT($B$1,"yyyy/mm/dd")),"")</f>
        <v>534.83879999999999</v>
      </c>
      <c r="O858" t="str">
        <f>IFERROR([1]!fa_apturndays($A858,TEXT($B$1,"yyyy/mm/dd")),"")</f>
        <v>Fetch...</v>
      </c>
      <c r="P858">
        <f>IFERROR([1]!s_fa_invturndays($A858,TEXT($B$1,"yyyy/mm/dd")),"")</f>
        <v>235.43260000000001</v>
      </c>
    </row>
    <row r="859" spans="1:16">
      <c r="A859" t="s">
        <v>872</v>
      </c>
      <c r="B859">
        <f>IFERROR([1]!s_stm07_is($A859,"W70156729",TEXT($B$1,"yyyy/mm/dd"),1),"")</f>
        <v>948157533.04999995</v>
      </c>
      <c r="C859">
        <f>IFERROR([1]!s_stm07_is($A859,"W75682424",TEXT($B$1,"yyyy/mm/dd"),1),"")</f>
        <v>686384079.40999997</v>
      </c>
      <c r="D859">
        <f>IFERROR([1]!s_stm07_is($A859,"W76031679",TEXT($B$1,"yyyy/mm/dd"),1),"")</f>
        <v>12698489.26</v>
      </c>
      <c r="E859">
        <f>IFERROR([1]!s_stm07_is($A859,"W70752487",TEXT($B$1,"yyyy/mm/dd"),1),"")</f>
        <v>24678207.190000001</v>
      </c>
      <c r="F859">
        <f>IFERROR([1]!s_stm07_is_103($A859,TEXT($B$1,"yyyy/mm/dd"),1),"")</f>
        <v>80452642.609999999</v>
      </c>
      <c r="G859">
        <f>IFERROR([1]!s_stm07_is_104($A859,TEXT($B$1,"yyyy/mm/dd"),1),"")</f>
        <v>661224.41</v>
      </c>
      <c r="H859">
        <f>IFERROR([1]!s_stm07_is_105($A859,TEXT($B$1,"yyyy/mm/dd"),1),"")</f>
        <v>2626163.02</v>
      </c>
      <c r="I859">
        <f>IFERROR([1]!s_stm07_is($A859,"W72946623",TEXT($B$1,"yyyy/mm/dd"),1),"")</f>
        <v>178316973.09</v>
      </c>
      <c r="J859">
        <f>IFERROR([1]!s_stm07_is($A859,"W30028333",TEXT($B$1,"yyyy/mm/dd"),1),"")</f>
        <v>159191374.16</v>
      </c>
      <c r="K859">
        <f>IFERROR([1]!s_stm07_cs($A859,"W77130581",TEXT($B$1,"yyyy/mm/dd"),1),"")</f>
        <v>190231808.47</v>
      </c>
      <c r="L859">
        <f>IFERROR([1]!s_stm07_cs($A859,"W77745895",TEXT($B$1,"yyyy/mm/dd"),1),"")</f>
        <v>27488089.82</v>
      </c>
      <c r="M859">
        <f>IFERROR([1]!S_FA_EPS_basic2($A859,$B$1,"Cur=CNY"),"")</f>
        <v>1.5229999999999999</v>
      </c>
      <c r="N859">
        <f>IFERROR([1]!s_fa_arturndays($A859,TEXT($B$1,"yyyy/mm/dd")),"")</f>
        <v>89.126599999999996</v>
      </c>
      <c r="O859" t="str">
        <f>IFERROR([1]!fa_apturndays($A859,TEXT($B$1,"yyyy/mm/dd")),"")</f>
        <v>Fetch...</v>
      </c>
      <c r="P859">
        <f>IFERROR([1]!s_fa_invturndays($A859,TEXT($B$1,"yyyy/mm/dd")),"")</f>
        <v>151.547</v>
      </c>
    </row>
    <row r="860" spans="1:16">
      <c r="A860" t="s">
        <v>873</v>
      </c>
      <c r="B860">
        <f>IFERROR([1]!s_stm07_is($A860,"W70156729",TEXT($B$1,"yyyy/mm/dd"),1),"")</f>
        <v>405511824.37</v>
      </c>
      <c r="C860">
        <f>IFERROR([1]!s_stm07_is($A860,"W75682424",TEXT($B$1,"yyyy/mm/dd"),1),"")</f>
        <v>115382239.51000001</v>
      </c>
      <c r="D860">
        <f>IFERROR([1]!s_stm07_is($A860,"W76031679",TEXT($B$1,"yyyy/mm/dd"),1),"")</f>
        <v>55124934.649999999</v>
      </c>
      <c r="E860">
        <f>IFERROR([1]!s_stm07_is($A860,"W70752487",TEXT($B$1,"yyyy/mm/dd"),1),"")</f>
        <v>38434003.229999997</v>
      </c>
      <c r="F860">
        <f>IFERROR([1]!s_stm07_is_103($A860,TEXT($B$1,"yyyy/mm/dd"),1),"")</f>
        <v>50139544.07</v>
      </c>
      <c r="G860">
        <f>IFERROR([1]!s_stm07_is_104($A860,TEXT($B$1,"yyyy/mm/dd"),1),"")</f>
        <v>0</v>
      </c>
      <c r="H860">
        <f>IFERROR([1]!s_stm07_is_105($A860,TEXT($B$1,"yyyy/mm/dd"),1),"")</f>
        <v>27141988.449999999</v>
      </c>
      <c r="I860">
        <f>IFERROR([1]!s_stm07_is($A860,"W72946623",TEXT($B$1,"yyyy/mm/dd"),1),"")</f>
        <v>170213071.13</v>
      </c>
      <c r="J860">
        <f>IFERROR([1]!s_stm07_is($A860,"W30028333",TEXT($B$1,"yyyy/mm/dd"),1),"")</f>
        <v>148922422.99000001</v>
      </c>
      <c r="K860">
        <f>IFERROR([1]!s_stm07_cs($A860,"W77130581",TEXT($B$1,"yyyy/mm/dd"),1),"")</f>
        <v>135253403.58000001</v>
      </c>
      <c r="L860">
        <f>IFERROR([1]!s_stm07_cs($A860,"W77745895",TEXT($B$1,"yyyy/mm/dd"),1),"")</f>
        <v>15203334.6</v>
      </c>
      <c r="M860">
        <f>IFERROR([1]!S_FA_EPS_basic2($A860,$B$1,"Cur=CNY"),"")</f>
        <v>0.35</v>
      </c>
      <c r="N860">
        <f>IFERROR([1]!s_fa_arturndays($A860,TEXT($B$1,"yyyy/mm/dd")),"")</f>
        <v>41.270200000000003</v>
      </c>
      <c r="O860" t="str">
        <f>IFERROR([1]!fa_apturndays($A860,TEXT($B$1,"yyyy/mm/dd")),"")</f>
        <v>Fetch...</v>
      </c>
      <c r="P860">
        <f>IFERROR([1]!s_fa_invturndays($A860,TEXT($B$1,"yyyy/mm/dd")),"")</f>
        <v>384.77980000000002</v>
      </c>
    </row>
    <row r="861" spans="1:16">
      <c r="A861" t="s">
        <v>874</v>
      </c>
      <c r="B861">
        <f>IFERROR([1]!s_stm07_is($A861,"W70156729",TEXT($B$1,"yyyy/mm/dd"),1),"")</f>
        <v>9490739030.8799992</v>
      </c>
      <c r="C861">
        <f>IFERROR([1]!s_stm07_is($A861,"W75682424",TEXT($B$1,"yyyy/mm/dd"),1),"")</f>
        <v>5978527117.1099997</v>
      </c>
      <c r="D861">
        <f>IFERROR([1]!s_stm07_is($A861,"W76031679",TEXT($B$1,"yyyy/mm/dd"),1),"")</f>
        <v>1894923335.2</v>
      </c>
      <c r="E861">
        <f>IFERROR([1]!s_stm07_is($A861,"W70752487",TEXT($B$1,"yyyy/mm/dd"),1),"")</f>
        <v>314518831.83999997</v>
      </c>
      <c r="F861">
        <f>IFERROR([1]!s_stm07_is_103($A861,TEXT($B$1,"yyyy/mm/dd"),1),"")</f>
        <v>437808084.06999999</v>
      </c>
      <c r="G861">
        <f>IFERROR([1]!s_stm07_is_104($A861,TEXT($B$1,"yyyy/mm/dd"),1),"")</f>
        <v>6358596.8499999996</v>
      </c>
      <c r="H861">
        <f>IFERROR([1]!s_stm07_is_105($A861,TEXT($B$1,"yyyy/mm/dd"),1),"")</f>
        <v>8602560.6699999999</v>
      </c>
      <c r="I861">
        <f>IFERROR([1]!s_stm07_is($A861,"W72946623",TEXT($B$1,"yyyy/mm/dd"),1),"")</f>
        <v>819028901.30999994</v>
      </c>
      <c r="J861">
        <f>IFERROR([1]!s_stm07_is($A861,"W30028333",TEXT($B$1,"yyyy/mm/dd"),1),"")</f>
        <v>704594420.34000003</v>
      </c>
      <c r="K861">
        <f>IFERROR([1]!s_stm07_cs($A861,"W77130581",TEXT($B$1,"yyyy/mm/dd"),1),"")</f>
        <v>-35327162.060000002</v>
      </c>
      <c r="L861">
        <f>IFERROR([1]!s_stm07_cs($A861,"W77745895",TEXT($B$1,"yyyy/mm/dd"),1),"")</f>
        <v>47249953.840000004</v>
      </c>
      <c r="M861">
        <f>IFERROR([1]!S_FA_EPS_basic2($A861,$B$1,"Cur=CNY"),"")</f>
        <v>1.6981999999999999</v>
      </c>
      <c r="N861">
        <f>IFERROR([1]!s_fa_arturndays($A861,TEXT($B$1,"yyyy/mm/dd")),"")</f>
        <v>8.4252000000000002</v>
      </c>
      <c r="O861" t="str">
        <f>IFERROR([1]!fa_apturndays($A861,TEXT($B$1,"yyyy/mm/dd")),"")</f>
        <v>Fetch...</v>
      </c>
      <c r="P861">
        <f>IFERROR([1]!s_fa_invturndays($A861,TEXT($B$1,"yyyy/mm/dd")),"")</f>
        <v>97.402600000000007</v>
      </c>
    </row>
    <row r="862" spans="1:16">
      <c r="A862" t="s">
        <v>875</v>
      </c>
      <c r="B862">
        <f>IFERROR([1]!s_stm07_is($A862,"W70156729",TEXT($B$1,"yyyy/mm/dd"),1),"")</f>
        <v>1073398286.26</v>
      </c>
      <c r="C862">
        <f>IFERROR([1]!s_stm07_is($A862,"W75682424",TEXT($B$1,"yyyy/mm/dd"),1),"")</f>
        <v>520051946.10000002</v>
      </c>
      <c r="D862">
        <f>IFERROR([1]!s_stm07_is($A862,"W76031679",TEXT($B$1,"yyyy/mm/dd"),1),"")</f>
        <v>26381457.41</v>
      </c>
      <c r="E862">
        <f>IFERROR([1]!s_stm07_is($A862,"W70752487",TEXT($B$1,"yyyy/mm/dd"),1),"")</f>
        <v>75045819.969999999</v>
      </c>
      <c r="F862">
        <f>IFERROR([1]!s_stm07_is_103($A862,TEXT($B$1,"yyyy/mm/dd"),1),"")</f>
        <v>98834041.709999993</v>
      </c>
      <c r="G862">
        <f>IFERROR([1]!s_stm07_is_104($A862,TEXT($B$1,"yyyy/mm/dd"),1),"")</f>
        <v>3699165.68</v>
      </c>
      <c r="H862">
        <f>IFERROR([1]!s_stm07_is_105($A862,TEXT($B$1,"yyyy/mm/dd"),1),"")</f>
        <v>2720891.04</v>
      </c>
      <c r="I862">
        <f>IFERROR([1]!s_stm07_is($A862,"W72946623",TEXT($B$1,"yyyy/mm/dd"),1),"")</f>
        <v>315952155.49000001</v>
      </c>
      <c r="J862">
        <f>IFERROR([1]!s_stm07_is($A862,"W30028333",TEXT($B$1,"yyyy/mm/dd"),1),"")</f>
        <v>289087559.50999999</v>
      </c>
      <c r="K862">
        <f>IFERROR([1]!s_stm07_cs($A862,"W77130581",TEXT($B$1,"yyyy/mm/dd"),1),"")</f>
        <v>238988809.31</v>
      </c>
      <c r="L862">
        <f>IFERROR([1]!s_stm07_cs($A862,"W77745895",TEXT($B$1,"yyyy/mm/dd"),1),"")</f>
        <v>284832524.55000001</v>
      </c>
      <c r="M862">
        <f>IFERROR([1]!S_FA_EPS_basic2($A862,$B$1,"Cur=CNY"),"")</f>
        <v>0.66</v>
      </c>
      <c r="N862">
        <f>IFERROR([1]!s_fa_arturndays($A862,TEXT($B$1,"yyyy/mm/dd")),"")</f>
        <v>142.45009999999999</v>
      </c>
      <c r="O862" t="str">
        <f>IFERROR([1]!fa_apturndays($A862,TEXT($B$1,"yyyy/mm/dd")),"")</f>
        <v>Fetch...</v>
      </c>
      <c r="P862">
        <f>IFERROR([1]!s_fa_invturndays($A862,TEXT($B$1,"yyyy/mm/dd")),"")</f>
        <v>191.83629999999999</v>
      </c>
    </row>
    <row r="863" spans="1:16">
      <c r="A863" t="s">
        <v>876</v>
      </c>
      <c r="B863">
        <f>IFERROR([1]!s_stm07_is($A863,"W70156729",TEXT($B$1,"yyyy/mm/dd"),1),"")</f>
        <v>1443801975.6600001</v>
      </c>
      <c r="C863">
        <f>IFERROR([1]!s_stm07_is($A863,"W75682424",TEXT($B$1,"yyyy/mm/dd"),1),"")</f>
        <v>1090073691.4300001</v>
      </c>
      <c r="D863">
        <f>IFERROR([1]!s_stm07_is($A863,"W76031679",TEXT($B$1,"yyyy/mm/dd"),1),"")</f>
        <v>27386549.870000001</v>
      </c>
      <c r="E863">
        <f>IFERROR([1]!s_stm07_is($A863,"W70752487",TEXT($B$1,"yyyy/mm/dd"),1),"")</f>
        <v>69241682.140000001</v>
      </c>
      <c r="F863">
        <f>IFERROR([1]!s_stm07_is_103($A863,TEXT($B$1,"yyyy/mm/dd"),1),"")</f>
        <v>76800258.930000007</v>
      </c>
      <c r="G863">
        <f>IFERROR([1]!s_stm07_is_104($A863,TEXT($B$1,"yyyy/mm/dd"),1),"")</f>
        <v>3147323.95</v>
      </c>
      <c r="H863">
        <f>IFERROR([1]!s_stm07_is_105($A863,TEXT($B$1,"yyyy/mm/dd"),1),"")</f>
        <v>9280763.7400000002</v>
      </c>
      <c r="I863">
        <f>IFERROR([1]!s_stm07_is($A863,"W72946623",TEXT($B$1,"yyyy/mm/dd"),1),"")</f>
        <v>147426428.74000001</v>
      </c>
      <c r="J863">
        <f>IFERROR([1]!s_stm07_is($A863,"W30028333",TEXT($B$1,"yyyy/mm/dd"),1),"")</f>
        <v>131534409.73999999</v>
      </c>
      <c r="K863">
        <f>IFERROR([1]!s_stm07_cs($A863,"W77130581",TEXT($B$1,"yyyy/mm/dd"),1),"")</f>
        <v>112756378.48</v>
      </c>
      <c r="L863">
        <f>IFERROR([1]!s_stm07_cs($A863,"W77745895",TEXT($B$1,"yyyy/mm/dd"),1),"")</f>
        <v>295985574.95999998</v>
      </c>
      <c r="M863">
        <f>IFERROR([1]!S_FA_EPS_basic2($A863,$B$1,"Cur=CNY"),"")</f>
        <v>1.1299999999999999</v>
      </c>
      <c r="N863">
        <f>IFERROR([1]!s_fa_arturndays($A863,TEXT($B$1,"yyyy/mm/dd")),"")</f>
        <v>129.917</v>
      </c>
      <c r="O863" t="str">
        <f>IFERROR([1]!fa_apturndays($A863,TEXT($B$1,"yyyy/mm/dd")),"")</f>
        <v>Fetch...</v>
      </c>
      <c r="P863">
        <f>IFERROR([1]!s_fa_invturndays($A863,TEXT($B$1,"yyyy/mm/dd")),"")</f>
        <v>126.3202</v>
      </c>
    </row>
    <row r="864" spans="1:16">
      <c r="A864" t="s">
        <v>877</v>
      </c>
      <c r="B864">
        <f>IFERROR([1]!s_stm07_is($A864,"W70156729",TEXT($B$1,"yyyy/mm/dd"),1),"")</f>
        <v>1117310641.6900001</v>
      </c>
      <c r="C864">
        <f>IFERROR([1]!s_stm07_is($A864,"W75682424",TEXT($B$1,"yyyy/mm/dd"),1),"")</f>
        <v>702506468.88999999</v>
      </c>
      <c r="D864">
        <f>IFERROR([1]!s_stm07_is($A864,"W76031679",TEXT($B$1,"yyyy/mm/dd"),1),"")</f>
        <v>33849173.18</v>
      </c>
      <c r="E864">
        <f>IFERROR([1]!s_stm07_is($A864,"W70752487",TEXT($B$1,"yyyy/mm/dd"),1),"")</f>
        <v>107977251.18000001</v>
      </c>
      <c r="F864">
        <f>IFERROR([1]!s_stm07_is_103($A864,TEXT($B$1,"yyyy/mm/dd"),1),"")</f>
        <v>97819254.310000002</v>
      </c>
      <c r="G864">
        <f>IFERROR([1]!s_stm07_is_104($A864,TEXT($B$1,"yyyy/mm/dd"),1),"")</f>
        <v>237951.21</v>
      </c>
      <c r="H864">
        <f>IFERROR([1]!s_stm07_is_105($A864,TEXT($B$1,"yyyy/mm/dd"),1),"")</f>
        <v>2408688.27</v>
      </c>
      <c r="I864">
        <f>IFERROR([1]!s_stm07_is($A864,"W72946623",TEXT($B$1,"yyyy/mm/dd"),1),"")</f>
        <v>170852228.69</v>
      </c>
      <c r="J864">
        <f>IFERROR([1]!s_stm07_is($A864,"W30028333",TEXT($B$1,"yyyy/mm/dd"),1),"")</f>
        <v>154697258.81</v>
      </c>
      <c r="K864">
        <f>IFERROR([1]!s_stm07_cs($A864,"W77130581",TEXT($B$1,"yyyy/mm/dd"),1),"")</f>
        <v>181277041.25</v>
      </c>
      <c r="L864">
        <f>IFERROR([1]!s_stm07_cs($A864,"W77745895",TEXT($B$1,"yyyy/mm/dd"),1),"")</f>
        <v>317624472.87</v>
      </c>
      <c r="M864">
        <f>IFERROR([1]!S_FA_EPS_basic2($A864,$B$1,"Cur=CNY"),"")</f>
        <v>1.34</v>
      </c>
      <c r="N864">
        <f>IFERROR([1]!s_fa_arturndays($A864,TEXT($B$1,"yyyy/mm/dd")),"")</f>
        <v>96.706599999999995</v>
      </c>
      <c r="O864" t="str">
        <f>IFERROR([1]!fa_apturndays($A864,TEXT($B$1,"yyyy/mm/dd")),"")</f>
        <v>Fetch...</v>
      </c>
      <c r="P864">
        <f>IFERROR([1]!s_fa_invturndays($A864,TEXT($B$1,"yyyy/mm/dd")),"")</f>
        <v>100.2786</v>
      </c>
    </row>
    <row r="865" spans="1:16">
      <c r="A865" t="s">
        <v>878</v>
      </c>
      <c r="B865">
        <f>IFERROR([1]!s_stm07_is($A865,"W70156729",TEXT($B$1,"yyyy/mm/dd"),1),"")</f>
        <v>5148958998.5500002</v>
      </c>
      <c r="C865">
        <f>IFERROR([1]!s_stm07_is($A865,"W75682424",TEXT($B$1,"yyyy/mm/dd"),1),"")</f>
        <v>4349127437.5799999</v>
      </c>
      <c r="D865">
        <f>IFERROR([1]!s_stm07_is($A865,"W76031679",TEXT($B$1,"yyyy/mm/dd"),1),"")</f>
        <v>61887439.07</v>
      </c>
      <c r="E865">
        <f>IFERROR([1]!s_stm07_is($A865,"W70752487",TEXT($B$1,"yyyy/mm/dd"),1),"")</f>
        <v>161957701</v>
      </c>
      <c r="F865">
        <f>IFERROR([1]!s_stm07_is_103($A865,TEXT($B$1,"yyyy/mm/dd"),1),"")</f>
        <v>172043767.83000001</v>
      </c>
      <c r="G865">
        <f>IFERROR([1]!s_stm07_is_104($A865,TEXT($B$1,"yyyy/mm/dd"),1),"")</f>
        <v>12074839.4</v>
      </c>
      <c r="H865">
        <f>IFERROR([1]!s_stm07_is_105($A865,TEXT($B$1,"yyyy/mm/dd"),1),"")</f>
        <v>7174971.0300000003</v>
      </c>
      <c r="I865">
        <f>IFERROR([1]!s_stm07_is($A865,"W72946623",TEXT($B$1,"yyyy/mm/dd"),1),"")</f>
        <v>370833406.72000003</v>
      </c>
      <c r="J865">
        <f>IFERROR([1]!s_stm07_is($A865,"W30028333",TEXT($B$1,"yyyy/mm/dd"),1),"")</f>
        <v>293465254.38</v>
      </c>
      <c r="K865">
        <f>IFERROR([1]!s_stm07_cs($A865,"W77130581",TEXT($B$1,"yyyy/mm/dd"),1),"")</f>
        <v>611555196.05999994</v>
      </c>
      <c r="L865">
        <f>IFERROR([1]!s_stm07_cs($A865,"W77745895",TEXT($B$1,"yyyy/mm/dd"),1),"")</f>
        <v>334675264.94</v>
      </c>
      <c r="M865">
        <f>IFERROR([1]!S_FA_EPS_basic2($A865,$B$1,"Cur=CNY"),"")</f>
        <v>3.21</v>
      </c>
      <c r="N865">
        <f>IFERROR([1]!s_fa_arturndays($A865,TEXT($B$1,"yyyy/mm/dd")),"")</f>
        <v>97.613900000000001</v>
      </c>
      <c r="O865" t="str">
        <f>IFERROR([1]!fa_apturndays($A865,TEXT($B$1,"yyyy/mm/dd")),"")</f>
        <v>Fetch...</v>
      </c>
      <c r="P865">
        <f>IFERROR([1]!s_fa_invturndays($A865,TEXT($B$1,"yyyy/mm/dd")),"")</f>
        <v>67.604399999999998</v>
      </c>
    </row>
    <row r="866" spans="1:16">
      <c r="A866" t="s">
        <v>879</v>
      </c>
      <c r="B866">
        <f>IFERROR([1]!s_stm07_is($A866,"W70156729",TEXT($B$1,"yyyy/mm/dd"),1),"")</f>
        <v>2574102474.1100001</v>
      </c>
      <c r="C866">
        <f>IFERROR([1]!s_stm07_is($A866,"W75682424",TEXT($B$1,"yyyy/mm/dd"),1),"")</f>
        <v>1826668254.72</v>
      </c>
      <c r="D866">
        <f>IFERROR([1]!s_stm07_is($A866,"W76031679",TEXT($B$1,"yyyy/mm/dd"),1),"")</f>
        <v>228632702.22</v>
      </c>
      <c r="E866">
        <f>IFERROR([1]!s_stm07_is($A866,"W70752487",TEXT($B$1,"yyyy/mm/dd"),1),"")</f>
        <v>220650190.55000001</v>
      </c>
      <c r="F866">
        <f>IFERROR([1]!s_stm07_is_103($A866,TEXT($B$1,"yyyy/mm/dd"),1),"")</f>
        <v>228042711.11000001</v>
      </c>
      <c r="G866">
        <f>IFERROR([1]!s_stm07_is_104($A866,TEXT($B$1,"yyyy/mm/dd"),1),"")</f>
        <v>9970660.0199999996</v>
      </c>
      <c r="H866">
        <f>IFERROR([1]!s_stm07_is_105($A866,TEXT($B$1,"yyyy/mm/dd"),1),"")</f>
        <v>21525616.07</v>
      </c>
      <c r="I866">
        <f>IFERROR([1]!s_stm07_is($A866,"W72946623",TEXT($B$1,"yyyy/mm/dd"),1),"")</f>
        <v>117920627.59</v>
      </c>
      <c r="J866">
        <f>IFERROR([1]!s_stm07_is($A866,"W30028333",TEXT($B$1,"yyyy/mm/dd"),1),"")</f>
        <v>156813981.16</v>
      </c>
      <c r="K866">
        <f>IFERROR([1]!s_stm07_cs($A866,"W77130581",TEXT($B$1,"yyyy/mm/dd"),1),"")</f>
        <v>288180866.79000002</v>
      </c>
      <c r="L866">
        <f>IFERROR([1]!s_stm07_cs($A866,"W77745895",TEXT($B$1,"yyyy/mm/dd"),1),"")</f>
        <v>68418090.689999998</v>
      </c>
      <c r="M866">
        <f>IFERROR([1]!S_FA_EPS_basic2($A866,$B$1,"Cur=CNY"),"")</f>
        <v>0.39</v>
      </c>
      <c r="N866">
        <f>IFERROR([1]!s_fa_arturndays($A866,TEXT($B$1,"yyyy/mm/dd")),"")</f>
        <v>177.68129999999999</v>
      </c>
      <c r="O866" t="str">
        <f>IFERROR([1]!fa_apturndays($A866,TEXT($B$1,"yyyy/mm/dd")),"")</f>
        <v>Fetch...</v>
      </c>
      <c r="P866">
        <f>IFERROR([1]!s_fa_invturndays($A866,TEXT($B$1,"yyyy/mm/dd")),"")</f>
        <v>195.0797</v>
      </c>
    </row>
    <row r="867" spans="1:16">
      <c r="A867" t="s">
        <v>880</v>
      </c>
      <c r="B867">
        <f>IFERROR([1]!s_stm07_is($A867,"W70156729",TEXT($B$1,"yyyy/mm/dd"),1),"")</f>
        <v>5368631680.7799997</v>
      </c>
      <c r="C867">
        <f>IFERROR([1]!s_stm07_is($A867,"W75682424",TEXT($B$1,"yyyy/mm/dd"),1),"")</f>
        <v>3932536723.0599999</v>
      </c>
      <c r="D867">
        <f>IFERROR([1]!s_stm07_is($A867,"W76031679",TEXT($B$1,"yyyy/mm/dd"),1),"")</f>
        <v>125630641.55</v>
      </c>
      <c r="E867">
        <f>IFERROR([1]!s_stm07_is($A867,"W70752487",TEXT($B$1,"yyyy/mm/dd"),1),"")</f>
        <v>351714327.94</v>
      </c>
      <c r="F867">
        <f>IFERROR([1]!s_stm07_is_103($A867,TEXT($B$1,"yyyy/mm/dd"),1),"")</f>
        <v>178715928.65000001</v>
      </c>
      <c r="G867">
        <f>IFERROR([1]!s_stm07_is_104($A867,TEXT($B$1,"yyyy/mm/dd"),1),"")</f>
        <v>68716702.709999993</v>
      </c>
      <c r="H867">
        <f>IFERROR([1]!s_stm07_is_105($A867,TEXT($B$1,"yyyy/mm/dd"),1),"")</f>
        <v>5081729.62</v>
      </c>
      <c r="I867">
        <f>IFERROR([1]!s_stm07_is($A867,"W72946623",TEXT($B$1,"yyyy/mm/dd"),1),"")</f>
        <v>707731355.34000003</v>
      </c>
      <c r="J867">
        <f>IFERROR([1]!s_stm07_is($A867,"W30028333",TEXT($B$1,"yyyy/mm/dd"),1),"")</f>
        <v>465751823.61000001</v>
      </c>
      <c r="K867">
        <f>IFERROR([1]!s_stm07_cs($A867,"W77130581",TEXT($B$1,"yyyy/mm/dd"),1),"")</f>
        <v>601827751.14999998</v>
      </c>
      <c r="L867">
        <f>IFERROR([1]!s_stm07_cs($A867,"W77745895",TEXT($B$1,"yyyy/mm/dd"),1),"")</f>
        <v>692280211.74000001</v>
      </c>
      <c r="M867">
        <f>IFERROR([1]!S_FA_EPS_basic2($A867,$B$1,"Cur=CNY"),"")</f>
        <v>1.07</v>
      </c>
      <c r="N867">
        <f>IFERROR([1]!s_fa_arturndays($A867,TEXT($B$1,"yyyy/mm/dd")),"")</f>
        <v>64.986599999999996</v>
      </c>
      <c r="O867" t="str">
        <f>IFERROR([1]!fa_apturndays($A867,TEXT($B$1,"yyyy/mm/dd")),"")</f>
        <v>Fetch...</v>
      </c>
      <c r="P867">
        <f>IFERROR([1]!s_fa_invturndays($A867,TEXT($B$1,"yyyy/mm/dd")),"")</f>
        <v>54.917400000000001</v>
      </c>
    </row>
    <row r="868" spans="1:16">
      <c r="A868" t="s">
        <v>881</v>
      </c>
      <c r="B868">
        <f>IFERROR([1]!s_stm07_is($A868,"W70156729",TEXT($B$1,"yyyy/mm/dd"),1),"")</f>
        <v>923112220.08000004</v>
      </c>
      <c r="C868">
        <f>IFERROR([1]!s_stm07_is($A868,"W75682424",TEXT($B$1,"yyyy/mm/dd"),1),"")</f>
        <v>685494239.40999997</v>
      </c>
      <c r="D868">
        <f>IFERROR([1]!s_stm07_is($A868,"W76031679",TEXT($B$1,"yyyy/mm/dd"),1),"")</f>
        <v>10163056.18</v>
      </c>
      <c r="E868">
        <f>IFERROR([1]!s_stm07_is($A868,"W70752487",TEXT($B$1,"yyyy/mm/dd"),1),"")</f>
        <v>44936420.189999998</v>
      </c>
      <c r="F868">
        <f>IFERROR([1]!s_stm07_is_103($A868,TEXT($B$1,"yyyy/mm/dd"),1),"")</f>
        <v>52778344.560000002</v>
      </c>
      <c r="G868">
        <f>IFERROR([1]!s_stm07_is_104($A868,TEXT($B$1,"yyyy/mm/dd"),1),"")</f>
        <v>581425.31999999995</v>
      </c>
      <c r="H868">
        <f>IFERROR([1]!s_stm07_is_105($A868,TEXT($B$1,"yyyy/mm/dd"),1),"")</f>
        <v>18608936.940000001</v>
      </c>
      <c r="I868">
        <f>IFERROR([1]!s_stm07_is($A868,"W72946623",TEXT($B$1,"yyyy/mm/dd"),1),"")</f>
        <v>137265057.12</v>
      </c>
      <c r="J868">
        <f>IFERROR([1]!s_stm07_is($A868,"W30028333",TEXT($B$1,"yyyy/mm/dd"),1),"")</f>
        <v>126124188.58</v>
      </c>
      <c r="K868">
        <f>IFERROR([1]!s_stm07_cs($A868,"W77130581",TEXT($B$1,"yyyy/mm/dd"),1),"")</f>
        <v>179749957.44999999</v>
      </c>
      <c r="L868">
        <f>IFERROR([1]!s_stm07_cs($A868,"W77745895",TEXT($B$1,"yyyy/mm/dd"),1),"")</f>
        <v>119758907.95</v>
      </c>
      <c r="M868">
        <f>IFERROR([1]!S_FA_EPS_basic2($A868,$B$1,"Cur=CNY"),"")</f>
        <v>0.6</v>
      </c>
      <c r="N868">
        <f>IFERROR([1]!s_fa_arturndays($A868,TEXT($B$1,"yyyy/mm/dd")),"")</f>
        <v>120.1121</v>
      </c>
      <c r="O868" t="str">
        <f>IFERROR([1]!fa_apturndays($A868,TEXT($B$1,"yyyy/mm/dd")),"")</f>
        <v>Fetch...</v>
      </c>
      <c r="P868">
        <f>IFERROR([1]!s_fa_invturndays($A868,TEXT($B$1,"yyyy/mm/dd")),"")</f>
        <v>84.035600000000002</v>
      </c>
    </row>
    <row r="869" spans="1:16">
      <c r="A869" t="s">
        <v>882</v>
      </c>
      <c r="B869">
        <f>IFERROR([1]!s_stm07_is($A869,"W70156729",TEXT($B$1,"yyyy/mm/dd"),1),"")</f>
        <v>75358958001.860001</v>
      </c>
      <c r="C869">
        <f>IFERROR([1]!s_stm07_is($A869,"W75682424",TEXT($B$1,"yyyy/mm/dd"),1),"")</f>
        <v>68984052885.869995</v>
      </c>
      <c r="D869">
        <f>IFERROR([1]!s_stm07_is($A869,"W76031679",TEXT($B$1,"yyyy/mm/dd"),1),"")</f>
        <v>109381761.55</v>
      </c>
      <c r="E869">
        <f>IFERROR([1]!s_stm07_is($A869,"W70752487",TEXT($B$1,"yyyy/mm/dd"),1),"")</f>
        <v>1208099129.3299999</v>
      </c>
      <c r="F869">
        <f>IFERROR([1]!s_stm07_is_103($A869,TEXT($B$1,"yyyy/mm/dd"),1),"")</f>
        <v>1158232945.8199999</v>
      </c>
      <c r="G869">
        <f>IFERROR([1]!s_stm07_is_104($A869,TEXT($B$1,"yyyy/mm/dd"),1),"")</f>
        <v>203105691.78</v>
      </c>
      <c r="H869">
        <f>IFERROR([1]!s_stm07_is_105($A869,TEXT($B$1,"yyyy/mm/dd"),1),"")</f>
        <v>229032271.74000001</v>
      </c>
      <c r="I869">
        <f>IFERROR([1]!s_stm07_is($A869,"W72946623",TEXT($B$1,"yyyy/mm/dd"),1),"")</f>
        <v>4147589514.7800002</v>
      </c>
      <c r="J869">
        <f>IFERROR([1]!s_stm07_is($A869,"W30028333",TEXT($B$1,"yyyy/mm/dd"),1),"")</f>
        <v>3432289851.96</v>
      </c>
      <c r="K869">
        <f>IFERROR([1]!s_stm07_cs($A869,"W77130581",TEXT($B$1,"yyyy/mm/dd"),1),"")</f>
        <v>-2542177536.8699999</v>
      </c>
      <c r="L869">
        <f>IFERROR([1]!s_stm07_cs($A869,"W77745895",TEXT($B$1,"yyyy/mm/dd"),1),"")</f>
        <v>1825659532.3499999</v>
      </c>
      <c r="M869">
        <f>IFERROR([1]!S_FA_EPS_basic2($A869,$B$1,"Cur=CNY"),"")</f>
        <v>1.2845</v>
      </c>
      <c r="N869">
        <f>IFERROR([1]!s_fa_arturndays($A869,TEXT($B$1,"yyyy/mm/dd")),"")</f>
        <v>55.879800000000003</v>
      </c>
      <c r="O869" t="str">
        <f>IFERROR([1]!fa_apturndays($A869,TEXT($B$1,"yyyy/mm/dd")),"")</f>
        <v>Fetch...</v>
      </c>
      <c r="P869">
        <f>IFERROR([1]!s_fa_invturndays($A869,TEXT($B$1,"yyyy/mm/dd")),"")</f>
        <v>98.392899999999997</v>
      </c>
    </row>
    <row r="870" spans="1:16">
      <c r="A870" t="s">
        <v>883</v>
      </c>
      <c r="B870">
        <f>IFERROR([1]!s_stm07_is($A870,"W70156729",TEXT($B$1,"yyyy/mm/dd"),1),"")</f>
        <v>173964000000</v>
      </c>
      <c r="C870">
        <f>IFERROR([1]!s_stm07_is($A870,"W75682424",TEXT($B$1,"yyyy/mm/dd"),1),"")</f>
        <v>0</v>
      </c>
      <c r="D870">
        <f>IFERROR([1]!s_stm07_is($A870,"W76031679",TEXT($B$1,"yyyy/mm/dd"),1),"")</f>
        <v>0</v>
      </c>
      <c r="E870">
        <f>IFERROR([1]!s_stm07_is($A870,"W70752487",TEXT($B$1,"yyyy/mm/dd"),1),"")</f>
        <v>49582000000</v>
      </c>
      <c r="F870">
        <f>IFERROR([1]!s_stm07_is_103($A870,TEXT($B$1,"yyyy/mm/dd"),1),"")</f>
        <v>0</v>
      </c>
      <c r="G870">
        <f>IFERROR([1]!s_stm07_is_104($A870,TEXT($B$1,"yyyy/mm/dd"),1),"")</f>
        <v>0</v>
      </c>
      <c r="H870">
        <f>IFERROR([1]!s_stm07_is_105($A870,TEXT($B$1,"yyyy/mm/dd"),1),"")</f>
        <v>0</v>
      </c>
      <c r="I870">
        <f>IFERROR([1]!s_stm07_is($A870,"W72946623",TEXT($B$1,"yyyy/mm/dd"),1),"")</f>
        <v>53374000000</v>
      </c>
      <c r="J870">
        <f>IFERROR([1]!s_stm07_is($A870,"W30028333",TEXT($B$1,"yyyy/mm/dd"),1),"")</f>
        <v>50017000000</v>
      </c>
      <c r="K870">
        <f>IFERROR([1]!s_stm07_cs($A870,"W77130581",TEXT($B$1,"yyyy/mm/dd"),1),"")</f>
        <v>375836000000</v>
      </c>
      <c r="L870">
        <f>IFERROR([1]!s_stm07_cs($A870,"W77745895",TEXT($B$1,"yyyy/mm/dd"),1),"")</f>
        <v>20899000000</v>
      </c>
      <c r="M870">
        <f>IFERROR([1]!S_FA_EPS_basic2($A870,$B$1,"Cur=CNY"),"")</f>
        <v>1.52</v>
      </c>
      <c r="N870">
        <f>IFERROR([1]!s_fa_arturndays($A870,TEXT($B$1,"yyyy/mm/dd")),"")</f>
        <v>0</v>
      </c>
      <c r="O870" t="str">
        <f>IFERROR([1]!fa_apturndays($A870,TEXT($B$1,"yyyy/mm/dd")),"")</f>
        <v>Fetch...</v>
      </c>
      <c r="P870">
        <f>IFERROR([1]!s_fa_invturndays($A870,TEXT($B$1,"yyyy/mm/dd")),"")</f>
        <v>0</v>
      </c>
    </row>
    <row r="871" spans="1:16">
      <c r="A871" t="s">
        <v>884</v>
      </c>
      <c r="B871">
        <f>IFERROR([1]!s_stm07_is($A871,"W70156729",TEXT($B$1,"yyyy/mm/dd"),1),"")</f>
        <v>7955002081.3500004</v>
      </c>
      <c r="C871">
        <f>IFERROR([1]!s_stm07_is($A871,"W75682424",TEXT($B$1,"yyyy/mm/dd"),1),"")</f>
        <v>5940772752.6499996</v>
      </c>
      <c r="D871">
        <f>IFERROR([1]!s_stm07_is($A871,"W76031679",TEXT($B$1,"yyyy/mm/dd"),1),"")</f>
        <v>38887598.119999997</v>
      </c>
      <c r="E871">
        <f>IFERROR([1]!s_stm07_is($A871,"W70752487",TEXT($B$1,"yyyy/mm/dd"),1),"")</f>
        <v>413211731.41000003</v>
      </c>
      <c r="F871">
        <f>IFERROR([1]!s_stm07_is_103($A871,TEXT($B$1,"yyyy/mm/dd"),1),"")</f>
        <v>102449393.93000001</v>
      </c>
      <c r="G871">
        <f>IFERROR([1]!s_stm07_is_104($A871,TEXT($B$1,"yyyy/mm/dd"),1),"")</f>
        <v>95765240.189999998</v>
      </c>
      <c r="H871">
        <f>IFERROR([1]!s_stm07_is_105($A871,TEXT($B$1,"yyyy/mm/dd"),1),"")</f>
        <v>48977140.899999999</v>
      </c>
      <c r="I871">
        <f>IFERROR([1]!s_stm07_is($A871,"W72946623",TEXT($B$1,"yyyy/mm/dd"),1),"")</f>
        <v>1976230388.23</v>
      </c>
      <c r="J871">
        <f>IFERROR([1]!s_stm07_is($A871,"W30028333",TEXT($B$1,"yyyy/mm/dd"),1),"")</f>
        <v>1468348737.3800001</v>
      </c>
      <c r="K871">
        <f>IFERROR([1]!s_stm07_cs($A871,"W77130581",TEXT($B$1,"yyyy/mm/dd"),1),"")</f>
        <v>3074788371.6799998</v>
      </c>
      <c r="L871">
        <f>IFERROR([1]!s_stm07_cs($A871,"W77745895",TEXT($B$1,"yyyy/mm/dd"),1),"")</f>
        <v>737422743.94000006</v>
      </c>
      <c r="M871">
        <f>IFERROR([1]!S_FA_EPS_basic2($A871,$B$1,"Cur=CNY"),"")</f>
        <v>0.62</v>
      </c>
      <c r="N871">
        <f>IFERROR([1]!s_fa_arturndays($A871,TEXT($B$1,"yyyy/mm/dd")),"")</f>
        <v>47.260199999999998</v>
      </c>
      <c r="O871" t="str">
        <f>IFERROR([1]!fa_apturndays($A871,TEXT($B$1,"yyyy/mm/dd")),"")</f>
        <v>Fetch...</v>
      </c>
      <c r="P871">
        <f>IFERROR([1]!s_fa_invturndays($A871,TEXT($B$1,"yyyy/mm/dd")),"")</f>
        <v>6.3792</v>
      </c>
    </row>
    <row r="872" spans="1:16">
      <c r="A872" t="s">
        <v>885</v>
      </c>
      <c r="B872">
        <f>IFERROR([1]!s_stm07_is($A872,"W70156729",TEXT($B$1,"yyyy/mm/dd"),1),"")</f>
        <v>8858062241.7199993</v>
      </c>
      <c r="C872">
        <f>IFERROR([1]!s_stm07_is($A872,"W75682424",TEXT($B$1,"yyyy/mm/dd"),1),"")</f>
        <v>8957606422.9400005</v>
      </c>
      <c r="D872">
        <f>IFERROR([1]!s_stm07_is($A872,"W76031679",TEXT($B$1,"yyyy/mm/dd"),1),"")</f>
        <v>363862394.82999998</v>
      </c>
      <c r="E872">
        <f>IFERROR([1]!s_stm07_is($A872,"W70752487",TEXT($B$1,"yyyy/mm/dd"),1),"")</f>
        <v>309146565.39999998</v>
      </c>
      <c r="F872">
        <f>IFERROR([1]!s_stm07_is_103($A872,TEXT($B$1,"yyyy/mm/dd"),1),"")</f>
        <v>371789439.61000001</v>
      </c>
      <c r="G872">
        <f>IFERROR([1]!s_stm07_is_104($A872,TEXT($B$1,"yyyy/mm/dd"),1),"")</f>
        <v>8477927.7100000009</v>
      </c>
      <c r="H872">
        <f>IFERROR([1]!s_stm07_is_105($A872,TEXT($B$1,"yyyy/mm/dd"),1),"")</f>
        <v>31458504.510000002</v>
      </c>
      <c r="I872">
        <f>IFERROR([1]!s_stm07_is($A872,"W72946623",TEXT($B$1,"yyyy/mm/dd"),1),"")</f>
        <v>-482964343.89999998</v>
      </c>
      <c r="J872">
        <f>IFERROR([1]!s_stm07_is($A872,"W30028333",TEXT($B$1,"yyyy/mm/dd"),1),"")</f>
        <v>-479572267.08999997</v>
      </c>
      <c r="K872">
        <f>IFERROR([1]!s_stm07_cs($A872,"W77130581",TEXT($B$1,"yyyy/mm/dd"),1),"")</f>
        <v>-199183522.38999999</v>
      </c>
      <c r="L872">
        <f>IFERROR([1]!s_stm07_cs($A872,"W77745895",TEXT($B$1,"yyyy/mm/dd"),1),"")</f>
        <v>782010661.55999994</v>
      </c>
      <c r="M872">
        <f>IFERROR([1]!S_FA_EPS_basic2($A872,$B$1,"Cur=CNY"),"")</f>
        <v>-0.23980000000000001</v>
      </c>
      <c r="N872">
        <f>IFERROR([1]!s_fa_arturndays($A872,TEXT($B$1,"yyyy/mm/dd")),"")</f>
        <v>122.8082</v>
      </c>
      <c r="O872" t="str">
        <f>IFERROR([1]!fa_apturndays($A872,TEXT($B$1,"yyyy/mm/dd")),"")</f>
        <v>Fetch...</v>
      </c>
      <c r="P872">
        <f>IFERROR([1]!s_fa_invturndays($A872,TEXT($B$1,"yyyy/mm/dd")),"")</f>
        <v>55.0501</v>
      </c>
    </row>
    <row r="873" spans="1:16">
      <c r="A873" t="s">
        <v>886</v>
      </c>
      <c r="B873">
        <f>IFERROR([1]!s_stm07_is($A873,"W70156729",TEXT($B$1,"yyyy/mm/dd"),1),"")</f>
        <v>3770059098</v>
      </c>
      <c r="C873">
        <f>IFERROR([1]!s_stm07_is($A873,"W75682424",TEXT($B$1,"yyyy/mm/dd"),1),"")</f>
        <v>1593924184</v>
      </c>
      <c r="D873">
        <f>IFERROR([1]!s_stm07_is($A873,"W76031679",TEXT($B$1,"yyyy/mm/dd"),1),"")</f>
        <v>85392858</v>
      </c>
      <c r="E873">
        <f>IFERROR([1]!s_stm07_is($A873,"W70752487",TEXT($B$1,"yyyy/mm/dd"),1),"")</f>
        <v>127860903</v>
      </c>
      <c r="F873">
        <f>IFERROR([1]!s_stm07_is_103($A873,TEXT($B$1,"yyyy/mm/dd"),1),"")</f>
        <v>0</v>
      </c>
      <c r="G873">
        <f>IFERROR([1]!s_stm07_is_104($A873,TEXT($B$1,"yyyy/mm/dd"),1),"")</f>
        <v>23106461</v>
      </c>
      <c r="H873">
        <f>IFERROR([1]!s_stm07_is_105($A873,TEXT($B$1,"yyyy/mm/dd"),1),"")</f>
        <v>34199046</v>
      </c>
      <c r="I873">
        <f>IFERROR([1]!s_stm07_is($A873,"W72946623",TEXT($B$1,"yyyy/mm/dd"),1),"")</f>
        <v>1605202012</v>
      </c>
      <c r="J873">
        <f>IFERROR([1]!s_stm07_is($A873,"W30028333",TEXT($B$1,"yyyy/mm/dd"),1),"")</f>
        <v>1202295738</v>
      </c>
      <c r="K873">
        <f>IFERROR([1]!s_stm07_cs($A873,"W77130581",TEXT($B$1,"yyyy/mm/dd"),1),"")</f>
        <v>1575080047</v>
      </c>
      <c r="L873">
        <f>IFERROR([1]!s_stm07_cs($A873,"W77745895",TEXT($B$1,"yyyy/mm/dd"),1),"")</f>
        <v>76287509</v>
      </c>
      <c r="M873">
        <f>IFERROR([1]!S_FA_EPS_basic2($A873,$B$1,"Cur=CNY"),"")</f>
        <v>1.19</v>
      </c>
      <c r="N873">
        <f>IFERROR([1]!s_fa_arturndays($A873,TEXT($B$1,"yyyy/mm/dd")),"")</f>
        <v>20.6629</v>
      </c>
      <c r="O873" t="str">
        <f>IFERROR([1]!fa_apturndays($A873,TEXT($B$1,"yyyy/mm/dd")),"")</f>
        <v>Fetch...</v>
      </c>
      <c r="P873">
        <f>IFERROR([1]!s_fa_invturndays($A873,TEXT($B$1,"yyyy/mm/dd")),"")</f>
        <v>6.6013999999999999</v>
      </c>
    </row>
    <row r="874" spans="1:16">
      <c r="A874" t="s">
        <v>887</v>
      </c>
      <c r="B874">
        <f>IFERROR([1]!s_stm07_is($A874,"W70156729",TEXT($B$1,"yyyy/mm/dd"),1),"")</f>
        <v>18885592685.09</v>
      </c>
      <c r="C874">
        <f>IFERROR([1]!s_stm07_is($A874,"W75682424",TEXT($B$1,"yyyy/mm/dd"),1),"")</f>
        <v>11958741943.99</v>
      </c>
      <c r="D874">
        <f>IFERROR([1]!s_stm07_is($A874,"W76031679",TEXT($B$1,"yyyy/mm/dd"),1),"")</f>
        <v>51737397.5</v>
      </c>
      <c r="E874">
        <f>IFERROR([1]!s_stm07_is($A874,"W70752487",TEXT($B$1,"yyyy/mm/dd"),1),"")</f>
        <v>1472861821.6400001</v>
      </c>
      <c r="F874">
        <f>IFERROR([1]!s_stm07_is_103($A874,TEXT($B$1,"yyyy/mm/dd"),1),"")</f>
        <v>211987872.41999999</v>
      </c>
      <c r="G874">
        <f>IFERROR([1]!s_stm07_is_104($A874,TEXT($B$1,"yyyy/mm/dd"),1),"")</f>
        <v>1424086067.6700001</v>
      </c>
      <c r="H874">
        <f>IFERROR([1]!s_stm07_is_105($A874,TEXT($B$1,"yyyy/mm/dd"),1),"")</f>
        <v>62330339.810000002</v>
      </c>
      <c r="I874">
        <f>IFERROR([1]!s_stm07_is($A874,"W72946623",TEXT($B$1,"yyyy/mm/dd"),1),"")</f>
        <v>2936298518.0500002</v>
      </c>
      <c r="J874">
        <f>IFERROR([1]!s_stm07_is($A874,"W30028333",TEXT($B$1,"yyyy/mm/dd"),1),"")</f>
        <v>1771876566.48</v>
      </c>
      <c r="K874">
        <f>IFERROR([1]!s_stm07_cs($A874,"W77130581",TEXT($B$1,"yyyy/mm/dd"),1),"")</f>
        <v>3761575610.48</v>
      </c>
      <c r="L874">
        <f>IFERROR([1]!s_stm07_cs($A874,"W77745895",TEXT($B$1,"yyyy/mm/dd"),1),"")</f>
        <v>2759827071.6700001</v>
      </c>
      <c r="M874">
        <f>IFERROR([1]!S_FA_EPS_basic2($A874,$B$1,"Cur=CNY"),"")</f>
        <v>0.2414</v>
      </c>
      <c r="N874">
        <f>IFERROR([1]!s_fa_arturndays($A874,TEXT($B$1,"yyyy/mm/dd")),"")</f>
        <v>300.65140000000002</v>
      </c>
      <c r="O874" t="str">
        <f>IFERROR([1]!fa_apturndays($A874,TEXT($B$1,"yyyy/mm/dd")),"")</f>
        <v>Fetch...</v>
      </c>
      <c r="P874">
        <f>IFERROR([1]!s_fa_invturndays($A874,TEXT($B$1,"yyyy/mm/dd")),"")</f>
        <v>185.8544</v>
      </c>
    </row>
    <row r="875" spans="1:16">
      <c r="A875" t="s">
        <v>888</v>
      </c>
      <c r="B875">
        <f>IFERROR([1]!s_stm07_is($A875,"W70156729",TEXT($B$1,"yyyy/mm/dd"),1),"")</f>
        <v>13346192164.120001</v>
      </c>
      <c r="C875">
        <f>IFERROR([1]!s_stm07_is($A875,"W75682424",TEXT($B$1,"yyyy/mm/dd"),1),"")</f>
        <v>9674078511.8400002</v>
      </c>
      <c r="D875">
        <f>IFERROR([1]!s_stm07_is($A875,"W76031679",TEXT($B$1,"yyyy/mm/dd"),1),"")</f>
        <v>0</v>
      </c>
      <c r="E875">
        <f>IFERROR([1]!s_stm07_is($A875,"W70752487",TEXT($B$1,"yyyy/mm/dd"),1),"")</f>
        <v>739932523.35000002</v>
      </c>
      <c r="F875">
        <f>IFERROR([1]!s_stm07_is_103($A875,TEXT($B$1,"yyyy/mm/dd"),1),"")</f>
        <v>18271933.719999999</v>
      </c>
      <c r="G875">
        <f>IFERROR([1]!s_stm07_is_104($A875,TEXT($B$1,"yyyy/mm/dd"),1),"")</f>
        <v>672039123.80999994</v>
      </c>
      <c r="H875">
        <f>IFERROR([1]!s_stm07_is_105($A875,TEXT($B$1,"yyyy/mm/dd"),1),"")</f>
        <v>261708024.74000001</v>
      </c>
      <c r="I875">
        <f>IFERROR([1]!s_stm07_is($A875,"W72946623",TEXT($B$1,"yyyy/mm/dd"),1),"")</f>
        <v>3019986074.4400001</v>
      </c>
      <c r="J875">
        <f>IFERROR([1]!s_stm07_is($A875,"W30028333",TEXT($B$1,"yyyy/mm/dd"),1),"")</f>
        <v>2116775136.25</v>
      </c>
      <c r="K875">
        <f>IFERROR([1]!s_stm07_cs($A875,"W77130581",TEXT($B$1,"yyyy/mm/dd"),1),"")</f>
        <v>5981731896.4399996</v>
      </c>
      <c r="L875">
        <f>IFERROR([1]!s_stm07_cs($A875,"W77745895",TEXT($B$1,"yyyy/mm/dd"),1),"")</f>
        <v>1306646770.05</v>
      </c>
      <c r="M875">
        <f>IFERROR([1]!S_FA_EPS_basic2($A875,$B$1,"Cur=CNY"),"")</f>
        <v>0.85</v>
      </c>
      <c r="N875">
        <f>IFERROR([1]!s_fa_arturndays($A875,TEXT($B$1,"yyyy/mm/dd")),"")</f>
        <v>64.088899999999995</v>
      </c>
      <c r="O875" t="str">
        <f>IFERROR([1]!fa_apturndays($A875,TEXT($B$1,"yyyy/mm/dd")),"")</f>
        <v>Fetch...</v>
      </c>
      <c r="P875">
        <f>IFERROR([1]!s_fa_invturndays($A875,TEXT($B$1,"yyyy/mm/dd")),"")</f>
        <v>1.5689</v>
      </c>
    </row>
    <row r="876" spans="1:16">
      <c r="A876" t="s">
        <v>889</v>
      </c>
      <c r="B876">
        <f>IFERROR([1]!s_stm07_is($A876,"W70156729",TEXT($B$1,"yyyy/mm/dd"),1),"")</f>
        <v>66357524000.639999</v>
      </c>
      <c r="C876">
        <f>IFERROR([1]!s_stm07_is($A876,"W75682424",TEXT($B$1,"yyyy/mm/dd"),1),"")</f>
        <v>59946775960.099998</v>
      </c>
      <c r="D876">
        <f>IFERROR([1]!s_stm07_is($A876,"W76031679",TEXT($B$1,"yyyy/mm/dd"),1),"")</f>
        <v>222040165.80000001</v>
      </c>
      <c r="E876">
        <f>IFERROR([1]!s_stm07_is($A876,"W70752487",TEXT($B$1,"yyyy/mm/dd"),1),"")</f>
        <v>1367236521.29</v>
      </c>
      <c r="F876">
        <f>IFERROR([1]!s_stm07_is_103($A876,TEXT($B$1,"yyyy/mm/dd"),1),"")</f>
        <v>941887634.88999999</v>
      </c>
      <c r="G876">
        <f>IFERROR([1]!s_stm07_is_104($A876,TEXT($B$1,"yyyy/mm/dd"),1),"")</f>
        <v>1728720296.1900001</v>
      </c>
      <c r="H876">
        <f>IFERROR([1]!s_stm07_is_105($A876,TEXT($B$1,"yyyy/mm/dd"),1),"")</f>
        <v>75038436.599999994</v>
      </c>
      <c r="I876">
        <f>IFERROR([1]!s_stm07_is($A876,"W72946623",TEXT($B$1,"yyyy/mm/dd"),1),"")</f>
        <v>490435929.20999998</v>
      </c>
      <c r="J876">
        <f>IFERROR([1]!s_stm07_is($A876,"W30028333",TEXT($B$1,"yyyy/mm/dd"),1),"")</f>
        <v>373622495.08999997</v>
      </c>
      <c r="K876">
        <f>IFERROR([1]!s_stm07_cs($A876,"W77130581",TEXT($B$1,"yyyy/mm/dd"),1),"")</f>
        <v>2570985391.52</v>
      </c>
      <c r="L876">
        <f>IFERROR([1]!s_stm07_cs($A876,"W77745895",TEXT($B$1,"yyyy/mm/dd"),1),"")</f>
        <v>1622114632.1800001</v>
      </c>
      <c r="M876">
        <f>IFERROR([1]!S_FA_EPS_basic2($A876,$B$1,"Cur=CNY"),"")</f>
        <v>8.3000000000000001E-3</v>
      </c>
      <c r="N876">
        <f>IFERROR([1]!s_fa_arturndays($A876,TEXT($B$1,"yyyy/mm/dd")),"")</f>
        <v>21.684699999999999</v>
      </c>
      <c r="O876" t="str">
        <f>IFERROR([1]!fa_apturndays($A876,TEXT($B$1,"yyyy/mm/dd")),"")</f>
        <v>Fetch...</v>
      </c>
      <c r="P876">
        <f>IFERROR([1]!s_fa_invturndays($A876,TEXT($B$1,"yyyy/mm/dd")),"")</f>
        <v>86.684299999999993</v>
      </c>
    </row>
    <row r="877" spans="1:16">
      <c r="A877" t="s">
        <v>890</v>
      </c>
      <c r="B877">
        <f>IFERROR([1]!s_stm07_is($A877,"W70156729",TEXT($B$1,"yyyy/mm/dd"),1),"")</f>
        <v>229288057955</v>
      </c>
      <c r="C877">
        <f>IFERROR([1]!s_stm07_is($A877,"W75682424",TEXT($B$1,"yyyy/mm/dd"),1),"")</f>
        <v>186990711967</v>
      </c>
      <c r="D877">
        <f>IFERROR([1]!s_stm07_is($A877,"W76031679",TEXT($B$1,"yyyy/mm/dd"),1),"")</f>
        <v>315382633</v>
      </c>
      <c r="E877">
        <f>IFERROR([1]!s_stm07_is($A877,"W70752487",TEXT($B$1,"yyyy/mm/dd"),1),"")</f>
        <v>7102898009</v>
      </c>
      <c r="F877">
        <f>IFERROR([1]!s_stm07_is_103($A877,TEXT($B$1,"yyyy/mm/dd"),1),"")</f>
        <v>1919916696</v>
      </c>
      <c r="G877">
        <f>IFERROR([1]!s_stm07_is_104($A877,TEXT($B$1,"yyyy/mm/dd"),1),"")</f>
        <v>7075103710</v>
      </c>
      <c r="H877">
        <f>IFERROR([1]!s_stm07_is_105($A877,TEXT($B$1,"yyyy/mm/dd"),1),"")</f>
        <v>354584242</v>
      </c>
      <c r="I877">
        <f>IFERROR([1]!s_stm07_is($A877,"W72946623",TEXT($B$1,"yyyy/mm/dd"),1),"")</f>
        <v>23643942299</v>
      </c>
      <c r="J877">
        <f>IFERROR([1]!s_stm07_is($A877,"W30028333",TEXT($B$1,"yyyy/mm/dd"),1),"")</f>
        <v>14409553809</v>
      </c>
      <c r="K877">
        <f>IFERROR([1]!s_stm07_cs($A877,"W77130581",TEXT($B$1,"yyyy/mm/dd"),1),"")</f>
        <v>67212899994</v>
      </c>
      <c r="L877">
        <f>IFERROR([1]!s_stm07_cs($A877,"W77745895",TEXT($B$1,"yyyy/mm/dd"),1),"")</f>
        <v>58326323386</v>
      </c>
      <c r="M877">
        <f>IFERROR([1]!S_FA_EPS_basic2($A877,$B$1,"Cur=CNY"),"")</f>
        <v>0.74</v>
      </c>
      <c r="N877">
        <f>IFERROR([1]!s_fa_arturndays($A877,TEXT($B$1,"yyyy/mm/dd")),"")</f>
        <v>73.723699999999994</v>
      </c>
      <c r="O877" t="str">
        <f>IFERROR([1]!fa_apturndays($A877,TEXT($B$1,"yyyy/mm/dd")),"")</f>
        <v>Fetch...</v>
      </c>
      <c r="P877">
        <f>IFERROR([1]!s_fa_invturndays($A877,TEXT($B$1,"yyyy/mm/dd")),"")</f>
        <v>23.6355</v>
      </c>
    </row>
    <row r="878" spans="1:16">
      <c r="A878" t="s">
        <v>891</v>
      </c>
      <c r="B878">
        <f>IFERROR([1]!s_stm07_is($A878,"W70156729",TEXT($B$1,"yyyy/mm/dd"),1),"")</f>
        <v>6721574180.3400002</v>
      </c>
      <c r="C878">
        <f>IFERROR([1]!s_stm07_is($A878,"W75682424",TEXT($B$1,"yyyy/mm/dd"),1),"")</f>
        <v>3730302006.6799998</v>
      </c>
      <c r="D878">
        <f>IFERROR([1]!s_stm07_is($A878,"W76031679",TEXT($B$1,"yyyy/mm/dd"),1),"")</f>
        <v>0</v>
      </c>
      <c r="E878">
        <f>IFERROR([1]!s_stm07_is($A878,"W70752487",TEXT($B$1,"yyyy/mm/dd"),1),"")</f>
        <v>206023801.84999999</v>
      </c>
      <c r="F878">
        <f>IFERROR([1]!s_stm07_is_103($A878,TEXT($B$1,"yyyy/mm/dd"),1),"")</f>
        <v>0</v>
      </c>
      <c r="G878">
        <f>IFERROR([1]!s_stm07_is_104($A878,TEXT($B$1,"yyyy/mm/dd"),1),"")</f>
        <v>298240037.92000002</v>
      </c>
      <c r="H878">
        <f>IFERROR([1]!s_stm07_is_105($A878,TEXT($B$1,"yyyy/mm/dd"),1),"")</f>
        <v>75550772.299999997</v>
      </c>
      <c r="I878">
        <f>IFERROR([1]!s_stm07_is($A878,"W72946623",TEXT($B$1,"yyyy/mm/dd"),1),"")</f>
        <v>2608435549.4000001</v>
      </c>
      <c r="J878">
        <f>IFERROR([1]!s_stm07_is($A878,"W30028333",TEXT($B$1,"yyyy/mm/dd"),1),"")</f>
        <v>1877443900.8199999</v>
      </c>
      <c r="K878">
        <f>IFERROR([1]!s_stm07_cs($A878,"W77130581",TEXT($B$1,"yyyy/mm/dd"),1),"")</f>
        <v>3539492972.5100002</v>
      </c>
      <c r="L878">
        <f>IFERROR([1]!s_stm07_cs($A878,"W77745895",TEXT($B$1,"yyyy/mm/dd"),1),"")</f>
        <v>2201936196.8000002</v>
      </c>
      <c r="M878">
        <f>IFERROR([1]!S_FA_EPS_basic2($A878,$B$1,"Cur=CNY"),"")</f>
        <v>1.1151</v>
      </c>
      <c r="N878">
        <f>IFERROR([1]!s_fa_arturndays($A878,TEXT($B$1,"yyyy/mm/dd")),"")</f>
        <v>0</v>
      </c>
      <c r="O878" t="str">
        <f>IFERROR([1]!fa_apturndays($A878,TEXT($B$1,"yyyy/mm/dd")),"")</f>
        <v>Fetch...</v>
      </c>
      <c r="P878">
        <f>IFERROR([1]!s_fa_invturndays($A878,TEXT($B$1,"yyyy/mm/dd")),"")</f>
        <v>0.43059999999999998</v>
      </c>
    </row>
    <row r="879" spans="1:16">
      <c r="A879" t="s">
        <v>892</v>
      </c>
      <c r="B879">
        <f>IFERROR([1]!s_stm07_is($A879,"W70156729",TEXT($B$1,"yyyy/mm/dd"),1),"")</f>
        <v>91914000000</v>
      </c>
      <c r="C879">
        <f>IFERROR([1]!s_stm07_is($A879,"W75682424",TEXT($B$1,"yyyy/mm/dd"),1),"")</f>
        <v>0</v>
      </c>
      <c r="D879">
        <f>IFERROR([1]!s_stm07_is($A879,"W76031679",TEXT($B$1,"yyyy/mm/dd"),1),"")</f>
        <v>0</v>
      </c>
      <c r="E879">
        <f>IFERROR([1]!s_stm07_is($A879,"W70752487",TEXT($B$1,"yyyy/mm/dd"),1),"")</f>
        <v>28133000000</v>
      </c>
      <c r="F879">
        <f>IFERROR([1]!s_stm07_is_103($A879,TEXT($B$1,"yyyy/mm/dd"),1),"")</f>
        <v>0</v>
      </c>
      <c r="G879">
        <f>IFERROR([1]!s_stm07_is_104($A879,TEXT($B$1,"yyyy/mm/dd"),1),"")</f>
        <v>0</v>
      </c>
      <c r="H879">
        <f>IFERROR([1]!s_stm07_is_105($A879,TEXT($B$1,"yyyy/mm/dd"),1),"")</f>
        <v>0</v>
      </c>
      <c r="I879">
        <f>IFERROR([1]!s_stm07_is($A879,"W72946623",TEXT($B$1,"yyyy/mm/dd"),1),"")</f>
        <v>34174000000</v>
      </c>
      <c r="J879">
        <f>IFERROR([1]!s_stm07_is($A879,"W30028333",TEXT($B$1,"yyyy/mm/dd"),1),"")</f>
        <v>27200000000</v>
      </c>
      <c r="K879">
        <f>IFERROR([1]!s_stm07_cs($A879,"W77130581",TEXT($B$1,"yyyy/mm/dd"),1),"")</f>
        <v>69063000000</v>
      </c>
      <c r="L879">
        <f>IFERROR([1]!s_stm07_cs($A879,"W77745895",TEXT($B$1,"yyyy/mm/dd"),1),"")</f>
        <v>16898000000</v>
      </c>
      <c r="M879">
        <f>IFERROR([1]!S_FA_EPS_basic2($A879,$B$1,"Cur=CNY"),"")</f>
        <v>1.62</v>
      </c>
      <c r="N879">
        <f>IFERROR([1]!s_fa_arturndays($A879,TEXT($B$1,"yyyy/mm/dd")),"")</f>
        <v>0</v>
      </c>
      <c r="O879" t="str">
        <f>IFERROR([1]!fa_apturndays($A879,TEXT($B$1,"yyyy/mm/dd")),"")</f>
        <v>Fetch...</v>
      </c>
      <c r="P879">
        <f>IFERROR([1]!s_fa_invturndays($A879,TEXT($B$1,"yyyy/mm/dd")),"")</f>
        <v>0</v>
      </c>
    </row>
    <row r="880" spans="1:16">
      <c r="A880" t="s">
        <v>893</v>
      </c>
      <c r="B880">
        <f>IFERROR([1]!s_stm07_is($A880,"W70156729",TEXT($B$1,"yyyy/mm/dd"),1),"")</f>
        <v>142865000000</v>
      </c>
      <c r="C880">
        <f>IFERROR([1]!s_stm07_is($A880,"W75682424",TEXT($B$1,"yyyy/mm/dd"),1),"")</f>
        <v>0</v>
      </c>
      <c r="D880">
        <f>IFERROR([1]!s_stm07_is($A880,"W76031679",TEXT($B$1,"yyyy/mm/dd"),1),"")</f>
        <v>0</v>
      </c>
      <c r="E880">
        <f>IFERROR([1]!s_stm07_is($A880,"W70752487",TEXT($B$1,"yyyy/mm/dd"),1),"")</f>
        <v>51006000000</v>
      </c>
      <c r="F880">
        <f>IFERROR([1]!s_stm07_is_103($A880,TEXT($B$1,"yyyy/mm/dd"),1),"")</f>
        <v>0</v>
      </c>
      <c r="G880">
        <f>IFERROR([1]!s_stm07_is_104($A880,TEXT($B$1,"yyyy/mm/dd"),1),"")</f>
        <v>0</v>
      </c>
      <c r="H880">
        <f>IFERROR([1]!s_stm07_is_105($A880,TEXT($B$1,"yyyy/mm/dd"),1),"")</f>
        <v>0</v>
      </c>
      <c r="I880">
        <f>IFERROR([1]!s_stm07_is($A880,"W72946623",TEXT($B$1,"yyyy/mm/dd"),1),"")</f>
        <v>32259000000</v>
      </c>
      <c r="J880">
        <f>IFERROR([1]!s_stm07_is($A880,"W30028333",TEXT($B$1,"yyyy/mm/dd"),1),"")</f>
        <v>30563000000</v>
      </c>
      <c r="K880">
        <f>IFERROR([1]!s_stm07_cs($A880,"W77130581",TEXT($B$1,"yyyy/mm/dd"),1),"")</f>
        <v>-157476000000</v>
      </c>
      <c r="L880">
        <f>IFERROR([1]!s_stm07_cs($A880,"W77745895",TEXT($B$1,"yyyy/mm/dd"),1),"")</f>
        <v>9299000000</v>
      </c>
      <c r="M880">
        <f>IFERROR([1]!S_FA_EPS_basic2($A880,$B$1,"Cur=CNY"),"")</f>
        <v>0.63</v>
      </c>
      <c r="N880">
        <f>IFERROR([1]!s_fa_arturndays($A880,TEXT($B$1,"yyyy/mm/dd")),"")</f>
        <v>0</v>
      </c>
      <c r="O880" t="str">
        <f>IFERROR([1]!fa_apturndays($A880,TEXT($B$1,"yyyy/mm/dd")),"")</f>
        <v>Fetch...</v>
      </c>
      <c r="P880">
        <f>IFERROR([1]!s_fa_invturndays($A880,TEXT($B$1,"yyyy/mm/dd")),"")</f>
        <v>0</v>
      </c>
    </row>
    <row r="881" spans="1:16">
      <c r="A881" t="s">
        <v>894</v>
      </c>
      <c r="B881">
        <f>IFERROR([1]!s_stm07_is($A881,"W70156729",TEXT($B$1,"yyyy/mm/dd"),1),"")</f>
        <v>7816506372.8299999</v>
      </c>
      <c r="C881">
        <f>IFERROR([1]!s_stm07_is($A881,"W75682424",TEXT($B$1,"yyyy/mm/dd"),1),"")</f>
        <v>6238989779.2700005</v>
      </c>
      <c r="D881">
        <f>IFERROR([1]!s_stm07_is($A881,"W76031679",TEXT($B$1,"yyyy/mm/dd"),1),"")</f>
        <v>0</v>
      </c>
      <c r="E881">
        <f>IFERROR([1]!s_stm07_is($A881,"W70752487",TEXT($B$1,"yyyy/mm/dd"),1),"")</f>
        <v>270831675.64999998</v>
      </c>
      <c r="F881">
        <f>IFERROR([1]!s_stm07_is_103($A881,TEXT($B$1,"yyyy/mm/dd"),1),"")</f>
        <v>75662978.760000005</v>
      </c>
      <c r="G881">
        <f>IFERROR([1]!s_stm07_is_104($A881,TEXT($B$1,"yyyy/mm/dd"),1),"")</f>
        <v>522990755.52999997</v>
      </c>
      <c r="H881">
        <f>IFERROR([1]!s_stm07_is_105($A881,TEXT($B$1,"yyyy/mm/dd"),1),"")</f>
        <v>11220441.15</v>
      </c>
      <c r="I881">
        <f>IFERROR([1]!s_stm07_is($A881,"W72946623",TEXT($B$1,"yyyy/mm/dd"),1),"")</f>
        <v>749662334.40999997</v>
      </c>
      <c r="J881">
        <f>IFERROR([1]!s_stm07_is($A881,"W30028333",TEXT($B$1,"yyyy/mm/dd"),1),"")</f>
        <v>494751561.29000002</v>
      </c>
      <c r="K881">
        <f>IFERROR([1]!s_stm07_cs($A881,"W77130581",TEXT($B$1,"yyyy/mm/dd"),1),"")</f>
        <v>2213472409.3499999</v>
      </c>
      <c r="L881">
        <f>IFERROR([1]!s_stm07_cs($A881,"W77745895",TEXT($B$1,"yyyy/mm/dd"),1),"")</f>
        <v>2278384305.04</v>
      </c>
      <c r="M881">
        <f>IFERROR([1]!S_FA_EPS_basic2($A881,$B$1,"Cur=CNY"),"")</f>
        <v>0.16</v>
      </c>
      <c r="N881">
        <f>IFERROR([1]!s_fa_arturndays($A881,TEXT($B$1,"yyyy/mm/dd")),"")</f>
        <v>31.895900000000001</v>
      </c>
      <c r="O881" t="str">
        <f>IFERROR([1]!fa_apturndays($A881,TEXT($B$1,"yyyy/mm/dd")),"")</f>
        <v>Fetch...</v>
      </c>
      <c r="P881">
        <f>IFERROR([1]!s_fa_invturndays($A881,TEXT($B$1,"yyyy/mm/dd")),"")</f>
        <v>22.283999999999999</v>
      </c>
    </row>
    <row r="882" spans="1:16">
      <c r="A882" t="s">
        <v>895</v>
      </c>
      <c r="B882">
        <f>IFERROR([1]!s_stm07_is($A882,"W70156729",TEXT($B$1,"yyyy/mm/dd"),1),"")</f>
        <v>39611497351.529999</v>
      </c>
      <c r="C882">
        <f>IFERROR([1]!s_stm07_is($A882,"W75682424",TEXT($B$1,"yyyy/mm/dd"),1),"")</f>
        <v>25302860494.139999</v>
      </c>
      <c r="D882">
        <f>IFERROR([1]!s_stm07_is($A882,"W76031679",TEXT($B$1,"yyyy/mm/dd"),1),"")</f>
        <v>78878143.379999995</v>
      </c>
      <c r="E882">
        <f>IFERROR([1]!s_stm07_is($A882,"W70752487",TEXT($B$1,"yyyy/mm/dd"),1),"")</f>
        <v>3228023792.8400002</v>
      </c>
      <c r="F882">
        <f>IFERROR([1]!s_stm07_is_103($A882,TEXT($B$1,"yyyy/mm/dd"),1),"")</f>
        <v>185711294.18000001</v>
      </c>
      <c r="G882">
        <f>IFERROR([1]!s_stm07_is_104($A882,TEXT($B$1,"yyyy/mm/dd"),1),"")</f>
        <v>1088475197.6199999</v>
      </c>
      <c r="H882">
        <f>IFERROR([1]!s_stm07_is_105($A882,TEXT($B$1,"yyyy/mm/dd"),1),"")</f>
        <v>522195106.81999999</v>
      </c>
      <c r="I882">
        <f>IFERROR([1]!s_stm07_is($A882,"W72946623",TEXT($B$1,"yyyy/mm/dd"),1),"")</f>
        <v>18210725308.279999</v>
      </c>
      <c r="J882">
        <f>IFERROR([1]!s_stm07_is($A882,"W30028333",TEXT($B$1,"yyyy/mm/dd"),1),"")</f>
        <v>13564589175.030001</v>
      </c>
      <c r="K882">
        <f>IFERROR([1]!s_stm07_cs($A882,"W77130581",TEXT($B$1,"yyyy/mm/dd"),1),"")</f>
        <v>11803101933.549999</v>
      </c>
      <c r="L882">
        <f>IFERROR([1]!s_stm07_cs($A882,"W77745895",TEXT($B$1,"yyyy/mm/dd"),1),"")</f>
        <v>6872326054.9099998</v>
      </c>
      <c r="M882">
        <f>IFERROR([1]!S_FA_EPS_basic2($A882,$B$1,"Cur=CNY"),"")</f>
        <v>0.5837</v>
      </c>
      <c r="N882">
        <f>IFERROR([1]!s_fa_arturndays($A882,TEXT($B$1,"yyyy/mm/dd")),"")</f>
        <v>33.052399999999999</v>
      </c>
      <c r="O882" t="str">
        <f>IFERROR([1]!fa_apturndays($A882,TEXT($B$1,"yyyy/mm/dd")),"")</f>
        <v>Fetch...</v>
      </c>
      <c r="P882">
        <f>IFERROR([1]!s_fa_invturndays($A882,TEXT($B$1,"yyyy/mm/dd")),"")</f>
        <v>100.2004</v>
      </c>
    </row>
    <row r="883" spans="1:16">
      <c r="A883" t="s">
        <v>896</v>
      </c>
      <c r="B883">
        <f>IFERROR([1]!s_stm07_is($A883,"W70156729",TEXT($B$1,"yyyy/mm/dd"),1),"")</f>
        <v>317507793966.65997</v>
      </c>
      <c r="C883">
        <f>IFERROR([1]!s_stm07_is($A883,"W75682424",TEXT($B$1,"yyyy/mm/dd"),1),"")</f>
        <v>294522776086.63</v>
      </c>
      <c r="D883">
        <f>IFERROR([1]!s_stm07_is($A883,"W76031679",TEXT($B$1,"yyyy/mm/dd"),1),"")</f>
        <v>1793040273.51</v>
      </c>
      <c r="E883">
        <f>IFERROR([1]!s_stm07_is($A883,"W70752487",TEXT($B$1,"yyyy/mm/dd"),1),"")</f>
        <v>3761928051.25</v>
      </c>
      <c r="F883">
        <f>IFERROR([1]!s_stm07_is_103($A883,TEXT($B$1,"yyyy/mm/dd"),1),"")</f>
        <v>3896302195.3800001</v>
      </c>
      <c r="G883">
        <f>IFERROR([1]!s_stm07_is_104($A883,TEXT($B$1,"yyyy/mm/dd"),1),"")</f>
        <v>1248008821.8</v>
      </c>
      <c r="H883">
        <f>IFERROR([1]!s_stm07_is_105($A883,TEXT($B$1,"yyyy/mm/dd"),1),"")</f>
        <v>458500245.95999998</v>
      </c>
      <c r="I883">
        <f>IFERROR([1]!s_stm07_is($A883,"W72946623",TEXT($B$1,"yyyy/mm/dd"),1),"")</f>
        <v>13157001908.08</v>
      </c>
      <c r="J883">
        <f>IFERROR([1]!s_stm07_is($A883,"W30028333",TEXT($B$1,"yyyy/mm/dd"),1),"")</f>
        <v>10345621735.27</v>
      </c>
      <c r="K883">
        <f>IFERROR([1]!s_stm07_cs($A883,"W77130581",TEXT($B$1,"yyyy/mm/dd"),1),"")</f>
        <v>33597182967.75</v>
      </c>
      <c r="L883">
        <f>IFERROR([1]!s_stm07_cs($A883,"W77745895",TEXT($B$1,"yyyy/mm/dd"),1),"")</f>
        <v>18507325935.150002</v>
      </c>
      <c r="M883">
        <f>IFERROR([1]!S_FA_EPS_basic2($A883,$B$1,"Cur=CNY"),"")</f>
        <v>0.48</v>
      </c>
      <c r="N883">
        <f>IFERROR([1]!s_fa_arturndays($A883,TEXT($B$1,"yyyy/mm/dd")),"")</f>
        <v>15.677099999999999</v>
      </c>
      <c r="O883" t="str">
        <f>IFERROR([1]!fa_apturndays($A883,TEXT($B$1,"yyyy/mm/dd")),"")</f>
        <v>Fetch...</v>
      </c>
      <c r="P883">
        <f>IFERROR([1]!s_fa_invturndays($A883,TEXT($B$1,"yyyy/mm/dd")),"")</f>
        <v>49.073099999999997</v>
      </c>
    </row>
    <row r="884" spans="1:16">
      <c r="A884" t="s">
        <v>897</v>
      </c>
      <c r="B884">
        <f>IFERROR([1]!s_stm07_is($A884,"W70156729",TEXT($B$1,"yyyy/mm/dd"),1),"")</f>
        <v>6598781551.1599998</v>
      </c>
      <c r="C884">
        <f>IFERROR([1]!s_stm07_is($A884,"W75682424",TEXT($B$1,"yyyy/mm/dd"),1),"")</f>
        <v>4235237791.4200001</v>
      </c>
      <c r="D884">
        <f>IFERROR([1]!s_stm07_is($A884,"W76031679",TEXT($B$1,"yyyy/mm/dd"),1),"")</f>
        <v>5430686.75</v>
      </c>
      <c r="E884">
        <f>IFERROR([1]!s_stm07_is($A884,"W70752487",TEXT($B$1,"yyyy/mm/dd"),1),"")</f>
        <v>129863372.59</v>
      </c>
      <c r="F884">
        <f>IFERROR([1]!s_stm07_is_103($A884,TEXT($B$1,"yyyy/mm/dd"),1),"")</f>
        <v>5019041.1100000003</v>
      </c>
      <c r="G884">
        <f>IFERROR([1]!s_stm07_is_104($A884,TEXT($B$1,"yyyy/mm/dd"),1),"")</f>
        <v>732164264.63999999</v>
      </c>
      <c r="H884">
        <f>IFERROR([1]!s_stm07_is_105($A884,TEXT($B$1,"yyyy/mm/dd"),1),"")</f>
        <v>3064236.65</v>
      </c>
      <c r="I884">
        <f>IFERROR([1]!s_stm07_is($A884,"W72946623",TEXT($B$1,"yyyy/mm/dd"),1),"")</f>
        <v>1178344931.8299999</v>
      </c>
      <c r="J884">
        <f>IFERROR([1]!s_stm07_is($A884,"W30028333",TEXT($B$1,"yyyy/mm/dd"),1),"")</f>
        <v>628486055.16999996</v>
      </c>
      <c r="K884">
        <f>IFERROR([1]!s_stm07_cs($A884,"W77130581",TEXT($B$1,"yyyy/mm/dd"),1),"")</f>
        <v>2456202493.3000002</v>
      </c>
      <c r="L884">
        <f>IFERROR([1]!s_stm07_cs($A884,"W77745895",TEXT($B$1,"yyyy/mm/dd"),1),"")</f>
        <v>1905820883.04</v>
      </c>
      <c r="M884">
        <f>IFERROR([1]!S_FA_EPS_basic2($A884,$B$1,"Cur=CNY"),"")</f>
        <v>0.22939999999999999</v>
      </c>
      <c r="N884">
        <f>IFERROR([1]!s_fa_arturndays($A884,TEXT($B$1,"yyyy/mm/dd")),"")</f>
        <v>86.248199999999997</v>
      </c>
      <c r="O884" t="str">
        <f>IFERROR([1]!fa_apturndays($A884,TEXT($B$1,"yyyy/mm/dd")),"")</f>
        <v>Fetch...</v>
      </c>
      <c r="P884">
        <f>IFERROR([1]!s_fa_invturndays($A884,TEXT($B$1,"yyyy/mm/dd")),"")</f>
        <v>366.03969999999998</v>
      </c>
    </row>
    <row r="885" spans="1:16">
      <c r="A885" t="s">
        <v>898</v>
      </c>
      <c r="B885">
        <f>IFERROR([1]!s_stm07_is($A885,"W70156729",TEXT($B$1,"yyyy/mm/dd"),1),"")</f>
        <v>41858345423.779999</v>
      </c>
      <c r="C885">
        <f>IFERROR([1]!s_stm07_is($A885,"W75682424",TEXT($B$1,"yyyy/mm/dd"),1),"")</f>
        <v>31077729732.130001</v>
      </c>
      <c r="D885">
        <f>IFERROR([1]!s_stm07_is($A885,"W76031679",TEXT($B$1,"yyyy/mm/dd"),1),"")</f>
        <v>15533.99</v>
      </c>
      <c r="E885">
        <f>IFERROR([1]!s_stm07_is($A885,"W70752487",TEXT($B$1,"yyyy/mm/dd"),1),"")</f>
        <v>2348508893.5900002</v>
      </c>
      <c r="F885">
        <f>IFERROR([1]!s_stm07_is_103($A885,TEXT($B$1,"yyyy/mm/dd"),1),"")</f>
        <v>198013129.72999999</v>
      </c>
      <c r="G885">
        <f>IFERROR([1]!s_stm07_is_104($A885,TEXT($B$1,"yyyy/mm/dd"),1),"")</f>
        <v>3062432418.0799999</v>
      </c>
      <c r="H885">
        <f>IFERROR([1]!s_stm07_is_105($A885,TEXT($B$1,"yyyy/mm/dd"),1),"")</f>
        <v>116495747.78</v>
      </c>
      <c r="I885">
        <f>IFERROR([1]!s_stm07_is($A885,"W72946623",TEXT($B$1,"yyyy/mm/dd"),1),"")</f>
        <v>6483819562.5699997</v>
      </c>
      <c r="J885">
        <f>IFERROR([1]!s_stm07_is($A885,"W30028333",TEXT($B$1,"yyyy/mm/dd"),1),"")</f>
        <v>2767376498.04</v>
      </c>
      <c r="K885">
        <f>IFERROR([1]!s_stm07_cs($A885,"W77130581",TEXT($B$1,"yyyy/mm/dd"),1),"")</f>
        <v>13076133546.290001</v>
      </c>
      <c r="L885">
        <f>IFERROR([1]!s_stm07_cs($A885,"W77745895",TEXT($B$1,"yyyy/mm/dd"),1),"")</f>
        <v>17800104240.169998</v>
      </c>
      <c r="M885">
        <f>IFERROR([1]!S_FA_EPS_basic2($A885,$B$1,"Cur=CNY"),"")</f>
        <v>0.87270000000000003</v>
      </c>
      <c r="N885">
        <f>IFERROR([1]!s_fa_arturndays($A885,TEXT($B$1,"yyyy/mm/dd")),"")</f>
        <v>231.9588</v>
      </c>
      <c r="O885" t="str">
        <f>IFERROR([1]!fa_apturndays($A885,TEXT($B$1,"yyyy/mm/dd")),"")</f>
        <v>Fetch...</v>
      </c>
      <c r="P885">
        <f>IFERROR([1]!s_fa_invturndays($A885,TEXT($B$1,"yyyy/mm/dd")),"")</f>
        <v>11.381500000000001</v>
      </c>
    </row>
    <row r="886" spans="1:16">
      <c r="A886" t="s">
        <v>899</v>
      </c>
      <c r="B886">
        <f>IFERROR([1]!s_stm07_is($A886,"W70156729",TEXT($B$1,"yyyy/mm/dd"),1),"")</f>
        <v>67252824464.839996</v>
      </c>
      <c r="C886">
        <f>IFERROR([1]!s_stm07_is($A886,"W75682424",TEXT($B$1,"yyyy/mm/dd"),1),"")</f>
        <v>60930362836.559998</v>
      </c>
      <c r="D886">
        <f>IFERROR([1]!s_stm07_is($A886,"W76031679",TEXT($B$1,"yyyy/mm/dd"),1),"")</f>
        <v>331298615.83999997</v>
      </c>
      <c r="E886">
        <f>IFERROR([1]!s_stm07_is($A886,"W70752487",TEXT($B$1,"yyyy/mm/dd"),1),"")</f>
        <v>1363173445.27</v>
      </c>
      <c r="F886">
        <f>IFERROR([1]!s_stm07_is_103($A886,TEXT($B$1,"yyyy/mm/dd"),1),"")</f>
        <v>2844652791.4899998</v>
      </c>
      <c r="G886">
        <f>IFERROR([1]!s_stm07_is_104($A886,TEXT($B$1,"yyyy/mm/dd"),1),"")</f>
        <v>677621586.54999995</v>
      </c>
      <c r="H886">
        <f>IFERROR([1]!s_stm07_is_105($A886,TEXT($B$1,"yyyy/mm/dd"),1),"")</f>
        <v>93013562.109999999</v>
      </c>
      <c r="I886">
        <f>IFERROR([1]!s_stm07_is($A886,"W72946623",TEXT($B$1,"yyyy/mm/dd"),1),"")</f>
        <v>484723551.06999999</v>
      </c>
      <c r="J886">
        <f>IFERROR([1]!s_stm07_is($A886,"W30028333",TEXT($B$1,"yyyy/mm/dd"),1),"")</f>
        <v>105944958.44</v>
      </c>
      <c r="K886">
        <f>IFERROR([1]!s_stm07_cs($A886,"W77130581",TEXT($B$1,"yyyy/mm/dd"),1),"")</f>
        <v>4393581721.7200003</v>
      </c>
      <c r="L886">
        <f>IFERROR([1]!s_stm07_cs($A886,"W77745895",TEXT($B$1,"yyyy/mm/dd"),1),"")</f>
        <v>344628707.89999998</v>
      </c>
      <c r="M886">
        <f>IFERROR([1]!S_FA_EPS_basic2($A886,$B$1,"Cur=CNY"),"")</f>
        <v>0.01</v>
      </c>
      <c r="N886">
        <f>IFERROR([1]!s_fa_arturndays($A886,TEXT($B$1,"yyyy/mm/dd")),"")</f>
        <v>3.8815</v>
      </c>
      <c r="O886" t="str">
        <f>IFERROR([1]!fa_apturndays($A886,TEXT($B$1,"yyyy/mm/dd")),"")</f>
        <v>Fetch...</v>
      </c>
      <c r="P886">
        <f>IFERROR([1]!s_fa_invturndays($A886,TEXT($B$1,"yyyy/mm/dd")),"")</f>
        <v>33.975999999999999</v>
      </c>
    </row>
    <row r="887" spans="1:16">
      <c r="A887" t="s">
        <v>900</v>
      </c>
      <c r="B887">
        <f>IFERROR([1]!s_stm07_is($A887,"W70156729",TEXT($B$1,"yyyy/mm/dd"),1),"")</f>
        <v>79553931304.550003</v>
      </c>
      <c r="C887">
        <f>IFERROR([1]!s_stm07_is($A887,"W75682424",TEXT($B$1,"yyyy/mm/dd"),1),"")</f>
        <v>69745988894.419998</v>
      </c>
      <c r="D887">
        <f>IFERROR([1]!s_stm07_is($A887,"W76031679",TEXT($B$1,"yyyy/mm/dd"),1),"")</f>
        <v>141287416.69</v>
      </c>
      <c r="E887">
        <f>IFERROR([1]!s_stm07_is($A887,"W70752487",TEXT($B$1,"yyyy/mm/dd"),1),"")</f>
        <v>2117464865.97</v>
      </c>
      <c r="F887">
        <f>IFERROR([1]!s_stm07_is_103($A887,TEXT($B$1,"yyyy/mm/dd"),1),"")</f>
        <v>390054080.68000001</v>
      </c>
      <c r="G887">
        <f>IFERROR([1]!s_stm07_is_104($A887,TEXT($B$1,"yyyy/mm/dd"),1),"")</f>
        <v>1241516713.01</v>
      </c>
      <c r="H887">
        <f>IFERROR([1]!s_stm07_is_105($A887,TEXT($B$1,"yyyy/mm/dd"),1),"")</f>
        <v>255652593.59</v>
      </c>
      <c r="I887">
        <f>IFERROR([1]!s_stm07_is($A887,"W72946623",TEXT($B$1,"yyyy/mm/dd"),1),"")</f>
        <v>9079644883.0499992</v>
      </c>
      <c r="J887">
        <f>IFERROR([1]!s_stm07_is($A887,"W30028333",TEXT($B$1,"yyyy/mm/dd"),1),"")</f>
        <v>7528041660.8999996</v>
      </c>
      <c r="K887">
        <f>IFERROR([1]!s_stm07_cs($A887,"W77130581",TEXT($B$1,"yyyy/mm/dd"),1),"")</f>
        <v>11453605477.23</v>
      </c>
      <c r="L887">
        <f>IFERROR([1]!s_stm07_cs($A887,"W77745895",TEXT($B$1,"yyyy/mm/dd"),1),"")</f>
        <v>7220147529.1099997</v>
      </c>
      <c r="M887">
        <f>IFERROR([1]!S_FA_EPS_basic2($A887,$B$1,"Cur=CNY"),"")</f>
        <v>0.56000000000000005</v>
      </c>
      <c r="N887">
        <f>IFERROR([1]!s_fa_arturndays($A887,TEXT($B$1,"yyyy/mm/dd")),"")</f>
        <v>50.194499999999998</v>
      </c>
      <c r="O887" t="str">
        <f>IFERROR([1]!fa_apturndays($A887,TEXT($B$1,"yyyy/mm/dd")),"")</f>
        <v>Fetch...</v>
      </c>
      <c r="P887">
        <f>IFERROR([1]!s_fa_invturndays($A887,TEXT($B$1,"yyyy/mm/dd")),"")</f>
        <v>33.493400000000001</v>
      </c>
    </row>
    <row r="888" spans="1:16">
      <c r="A888" t="s">
        <v>901</v>
      </c>
      <c r="B888">
        <f>IFERROR([1]!s_stm07_is($A888,"W70156729",TEXT($B$1,"yyyy/mm/dd"),1),"")</f>
        <v>26595330703.950001</v>
      </c>
      <c r="C888">
        <f>IFERROR([1]!s_stm07_is($A888,"W75682424",TEXT($B$1,"yyyy/mm/dd"),1),"")</f>
        <v>11441243816.68</v>
      </c>
      <c r="D888">
        <f>IFERROR([1]!s_stm07_is($A888,"W76031679",TEXT($B$1,"yyyy/mm/dd"),1),"")</f>
        <v>66066635.57</v>
      </c>
      <c r="E888">
        <f>IFERROR([1]!s_stm07_is($A888,"W70752487",TEXT($B$1,"yyyy/mm/dd"),1),"")</f>
        <v>611912586.00999999</v>
      </c>
      <c r="F888">
        <f>IFERROR([1]!s_stm07_is_103($A888,TEXT($B$1,"yyyy/mm/dd"),1),"")</f>
        <v>96810055.959999993</v>
      </c>
      <c r="G888">
        <f>IFERROR([1]!s_stm07_is_104($A888,TEXT($B$1,"yyyy/mm/dd"),1),"")</f>
        <v>2694201322.8600001</v>
      </c>
      <c r="H888">
        <f>IFERROR([1]!s_stm07_is_105($A888,TEXT($B$1,"yyyy/mm/dd"),1),"")</f>
        <v>26580902.640000001</v>
      </c>
      <c r="I888">
        <f>IFERROR([1]!s_stm07_is($A888,"W72946623",TEXT($B$1,"yyyy/mm/dd"),1),"")</f>
        <v>10767871496.690001</v>
      </c>
      <c r="J888">
        <f>IFERROR([1]!s_stm07_is($A888,"W30028333",TEXT($B$1,"yyyy/mm/dd"),1),"")</f>
        <v>8504138221.8199997</v>
      </c>
      <c r="K888">
        <f>IFERROR([1]!s_stm07_cs($A888,"W77130581",TEXT($B$1,"yyyy/mm/dd"),1),"")</f>
        <v>19048606224.950001</v>
      </c>
      <c r="L888">
        <f>IFERROR([1]!s_stm07_cs($A888,"W77745895",TEXT($B$1,"yyyy/mm/dd"),1),"")</f>
        <v>16460608570.709999</v>
      </c>
      <c r="M888">
        <f>IFERROR([1]!S_FA_EPS_basic2($A888,$B$1,"Cur=CNY"),"")</f>
        <v>0.45</v>
      </c>
      <c r="N888">
        <f>IFERROR([1]!s_fa_arturndays($A888,TEXT($B$1,"yyyy/mm/dd")),"")</f>
        <v>30.7469</v>
      </c>
      <c r="O888" t="str">
        <f>IFERROR([1]!fa_apturndays($A888,TEXT($B$1,"yyyy/mm/dd")),"")</f>
        <v>Fetch...</v>
      </c>
      <c r="P888">
        <f>IFERROR([1]!s_fa_invturndays($A888,TEXT($B$1,"yyyy/mm/dd")),"")</f>
        <v>1.3602000000000001</v>
      </c>
    </row>
    <row r="889" spans="1:16">
      <c r="A889" t="s">
        <v>902</v>
      </c>
      <c r="B889">
        <f>IFERROR([1]!s_stm07_is($A889,"W70156729",TEXT($B$1,"yyyy/mm/dd"),1),"")</f>
        <v>23892259789.490002</v>
      </c>
      <c r="C889">
        <f>IFERROR([1]!s_stm07_is($A889,"W75682424",TEXT($B$1,"yyyy/mm/dd"),1),"")</f>
        <v>17650312510.650002</v>
      </c>
      <c r="D889">
        <f>IFERROR([1]!s_stm07_is($A889,"W76031679",TEXT($B$1,"yyyy/mm/dd"),1),"")</f>
        <v>113898619.52</v>
      </c>
      <c r="E889">
        <f>IFERROR([1]!s_stm07_is($A889,"W70752487",TEXT($B$1,"yyyy/mm/dd"),1),"")</f>
        <v>1136546397.1300001</v>
      </c>
      <c r="F889">
        <f>IFERROR([1]!s_stm07_is_103($A889,TEXT($B$1,"yyyy/mm/dd"),1),"")</f>
        <v>49392573.700000003</v>
      </c>
      <c r="G889">
        <f>IFERROR([1]!s_stm07_is_104($A889,TEXT($B$1,"yyyy/mm/dd"),1),"")</f>
        <v>1336121292.1400001</v>
      </c>
      <c r="H889">
        <f>IFERROR([1]!s_stm07_is_105($A889,TEXT($B$1,"yyyy/mm/dd"),1),"")</f>
        <v>171473199.91</v>
      </c>
      <c r="I889">
        <f>IFERROR([1]!s_stm07_is($A889,"W72946623",TEXT($B$1,"yyyy/mm/dd"),1),"")</f>
        <v>5356649868.5299997</v>
      </c>
      <c r="J889">
        <f>IFERROR([1]!s_stm07_is($A889,"W30028333",TEXT($B$1,"yyyy/mm/dd"),1),"")</f>
        <v>4037310920.7399998</v>
      </c>
      <c r="K889">
        <f>IFERROR([1]!s_stm07_cs($A889,"W77130581",TEXT($B$1,"yyyy/mm/dd"),1),"")</f>
        <v>7389147370.2600002</v>
      </c>
      <c r="L889">
        <f>IFERROR([1]!s_stm07_cs($A889,"W77745895",TEXT($B$1,"yyyy/mm/dd"),1),"")</f>
        <v>5635136519.0200005</v>
      </c>
      <c r="M889">
        <f>IFERROR([1]!S_FA_EPS_basic2($A889,$B$1,"Cur=CNY"),"")</f>
        <v>0.82620000000000005</v>
      </c>
      <c r="N889">
        <f>IFERROR([1]!s_fa_arturndays($A889,TEXT($B$1,"yyyy/mm/dd")),"")</f>
        <v>8.1661999999999999</v>
      </c>
      <c r="O889" t="str">
        <f>IFERROR([1]!fa_apturndays($A889,TEXT($B$1,"yyyy/mm/dd")),"")</f>
        <v>Fetch...</v>
      </c>
      <c r="P889">
        <f>IFERROR([1]!s_fa_invturndays($A889,TEXT($B$1,"yyyy/mm/dd")),"")</f>
        <v>52.4514</v>
      </c>
    </row>
    <row r="890" spans="1:16">
      <c r="A890" t="s">
        <v>903</v>
      </c>
      <c r="B890">
        <f>IFERROR([1]!s_stm07_is($A890,"W70156729",TEXT($B$1,"yyyy/mm/dd"),1),"")</f>
        <v>126012591000</v>
      </c>
      <c r="C890">
        <f>IFERROR([1]!s_stm07_is($A890,"W75682424",TEXT($B$1,"yyyy/mm/dd"),1),"")</f>
        <v>111601546000</v>
      </c>
      <c r="D890">
        <f>IFERROR([1]!s_stm07_is($A890,"W76031679",TEXT($B$1,"yyyy/mm/dd"),1),"")</f>
        <v>2230000</v>
      </c>
      <c r="E890">
        <f>IFERROR([1]!s_stm07_is($A890,"W70752487",TEXT($B$1,"yyyy/mm/dd"),1),"")</f>
        <v>2231398000</v>
      </c>
      <c r="F890">
        <f>IFERROR([1]!s_stm07_is_103($A890,TEXT($B$1,"yyyy/mm/dd"),1),"")</f>
        <v>111559000</v>
      </c>
      <c r="G890">
        <f>IFERROR([1]!s_stm07_is_104($A890,TEXT($B$1,"yyyy/mm/dd"),1),"")</f>
        <v>0</v>
      </c>
      <c r="H890">
        <f>IFERROR([1]!s_stm07_is_105($A890,TEXT($B$1,"yyyy/mm/dd"),1),"")</f>
        <v>0</v>
      </c>
      <c r="I890">
        <f>IFERROR([1]!s_stm07_is($A890,"W72946623",TEXT($B$1,"yyyy/mm/dd"),1),"")</f>
        <v>10647781000</v>
      </c>
      <c r="J890">
        <f>IFERROR([1]!s_stm07_is($A890,"W30028333",TEXT($B$1,"yyyy/mm/dd"),1),"")</f>
        <v>6070315000</v>
      </c>
      <c r="K890">
        <f>IFERROR([1]!s_stm07_cs($A890,"W77130581",TEXT($B$1,"yyyy/mm/dd"),1),"")</f>
        <v>27220563000</v>
      </c>
      <c r="L890">
        <f>IFERROR([1]!s_stm07_cs($A890,"W77745895",TEXT($B$1,"yyyy/mm/dd"),1),"")</f>
        <v>15062722000</v>
      </c>
      <c r="M890">
        <f>IFERROR([1]!S_FA_EPS_basic2($A890,$B$1,"Cur=CNY"),"")</f>
        <v>0.49</v>
      </c>
      <c r="N890">
        <f>IFERROR([1]!s_fa_arturndays($A890,TEXT($B$1,"yyyy/mm/dd")),"")</f>
        <v>32.985199999999999</v>
      </c>
      <c r="O890" t="str">
        <f>IFERROR([1]!fa_apturndays($A890,TEXT($B$1,"yyyy/mm/dd")),"")</f>
        <v>Fetch...</v>
      </c>
      <c r="P890">
        <f>IFERROR([1]!s_fa_invturndays($A890,TEXT($B$1,"yyyy/mm/dd")),"")</f>
        <v>17.109000000000002</v>
      </c>
    </row>
    <row r="891" spans="1:16">
      <c r="A891" t="s">
        <v>904</v>
      </c>
      <c r="B891">
        <f>IFERROR([1]!s_stm07_is($A891,"W70156729",TEXT($B$1,"yyyy/mm/dd"),1),"")</f>
        <v>2783583000000</v>
      </c>
      <c r="C891">
        <f>IFERROR([1]!s_stm07_is($A891,"W75682424",TEXT($B$1,"yyyy/mm/dd"),1),"")</f>
        <v>2341383000000</v>
      </c>
      <c r="D891">
        <f>IFERROR([1]!s_stm07_is($A891,"W76031679",TEXT($B$1,"yyyy/mm/dd"),1),"")</f>
        <v>59347000000</v>
      </c>
      <c r="E891">
        <f>IFERROR([1]!s_stm07_is($A891,"W70752487",TEXT($B$1,"yyyy/mm/dd"),1),"")</f>
        <v>55434000000</v>
      </c>
      <c r="F891">
        <f>IFERROR([1]!s_stm07_is_103($A891,TEXT($B$1,"yyyy/mm/dd"),1),"")</f>
        <v>15863000000</v>
      </c>
      <c r="G891">
        <f>IFERROR([1]!s_stm07_is_104($A891,TEXT($B$1,"yyyy/mm/dd"),1),"")</f>
        <v>19247000000</v>
      </c>
      <c r="H891">
        <f>IFERROR([1]!s_stm07_is_105($A891,TEXT($B$1,"yyyy/mm/dd"),1),"")</f>
        <v>5802000000</v>
      </c>
      <c r="I891">
        <f>IFERROR([1]!s_stm07_is($A891,"W72946623",TEXT($B$1,"yyyy/mm/dd"),1),"")</f>
        <v>43184000000</v>
      </c>
      <c r="J891">
        <f>IFERROR([1]!s_stm07_is($A891,"W30028333",TEXT($B$1,"yyyy/mm/dd"),1),"")</f>
        <v>31809000000</v>
      </c>
      <c r="K891">
        <f>IFERROR([1]!s_stm07_cs($A891,"W77130581",TEXT($B$1,"yyyy/mm/dd"),1),"")</f>
        <v>162496000000</v>
      </c>
      <c r="L891">
        <f>IFERROR([1]!s_stm07_cs($A891,"W77745895",TEXT($B$1,"yyyy/mm/dd"),1),"")</f>
        <v>133625000000</v>
      </c>
      <c r="M891">
        <f>IFERROR([1]!S_FA_EPS_basic2($A891,$B$1,"Cur=CNY"),"")</f>
        <v>0.26200000000000001</v>
      </c>
      <c r="N891">
        <f>IFERROR([1]!s_fa_arturndays($A891,TEXT($B$1,"yyyy/mm/dd")),"")</f>
        <v>6.1757999999999997</v>
      </c>
      <c r="O891" t="str">
        <f>IFERROR([1]!fa_apturndays($A891,TEXT($B$1,"yyyy/mm/dd")),"")</f>
        <v>Fetch...</v>
      </c>
      <c r="P891">
        <f>IFERROR([1]!s_fa_invturndays($A891,TEXT($B$1,"yyyy/mm/dd")),"")</f>
        <v>37.470700000000001</v>
      </c>
    </row>
    <row r="892" spans="1:16">
      <c r="A892" t="s">
        <v>905</v>
      </c>
      <c r="B892">
        <f>IFERROR([1]!s_stm07_is($A892,"W70156729",TEXT($B$1,"yyyy/mm/dd"),1),"")</f>
        <v>182256000000</v>
      </c>
      <c r="C892">
        <f>IFERROR([1]!s_stm07_is($A892,"W75682424",TEXT($B$1,"yyyy/mm/dd"),1),"")</f>
        <v>163780000000</v>
      </c>
      <c r="D892">
        <f>IFERROR([1]!s_stm07_is($A892,"W76031679",TEXT($B$1,"yyyy/mm/dd"),1),"")</f>
        <v>7497000000</v>
      </c>
      <c r="E892">
        <f>IFERROR([1]!s_stm07_is($A892,"W70752487",TEXT($B$1,"yyyy/mm/dd"),1),"")</f>
        <v>4288000000</v>
      </c>
      <c r="F892">
        <f>IFERROR([1]!s_stm07_is_103($A892,TEXT($B$1,"yyyy/mm/dd"),1),"")</f>
        <v>607000000</v>
      </c>
      <c r="G892">
        <f>IFERROR([1]!s_stm07_is_104($A892,TEXT($B$1,"yyyy/mm/dd"),1),"")</f>
        <v>5553000000</v>
      </c>
      <c r="H892">
        <f>IFERROR([1]!s_stm07_is_105($A892,TEXT($B$1,"yyyy/mm/dd"),1),"")</f>
        <v>338000000</v>
      </c>
      <c r="I892">
        <f>IFERROR([1]!s_stm07_is($A892,"W72946623",TEXT($B$1,"yyyy/mm/dd"),1),"")</f>
        <v>4811000000</v>
      </c>
      <c r="J892">
        <f>IFERROR([1]!s_stm07_is($A892,"W30028333",TEXT($B$1,"yyyy/mm/dd"),1),"")</f>
        <v>857000000</v>
      </c>
      <c r="K892">
        <f>IFERROR([1]!s_stm07_cs($A892,"W77130581",TEXT($B$1,"yyyy/mm/dd"),1),"")</f>
        <v>38209000000</v>
      </c>
      <c r="L892">
        <f>IFERROR([1]!s_stm07_cs($A892,"W77745895",TEXT($B$1,"yyyy/mm/dd"),1),"")</f>
        <v>17767000000</v>
      </c>
      <c r="M892">
        <f>IFERROR([1]!S_FA_EPS_basic2($A892,$B$1,"Cur=CNY"),"")</f>
        <v>0.05</v>
      </c>
      <c r="N892">
        <f>IFERROR([1]!s_fa_arturndays($A892,TEXT($B$1,"yyyy/mm/dd")),"")</f>
        <v>7.3251999999999997</v>
      </c>
      <c r="O892" t="str">
        <f>IFERROR([1]!fa_apturndays($A892,TEXT($B$1,"yyyy/mm/dd")),"")</f>
        <v>Fetch...</v>
      </c>
      <c r="P892">
        <f>IFERROR([1]!s_fa_invturndays($A892,TEXT($B$1,"yyyy/mm/dd")),"")</f>
        <v>5.8249000000000004</v>
      </c>
    </row>
    <row r="893" spans="1:16">
      <c r="A893" t="s">
        <v>906</v>
      </c>
      <c r="B893">
        <f>IFERROR([1]!s_stm07_is($A893,"W70156729",TEXT($B$1,"yyyy/mm/dd"),1),"")</f>
        <v>74854368352.850006</v>
      </c>
      <c r="C893">
        <f>IFERROR([1]!s_stm07_is($A893,"W75682424",TEXT($B$1,"yyyy/mm/dd"),1),"")</f>
        <v>0</v>
      </c>
      <c r="D893">
        <f>IFERROR([1]!s_stm07_is($A893,"W76031679",TEXT($B$1,"yyyy/mm/dd"),1),"")</f>
        <v>0</v>
      </c>
      <c r="E893">
        <f>IFERROR([1]!s_stm07_is($A893,"W70752487",TEXT($B$1,"yyyy/mm/dd"),1),"")</f>
        <v>33114094162.209999</v>
      </c>
      <c r="F893">
        <f>IFERROR([1]!s_stm07_is_103($A893,TEXT($B$1,"yyyy/mm/dd"),1),"")</f>
        <v>0</v>
      </c>
      <c r="G893">
        <f>IFERROR([1]!s_stm07_is_104($A893,TEXT($B$1,"yyyy/mm/dd"),1),"")</f>
        <v>0</v>
      </c>
      <c r="H893">
        <f>IFERROR([1]!s_stm07_is_105($A893,TEXT($B$1,"yyyy/mm/dd"),1),"")</f>
        <v>0</v>
      </c>
      <c r="I893">
        <f>IFERROR([1]!s_stm07_is($A893,"W72946623",TEXT($B$1,"yyyy/mm/dd"),1),"")</f>
        <v>39822903030.260002</v>
      </c>
      <c r="J893">
        <f>IFERROR([1]!s_stm07_is($A893,"W30028333",TEXT($B$1,"yyyy/mm/dd"),1),"")</f>
        <v>30076100951.5</v>
      </c>
      <c r="K893">
        <f>IFERROR([1]!s_stm07_cs($A893,"W77130581",TEXT($B$1,"yyyy/mm/dd"),1),"")</f>
        <v>74104321265.960007</v>
      </c>
      <c r="L893">
        <f>IFERROR([1]!s_stm07_cs($A893,"W77745895",TEXT($B$1,"yyyy/mm/dd"),1),"")</f>
        <v>1494547333.6199999</v>
      </c>
      <c r="M893">
        <f>IFERROR([1]!S_FA_EPS_basic2($A893,$B$1,"Cur=CNY"),"")</f>
        <v>1.96</v>
      </c>
      <c r="N893">
        <f>IFERROR([1]!s_fa_arturndays($A893,TEXT($B$1,"yyyy/mm/dd")),"")</f>
        <v>0</v>
      </c>
      <c r="O893" t="str">
        <f>IFERROR([1]!fa_apturndays($A893,TEXT($B$1,"yyyy/mm/dd")),"")</f>
        <v>Fetch...</v>
      </c>
      <c r="P893">
        <f>IFERROR([1]!s_fa_invturndays($A893,TEXT($B$1,"yyyy/mm/dd")),"")</f>
        <v>0</v>
      </c>
    </row>
    <row r="894" spans="1:16">
      <c r="A894" t="s">
        <v>907</v>
      </c>
      <c r="B894">
        <f>IFERROR([1]!s_stm07_is($A894,"W70156729",TEXT($B$1,"yyyy/mm/dd"),1),"")</f>
        <v>89699505000</v>
      </c>
      <c r="C894">
        <f>IFERROR([1]!s_stm07_is($A894,"W75682424",TEXT($B$1,"yyyy/mm/dd"),1),"")</f>
        <v>64660293000</v>
      </c>
      <c r="D894">
        <f>IFERROR([1]!s_stm07_is($A894,"W76031679",TEXT($B$1,"yyyy/mm/dd"),1),"")</f>
        <v>6414677000</v>
      </c>
      <c r="E894">
        <f>IFERROR([1]!s_stm07_is($A894,"W70752487",TEXT($B$1,"yyyy/mm/dd"),1),"")</f>
        <v>2589074000</v>
      </c>
      <c r="F894">
        <f>IFERROR([1]!s_stm07_is_103($A894,TEXT($B$1,"yyyy/mm/dd"),1),"")</f>
        <v>5032789000</v>
      </c>
      <c r="G894">
        <f>IFERROR([1]!s_stm07_is_104($A894,TEXT($B$1,"yyyy/mm/dd"),1),"")</f>
        <v>568877000</v>
      </c>
      <c r="H894">
        <f>IFERROR([1]!s_stm07_is_105($A894,TEXT($B$1,"yyyy/mm/dd"),1),"")</f>
        <v>1149380000</v>
      </c>
      <c r="I894">
        <f>IFERROR([1]!s_stm07_is($A894,"W72946623",TEXT($B$1,"yyyy/mm/dd"),1),"")</f>
        <v>9907171000</v>
      </c>
      <c r="J894">
        <f>IFERROR([1]!s_stm07_is($A894,"W30028333",TEXT($B$1,"yyyy/mm/dd"),1),"")</f>
        <v>8408057000</v>
      </c>
      <c r="K894">
        <f>IFERROR([1]!s_stm07_cs($A894,"W77130581",TEXT($B$1,"yyyy/mm/dd"),1),"")</f>
        <v>19975261000</v>
      </c>
      <c r="L894">
        <f>IFERROR([1]!s_stm07_cs($A894,"W77745895",TEXT($B$1,"yyyy/mm/dd"),1),"")</f>
        <v>2771319000</v>
      </c>
      <c r="M894">
        <f>IFERROR([1]!S_FA_EPS_basic2($A894,$B$1,"Cur=CNY"),"")</f>
        <v>0.98340000000000005</v>
      </c>
      <c r="N894">
        <f>IFERROR([1]!s_fa_arturndays($A894,TEXT($B$1,"yyyy/mm/dd")),"")</f>
        <v>102.99250000000001</v>
      </c>
      <c r="O894" t="str">
        <f>IFERROR([1]!fa_apturndays($A894,TEXT($B$1,"yyyy/mm/dd")),"")</f>
        <v>Fetch...</v>
      </c>
      <c r="P894">
        <f>IFERROR([1]!s_fa_invturndays($A894,TEXT($B$1,"yyyy/mm/dd")),"")</f>
        <v>118.7257</v>
      </c>
    </row>
    <row r="895" spans="1:16">
      <c r="A895" t="s">
        <v>908</v>
      </c>
      <c r="B895">
        <f>IFERROR([1]!s_stm07_is($A895,"W70156729",TEXT($B$1,"yyyy/mm/dd"),1),"")</f>
        <v>4876154927.3100004</v>
      </c>
      <c r="C895">
        <f>IFERROR([1]!s_stm07_is($A895,"W75682424",TEXT($B$1,"yyyy/mm/dd"),1),"")</f>
        <v>2932612713.3499999</v>
      </c>
      <c r="D895">
        <f>IFERROR([1]!s_stm07_is($A895,"W76031679",TEXT($B$1,"yyyy/mm/dd"),1),"")</f>
        <v>0</v>
      </c>
      <c r="E895">
        <f>IFERROR([1]!s_stm07_is($A895,"W70752487",TEXT($B$1,"yyyy/mm/dd"),1),"")</f>
        <v>283390110.14999998</v>
      </c>
      <c r="F895">
        <f>IFERROR([1]!s_stm07_is_103($A895,TEXT($B$1,"yyyy/mm/dd"),1),"")</f>
        <v>11787790.310000001</v>
      </c>
      <c r="G895">
        <f>IFERROR([1]!s_stm07_is_104($A895,TEXT($B$1,"yyyy/mm/dd"),1),"")</f>
        <v>969685044.90999997</v>
      </c>
      <c r="H895">
        <f>IFERROR([1]!s_stm07_is_105($A895,TEXT($B$1,"yyyy/mm/dd"),1),"")</f>
        <v>6914070.0700000003</v>
      </c>
      <c r="I895">
        <f>IFERROR([1]!s_stm07_is($A895,"W72946623",TEXT($B$1,"yyyy/mm/dd"),1),"")</f>
        <v>910775899.96000004</v>
      </c>
      <c r="J895">
        <f>IFERROR([1]!s_stm07_is($A895,"W30028333",TEXT($B$1,"yyyy/mm/dd"),1),"")</f>
        <v>505929621.97000003</v>
      </c>
      <c r="K895">
        <f>IFERROR([1]!s_stm07_cs($A895,"W77130581",TEXT($B$1,"yyyy/mm/dd"),1),"")</f>
        <v>4500327841.6999998</v>
      </c>
      <c r="L895">
        <f>IFERROR([1]!s_stm07_cs($A895,"W77745895",TEXT($B$1,"yyyy/mm/dd"),1),"")</f>
        <v>2684668592.5500002</v>
      </c>
      <c r="M895">
        <f>IFERROR([1]!S_FA_EPS_basic2($A895,$B$1,"Cur=CNY"),"")</f>
        <v>0.2104</v>
      </c>
      <c r="N895">
        <f>IFERROR([1]!s_fa_arturndays($A895,TEXT($B$1,"yyyy/mm/dd")),"")</f>
        <v>619.40809999999999</v>
      </c>
      <c r="O895" t="str">
        <f>IFERROR([1]!fa_apturndays($A895,TEXT($B$1,"yyyy/mm/dd")),"")</f>
        <v>Fetch...</v>
      </c>
      <c r="P895">
        <f>IFERROR([1]!s_fa_invturndays($A895,TEXT($B$1,"yyyy/mm/dd")),"")</f>
        <v>1.4207000000000001</v>
      </c>
    </row>
    <row r="896" spans="1:16">
      <c r="A896" t="s">
        <v>909</v>
      </c>
      <c r="B896">
        <f>IFERROR([1]!s_stm07_is($A896,"W70156729",TEXT($B$1,"yyyy/mm/dd"),1),"")</f>
        <v>3049016105.6799998</v>
      </c>
      <c r="C896">
        <f>IFERROR([1]!s_stm07_is($A896,"W75682424",TEXT($B$1,"yyyy/mm/dd"),1),"")</f>
        <v>1347628541.8399999</v>
      </c>
      <c r="D896">
        <f>IFERROR([1]!s_stm07_is($A896,"W76031679",TEXT($B$1,"yyyy/mm/dd"),1),"")</f>
        <v>0</v>
      </c>
      <c r="E896">
        <f>IFERROR([1]!s_stm07_is($A896,"W70752487",TEXT($B$1,"yyyy/mm/dd"),1),"")</f>
        <v>111572116.98</v>
      </c>
      <c r="F896">
        <f>IFERROR([1]!s_stm07_is_103($A896,TEXT($B$1,"yyyy/mm/dd"),1),"")</f>
        <v>0</v>
      </c>
      <c r="G896">
        <f>IFERROR([1]!s_stm07_is_104($A896,TEXT($B$1,"yyyy/mm/dd"),1),"")</f>
        <v>32872659.989999998</v>
      </c>
      <c r="H896">
        <f>IFERROR([1]!s_stm07_is_105($A896,TEXT($B$1,"yyyy/mm/dd"),1),"")</f>
        <v>23393533.280000001</v>
      </c>
      <c r="I896">
        <f>IFERROR([1]!s_stm07_is($A896,"W72946623",TEXT($B$1,"yyyy/mm/dd"),1),"")</f>
        <v>1579817433.26</v>
      </c>
      <c r="J896">
        <f>IFERROR([1]!s_stm07_is($A896,"W30028333",TEXT($B$1,"yyyy/mm/dd"),1),"")</f>
        <v>948283788.90999997</v>
      </c>
      <c r="K896">
        <f>IFERROR([1]!s_stm07_cs($A896,"W77130581",TEXT($B$1,"yyyy/mm/dd"),1),"")</f>
        <v>2785399912.7199998</v>
      </c>
      <c r="L896">
        <f>IFERROR([1]!s_stm07_cs($A896,"W77745895",TEXT($B$1,"yyyy/mm/dd"),1),"")</f>
        <v>700215437.89999998</v>
      </c>
      <c r="M896">
        <f>IFERROR([1]!S_FA_EPS_basic2($A896,$B$1,"Cur=CNY"),"")</f>
        <v>0.34549999999999997</v>
      </c>
      <c r="N896">
        <f>IFERROR([1]!s_fa_arturndays($A896,TEXT($B$1,"yyyy/mm/dd")),"")</f>
        <v>75.622299999999996</v>
      </c>
      <c r="O896" t="str">
        <f>IFERROR([1]!fa_apturndays($A896,TEXT($B$1,"yyyy/mm/dd")),"")</f>
        <v>Fetch...</v>
      </c>
      <c r="P896">
        <f>IFERROR([1]!s_fa_invturndays($A896,TEXT($B$1,"yyyy/mm/dd")),"")</f>
        <v>3.2277</v>
      </c>
    </row>
    <row r="897" spans="1:16">
      <c r="A897" t="s">
        <v>910</v>
      </c>
      <c r="B897">
        <f>IFERROR([1]!s_stm07_is($A897,"W70156729",TEXT($B$1,"yyyy/mm/dd"),1),"")</f>
        <v>337532000000</v>
      </c>
      <c r="C897">
        <f>IFERROR([1]!s_stm07_is($A897,"W75682424",TEXT($B$1,"yyyy/mm/dd"),1),"")</f>
        <v>0</v>
      </c>
      <c r="D897">
        <f>IFERROR([1]!s_stm07_is($A897,"W76031679",TEXT($B$1,"yyyy/mm/dd"),1),"")</f>
        <v>0</v>
      </c>
      <c r="E897">
        <f>IFERROR([1]!s_stm07_is($A897,"W70752487",TEXT($B$1,"yyyy/mm/dd"),1),"")</f>
        <v>107952000000</v>
      </c>
      <c r="F897">
        <f>IFERROR([1]!s_stm07_is_103($A897,TEXT($B$1,"yyyy/mm/dd"),1),"")</f>
        <v>0</v>
      </c>
      <c r="G897">
        <f>IFERROR([1]!s_stm07_is_104($A897,TEXT($B$1,"yyyy/mm/dd"),1),"")</f>
        <v>0</v>
      </c>
      <c r="H897">
        <f>IFERROR([1]!s_stm07_is_105($A897,TEXT($B$1,"yyyy/mm/dd"),1),"")</f>
        <v>0</v>
      </c>
      <c r="I897">
        <f>IFERROR([1]!s_stm07_is($A897,"W72946623",TEXT($B$1,"yyyy/mm/dd"),1),"")</f>
        <v>178993000000</v>
      </c>
      <c r="J897">
        <f>IFERROR([1]!s_stm07_is($A897,"W30028333",TEXT($B$1,"yyyy/mm/dd"),1),"")</f>
        <v>150181000000</v>
      </c>
      <c r="K897">
        <f>IFERROR([1]!s_stm07_cs($A897,"W77130581",TEXT($B$1,"yyyy/mm/dd"),1),"")</f>
        <v>451457000000</v>
      </c>
      <c r="L897">
        <f>IFERROR([1]!s_stm07_cs($A897,"W77745895",TEXT($B$1,"yyyy/mm/dd"),1),"")</f>
        <v>28141000000</v>
      </c>
      <c r="M897">
        <f>IFERROR([1]!S_FA_EPS_basic2($A897,$B$1,"Cur=CNY"),"")</f>
        <v>5.7</v>
      </c>
      <c r="N897">
        <f>IFERROR([1]!s_fa_arturndays($A897,TEXT($B$1,"yyyy/mm/dd")),"")</f>
        <v>0</v>
      </c>
      <c r="O897" t="str">
        <f>IFERROR([1]!fa_apturndays($A897,TEXT($B$1,"yyyy/mm/dd")),"")</f>
        <v>Fetch...</v>
      </c>
      <c r="P897">
        <f>IFERROR([1]!s_fa_invturndays($A897,TEXT($B$1,"yyyy/mm/dd")),"")</f>
        <v>0</v>
      </c>
    </row>
    <row r="898" spans="1:16">
      <c r="A898" t="s">
        <v>911</v>
      </c>
      <c r="B898">
        <f>IFERROR([1]!s_stm07_is($A898,"W70156729",TEXT($B$1,"yyyy/mm/dd"),1),"")</f>
        <v>2219754557.9499998</v>
      </c>
      <c r="C898">
        <f>IFERROR([1]!s_stm07_is($A898,"W75682424",TEXT($B$1,"yyyy/mm/dd"),1),"")</f>
        <v>2085236738.78</v>
      </c>
      <c r="D898">
        <f>IFERROR([1]!s_stm07_is($A898,"W76031679",TEXT($B$1,"yyyy/mm/dd"),1),"")</f>
        <v>118483959.69</v>
      </c>
      <c r="E898">
        <f>IFERROR([1]!s_stm07_is($A898,"W70752487",TEXT($B$1,"yyyy/mm/dd"),1),"")</f>
        <v>120072996.44</v>
      </c>
      <c r="F898">
        <f>IFERROR([1]!s_stm07_is_103($A898,TEXT($B$1,"yyyy/mm/dd"),1),"")</f>
        <v>62979773.340000004</v>
      </c>
      <c r="G898">
        <f>IFERROR([1]!s_stm07_is_104($A898,TEXT($B$1,"yyyy/mm/dd"),1),"")</f>
        <v>12063158.939999999</v>
      </c>
      <c r="H898">
        <f>IFERROR([1]!s_stm07_is_105($A898,TEXT($B$1,"yyyy/mm/dd"),1),"")</f>
        <v>98333770.680000007</v>
      </c>
      <c r="I898">
        <f>IFERROR([1]!s_stm07_is($A898,"W72946623",TEXT($B$1,"yyyy/mm/dd"),1),"")</f>
        <v>38573485.939999998</v>
      </c>
      <c r="J898">
        <f>IFERROR([1]!s_stm07_is($A898,"W30028333",TEXT($B$1,"yyyy/mm/dd"),1),"")</f>
        <v>34313119.270000003</v>
      </c>
      <c r="K898">
        <f>IFERROR([1]!s_stm07_cs($A898,"W77130581",TEXT($B$1,"yyyy/mm/dd"),1),"")</f>
        <v>174708357.94</v>
      </c>
      <c r="L898">
        <f>IFERROR([1]!s_stm07_cs($A898,"W77745895",TEXT($B$1,"yyyy/mm/dd"),1),"")</f>
        <v>428201906.13999999</v>
      </c>
      <c r="M898">
        <f>IFERROR([1]!S_FA_EPS_basic2($A898,$B$1,"Cur=CNY"),"")</f>
        <v>2.47E-2</v>
      </c>
      <c r="N898">
        <f>IFERROR([1]!s_fa_arturndays($A898,TEXT($B$1,"yyyy/mm/dd")),"")</f>
        <v>104.4477</v>
      </c>
      <c r="O898" t="str">
        <f>IFERROR([1]!fa_apturndays($A898,TEXT($B$1,"yyyy/mm/dd")),"")</f>
        <v>Fetch...</v>
      </c>
      <c r="P898">
        <f>IFERROR([1]!s_fa_invturndays($A898,TEXT($B$1,"yyyy/mm/dd")),"")</f>
        <v>39.1083</v>
      </c>
    </row>
    <row r="899" spans="1:16">
      <c r="A899" t="s">
        <v>912</v>
      </c>
      <c r="B899">
        <f>IFERROR([1]!s_stm07_is($A899,"W70156729",TEXT($B$1,"yyyy/mm/dd"),1),"")</f>
        <v>29086417692.189999</v>
      </c>
      <c r="C899">
        <f>IFERROR([1]!s_stm07_is($A899,"W75682424",TEXT($B$1,"yyyy/mm/dd"),1),"")</f>
        <v>26403646839.25</v>
      </c>
      <c r="D899">
        <f>IFERROR([1]!s_stm07_is($A899,"W76031679",TEXT($B$1,"yyyy/mm/dd"),1),"")</f>
        <v>138656235.69999999</v>
      </c>
      <c r="E899">
        <f>IFERROR([1]!s_stm07_is($A899,"W70752487",TEXT($B$1,"yyyy/mm/dd"),1),"")</f>
        <v>1285342679.3900001</v>
      </c>
      <c r="F899">
        <f>IFERROR([1]!s_stm07_is_103($A899,TEXT($B$1,"yyyy/mm/dd"),1),"")</f>
        <v>842611583.64999998</v>
      </c>
      <c r="G899">
        <f>IFERROR([1]!s_stm07_is_104($A899,TEXT($B$1,"yyyy/mm/dd"),1),"")</f>
        <v>106197271.76000001</v>
      </c>
      <c r="H899">
        <f>IFERROR([1]!s_stm07_is_105($A899,TEXT($B$1,"yyyy/mm/dd"),1),"")</f>
        <v>83216680.019999996</v>
      </c>
      <c r="I899">
        <f>IFERROR([1]!s_stm07_is($A899,"W72946623",TEXT($B$1,"yyyy/mm/dd"),1),"")</f>
        <v>615385869.75</v>
      </c>
      <c r="J899">
        <f>IFERROR([1]!s_stm07_is($A899,"W30028333",TEXT($B$1,"yyyy/mm/dd"),1),"")</f>
        <v>651865073.67999995</v>
      </c>
      <c r="K899">
        <f>IFERROR([1]!s_stm07_cs($A899,"W77130581",TEXT($B$1,"yyyy/mm/dd"),1),"")</f>
        <v>-10776483173.76</v>
      </c>
      <c r="L899">
        <f>IFERROR([1]!s_stm07_cs($A899,"W77745895",TEXT($B$1,"yyyy/mm/dd"),1),"")</f>
        <v>784624932.53999996</v>
      </c>
      <c r="M899">
        <f>IFERROR([1]!S_FA_EPS_basic2($A899,$B$1,"Cur=CNY"),"")</f>
        <v>0.79510000000000003</v>
      </c>
      <c r="N899">
        <f>IFERROR([1]!s_fa_arturndays($A899,TEXT($B$1,"yyyy/mm/dd")),"")</f>
        <v>133.6353</v>
      </c>
      <c r="O899" t="str">
        <f>IFERROR([1]!fa_apturndays($A899,TEXT($B$1,"yyyy/mm/dd")),"")</f>
        <v>Fetch...</v>
      </c>
      <c r="P899">
        <f>IFERROR([1]!s_fa_invturndays($A899,TEXT($B$1,"yyyy/mm/dd")),"")</f>
        <v>278.91840000000002</v>
      </c>
    </row>
    <row r="900" spans="1:16">
      <c r="A900" t="s">
        <v>913</v>
      </c>
      <c r="B900">
        <f>IFERROR([1]!s_stm07_is($A900,"W70156729",TEXT($B$1,"yyyy/mm/dd"),1),"")</f>
        <v>115111412828.74001</v>
      </c>
      <c r="C900">
        <f>IFERROR([1]!s_stm07_is($A900,"W75682424",TEXT($B$1,"yyyy/mm/dd"),1),"")</f>
        <v>98585221907.080002</v>
      </c>
      <c r="D900">
        <f>IFERROR([1]!s_stm07_is($A900,"W76031679",TEXT($B$1,"yyyy/mm/dd"),1),"")</f>
        <v>22419272.370000001</v>
      </c>
      <c r="E900">
        <f>IFERROR([1]!s_stm07_is($A900,"W70752487",TEXT($B$1,"yyyy/mm/dd"),1),"")</f>
        <v>2081959142.02</v>
      </c>
      <c r="F900">
        <f>IFERROR([1]!s_stm07_is_103($A900,TEXT($B$1,"yyyy/mm/dd"),1),"")</f>
        <v>1868930726.0999999</v>
      </c>
      <c r="G900">
        <f>IFERROR([1]!s_stm07_is_104($A900,TEXT($B$1,"yyyy/mm/dd"),1),"")</f>
        <v>2332952892.5900002</v>
      </c>
      <c r="H900">
        <f>IFERROR([1]!s_stm07_is_105($A900,TEXT($B$1,"yyyy/mm/dd"),1),"")</f>
        <v>149591478.53999999</v>
      </c>
      <c r="I900">
        <f>IFERROR([1]!s_stm07_is($A900,"W72946623",TEXT($B$1,"yyyy/mm/dd"),1),"")</f>
        <v>9360479595.2000008</v>
      </c>
      <c r="J900">
        <f>IFERROR([1]!s_stm07_is($A900,"W30028333",TEXT($B$1,"yyyy/mm/dd"),1),"")</f>
        <v>7296866124.0600004</v>
      </c>
      <c r="K900">
        <f>IFERROR([1]!s_stm07_cs($A900,"W77130581",TEXT($B$1,"yyyy/mm/dd"),1),"")</f>
        <v>7722656091.8100004</v>
      </c>
      <c r="L900">
        <f>IFERROR([1]!s_stm07_cs($A900,"W77745895",TEXT($B$1,"yyyy/mm/dd"),1),"")</f>
        <v>1142930039.29</v>
      </c>
      <c r="M900">
        <f>IFERROR([1]!S_FA_EPS_basic2($A900,$B$1,"Cur=CNY"),"")</f>
        <v>0.84</v>
      </c>
      <c r="N900">
        <f>IFERROR([1]!s_fa_arturndays($A900,TEXT($B$1,"yyyy/mm/dd")),"")</f>
        <v>105.40179999999999</v>
      </c>
      <c r="O900" t="str">
        <f>IFERROR([1]!fa_apturndays($A900,TEXT($B$1,"yyyy/mm/dd")),"")</f>
        <v>Fetch...</v>
      </c>
      <c r="P900">
        <f>IFERROR([1]!s_fa_invturndays($A900,TEXT($B$1,"yyyy/mm/dd")),"")</f>
        <v>325.73289999999997</v>
      </c>
    </row>
    <row r="901" spans="1:16">
      <c r="A901" t="s">
        <v>914</v>
      </c>
      <c r="B901">
        <f>IFERROR([1]!s_stm07_is($A901,"W70156729",TEXT($B$1,"yyyy/mm/dd"),1),"")</f>
        <v>308144189553.44</v>
      </c>
      <c r="C901">
        <f>IFERROR([1]!s_stm07_is($A901,"W75682424",TEXT($B$1,"yyyy/mm/dd"),1),"")</f>
        <v>268856981959.45001</v>
      </c>
      <c r="D901">
        <f>IFERROR([1]!s_stm07_is($A901,"W76031679",TEXT($B$1,"yyyy/mm/dd"),1),"")</f>
        <v>8735253047.7800007</v>
      </c>
      <c r="E901">
        <f>IFERROR([1]!s_stm07_is($A901,"W70752487",TEXT($B$1,"yyyy/mm/dd"),1),"")</f>
        <v>4506687535.8400002</v>
      </c>
      <c r="F901">
        <f>IFERROR([1]!s_stm07_is_103($A901,TEXT($B$1,"yyyy/mm/dd"),1),"")</f>
        <v>36820429.75</v>
      </c>
      <c r="G901">
        <f>IFERROR([1]!s_stm07_is_104($A901,TEXT($B$1,"yyyy/mm/dd"),1),"")</f>
        <v>4637866774.6899996</v>
      </c>
      <c r="H901">
        <f>IFERROR([1]!s_stm07_is_105($A901,TEXT($B$1,"yyyy/mm/dd"),1),"")</f>
        <v>987331014.50999999</v>
      </c>
      <c r="I901">
        <f>IFERROR([1]!s_stm07_is($A901,"W72946623",TEXT($B$1,"yyyy/mm/dd"),1),"")</f>
        <v>9737374888.7600002</v>
      </c>
      <c r="J901">
        <f>IFERROR([1]!s_stm07_is($A901,"W30028333",TEXT($B$1,"yyyy/mm/dd"),1),"")</f>
        <v>1034698076.02</v>
      </c>
      <c r="K901">
        <f>IFERROR([1]!s_stm07_cs($A901,"W77130581",TEXT($B$1,"yyyy/mm/dd"),1),"")</f>
        <v>15189148652.370001</v>
      </c>
      <c r="L901">
        <f>IFERROR([1]!s_stm07_cs($A901,"W77745895",TEXT($B$1,"yyyy/mm/dd"),1),"")</f>
        <v>487461254.13</v>
      </c>
      <c r="M901">
        <f>IFERROR([1]!S_FA_EPS_basic2($A901,$B$1,"Cur=CNY"),"")</f>
        <v>0.09</v>
      </c>
      <c r="N901">
        <f>IFERROR([1]!s_fa_arturndays($A901,TEXT($B$1,"yyyy/mm/dd")),"")</f>
        <v>7.3334999999999999</v>
      </c>
      <c r="O901" t="str">
        <f>IFERROR([1]!fa_apturndays($A901,TEXT($B$1,"yyyy/mm/dd")),"")</f>
        <v>Fetch...</v>
      </c>
      <c r="P901">
        <f>IFERROR([1]!s_fa_invturndays($A901,TEXT($B$1,"yyyy/mm/dd")),"")</f>
        <v>982.26469999999995</v>
      </c>
    </row>
    <row r="902" spans="1:16">
      <c r="A902" t="s">
        <v>915</v>
      </c>
      <c r="B902">
        <f>IFERROR([1]!s_stm07_is($A902,"W70156729",TEXT($B$1,"yyyy/mm/dd"),1),"")</f>
        <v>392222880560</v>
      </c>
      <c r="C902">
        <f>IFERROR([1]!s_stm07_is($A902,"W75682424",TEXT($B$1,"yyyy/mm/dd"),1),"")</f>
        <v>299905867750</v>
      </c>
      <c r="D902">
        <f>IFERROR([1]!s_stm07_is($A902,"W76031679",TEXT($B$1,"yyyy/mm/dd"),1),"")</f>
        <v>37411504802</v>
      </c>
      <c r="E902">
        <f>IFERROR([1]!s_stm07_is($A902,"W70752487",TEXT($B$1,"yyyy/mm/dd"),1),"")</f>
        <v>22881260960</v>
      </c>
      <c r="F902">
        <f>IFERROR([1]!s_stm07_is_103($A902,TEXT($B$1,"yyyy/mm/dd"),1),"")</f>
        <v>8983800247</v>
      </c>
      <c r="G902">
        <f>IFERROR([1]!s_stm07_is_104($A902,TEXT($B$1,"yyyy/mm/dd"),1),"")</f>
        <v>1220492285</v>
      </c>
      <c r="H902">
        <f>IFERROR([1]!s_stm07_is_105($A902,TEXT($B$1,"yyyy/mm/dd"),1),"")</f>
        <v>1771396758</v>
      </c>
      <c r="I902">
        <f>IFERROR([1]!s_stm07_is($A902,"W72946623",TEXT($B$1,"yyyy/mm/dd"),1),"")</f>
        <v>25302808365</v>
      </c>
      <c r="J902">
        <f>IFERROR([1]!s_stm07_is($A902,"W30028333",TEXT($B$1,"yyyy/mm/dd"),1),"")</f>
        <v>9126662570</v>
      </c>
      <c r="K902">
        <f>IFERROR([1]!s_stm07_cs($A902,"W77130581",TEXT($B$1,"yyyy/mm/dd"),1),"")</f>
        <v>91410552538</v>
      </c>
      <c r="L902">
        <f>IFERROR([1]!s_stm07_cs($A902,"W77745895",TEXT($B$1,"yyyy/mm/dd"),1),"")</f>
        <v>67640587024</v>
      </c>
      <c r="M902">
        <f>IFERROR([1]!S_FA_EPS_basic2($A902,$B$1,"Cur=CNY"),"")</f>
        <v>0.29210000000000003</v>
      </c>
      <c r="N902">
        <f>IFERROR([1]!s_fa_arturndays($A902,TEXT($B$1,"yyyy/mm/dd")),"")</f>
        <v>56.153500000000001</v>
      </c>
      <c r="O902" t="str">
        <f>IFERROR([1]!fa_apturndays($A902,TEXT($B$1,"yyyy/mm/dd")),"")</f>
        <v>Fetch...</v>
      </c>
      <c r="P902">
        <f>IFERROR([1]!s_fa_invturndays($A902,TEXT($B$1,"yyyy/mm/dd")),"")</f>
        <v>3.4967000000000001</v>
      </c>
    </row>
    <row r="903" spans="1:16">
      <c r="A903" t="s">
        <v>916</v>
      </c>
      <c r="B903">
        <f>IFERROR([1]!s_stm07_is($A903,"W70156729",TEXT($B$1,"yyyy/mm/dd"),1),"")</f>
        <v>1346993071.1900001</v>
      </c>
      <c r="C903">
        <f>IFERROR([1]!s_stm07_is($A903,"W75682424",TEXT($B$1,"yyyy/mm/dd"),1),"")</f>
        <v>989174287.69000006</v>
      </c>
      <c r="D903">
        <f>IFERROR([1]!s_stm07_is($A903,"W76031679",TEXT($B$1,"yyyy/mm/dd"),1),"")</f>
        <v>277078445.99000001</v>
      </c>
      <c r="E903">
        <f>IFERROR([1]!s_stm07_is($A903,"W70752487",TEXT($B$1,"yyyy/mm/dd"),1),"")</f>
        <v>129251384.08</v>
      </c>
      <c r="F903">
        <f>IFERROR([1]!s_stm07_is_103($A903,TEXT($B$1,"yyyy/mm/dd"),1),"")</f>
        <v>263190676.09999999</v>
      </c>
      <c r="G903">
        <f>IFERROR([1]!s_stm07_is_104($A903,TEXT($B$1,"yyyy/mm/dd"),1),"")</f>
        <v>1272653.49</v>
      </c>
      <c r="H903">
        <f>IFERROR([1]!s_stm07_is_105($A903,TEXT($B$1,"yyyy/mm/dd"),1),"")</f>
        <v>52545470.840000004</v>
      </c>
      <c r="I903">
        <f>IFERROR([1]!s_stm07_is($A903,"W72946623",TEXT($B$1,"yyyy/mm/dd"),1),"")</f>
        <v>-300514608.35000002</v>
      </c>
      <c r="J903">
        <f>IFERROR([1]!s_stm07_is($A903,"W30028333",TEXT($B$1,"yyyy/mm/dd"),1),"")</f>
        <v>-227860105.15000001</v>
      </c>
      <c r="K903">
        <f>IFERROR([1]!s_stm07_cs($A903,"W77130581",TEXT($B$1,"yyyy/mm/dd"),1),"")</f>
        <v>-251953240.28</v>
      </c>
      <c r="L903">
        <f>IFERROR([1]!s_stm07_cs($A903,"W77745895",TEXT($B$1,"yyyy/mm/dd"),1),"")</f>
        <v>98998956.040000007</v>
      </c>
      <c r="M903">
        <f>IFERROR([1]!S_FA_EPS_basic2($A903,$B$1,"Cur=CNY"),"")</f>
        <v>-0.32400000000000001</v>
      </c>
      <c r="N903">
        <f>IFERROR([1]!s_fa_arturndays($A903,TEXT($B$1,"yyyy/mm/dd")),"")</f>
        <v>109.4158</v>
      </c>
      <c r="O903" t="str">
        <f>IFERROR([1]!fa_apturndays($A903,TEXT($B$1,"yyyy/mm/dd")),"")</f>
        <v>Fetch...</v>
      </c>
      <c r="P903">
        <f>IFERROR([1]!s_fa_invturndays($A903,TEXT($B$1,"yyyy/mm/dd")),"")</f>
        <v>155.57480000000001</v>
      </c>
    </row>
    <row r="904" spans="1:16">
      <c r="A904" t="s">
        <v>917</v>
      </c>
      <c r="B904">
        <f>IFERROR([1]!s_stm07_is($A904,"W70156729",TEXT($B$1,"yyyy/mm/dd"),1),"")</f>
        <v>35361621734.949997</v>
      </c>
      <c r="C904">
        <f>IFERROR([1]!s_stm07_is($A904,"W75682424",TEXT($B$1,"yyyy/mm/dd"),1),"")</f>
        <v>31647847213.84</v>
      </c>
      <c r="D904">
        <f>IFERROR([1]!s_stm07_is($A904,"W76031679",TEXT($B$1,"yyyy/mm/dd"),1),"")</f>
        <v>1014532766.54</v>
      </c>
      <c r="E904">
        <f>IFERROR([1]!s_stm07_is($A904,"W70752487",TEXT($B$1,"yyyy/mm/dd"),1),"")</f>
        <v>1077687896.0699999</v>
      </c>
      <c r="F904">
        <f>IFERROR([1]!s_stm07_is_103($A904,TEXT($B$1,"yyyy/mm/dd"),1),"")</f>
        <v>158375583.87</v>
      </c>
      <c r="G904">
        <f>IFERROR([1]!s_stm07_is_104($A904,TEXT($B$1,"yyyy/mm/dd"),1),"")</f>
        <v>197025891.50999999</v>
      </c>
      <c r="H904">
        <f>IFERROR([1]!s_stm07_is_105($A904,TEXT($B$1,"yyyy/mm/dd"),1),"")</f>
        <v>34826067.57</v>
      </c>
      <c r="I904">
        <f>IFERROR([1]!s_stm07_is($A904,"W72946623",TEXT($B$1,"yyyy/mm/dd"),1),"")</f>
        <v>999294796.62</v>
      </c>
      <c r="J904">
        <f>IFERROR([1]!s_stm07_is($A904,"W30028333",TEXT($B$1,"yyyy/mm/dd"),1),"")</f>
        <v>473229055.13999999</v>
      </c>
      <c r="K904">
        <f>IFERROR([1]!s_stm07_cs($A904,"W77130581",TEXT($B$1,"yyyy/mm/dd"),1),"")</f>
        <v>1425879279.02</v>
      </c>
      <c r="L904">
        <f>IFERROR([1]!s_stm07_cs($A904,"W77745895",TEXT($B$1,"yyyy/mm/dd"),1),"")</f>
        <v>333113437.85000002</v>
      </c>
      <c r="M904">
        <f>IFERROR([1]!S_FA_EPS_basic2($A904,$B$1,"Cur=CNY"),"")</f>
        <v>0.31640000000000001</v>
      </c>
      <c r="N904">
        <f>IFERROR([1]!s_fa_arturndays($A904,TEXT($B$1,"yyyy/mm/dd")),"")</f>
        <v>137.1011</v>
      </c>
      <c r="O904" t="str">
        <f>IFERROR([1]!fa_apturndays($A904,TEXT($B$1,"yyyy/mm/dd")),"")</f>
        <v>Fetch...</v>
      </c>
      <c r="P904">
        <f>IFERROR([1]!s_fa_invturndays($A904,TEXT($B$1,"yyyy/mm/dd")),"")</f>
        <v>67.706100000000006</v>
      </c>
    </row>
    <row r="905" spans="1:16">
      <c r="A905" t="s">
        <v>918</v>
      </c>
      <c r="B905">
        <f>IFERROR([1]!s_stm07_is($A905,"W70156729",TEXT($B$1,"yyyy/mm/dd"),1),"")</f>
        <v>410291222808.48999</v>
      </c>
      <c r="C905">
        <f>IFERROR([1]!s_stm07_is($A905,"W75682424",TEXT($B$1,"yyyy/mm/dd"),1),"")</f>
        <v>401768071847.15002</v>
      </c>
      <c r="D905">
        <f>IFERROR([1]!s_stm07_is($A905,"W76031679",TEXT($B$1,"yyyy/mm/dd"),1),"")</f>
        <v>1834468229.99</v>
      </c>
      <c r="E905">
        <f>IFERROR([1]!s_stm07_is($A905,"W70752487",TEXT($B$1,"yyyy/mm/dd"),1),"")</f>
        <v>1527033095.3699999</v>
      </c>
      <c r="F905">
        <f>IFERROR([1]!s_stm07_is_103($A905,TEXT($B$1,"yyyy/mm/dd"),1),"")</f>
        <v>84082682.290000007</v>
      </c>
      <c r="G905">
        <f>IFERROR([1]!s_stm07_is_104($A905,TEXT($B$1,"yyyy/mm/dd"),1),"")</f>
        <v>787155347.21000004</v>
      </c>
      <c r="H905">
        <f>IFERROR([1]!s_stm07_is_105($A905,TEXT($B$1,"yyyy/mm/dd"),1),"")</f>
        <v>548647471.76999998</v>
      </c>
      <c r="I905">
        <f>IFERROR([1]!s_stm07_is($A905,"W72946623",TEXT($B$1,"yyyy/mm/dd"),1),"")</f>
        <v>2270430981.3800001</v>
      </c>
      <c r="J905">
        <f>IFERROR([1]!s_stm07_is($A905,"W30028333",TEXT($B$1,"yyyy/mm/dd"),1),"")</f>
        <v>1292994120.1199999</v>
      </c>
      <c r="K905">
        <f>IFERROR([1]!s_stm07_cs($A905,"W77130581",TEXT($B$1,"yyyy/mm/dd"),1),"")</f>
        <v>10097343712.940001</v>
      </c>
      <c r="L905">
        <f>IFERROR([1]!s_stm07_cs($A905,"W77745895",TEXT($B$1,"yyyy/mm/dd"),1),"")</f>
        <v>1281895191.96</v>
      </c>
      <c r="M905">
        <f>IFERROR([1]!S_FA_EPS_basic2($A905,$B$1,"Cur=CNY"),"")</f>
        <v>0.3</v>
      </c>
      <c r="N905">
        <f>IFERROR([1]!s_fa_arturndays($A905,TEXT($B$1,"yyyy/mm/dd")),"")</f>
        <v>15.392799999999999</v>
      </c>
      <c r="O905" t="str">
        <f>IFERROR([1]!fa_apturndays($A905,TEXT($B$1,"yyyy/mm/dd")),"")</f>
        <v>Fetch...</v>
      </c>
      <c r="P905">
        <f>IFERROR([1]!s_fa_invturndays($A905,TEXT($B$1,"yyyy/mm/dd")),"")</f>
        <v>26.7989</v>
      </c>
    </row>
    <row r="906" spans="1:16">
      <c r="A906" t="s">
        <v>919</v>
      </c>
      <c r="B906">
        <f>IFERROR([1]!s_stm07_is($A906,"W70156729",TEXT($B$1,"yyyy/mm/dd"),1),"")</f>
        <v>52822973783.839996</v>
      </c>
      <c r="C906">
        <f>IFERROR([1]!s_stm07_is($A906,"W75682424",TEXT($B$1,"yyyy/mm/dd"),1),"")</f>
        <v>50976344655.559998</v>
      </c>
      <c r="D906">
        <f>IFERROR([1]!s_stm07_is($A906,"W76031679",TEXT($B$1,"yyyy/mm/dd"),1),"")</f>
        <v>59579080.25</v>
      </c>
      <c r="E906">
        <f>IFERROR([1]!s_stm07_is($A906,"W70752487",TEXT($B$1,"yyyy/mm/dd"),1),"")</f>
        <v>1148192238.6400001</v>
      </c>
      <c r="F906">
        <f>IFERROR([1]!s_stm07_is_103($A906,TEXT($B$1,"yyyy/mm/dd"),1),"")</f>
        <v>11289863.58</v>
      </c>
      <c r="G906">
        <f>IFERROR([1]!s_stm07_is_104($A906,TEXT($B$1,"yyyy/mm/dd"),1),"")</f>
        <v>114820523.09999999</v>
      </c>
      <c r="H906">
        <f>IFERROR([1]!s_stm07_is_105($A906,TEXT($B$1,"yyyy/mm/dd"),1),"")</f>
        <v>25048601.649999999</v>
      </c>
      <c r="I906">
        <f>IFERROR([1]!s_stm07_is($A906,"W72946623",TEXT($B$1,"yyyy/mm/dd"),1),"")</f>
        <v>176114042.66</v>
      </c>
      <c r="J906">
        <f>IFERROR([1]!s_stm07_is($A906,"W30028333",TEXT($B$1,"yyyy/mm/dd"),1),"")</f>
        <v>19103827.280000001</v>
      </c>
      <c r="K906">
        <f>IFERROR([1]!s_stm07_cs($A906,"W77130581",TEXT($B$1,"yyyy/mm/dd"),1),"")</f>
        <v>1223385423.4100001</v>
      </c>
      <c r="L906">
        <f>IFERROR([1]!s_stm07_cs($A906,"W77745895",TEXT($B$1,"yyyy/mm/dd"),1),"")</f>
        <v>84037767</v>
      </c>
      <c r="M906">
        <f>IFERROR([1]!S_FA_EPS_basic2($A906,$B$1,"Cur=CNY"),"")</f>
        <v>-0.05</v>
      </c>
      <c r="N906">
        <f>IFERROR([1]!s_fa_arturndays($A906,TEXT($B$1,"yyyy/mm/dd")),"")</f>
        <v>55.813099999999999</v>
      </c>
      <c r="O906" t="str">
        <f>IFERROR([1]!fa_apturndays($A906,TEXT($B$1,"yyyy/mm/dd")),"")</f>
        <v>Fetch...</v>
      </c>
      <c r="P906">
        <f>IFERROR([1]!s_fa_invturndays($A906,TEXT($B$1,"yyyy/mm/dd")),"")</f>
        <v>17.8371</v>
      </c>
    </row>
    <row r="907" spans="1:16">
      <c r="A907" t="s">
        <v>920</v>
      </c>
      <c r="B907">
        <f>IFERROR([1]!s_stm07_is($A907,"W70156729",TEXT($B$1,"yyyy/mm/dd"),1),"")</f>
        <v>1830840685.49</v>
      </c>
      <c r="C907">
        <f>IFERROR([1]!s_stm07_is($A907,"W75682424",TEXT($B$1,"yyyy/mm/dd"),1),"")</f>
        <v>1141088037.03</v>
      </c>
      <c r="D907">
        <f>IFERROR([1]!s_stm07_is($A907,"W76031679",TEXT($B$1,"yyyy/mm/dd"),1),"")</f>
        <v>253354528.66</v>
      </c>
      <c r="E907">
        <f>IFERROR([1]!s_stm07_is($A907,"W70752487",TEXT($B$1,"yyyy/mm/dd"),1),"")</f>
        <v>108603119.06999999</v>
      </c>
      <c r="F907">
        <f>IFERROR([1]!s_stm07_is_103($A907,TEXT($B$1,"yyyy/mm/dd"),1),"")</f>
        <v>33983562.280000001</v>
      </c>
      <c r="G907">
        <f>IFERROR([1]!s_stm07_is_104($A907,TEXT($B$1,"yyyy/mm/dd"),1),"")</f>
        <v>251926.84</v>
      </c>
      <c r="H907">
        <f>IFERROR([1]!s_stm07_is_105($A907,TEXT($B$1,"yyyy/mm/dd"),1),"")</f>
        <v>34804559.859999999</v>
      </c>
      <c r="I907">
        <f>IFERROR([1]!s_stm07_is($A907,"W72946623",TEXT($B$1,"yyyy/mm/dd"),1),"")</f>
        <v>299628465.22000003</v>
      </c>
      <c r="J907">
        <f>IFERROR([1]!s_stm07_is($A907,"W30028333",TEXT($B$1,"yyyy/mm/dd"),1),"")</f>
        <v>222300238.5</v>
      </c>
      <c r="K907">
        <f>IFERROR([1]!s_stm07_cs($A907,"W77130581",TEXT($B$1,"yyyy/mm/dd"),1),"")</f>
        <v>337308759.67000002</v>
      </c>
      <c r="L907">
        <f>IFERROR([1]!s_stm07_cs($A907,"W77745895",TEXT($B$1,"yyyy/mm/dd"),1),"")</f>
        <v>236299084.22999999</v>
      </c>
      <c r="M907">
        <f>IFERROR([1]!S_FA_EPS_basic2($A907,$B$1,"Cur=CNY"),"")</f>
        <v>0.25</v>
      </c>
      <c r="N907">
        <f>IFERROR([1]!s_fa_arturndays($A907,TEXT($B$1,"yyyy/mm/dd")),"")</f>
        <v>42.030500000000004</v>
      </c>
      <c r="O907" t="str">
        <f>IFERROR([1]!fa_apturndays($A907,TEXT($B$1,"yyyy/mm/dd")),"")</f>
        <v>Fetch...</v>
      </c>
      <c r="P907">
        <f>IFERROR([1]!s_fa_invturndays($A907,TEXT($B$1,"yyyy/mm/dd")),"")</f>
        <v>593.37400000000002</v>
      </c>
    </row>
    <row r="908" spans="1:16">
      <c r="A908" t="s">
        <v>921</v>
      </c>
      <c r="B908">
        <f>IFERROR([1]!s_stm07_is($A908,"W70156729",TEXT($B$1,"yyyy/mm/dd"),1),"")</f>
        <v>57679224941.739998</v>
      </c>
      <c r="C908">
        <f>IFERROR([1]!s_stm07_is($A908,"W75682424",TEXT($B$1,"yyyy/mm/dd"),1),"")</f>
        <v>48044544917.279999</v>
      </c>
      <c r="D908">
        <f>IFERROR([1]!s_stm07_is($A908,"W76031679",TEXT($B$1,"yyyy/mm/dd"),1),"")</f>
        <v>3858226118.3000002</v>
      </c>
      <c r="E908">
        <f>IFERROR([1]!s_stm07_is($A908,"W70752487",TEXT($B$1,"yyyy/mm/dd"),1),"")</f>
        <v>1010447523.88</v>
      </c>
      <c r="F908">
        <f>IFERROR([1]!s_stm07_is_103($A908,TEXT($B$1,"yyyy/mm/dd"),1),"")</f>
        <v>2388275755.9699998</v>
      </c>
      <c r="G908">
        <f>IFERROR([1]!s_stm07_is_104($A908,TEXT($B$1,"yyyy/mm/dd"),1),"")</f>
        <v>35739060.539999999</v>
      </c>
      <c r="H908">
        <f>IFERROR([1]!s_stm07_is_105($A908,TEXT($B$1,"yyyy/mm/dd"),1),"")</f>
        <v>21340951.809999999</v>
      </c>
      <c r="I908">
        <f>IFERROR([1]!s_stm07_is($A908,"W72946623",TEXT($B$1,"yyyy/mm/dd"),1),"")</f>
        <v>3227317499.9099998</v>
      </c>
      <c r="J908">
        <f>IFERROR([1]!s_stm07_is($A908,"W30028333",TEXT($B$1,"yyyy/mm/dd"),1),"")</f>
        <v>2454011405.4299998</v>
      </c>
      <c r="K908">
        <f>IFERROR([1]!s_stm07_cs($A908,"W77130581",TEXT($B$1,"yyyy/mm/dd"),1),"")</f>
        <v>4583216212.7200003</v>
      </c>
      <c r="L908">
        <f>IFERROR([1]!s_stm07_cs($A908,"W77745895",TEXT($B$1,"yyyy/mm/dd"),1),"")</f>
        <v>557088898.85000002</v>
      </c>
      <c r="M908">
        <f>IFERROR([1]!S_FA_EPS_basic2($A908,$B$1,"Cur=CNY"),"")</f>
        <v>1.8879999999999999</v>
      </c>
      <c r="N908">
        <f>IFERROR([1]!s_fa_arturndays($A908,TEXT($B$1,"yyyy/mm/dd")),"")</f>
        <v>38.392200000000003</v>
      </c>
      <c r="O908" t="str">
        <f>IFERROR([1]!fa_apturndays($A908,TEXT($B$1,"yyyy/mm/dd")),"")</f>
        <v>Fetch...</v>
      </c>
      <c r="P908">
        <f>IFERROR([1]!s_fa_invturndays($A908,TEXT($B$1,"yyyy/mm/dd")),"")</f>
        <v>42.804099999999998</v>
      </c>
    </row>
    <row r="909" spans="1:16">
      <c r="A909" t="s">
        <v>922</v>
      </c>
      <c r="B909">
        <f>IFERROR([1]!s_stm07_is($A909,"W70156729",TEXT($B$1,"yyyy/mm/dd"),1),"")</f>
        <v>13544250146.32</v>
      </c>
      <c r="C909">
        <f>IFERROR([1]!s_stm07_is($A909,"W75682424",TEXT($B$1,"yyyy/mm/dd"),1),"")</f>
        <v>21442705.620000001</v>
      </c>
      <c r="D909">
        <f>IFERROR([1]!s_stm07_is($A909,"W76031679",TEXT($B$1,"yyyy/mm/dd"),1),"")</f>
        <v>0</v>
      </c>
      <c r="E909">
        <f>IFERROR([1]!s_stm07_is($A909,"W70752487",TEXT($B$1,"yyyy/mm/dd"),1),"")</f>
        <v>6984977955.7700005</v>
      </c>
      <c r="F909">
        <f>IFERROR([1]!s_stm07_is_103($A909,TEXT($B$1,"yyyy/mm/dd"),1),"")</f>
        <v>274119645.94</v>
      </c>
      <c r="G909">
        <f>IFERROR([1]!s_stm07_is_104($A909,TEXT($B$1,"yyyy/mm/dd"),1),"")</f>
        <v>434434371.51999998</v>
      </c>
      <c r="H909">
        <f>IFERROR([1]!s_stm07_is_105($A909,TEXT($B$1,"yyyy/mm/dd"),1),"")</f>
        <v>5070159.93</v>
      </c>
      <c r="I909">
        <f>IFERROR([1]!s_stm07_is($A909,"W72946623",TEXT($B$1,"yyyy/mm/dd"),1),"")</f>
        <v>4659177571.6099997</v>
      </c>
      <c r="J909">
        <f>IFERROR([1]!s_stm07_is($A909,"W30028333",TEXT($B$1,"yyyy/mm/dd"),1),"")</f>
        <v>3279299080.1199999</v>
      </c>
      <c r="K909">
        <f>IFERROR([1]!s_stm07_cs($A909,"W77130581",TEXT($B$1,"yyyy/mm/dd"),1),"")</f>
        <v>14885318419.6</v>
      </c>
      <c r="L909">
        <f>IFERROR([1]!s_stm07_cs($A909,"W77745895",TEXT($B$1,"yyyy/mm/dd"),1),"")</f>
        <v>441649478.69</v>
      </c>
      <c r="M909">
        <f>IFERROR([1]!S_FA_EPS_basic2($A909,$B$1,"Cur=CNY"),"")</f>
        <v>0.5</v>
      </c>
      <c r="N909">
        <f>IFERROR([1]!s_fa_arturndays($A909,TEXT($B$1,"yyyy/mm/dd")),"")</f>
        <v>4152.2491</v>
      </c>
      <c r="O909" t="str">
        <f>IFERROR([1]!fa_apturndays($A909,TEXT($B$1,"yyyy/mm/dd")),"")</f>
        <v>Fetch...</v>
      </c>
      <c r="P909">
        <f>IFERROR([1]!s_fa_invturndays($A909,TEXT($B$1,"yyyy/mm/dd")),"")</f>
        <v>0</v>
      </c>
    </row>
    <row r="910" spans="1:16">
      <c r="A910" t="s">
        <v>923</v>
      </c>
      <c r="B910">
        <f>IFERROR([1]!s_stm07_is($A910,"W70156729",TEXT($B$1,"yyyy/mm/dd"),1),"")</f>
        <v>11000795324.940001</v>
      </c>
      <c r="C910">
        <f>IFERROR([1]!s_stm07_is($A910,"W75682424",TEXT($B$1,"yyyy/mm/dd"),1),"")</f>
        <v>4618797557.9300003</v>
      </c>
      <c r="D910">
        <f>IFERROR([1]!s_stm07_is($A910,"W76031679",TEXT($B$1,"yyyy/mm/dd"),1),"")</f>
        <v>3052528761.0900002</v>
      </c>
      <c r="E910">
        <f>IFERROR([1]!s_stm07_is($A910,"W70752487",TEXT($B$1,"yyyy/mm/dd"),1),"")</f>
        <v>966887908.09000003</v>
      </c>
      <c r="F910">
        <f>IFERROR([1]!s_stm07_is_103($A910,TEXT($B$1,"yyyy/mm/dd"),1),"")</f>
        <v>531600445.04000002</v>
      </c>
      <c r="G910">
        <f>IFERROR([1]!s_stm07_is_104($A910,TEXT($B$1,"yyyy/mm/dd"),1),"")</f>
        <v>33582127.170000002</v>
      </c>
      <c r="H910">
        <f>IFERROR([1]!s_stm07_is_105($A910,TEXT($B$1,"yyyy/mm/dd"),1),"")</f>
        <v>26657700.789999999</v>
      </c>
      <c r="I910">
        <f>IFERROR([1]!s_stm07_is($A910,"W72946623",TEXT($B$1,"yyyy/mm/dd"),1),"")</f>
        <v>1910741542.4000001</v>
      </c>
      <c r="J910">
        <f>IFERROR([1]!s_stm07_is($A910,"W30028333",TEXT($B$1,"yyyy/mm/dd"),1),"")</f>
        <v>1646949551.48</v>
      </c>
      <c r="K910">
        <f>IFERROR([1]!s_stm07_cs($A910,"W77130581",TEXT($B$1,"yyyy/mm/dd"),1),"")</f>
        <v>1489514452.2</v>
      </c>
      <c r="L910">
        <f>IFERROR([1]!s_stm07_cs($A910,"W77745895",TEXT($B$1,"yyyy/mm/dd"),1),"")</f>
        <v>619632268.59000003</v>
      </c>
      <c r="M910">
        <f>IFERROR([1]!S_FA_EPS_basic2($A910,$B$1,"Cur=CNY"),"")</f>
        <v>1.5949</v>
      </c>
      <c r="N910">
        <f>IFERROR([1]!s_fa_arturndays($A910,TEXT($B$1,"yyyy/mm/dd")),"")</f>
        <v>62.151499999999999</v>
      </c>
      <c r="O910" t="str">
        <f>IFERROR([1]!fa_apturndays($A910,TEXT($B$1,"yyyy/mm/dd")),"")</f>
        <v>Fetch...</v>
      </c>
      <c r="P910">
        <f>IFERROR([1]!s_fa_invturndays($A910,TEXT($B$1,"yyyy/mm/dd")),"")</f>
        <v>124.3781</v>
      </c>
    </row>
    <row r="911" spans="1:16">
      <c r="A911" t="s">
        <v>924</v>
      </c>
      <c r="B911">
        <f>IFERROR([1]!s_stm07_is($A911,"W70156729",TEXT($B$1,"yyyy/mm/dd"),1),"")</f>
        <v>8012280751.3599997</v>
      </c>
      <c r="C911">
        <f>IFERROR([1]!s_stm07_is($A911,"W75682424",TEXT($B$1,"yyyy/mm/dd"),1),"")</f>
        <v>6997260447.9899998</v>
      </c>
      <c r="D911">
        <f>IFERROR([1]!s_stm07_is($A911,"W76031679",TEXT($B$1,"yyyy/mm/dd"),1),"")</f>
        <v>46980535.329999998</v>
      </c>
      <c r="E911">
        <f>IFERROR([1]!s_stm07_is($A911,"W70752487",TEXT($B$1,"yyyy/mm/dd"),1),"")</f>
        <v>282092417.31999999</v>
      </c>
      <c r="F911">
        <f>IFERROR([1]!s_stm07_is_103($A911,TEXT($B$1,"yyyy/mm/dd"),1),"")</f>
        <v>392389404.26999998</v>
      </c>
      <c r="G911">
        <f>IFERROR([1]!s_stm07_is_104($A911,TEXT($B$1,"yyyy/mm/dd"),1),"")</f>
        <v>78280577.859999999</v>
      </c>
      <c r="H911">
        <f>IFERROR([1]!s_stm07_is_105($A911,TEXT($B$1,"yyyy/mm/dd"),1),"")</f>
        <v>171344679.06999999</v>
      </c>
      <c r="I911">
        <f>IFERROR([1]!s_stm07_is($A911,"W72946623",TEXT($B$1,"yyyy/mm/dd"),1),"")</f>
        <v>491216334.57999998</v>
      </c>
      <c r="J911">
        <f>IFERROR([1]!s_stm07_is($A911,"W30028333",TEXT($B$1,"yyyy/mm/dd"),1),"")</f>
        <v>433994145.51999998</v>
      </c>
      <c r="K911">
        <f>IFERROR([1]!s_stm07_cs($A911,"W77130581",TEXT($B$1,"yyyy/mm/dd"),1),"")</f>
        <v>334888738.07999998</v>
      </c>
      <c r="L911">
        <f>IFERROR([1]!s_stm07_cs($A911,"W77745895",TEXT($B$1,"yyyy/mm/dd"),1),"")</f>
        <v>850801217.09000003</v>
      </c>
      <c r="M911">
        <f>IFERROR([1]!S_FA_EPS_basic2($A911,$B$1,"Cur=CNY"),"")</f>
        <v>0.21</v>
      </c>
      <c r="N911">
        <f>IFERROR([1]!s_fa_arturndays($A911,TEXT($B$1,"yyyy/mm/dd")),"")</f>
        <v>26.4848</v>
      </c>
      <c r="O911" t="str">
        <f>IFERROR([1]!fa_apturndays($A911,TEXT($B$1,"yyyy/mm/dd")),"")</f>
        <v>Fetch...</v>
      </c>
      <c r="P911">
        <f>IFERROR([1]!s_fa_invturndays($A911,TEXT($B$1,"yyyy/mm/dd")),"")</f>
        <v>50.233699999999999</v>
      </c>
    </row>
    <row r="912" spans="1:16">
      <c r="A912" t="s">
        <v>925</v>
      </c>
      <c r="B912">
        <f>IFERROR([1]!s_stm07_is($A912,"W70156729",TEXT($B$1,"yyyy/mm/dd"),1),"")</f>
        <v>3418217404.23</v>
      </c>
      <c r="C912">
        <f>IFERROR([1]!s_stm07_is($A912,"W75682424",TEXT($B$1,"yyyy/mm/dd"),1),"")</f>
        <v>2626100195.4400001</v>
      </c>
      <c r="D912">
        <f>IFERROR([1]!s_stm07_is($A912,"W76031679",TEXT($B$1,"yyyy/mm/dd"),1),"")</f>
        <v>204435072.59999999</v>
      </c>
      <c r="E912">
        <f>IFERROR([1]!s_stm07_is($A912,"W70752487",TEXT($B$1,"yyyy/mm/dd"),1),"")</f>
        <v>147569396.59999999</v>
      </c>
      <c r="F912">
        <f>IFERROR([1]!s_stm07_is_103($A912,TEXT($B$1,"yyyy/mm/dd"),1),"")</f>
        <v>45943874.340000004</v>
      </c>
      <c r="G912">
        <f>IFERROR([1]!s_stm07_is_104($A912,TEXT($B$1,"yyyy/mm/dd"),1),"")</f>
        <v>195727646.12</v>
      </c>
      <c r="H912">
        <f>IFERROR([1]!s_stm07_is_105($A912,TEXT($B$1,"yyyy/mm/dd"),1),"")</f>
        <v>3203166</v>
      </c>
      <c r="I912">
        <f>IFERROR([1]!s_stm07_is($A912,"W72946623",TEXT($B$1,"yyyy/mm/dd"),1),"")</f>
        <v>1708413785.52</v>
      </c>
      <c r="J912">
        <f>IFERROR([1]!s_stm07_is($A912,"W30028333",TEXT($B$1,"yyyy/mm/dd"),1),"")</f>
        <v>1830225541.6600001</v>
      </c>
      <c r="K912">
        <f>IFERROR([1]!s_stm07_cs($A912,"W77130581",TEXT($B$1,"yyyy/mm/dd"),1),"")</f>
        <v>980519893.59000003</v>
      </c>
      <c r="L912">
        <f>IFERROR([1]!s_stm07_cs($A912,"W77745895",TEXT($B$1,"yyyy/mm/dd"),1),"")</f>
        <v>55681383.68</v>
      </c>
      <c r="M912">
        <f>IFERROR([1]!S_FA_EPS_basic2($A912,$B$1,"Cur=CNY"),"")</f>
        <v>1.0580000000000001</v>
      </c>
      <c r="N912">
        <f>IFERROR([1]!s_fa_arturndays($A912,TEXT($B$1,"yyyy/mm/dd")),"")</f>
        <v>82.637</v>
      </c>
      <c r="O912" t="str">
        <f>IFERROR([1]!fa_apturndays($A912,TEXT($B$1,"yyyy/mm/dd")),"")</f>
        <v>Fetch...</v>
      </c>
      <c r="P912">
        <f>IFERROR([1]!s_fa_invturndays($A912,TEXT($B$1,"yyyy/mm/dd")),"")</f>
        <v>1604.2781</v>
      </c>
    </row>
    <row r="913" spans="1:16">
      <c r="A913" t="s">
        <v>926</v>
      </c>
      <c r="B913">
        <f>IFERROR([1]!s_stm07_is($A913,"W70156729",TEXT($B$1,"yyyy/mm/dd"),1),"")</f>
        <v>41426173982.339996</v>
      </c>
      <c r="C913">
        <f>IFERROR([1]!s_stm07_is($A913,"W75682424",TEXT($B$1,"yyyy/mm/dd"),1),"")</f>
        <v>31425443228.880001</v>
      </c>
      <c r="D913">
        <f>IFERROR([1]!s_stm07_is($A913,"W76031679",TEXT($B$1,"yyyy/mm/dd"),1),"")</f>
        <v>1423374803.01</v>
      </c>
      <c r="E913">
        <f>IFERROR([1]!s_stm07_is($A913,"W70752487",TEXT($B$1,"yyyy/mm/dd"),1),"")</f>
        <v>834951937.37</v>
      </c>
      <c r="F913">
        <f>IFERROR([1]!s_stm07_is_103($A913,TEXT($B$1,"yyyy/mm/dd"),1),"")</f>
        <v>1807731443.3</v>
      </c>
      <c r="G913">
        <f>IFERROR([1]!s_stm07_is_104($A913,TEXT($B$1,"yyyy/mm/dd"),1),"")</f>
        <v>0</v>
      </c>
      <c r="H913">
        <f>IFERROR([1]!s_stm07_is_105($A913,TEXT($B$1,"yyyy/mm/dd"),1),"")</f>
        <v>56461901.68</v>
      </c>
      <c r="I913">
        <f>IFERROR([1]!s_stm07_is($A913,"W72946623",TEXT($B$1,"yyyy/mm/dd"),1),"")</f>
        <v>6518694617.8999996</v>
      </c>
      <c r="J913">
        <f>IFERROR([1]!s_stm07_is($A913,"W30028333",TEXT($B$1,"yyyy/mm/dd"),1),"")</f>
        <v>5554481970.8999996</v>
      </c>
      <c r="K913">
        <f>IFERROR([1]!s_stm07_cs($A913,"W77130581",TEXT($B$1,"yyyy/mm/dd"),1),"")</f>
        <v>3196679778.25</v>
      </c>
      <c r="L913">
        <f>IFERROR([1]!s_stm07_cs($A913,"W77745895",TEXT($B$1,"yyyy/mm/dd"),1),"")</f>
        <v>729488117.05999994</v>
      </c>
      <c r="M913">
        <f>IFERROR([1]!S_FA_EPS_basic2($A913,$B$1,"Cur=CNY"),"")</f>
        <v>2.5099999999999998</v>
      </c>
      <c r="N913">
        <f>IFERROR([1]!s_fa_arturndays($A913,TEXT($B$1,"yyyy/mm/dd")),"")</f>
        <v>41.784700000000001</v>
      </c>
      <c r="O913" t="str">
        <f>IFERROR([1]!fa_apturndays($A913,TEXT($B$1,"yyyy/mm/dd")),"")</f>
        <v>Fetch...</v>
      </c>
      <c r="P913">
        <f>IFERROR([1]!s_fa_invturndays($A913,TEXT($B$1,"yyyy/mm/dd")),"")</f>
        <v>41.272100000000002</v>
      </c>
    </row>
    <row r="914" spans="1:16">
      <c r="A914" t="s">
        <v>927</v>
      </c>
      <c r="B914">
        <f>IFERROR([1]!s_stm07_is($A914,"W70156729",TEXT($B$1,"yyyy/mm/dd"),1),"")</f>
        <v>10351257336.280001</v>
      </c>
      <c r="C914">
        <f>IFERROR([1]!s_stm07_is($A914,"W75682424",TEXT($B$1,"yyyy/mm/dd"),1),"")</f>
        <v>12354474624.66</v>
      </c>
      <c r="D914">
        <f>IFERROR([1]!s_stm07_is($A914,"W76031679",TEXT($B$1,"yyyy/mm/dd"),1),"")</f>
        <v>85127680.400000006</v>
      </c>
      <c r="E914">
        <f>IFERROR([1]!s_stm07_is($A914,"W70752487",TEXT($B$1,"yyyy/mm/dd"),1),"")</f>
        <v>583057300.42999995</v>
      </c>
      <c r="F914">
        <f>IFERROR([1]!s_stm07_is_103($A914,TEXT($B$1,"yyyy/mm/dd"),1),"")</f>
        <v>412642259.91000003</v>
      </c>
      <c r="G914">
        <f>IFERROR([1]!s_stm07_is_104($A914,TEXT($B$1,"yyyy/mm/dd"),1),"")</f>
        <v>461232120.86000001</v>
      </c>
      <c r="H914">
        <f>IFERROR([1]!s_stm07_is_105($A914,TEXT($B$1,"yyyy/mm/dd"),1),"")</f>
        <v>58426569.479999997</v>
      </c>
      <c r="I914">
        <f>IFERROR([1]!s_stm07_is($A914,"W72946623",TEXT($B$1,"yyyy/mm/dd"),1),"")</f>
        <v>-3892103289.3200002</v>
      </c>
      <c r="J914">
        <f>IFERROR([1]!s_stm07_is($A914,"W30028333",TEXT($B$1,"yyyy/mm/dd"),1),"")</f>
        <v>-3386892398.75</v>
      </c>
      <c r="K914">
        <f>IFERROR([1]!s_stm07_cs($A914,"W77130581",TEXT($B$1,"yyyy/mm/dd"),1),"")</f>
        <v>-236542673.13999999</v>
      </c>
      <c r="L914">
        <f>IFERROR([1]!s_stm07_cs($A914,"W77745895",TEXT($B$1,"yyyy/mm/dd"),1),"")</f>
        <v>5101126025.1099997</v>
      </c>
      <c r="M914">
        <f>IFERROR([1]!S_FA_EPS_basic2($A914,$B$1,"Cur=CNY"),"")</f>
        <v>-2.2486000000000002</v>
      </c>
      <c r="N914">
        <f>IFERROR([1]!s_fa_arturndays($A914,TEXT($B$1,"yyyy/mm/dd")),"")</f>
        <v>240.54519999999999</v>
      </c>
      <c r="O914" t="str">
        <f>IFERROR([1]!fa_apturndays($A914,TEXT($B$1,"yyyy/mm/dd")),"")</f>
        <v>Fetch...</v>
      </c>
      <c r="P914">
        <f>IFERROR([1]!s_fa_invturndays($A914,TEXT($B$1,"yyyy/mm/dd")),"")</f>
        <v>191.09289999999999</v>
      </c>
    </row>
    <row r="915" spans="1:16">
      <c r="A915" t="s">
        <v>928</v>
      </c>
      <c r="B915">
        <f>IFERROR([1]!s_stm07_is($A915,"W70156729",TEXT($B$1,"yyyy/mm/dd"),1),"")</f>
        <v>10487823729.91</v>
      </c>
      <c r="C915">
        <f>IFERROR([1]!s_stm07_is($A915,"W75682424",TEXT($B$1,"yyyy/mm/dd"),1),"")</f>
        <v>9167912512.6700001</v>
      </c>
      <c r="D915">
        <f>IFERROR([1]!s_stm07_is($A915,"W76031679",TEXT($B$1,"yyyy/mm/dd"),1),"")</f>
        <v>107228462.11</v>
      </c>
      <c r="E915">
        <f>IFERROR([1]!s_stm07_is($A915,"W70752487",TEXT($B$1,"yyyy/mm/dd"),1),"")</f>
        <v>452586962.92000002</v>
      </c>
      <c r="F915">
        <f>IFERROR([1]!s_stm07_is_103($A915,TEXT($B$1,"yyyy/mm/dd"),1),"")</f>
        <v>425205379.07999998</v>
      </c>
      <c r="G915">
        <f>IFERROR([1]!s_stm07_is_104($A915,TEXT($B$1,"yyyy/mm/dd"),1),"")</f>
        <v>235674102.71000001</v>
      </c>
      <c r="H915">
        <f>IFERROR([1]!s_stm07_is_105($A915,TEXT($B$1,"yyyy/mm/dd"),1),"")</f>
        <v>12283562.24</v>
      </c>
      <c r="I915">
        <f>IFERROR([1]!s_stm07_is($A915,"W72946623",TEXT($B$1,"yyyy/mm/dd"),1),"")</f>
        <v>20802614.129999999</v>
      </c>
      <c r="J915">
        <f>IFERROR([1]!s_stm07_is($A915,"W30028333",TEXT($B$1,"yyyy/mm/dd"),1),"")</f>
        <v>-57074737.490000002</v>
      </c>
      <c r="K915">
        <f>IFERROR([1]!s_stm07_cs($A915,"W77130581",TEXT($B$1,"yyyy/mm/dd"),1),"")</f>
        <v>787800388.11000001</v>
      </c>
      <c r="L915">
        <f>IFERROR([1]!s_stm07_cs($A915,"W77745895",TEXT($B$1,"yyyy/mm/dd"),1),"")</f>
        <v>1101357754.8199999</v>
      </c>
      <c r="M915">
        <f>IFERROR([1]!S_FA_EPS_basic2($A915,$B$1,"Cur=CNY"),"")</f>
        <v>-0.03</v>
      </c>
      <c r="N915">
        <f>IFERROR([1]!s_fa_arturndays($A915,TEXT($B$1,"yyyy/mm/dd")),"")</f>
        <v>1.3607</v>
      </c>
      <c r="O915" t="str">
        <f>IFERROR([1]!fa_apturndays($A915,TEXT($B$1,"yyyy/mm/dd")),"")</f>
        <v>Fetch...</v>
      </c>
      <c r="P915">
        <f>IFERROR([1]!s_fa_invturndays($A915,TEXT($B$1,"yyyy/mm/dd")),"")</f>
        <v>32.853299999999997</v>
      </c>
    </row>
    <row r="916" spans="1:16">
      <c r="A916" t="s">
        <v>929</v>
      </c>
      <c r="B916">
        <f>IFERROR([1]!s_stm07_is($A916,"W70156729",TEXT($B$1,"yyyy/mm/dd"),1),"")</f>
        <v>17256185123.82</v>
      </c>
      <c r="C916">
        <f>IFERROR([1]!s_stm07_is($A916,"W75682424",TEXT($B$1,"yyyy/mm/dd"),1),"")</f>
        <v>9857731306.5699997</v>
      </c>
      <c r="D916">
        <f>IFERROR([1]!s_stm07_is($A916,"W76031679",TEXT($B$1,"yyyy/mm/dd"),1),"")</f>
        <v>3532291542.2600002</v>
      </c>
      <c r="E916">
        <f>IFERROR([1]!s_stm07_is($A916,"W70752487",TEXT($B$1,"yyyy/mm/dd"),1),"")</f>
        <v>1422601095</v>
      </c>
      <c r="F916">
        <f>IFERROR([1]!s_stm07_is_103($A916,TEXT($B$1,"yyyy/mm/dd"),1),"")</f>
        <v>291984399.79000002</v>
      </c>
      <c r="G916">
        <f>IFERROR([1]!s_stm07_is_104($A916,TEXT($B$1,"yyyy/mm/dd"),1),"")</f>
        <v>124481051.09999999</v>
      </c>
      <c r="H916">
        <f>IFERROR([1]!s_stm07_is_105($A916,TEXT($B$1,"yyyy/mm/dd"),1),"")</f>
        <v>203265342.55000001</v>
      </c>
      <c r="I916">
        <f>IFERROR([1]!s_stm07_is($A916,"W72946623",TEXT($B$1,"yyyy/mm/dd"),1),"")</f>
        <v>2026688959.1700001</v>
      </c>
      <c r="J916">
        <f>IFERROR([1]!s_stm07_is($A916,"W30028333",TEXT($B$1,"yyyy/mm/dd"),1),"")</f>
        <v>1189374356.8800001</v>
      </c>
      <c r="K916">
        <f>IFERROR([1]!s_stm07_cs($A916,"W77130581",TEXT($B$1,"yyyy/mm/dd"),1),"")</f>
        <v>2692870707.2600002</v>
      </c>
      <c r="L916">
        <f>IFERROR([1]!s_stm07_cs($A916,"W77745895",TEXT($B$1,"yyyy/mm/dd"),1),"")</f>
        <v>357297923.48000002</v>
      </c>
      <c r="M916">
        <f>IFERROR([1]!S_FA_EPS_basic2($A916,$B$1,"Cur=CNY"),"")</f>
        <v>0.86699999999999999</v>
      </c>
      <c r="N916">
        <f>IFERROR([1]!s_fa_arturndays($A916,TEXT($B$1,"yyyy/mm/dd")),"")</f>
        <v>24.222200000000001</v>
      </c>
      <c r="O916" t="str">
        <f>IFERROR([1]!fa_apturndays($A916,TEXT($B$1,"yyyy/mm/dd")),"")</f>
        <v>Fetch...</v>
      </c>
      <c r="P916">
        <f>IFERROR([1]!s_fa_invturndays($A916,TEXT($B$1,"yyyy/mm/dd")),"")</f>
        <v>389.77910000000003</v>
      </c>
    </row>
    <row r="917" spans="1:16">
      <c r="A917" t="s">
        <v>930</v>
      </c>
      <c r="B917">
        <f>IFERROR([1]!s_stm07_is($A917,"W70156729",TEXT($B$1,"yyyy/mm/dd"),1),"")</f>
        <v>97318077030.240005</v>
      </c>
      <c r="C917">
        <f>IFERROR([1]!s_stm07_is($A917,"W75682424",TEXT($B$1,"yyyy/mm/dd"),1),"")</f>
        <v>78945644025.740005</v>
      </c>
      <c r="D917">
        <f>IFERROR([1]!s_stm07_is($A917,"W76031679",TEXT($B$1,"yyyy/mm/dd"),1),"")</f>
        <v>3325218720.96</v>
      </c>
      <c r="E917">
        <f>IFERROR([1]!s_stm07_is($A917,"W70752487",TEXT($B$1,"yyyy/mm/dd"),1),"")</f>
        <v>3746020467.79</v>
      </c>
      <c r="F917">
        <f>IFERROR([1]!s_stm07_is_103($A917,TEXT($B$1,"yyyy/mm/dd"),1),"")</f>
        <v>1732056031.1300001</v>
      </c>
      <c r="G917">
        <f>IFERROR([1]!s_stm07_is_104($A917,TEXT($B$1,"yyyy/mm/dd"),1),"")</f>
        <v>1472199878.9300001</v>
      </c>
      <c r="H917">
        <f>IFERROR([1]!s_stm07_is_105($A917,TEXT($B$1,"yyyy/mm/dd"),1),"")</f>
        <v>194541545.78</v>
      </c>
      <c r="I917">
        <f>IFERROR([1]!s_stm07_is($A917,"W72946623",TEXT($B$1,"yyyy/mm/dd"),1),"")</f>
        <v>8051775234.54</v>
      </c>
      <c r="J917">
        <f>IFERROR([1]!s_stm07_is($A917,"W30028333",TEXT($B$1,"yyyy/mm/dd"),1),"")</f>
        <v>5954294958.25</v>
      </c>
      <c r="K917">
        <f>IFERROR([1]!s_stm07_cs($A917,"W77130581",TEXT($B$1,"yyyy/mm/dd"),1),"")</f>
        <v>9330630988.8099995</v>
      </c>
      <c r="L917">
        <f>IFERROR([1]!s_stm07_cs($A917,"W77745895",TEXT($B$1,"yyyy/mm/dd"),1),"")</f>
        <v>22078386964.860001</v>
      </c>
      <c r="M917">
        <f>IFERROR([1]!S_FA_EPS_basic2($A917,$B$1,"Cur=CNY"),"")</f>
        <v>1.161</v>
      </c>
      <c r="N917">
        <f>IFERROR([1]!s_fa_arturndays($A917,TEXT($B$1,"yyyy/mm/dd")),"")</f>
        <v>67.453599999999994</v>
      </c>
      <c r="O917" t="str">
        <f>IFERROR([1]!fa_apturndays($A917,TEXT($B$1,"yyyy/mm/dd")),"")</f>
        <v>Fetch...</v>
      </c>
      <c r="P917">
        <f>IFERROR([1]!s_fa_invturndays($A917,TEXT($B$1,"yyyy/mm/dd")),"")</f>
        <v>116.64449999999999</v>
      </c>
    </row>
    <row r="918" spans="1:16">
      <c r="A918" t="s">
        <v>931</v>
      </c>
      <c r="B918">
        <f>IFERROR([1]!s_stm07_is($A918,"W70156729",TEXT($B$1,"yyyy/mm/dd"),1),"")</f>
        <v>2246548569.5100002</v>
      </c>
      <c r="C918">
        <f>IFERROR([1]!s_stm07_is($A918,"W75682424",TEXT($B$1,"yyyy/mm/dd"),1),"")</f>
        <v>1784045409.6900001</v>
      </c>
      <c r="D918">
        <f>IFERROR([1]!s_stm07_is($A918,"W76031679",TEXT($B$1,"yyyy/mm/dd"),1),"")</f>
        <v>132928977.18000001</v>
      </c>
      <c r="E918">
        <f>IFERROR([1]!s_stm07_is($A918,"W70752487",TEXT($B$1,"yyyy/mm/dd"),1),"")</f>
        <v>150107237.00999999</v>
      </c>
      <c r="F918">
        <f>IFERROR([1]!s_stm07_is_103($A918,TEXT($B$1,"yyyy/mm/dd"),1),"")</f>
        <v>0</v>
      </c>
      <c r="G918">
        <f>IFERROR([1]!s_stm07_is_104($A918,TEXT($B$1,"yyyy/mm/dd"),1),"")</f>
        <v>193521224.05000001</v>
      </c>
      <c r="H918">
        <f>IFERROR([1]!s_stm07_is_105($A918,TEXT($B$1,"yyyy/mm/dd"),1),"")</f>
        <v>1156947.19</v>
      </c>
      <c r="I918">
        <f>IFERROR([1]!s_stm07_is($A918,"W72946623",TEXT($B$1,"yyyy/mm/dd"),1),"")</f>
        <v>166957234.31</v>
      </c>
      <c r="J918">
        <f>IFERROR([1]!s_stm07_is($A918,"W30028333",TEXT($B$1,"yyyy/mm/dd"),1),"")</f>
        <v>143478990.09</v>
      </c>
      <c r="K918">
        <f>IFERROR([1]!s_stm07_cs($A918,"W77130581",TEXT($B$1,"yyyy/mm/dd"),1),"")</f>
        <v>648795247.51999998</v>
      </c>
      <c r="L918">
        <f>IFERROR([1]!s_stm07_cs($A918,"W77745895",TEXT($B$1,"yyyy/mm/dd"),1),"")</f>
        <v>8278624.4800000004</v>
      </c>
      <c r="M918">
        <f>IFERROR([1]!S_FA_EPS_basic2($A918,$B$1,"Cur=CNY"),"")</f>
        <v>0.06</v>
      </c>
      <c r="N918">
        <f>IFERROR([1]!s_fa_arturndays($A918,TEXT($B$1,"yyyy/mm/dd")),"")</f>
        <v>27.036000000000001</v>
      </c>
      <c r="O918" t="str">
        <f>IFERROR([1]!fa_apturndays($A918,TEXT($B$1,"yyyy/mm/dd")),"")</f>
        <v>Fetch...</v>
      </c>
      <c r="P918">
        <f>IFERROR([1]!s_fa_invturndays($A918,TEXT($B$1,"yyyy/mm/dd")),"")</f>
        <v>1856.6270999999999</v>
      </c>
    </row>
    <row r="919" spans="1:16">
      <c r="A919" t="s">
        <v>932</v>
      </c>
      <c r="B919">
        <f>IFERROR([1]!s_stm07_is($A919,"W70156729",TEXT($B$1,"yyyy/mm/dd"),1),"")</f>
        <v>2419523292.6399999</v>
      </c>
      <c r="C919">
        <f>IFERROR([1]!s_stm07_is($A919,"W75682424",TEXT($B$1,"yyyy/mm/dd"),1),"")</f>
        <v>287405199.81</v>
      </c>
      <c r="D919">
        <f>IFERROR([1]!s_stm07_is($A919,"W76031679",TEXT($B$1,"yyyy/mm/dd"),1),"")</f>
        <v>6458417.3099999996</v>
      </c>
      <c r="E919">
        <f>IFERROR([1]!s_stm07_is($A919,"W70752487",TEXT($B$1,"yyyy/mm/dd"),1),"")</f>
        <v>1319657063.3599999</v>
      </c>
      <c r="F919">
        <f>IFERROR([1]!s_stm07_is_103($A919,TEXT($B$1,"yyyy/mm/dd"),1),"")</f>
        <v>120568.78</v>
      </c>
      <c r="G919">
        <f>IFERROR([1]!s_stm07_is_104($A919,TEXT($B$1,"yyyy/mm/dd"),1),"")</f>
        <v>43438560.57</v>
      </c>
      <c r="H919">
        <f>IFERROR([1]!s_stm07_is_105($A919,TEXT($B$1,"yyyy/mm/dd"),1),"")</f>
        <v>1462108.24</v>
      </c>
      <c r="I919">
        <f>IFERROR([1]!s_stm07_is($A919,"W72946623",TEXT($B$1,"yyyy/mm/dd"),1),"")</f>
        <v>651515918.34000003</v>
      </c>
      <c r="J919">
        <f>IFERROR([1]!s_stm07_is($A919,"W30028333",TEXT($B$1,"yyyy/mm/dd"),1),"")</f>
        <v>464125694.20999998</v>
      </c>
      <c r="K919">
        <f>IFERROR([1]!s_stm07_cs($A919,"W77130581",TEXT($B$1,"yyyy/mm/dd"),1),"")</f>
        <v>1644411199.1099999</v>
      </c>
      <c r="L919">
        <f>IFERROR([1]!s_stm07_cs($A919,"W77745895",TEXT($B$1,"yyyy/mm/dd"),1),"")</f>
        <v>58006202.950000003</v>
      </c>
      <c r="M919">
        <f>IFERROR([1]!S_FA_EPS_basic2($A919,$B$1,"Cur=CNY"),"")</f>
        <v>0.16289999999999999</v>
      </c>
      <c r="N919">
        <f>IFERROR([1]!s_fa_arturndays($A919,TEXT($B$1,"yyyy/mm/dd")),"")</f>
        <v>1171.1125999999999</v>
      </c>
      <c r="O919" t="str">
        <f>IFERROR([1]!fa_apturndays($A919,TEXT($B$1,"yyyy/mm/dd")),"")</f>
        <v>Fetch...</v>
      </c>
      <c r="P919">
        <f>IFERROR([1]!s_fa_invturndays($A919,TEXT($B$1,"yyyy/mm/dd")),"")</f>
        <v>25.141400000000001</v>
      </c>
    </row>
    <row r="920" spans="1:16">
      <c r="A920" t="s">
        <v>933</v>
      </c>
      <c r="B920">
        <f>IFERROR([1]!s_stm07_is($A920,"W70156729",TEXT($B$1,"yyyy/mm/dd"),1),"")</f>
        <v>48414923741.779999</v>
      </c>
      <c r="C920">
        <f>IFERROR([1]!s_stm07_is($A920,"W75682424",TEXT($B$1,"yyyy/mm/dd"),1),"")</f>
        <v>38628440951.949997</v>
      </c>
      <c r="D920">
        <f>IFERROR([1]!s_stm07_is($A920,"W76031679",TEXT($B$1,"yyyy/mm/dd"),1),"")</f>
        <v>703560170.17999995</v>
      </c>
      <c r="E920">
        <f>IFERROR([1]!s_stm07_is($A920,"W70752487",TEXT($B$1,"yyyy/mm/dd"),1),"")</f>
        <v>903048493.64999998</v>
      </c>
      <c r="F920">
        <f>IFERROR([1]!s_stm07_is_103($A920,TEXT($B$1,"yyyy/mm/dd"),1),"")</f>
        <v>731248497.28999996</v>
      </c>
      <c r="G920">
        <f>IFERROR([1]!s_stm07_is_104($A920,TEXT($B$1,"yyyy/mm/dd"),1),"")</f>
        <v>370743824.08999997</v>
      </c>
      <c r="H920">
        <f>IFERROR([1]!s_stm07_is_105($A920,TEXT($B$1,"yyyy/mm/dd"),1),"")</f>
        <v>96751593.890000001</v>
      </c>
      <c r="I920">
        <f>IFERROR([1]!s_stm07_is($A920,"W72946623",TEXT($B$1,"yyyy/mm/dd"),1),"")</f>
        <v>6495196443.9499998</v>
      </c>
      <c r="J920">
        <f>IFERROR([1]!s_stm07_is($A920,"W30028333",TEXT($B$1,"yyyy/mm/dd"),1),"")</f>
        <v>5156043643.9799995</v>
      </c>
      <c r="K920">
        <f>IFERROR([1]!s_stm07_cs($A920,"W77130581",TEXT($B$1,"yyyy/mm/dd"),1),"")</f>
        <v>9087217375.5100002</v>
      </c>
      <c r="L920">
        <f>IFERROR([1]!s_stm07_cs($A920,"W77745895",TEXT($B$1,"yyyy/mm/dd"),1),"")</f>
        <v>2283814042.5100002</v>
      </c>
      <c r="M920">
        <f>IFERROR([1]!S_FA_EPS_basic2($A920,$B$1,"Cur=CNY"),"")</f>
        <v>2.8283</v>
      </c>
      <c r="N920">
        <f>IFERROR([1]!s_fa_arturndays($A920,TEXT($B$1,"yyyy/mm/dd")),"")</f>
        <v>9.3076000000000008</v>
      </c>
      <c r="O920" t="str">
        <f>IFERROR([1]!fa_apturndays($A920,TEXT($B$1,"yyyy/mm/dd")),"")</f>
        <v>Fetch...</v>
      </c>
      <c r="P920">
        <f>IFERROR([1]!s_fa_invturndays($A920,TEXT($B$1,"yyyy/mm/dd")),"")</f>
        <v>60.396599999999999</v>
      </c>
    </row>
    <row r="921" spans="1:16">
      <c r="A921" t="s">
        <v>934</v>
      </c>
      <c r="B921">
        <f>IFERROR([1]!s_stm07_is($A921,"W70156729",TEXT($B$1,"yyyy/mm/dd"),1),"")</f>
        <v>50883145499.349998</v>
      </c>
      <c r="C921">
        <f>IFERROR([1]!s_stm07_is($A921,"W75682424",TEXT($B$1,"yyyy/mm/dd"),1),"")</f>
        <v>46398940235.150002</v>
      </c>
      <c r="D921">
        <f>IFERROR([1]!s_stm07_is($A921,"W76031679",TEXT($B$1,"yyyy/mm/dd"),1),"")</f>
        <v>258749365.56999999</v>
      </c>
      <c r="E921">
        <f>IFERROR([1]!s_stm07_is($A921,"W70752487",TEXT($B$1,"yyyy/mm/dd"),1),"")</f>
        <v>952687224.67999995</v>
      </c>
      <c r="F921">
        <f>IFERROR([1]!s_stm07_is_103($A921,TEXT($B$1,"yyyy/mm/dd"),1),"")</f>
        <v>647912418.51999998</v>
      </c>
      <c r="G921">
        <f>IFERROR([1]!s_stm07_is_104($A921,TEXT($B$1,"yyyy/mm/dd"),1),"")</f>
        <v>896910491.59000003</v>
      </c>
      <c r="H921">
        <f>IFERROR([1]!s_stm07_is_105($A921,TEXT($B$1,"yyyy/mm/dd"),1),"")</f>
        <v>28079512.5</v>
      </c>
      <c r="I921">
        <f>IFERROR([1]!s_stm07_is($A921,"W72946623",TEXT($B$1,"yyyy/mm/dd"),1),"")</f>
        <v>3050643678.6399999</v>
      </c>
      <c r="J921">
        <f>IFERROR([1]!s_stm07_is($A921,"W30028333",TEXT($B$1,"yyyy/mm/dd"),1),"")</f>
        <v>2319437070.79</v>
      </c>
      <c r="K921">
        <f>IFERROR([1]!s_stm07_cs($A921,"W77130581",TEXT($B$1,"yyyy/mm/dd"),1),"")</f>
        <v>5621009168.6300001</v>
      </c>
      <c r="L921">
        <f>IFERROR([1]!s_stm07_cs($A921,"W77745895",TEXT($B$1,"yyyy/mm/dd"),1),"")</f>
        <v>6642719995.3299999</v>
      </c>
      <c r="M921">
        <f>IFERROR([1]!S_FA_EPS_basic2($A921,$B$1,"Cur=CNY"),"")</f>
        <v>0.66259999999999997</v>
      </c>
      <c r="N921">
        <f>IFERROR([1]!s_fa_arturndays($A921,TEXT($B$1,"yyyy/mm/dd")),"")</f>
        <v>27.346499999999999</v>
      </c>
      <c r="O921" t="str">
        <f>IFERROR([1]!fa_apturndays($A921,TEXT($B$1,"yyyy/mm/dd")),"")</f>
        <v>Fetch...</v>
      </c>
      <c r="P921">
        <f>IFERROR([1]!s_fa_invturndays($A921,TEXT($B$1,"yyyy/mm/dd")),"")</f>
        <v>17.295200000000001</v>
      </c>
    </row>
    <row r="922" spans="1:16">
      <c r="A922" t="s">
        <v>935</v>
      </c>
      <c r="B922">
        <f>IFERROR([1]!s_stm07_is($A922,"W70156729",TEXT($B$1,"yyyy/mm/dd"),1),"")</f>
        <v>15064892096.09</v>
      </c>
      <c r="C922">
        <f>IFERROR([1]!s_stm07_is($A922,"W75682424",TEXT($B$1,"yyyy/mm/dd"),1),"")</f>
        <v>11034887934.16</v>
      </c>
      <c r="D922">
        <f>IFERROR([1]!s_stm07_is($A922,"W76031679",TEXT($B$1,"yyyy/mm/dd"),1),"")</f>
        <v>1515888230.5899999</v>
      </c>
      <c r="E922">
        <f>IFERROR([1]!s_stm07_is($A922,"W70752487",TEXT($B$1,"yyyy/mm/dd"),1),"")</f>
        <v>1258092837.27</v>
      </c>
      <c r="F922">
        <f>IFERROR([1]!s_stm07_is_103($A922,TEXT($B$1,"yyyy/mm/dd"),1),"")</f>
        <v>870923183</v>
      </c>
      <c r="G922">
        <f>IFERROR([1]!s_stm07_is_104($A922,TEXT($B$1,"yyyy/mm/dd"),1),"")</f>
        <v>425156594.37</v>
      </c>
      <c r="H922">
        <f>IFERROR([1]!s_stm07_is_105($A922,TEXT($B$1,"yyyy/mm/dd"),1),"")</f>
        <v>95161608.239999995</v>
      </c>
      <c r="I922">
        <f>IFERROR([1]!s_stm07_is($A922,"W72946623",TEXT($B$1,"yyyy/mm/dd"),1),"")</f>
        <v>371981527.33999997</v>
      </c>
      <c r="J922">
        <f>IFERROR([1]!s_stm07_is($A922,"W30028333",TEXT($B$1,"yyyy/mm/dd"),1),"")</f>
        <v>495005722.72000003</v>
      </c>
      <c r="K922">
        <f>IFERROR([1]!s_stm07_cs($A922,"W77130581",TEXT($B$1,"yyyy/mm/dd"),1),"")</f>
        <v>1417296493.8900001</v>
      </c>
      <c r="L922">
        <f>IFERROR([1]!s_stm07_cs($A922,"W77745895",TEXT($B$1,"yyyy/mm/dd"),1),"")</f>
        <v>502887057.06999999</v>
      </c>
      <c r="M922">
        <f>IFERROR([1]!S_FA_EPS_basic2($A922,$B$1,"Cur=CNY"),"")</f>
        <v>0.1477</v>
      </c>
      <c r="N922">
        <f>IFERROR([1]!s_fa_arturndays($A922,TEXT($B$1,"yyyy/mm/dd")),"")</f>
        <v>161.435</v>
      </c>
      <c r="O922" t="str">
        <f>IFERROR([1]!fa_apturndays($A922,TEXT($B$1,"yyyy/mm/dd")),"")</f>
        <v>Fetch...</v>
      </c>
      <c r="P922">
        <f>IFERROR([1]!s_fa_invturndays($A922,TEXT($B$1,"yyyy/mm/dd")),"")</f>
        <v>295.9796</v>
      </c>
    </row>
    <row r="923" spans="1:16">
      <c r="A923" t="s">
        <v>936</v>
      </c>
      <c r="B923">
        <f>IFERROR([1]!s_stm07_is($A923,"W70156729",TEXT($B$1,"yyyy/mm/dd"),1),"")</f>
        <v>656243812081.18005</v>
      </c>
      <c r="C923">
        <f>IFERROR([1]!s_stm07_is($A923,"W75682424",TEXT($B$1,"yyyy/mm/dd"),1),"")</f>
        <v>580943983649.41003</v>
      </c>
      <c r="D923">
        <f>IFERROR([1]!s_stm07_is($A923,"W76031679",TEXT($B$1,"yyyy/mm/dd"),1),"")</f>
        <v>20898005550</v>
      </c>
      <c r="E923">
        <f>IFERROR([1]!s_stm07_is($A923,"W70752487",TEXT($B$1,"yyyy/mm/dd"),1),"")</f>
        <v>22453286690.110001</v>
      </c>
      <c r="F923">
        <f>IFERROR([1]!s_stm07_is_103($A923,TEXT($B$1,"yyyy/mm/dd"),1),"")</f>
        <v>18104061919.77</v>
      </c>
      <c r="G923">
        <f>IFERROR([1]!s_stm07_is_104($A923,TEXT($B$1,"yyyy/mm/dd"),1),"")</f>
        <v>3587319939.79</v>
      </c>
      <c r="H923">
        <f>IFERROR([1]!s_stm07_is_105($A923,TEXT($B$1,"yyyy/mm/dd"),1),"")</f>
        <v>1870413141.1500001</v>
      </c>
      <c r="I923">
        <f>IFERROR([1]!s_stm07_is($A923,"W72946623",TEXT($B$1,"yyyy/mm/dd"),1),"")</f>
        <v>24909009484.080002</v>
      </c>
      <c r="J923">
        <f>IFERROR([1]!s_stm07_is($A923,"W30028333",TEXT($B$1,"yyyy/mm/dd"),1),"")</f>
        <v>10105800270.34</v>
      </c>
      <c r="K923">
        <f>IFERROR([1]!s_stm07_cs($A923,"W77130581",TEXT($B$1,"yyyy/mm/dd"),1),"")</f>
        <v>34306601905.98</v>
      </c>
      <c r="L923">
        <f>IFERROR([1]!s_stm07_cs($A923,"W77745895",TEXT($B$1,"yyyy/mm/dd"),1),"")</f>
        <v>21786491035.759998</v>
      </c>
      <c r="M923">
        <f>IFERROR([1]!S_FA_EPS_basic2($A923,$B$1,"Cur=CNY"),"")</f>
        <v>0.88500000000000001</v>
      </c>
      <c r="N923">
        <f>IFERROR([1]!s_fa_arturndays($A923,TEXT($B$1,"yyyy/mm/dd")),"")</f>
        <v>42.2654</v>
      </c>
      <c r="O923" t="str">
        <f>IFERROR([1]!fa_apturndays($A923,TEXT($B$1,"yyyy/mm/dd")),"")</f>
        <v>Fetch...</v>
      </c>
      <c r="P923">
        <f>IFERROR([1]!s_fa_invturndays($A923,TEXT($B$1,"yyyy/mm/dd")),"")</f>
        <v>48.619100000000003</v>
      </c>
    </row>
    <row r="924" spans="1:16">
      <c r="A924" t="s">
        <v>937</v>
      </c>
      <c r="B924">
        <f>IFERROR([1]!s_stm07_is($A924,"W70156729",TEXT($B$1,"yyyy/mm/dd"),1),"")</f>
        <v>5286822892.0200005</v>
      </c>
      <c r="C924">
        <f>IFERROR([1]!s_stm07_is($A924,"W75682424",TEXT($B$1,"yyyy/mm/dd"),1),"")</f>
        <v>4552703019.8599997</v>
      </c>
      <c r="D924">
        <f>IFERROR([1]!s_stm07_is($A924,"W76031679",TEXT($B$1,"yyyy/mm/dd"),1),"")</f>
        <v>81213021.370000005</v>
      </c>
      <c r="E924">
        <f>IFERROR([1]!s_stm07_is($A924,"W70752487",TEXT($B$1,"yyyy/mm/dd"),1),"")</f>
        <v>274067565.25</v>
      </c>
      <c r="F924">
        <f>IFERROR([1]!s_stm07_is_103($A924,TEXT($B$1,"yyyy/mm/dd"),1),"")</f>
        <v>304355225.37</v>
      </c>
      <c r="G924">
        <f>IFERROR([1]!s_stm07_is_104($A924,TEXT($B$1,"yyyy/mm/dd"),1),"")</f>
        <v>92880950.099999994</v>
      </c>
      <c r="H924">
        <f>IFERROR([1]!s_stm07_is_105($A924,TEXT($B$1,"yyyy/mm/dd"),1),"")</f>
        <v>27255146.969999999</v>
      </c>
      <c r="I924">
        <f>IFERROR([1]!s_stm07_is($A924,"W72946623",TEXT($B$1,"yyyy/mm/dd"),1),"")</f>
        <v>218580472.72</v>
      </c>
      <c r="J924">
        <f>IFERROR([1]!s_stm07_is($A924,"W30028333",TEXT($B$1,"yyyy/mm/dd"),1),"")</f>
        <v>233640658.03</v>
      </c>
      <c r="K924">
        <f>IFERROR([1]!s_stm07_cs($A924,"W77130581",TEXT($B$1,"yyyy/mm/dd"),1),"")</f>
        <v>311615210.92000002</v>
      </c>
      <c r="L924">
        <f>IFERROR([1]!s_stm07_cs($A924,"W77745895",TEXT($B$1,"yyyy/mm/dd"),1),"")</f>
        <v>356489034.74000001</v>
      </c>
      <c r="M924">
        <f>IFERROR([1]!S_FA_EPS_basic2($A924,$B$1,"Cur=CNY"),"")</f>
        <v>0.1598</v>
      </c>
      <c r="N924">
        <f>IFERROR([1]!s_fa_arturndays($A924,TEXT($B$1,"yyyy/mm/dd")),"")</f>
        <v>94.329700000000003</v>
      </c>
      <c r="O924" t="str">
        <f>IFERROR([1]!fa_apturndays($A924,TEXT($B$1,"yyyy/mm/dd")),"")</f>
        <v>Fetch...</v>
      </c>
      <c r="P924">
        <f>IFERROR([1]!s_fa_invturndays($A924,TEXT($B$1,"yyyy/mm/dd")),"")</f>
        <v>72.589399999999998</v>
      </c>
    </row>
    <row r="925" spans="1:16">
      <c r="A925" t="s">
        <v>938</v>
      </c>
      <c r="B925">
        <f>IFERROR([1]!s_stm07_is($A925,"W70156729",TEXT($B$1,"yyyy/mm/dd"),1),"")</f>
        <v>8456815830.54</v>
      </c>
      <c r="C925">
        <f>IFERROR([1]!s_stm07_is($A925,"W75682424",TEXT($B$1,"yyyy/mm/dd"),1),"")</f>
        <v>0</v>
      </c>
      <c r="D925">
        <f>IFERROR([1]!s_stm07_is($A925,"W76031679",TEXT($B$1,"yyyy/mm/dd"),1),"")</f>
        <v>0</v>
      </c>
      <c r="E925">
        <f>IFERROR([1]!s_stm07_is($A925,"W70752487",TEXT($B$1,"yyyy/mm/dd"),1),"")</f>
        <v>5563628328.6000004</v>
      </c>
      <c r="F925">
        <f>IFERROR([1]!s_stm07_is_103($A925,TEXT($B$1,"yyyy/mm/dd"),1),"")</f>
        <v>0</v>
      </c>
      <c r="G925">
        <f>IFERROR([1]!s_stm07_is_104($A925,TEXT($B$1,"yyyy/mm/dd"),1),"")</f>
        <v>0</v>
      </c>
      <c r="H925">
        <f>IFERROR([1]!s_stm07_is_105($A925,TEXT($B$1,"yyyy/mm/dd"),1),"")</f>
        <v>0</v>
      </c>
      <c r="I925">
        <f>IFERROR([1]!s_stm07_is($A925,"W72946623",TEXT($B$1,"yyyy/mm/dd"),1),"")</f>
        <v>2825259057.2800002</v>
      </c>
      <c r="J925">
        <f>IFERROR([1]!s_stm07_is($A925,"W30028333",TEXT($B$1,"yyyy/mm/dd"),1),"")</f>
        <v>2276891494.0100002</v>
      </c>
      <c r="K925">
        <f>IFERROR([1]!s_stm07_cs($A925,"W77130581",TEXT($B$1,"yyyy/mm/dd"),1),"")</f>
        <v>4093986136.3899999</v>
      </c>
      <c r="L925">
        <f>IFERROR([1]!s_stm07_cs($A925,"W77745895",TEXT($B$1,"yyyy/mm/dd"),1),"")</f>
        <v>129259177.95</v>
      </c>
      <c r="M925">
        <f>IFERROR([1]!S_FA_EPS_basic2($A925,$B$1,"Cur=CNY"),"")</f>
        <v>0.61799999999999999</v>
      </c>
      <c r="N925">
        <f>IFERROR([1]!s_fa_arturndays($A925,TEXT($B$1,"yyyy/mm/dd")),"")</f>
        <v>0</v>
      </c>
      <c r="O925" t="str">
        <f>IFERROR([1]!fa_apturndays($A925,TEXT($B$1,"yyyy/mm/dd")),"")</f>
        <v>Fetch...</v>
      </c>
      <c r="P925">
        <f>IFERROR([1]!s_fa_invturndays($A925,TEXT($B$1,"yyyy/mm/dd")),"")</f>
        <v>0</v>
      </c>
    </row>
    <row r="926" spans="1:16">
      <c r="A926" t="s">
        <v>939</v>
      </c>
      <c r="B926">
        <f>IFERROR([1]!s_stm07_is($A926,"W70156729",TEXT($B$1,"yyyy/mm/dd"),1),"")</f>
        <v>42563083233.339996</v>
      </c>
      <c r="C926">
        <f>IFERROR([1]!s_stm07_is($A926,"W75682424",TEXT($B$1,"yyyy/mm/dd"),1),"")</f>
        <v>37367294119.779999</v>
      </c>
      <c r="D926">
        <f>IFERROR([1]!s_stm07_is($A926,"W76031679",TEXT($B$1,"yyyy/mm/dd"),1),"")</f>
        <v>51129985.520000003</v>
      </c>
      <c r="E926">
        <f>IFERROR([1]!s_stm07_is($A926,"W70752487",TEXT($B$1,"yyyy/mm/dd"),1),"")</f>
        <v>1132068108.6500001</v>
      </c>
      <c r="F926">
        <f>IFERROR([1]!s_stm07_is_103($A926,TEXT($B$1,"yyyy/mm/dd"),1),"")</f>
        <v>318090827.61000001</v>
      </c>
      <c r="G926">
        <f>IFERROR([1]!s_stm07_is_104($A926,TEXT($B$1,"yyyy/mm/dd"),1),"")</f>
        <v>209085182.55000001</v>
      </c>
      <c r="H926">
        <f>IFERROR([1]!s_stm07_is_105($A926,TEXT($B$1,"yyyy/mm/dd"),1),"")</f>
        <v>63004858.07</v>
      </c>
      <c r="I926">
        <f>IFERROR([1]!s_stm07_is($A926,"W72946623",TEXT($B$1,"yyyy/mm/dd"),1),"")</f>
        <v>3384289543.79</v>
      </c>
      <c r="J926">
        <f>IFERROR([1]!s_stm07_is($A926,"W30028333",TEXT($B$1,"yyyy/mm/dd"),1),"")</f>
        <v>2251272073.6799998</v>
      </c>
      <c r="K926">
        <f>IFERROR([1]!s_stm07_cs($A926,"W77130581",TEXT($B$1,"yyyy/mm/dd"),1),"")</f>
        <v>1114870322.24</v>
      </c>
      <c r="L926">
        <f>IFERROR([1]!s_stm07_cs($A926,"W77745895",TEXT($B$1,"yyyy/mm/dd"),1),"")</f>
        <v>1305683230.6300001</v>
      </c>
      <c r="M926">
        <f>IFERROR([1]!S_FA_EPS_basic2($A926,$B$1,"Cur=CNY"),"")</f>
        <v>0.62270000000000003</v>
      </c>
      <c r="N926">
        <f>IFERROR([1]!s_fa_arturndays($A926,TEXT($B$1,"yyyy/mm/dd")),"")</f>
        <v>30.990400000000001</v>
      </c>
      <c r="O926" t="str">
        <f>IFERROR([1]!fa_apturndays($A926,TEXT($B$1,"yyyy/mm/dd")),"")</f>
        <v>Fetch...</v>
      </c>
      <c r="P926">
        <f>IFERROR([1]!s_fa_invturndays($A926,TEXT($B$1,"yyyy/mm/dd")),"")</f>
        <v>159.17230000000001</v>
      </c>
    </row>
    <row r="927" spans="1:16">
      <c r="A927" t="s">
        <v>940</v>
      </c>
      <c r="B927">
        <f>IFERROR([1]!s_stm07_is($A927,"W70156729",TEXT($B$1,"yyyy/mm/dd"),1),"")</f>
        <v>773504798.71000004</v>
      </c>
      <c r="C927">
        <f>IFERROR([1]!s_stm07_is($A927,"W75682424",TEXT($B$1,"yyyy/mm/dd"),1),"")</f>
        <v>488048742.80000001</v>
      </c>
      <c r="D927">
        <f>IFERROR([1]!s_stm07_is($A927,"W76031679",TEXT($B$1,"yyyy/mm/dd"),1),"")</f>
        <v>31278774.98</v>
      </c>
      <c r="E927">
        <f>IFERROR([1]!s_stm07_is($A927,"W70752487",TEXT($B$1,"yyyy/mm/dd"),1),"")</f>
        <v>67333949.150000006</v>
      </c>
      <c r="F927">
        <f>IFERROR([1]!s_stm07_is_103($A927,TEXT($B$1,"yyyy/mm/dd"),1),"")</f>
        <v>12490554.609999999</v>
      </c>
      <c r="G927">
        <f>IFERROR([1]!s_stm07_is_104($A927,TEXT($B$1,"yyyy/mm/dd"),1),"")</f>
        <v>7093518.5899999999</v>
      </c>
      <c r="H927">
        <f>IFERROR([1]!s_stm07_is_105($A927,TEXT($B$1,"yyyy/mm/dd"),1),"")</f>
        <v>14939919.359999999</v>
      </c>
      <c r="I927">
        <f>IFERROR([1]!s_stm07_is($A927,"W72946623",TEXT($B$1,"yyyy/mm/dd"),1),"")</f>
        <v>184424362.24000001</v>
      </c>
      <c r="J927">
        <f>IFERROR([1]!s_stm07_is($A927,"W30028333",TEXT($B$1,"yyyy/mm/dd"),1),"")</f>
        <v>144063627.16</v>
      </c>
      <c r="K927">
        <f>IFERROR([1]!s_stm07_cs($A927,"W77130581",TEXT($B$1,"yyyy/mm/dd"),1),"")</f>
        <v>68887631.900000006</v>
      </c>
      <c r="L927">
        <f>IFERROR([1]!s_stm07_cs($A927,"W77745895",TEXT($B$1,"yyyy/mm/dd"),1),"")</f>
        <v>115155362.13</v>
      </c>
      <c r="M927">
        <f>IFERROR([1]!S_FA_EPS_basic2($A927,$B$1,"Cur=CNY"),"")</f>
        <v>0.35</v>
      </c>
      <c r="N927">
        <f>IFERROR([1]!s_fa_arturndays($A927,TEXT($B$1,"yyyy/mm/dd")),"")</f>
        <v>19.5547</v>
      </c>
      <c r="O927" t="str">
        <f>IFERROR([1]!fa_apturndays($A927,TEXT($B$1,"yyyy/mm/dd")),"")</f>
        <v>Fetch...</v>
      </c>
      <c r="P927">
        <f>IFERROR([1]!s_fa_invturndays($A927,TEXT($B$1,"yyyy/mm/dd")),"")</f>
        <v>336.1345</v>
      </c>
    </row>
    <row r="928" spans="1:16">
      <c r="A928" t="s">
        <v>941</v>
      </c>
      <c r="B928">
        <f>IFERROR([1]!s_stm07_is($A928,"W70156729",TEXT($B$1,"yyyy/mm/dd"),1),"")</f>
        <v>6037496242.4499998</v>
      </c>
      <c r="C928">
        <f>IFERROR([1]!s_stm07_is($A928,"W75682424",TEXT($B$1,"yyyy/mm/dd"),1),"")</f>
        <v>4516750701.25</v>
      </c>
      <c r="D928">
        <f>IFERROR([1]!s_stm07_is($A928,"W76031679",TEXT($B$1,"yyyy/mm/dd"),1),"")</f>
        <v>69015271.950000003</v>
      </c>
      <c r="E928">
        <f>IFERROR([1]!s_stm07_is($A928,"W70752487",TEXT($B$1,"yyyy/mm/dd"),1),"")</f>
        <v>256852135.53</v>
      </c>
      <c r="F928">
        <f>IFERROR([1]!s_stm07_is_103($A928,TEXT($B$1,"yyyy/mm/dd"),1),"")</f>
        <v>353839432.86000001</v>
      </c>
      <c r="G928">
        <f>IFERROR([1]!s_stm07_is_104($A928,TEXT($B$1,"yyyy/mm/dd"),1),"")</f>
        <v>79974599.180000007</v>
      </c>
      <c r="H928">
        <f>IFERROR([1]!s_stm07_is_105($A928,TEXT($B$1,"yyyy/mm/dd"),1),"")</f>
        <v>2016682.54</v>
      </c>
      <c r="I928">
        <f>IFERROR([1]!s_stm07_is($A928,"W72946623",TEXT($B$1,"yyyy/mm/dd"),1),"")</f>
        <v>714655549.71000004</v>
      </c>
      <c r="J928">
        <f>IFERROR([1]!s_stm07_is($A928,"W30028333",TEXT($B$1,"yyyy/mm/dd"),1),"")</f>
        <v>535770128.10000002</v>
      </c>
      <c r="K928">
        <f>IFERROR([1]!s_stm07_cs($A928,"W77130581",TEXT($B$1,"yyyy/mm/dd"),1),"")</f>
        <v>1003033850.72</v>
      </c>
      <c r="L928">
        <f>IFERROR([1]!s_stm07_cs($A928,"W77745895",TEXT($B$1,"yyyy/mm/dd"),1),"")</f>
        <v>190069635.52000001</v>
      </c>
      <c r="M928">
        <f>IFERROR([1]!S_FA_EPS_basic2($A928,$B$1,"Cur=CNY"),"")</f>
        <v>0.86</v>
      </c>
      <c r="N928">
        <f>IFERROR([1]!s_fa_arturndays($A928,TEXT($B$1,"yyyy/mm/dd")),"")</f>
        <v>90.725800000000007</v>
      </c>
      <c r="O928" t="str">
        <f>IFERROR([1]!fa_apturndays($A928,TEXT($B$1,"yyyy/mm/dd")),"")</f>
        <v>Fetch...</v>
      </c>
      <c r="P928">
        <f>IFERROR([1]!s_fa_invturndays($A928,TEXT($B$1,"yyyy/mm/dd")),"")</f>
        <v>92.831400000000002</v>
      </c>
    </row>
    <row r="929" spans="1:16">
      <c r="A929" t="s">
        <v>942</v>
      </c>
      <c r="B929">
        <f>IFERROR([1]!s_stm07_is($A929,"W70156729",TEXT($B$1,"yyyy/mm/dd"),1),"")</f>
        <v>139941000000</v>
      </c>
      <c r="C929">
        <f>IFERROR([1]!s_stm07_is($A929,"W75682424",TEXT($B$1,"yyyy/mm/dd"),1),"")</f>
        <v>132655000000</v>
      </c>
      <c r="D929">
        <f>IFERROR([1]!s_stm07_is($A929,"W76031679",TEXT($B$1,"yyyy/mm/dd"),1),"")</f>
        <v>6196000000</v>
      </c>
      <c r="E929">
        <f>IFERROR([1]!s_stm07_is($A929,"W70752487",TEXT($B$1,"yyyy/mm/dd"),1),"")</f>
        <v>3902000000</v>
      </c>
      <c r="F929">
        <f>IFERROR([1]!s_stm07_is_103($A929,TEXT($B$1,"yyyy/mm/dd"),1),"")</f>
        <v>278000000</v>
      </c>
      <c r="G929">
        <f>IFERROR([1]!s_stm07_is_104($A929,TEXT($B$1,"yyyy/mm/dd"),1),"")</f>
        <v>4185000000</v>
      </c>
      <c r="H929">
        <f>IFERROR([1]!s_stm07_is_105($A929,TEXT($B$1,"yyyy/mm/dd"),1),"")</f>
        <v>104000000</v>
      </c>
      <c r="I929">
        <f>IFERROR([1]!s_stm07_is($A929,"W72946623",TEXT($B$1,"yyyy/mm/dd"),1),"")</f>
        <v>274000000</v>
      </c>
      <c r="J929">
        <f>IFERROR([1]!s_stm07_is($A929,"W30028333",TEXT($B$1,"yyyy/mm/dd"),1),"")</f>
        <v>-1633000000</v>
      </c>
      <c r="K929">
        <f>IFERROR([1]!s_stm07_cs($A929,"W77130581",TEXT($B$1,"yyyy/mm/dd"),1),"")</f>
        <v>37941000000</v>
      </c>
      <c r="L929">
        <f>IFERROR([1]!s_stm07_cs($A929,"W77745895",TEXT($B$1,"yyyy/mm/dd"),1),"")</f>
        <v>20793000000</v>
      </c>
      <c r="M929">
        <f>IFERROR([1]!S_FA_EPS_basic2($A929,$B$1,"Cur=CNY"),"")</f>
        <v>-0.11</v>
      </c>
      <c r="N929">
        <f>IFERROR([1]!s_fa_arturndays($A929,TEXT($B$1,"yyyy/mm/dd")),"")</f>
        <v>5.1180000000000003</v>
      </c>
      <c r="O929" t="str">
        <f>IFERROR([1]!fa_apturndays($A929,TEXT($B$1,"yyyy/mm/dd")),"")</f>
        <v>Fetch...</v>
      </c>
      <c r="P929">
        <f>IFERROR([1]!s_fa_invturndays($A929,TEXT($B$1,"yyyy/mm/dd")),"")</f>
        <v>5.9364999999999997</v>
      </c>
    </row>
    <row r="930" spans="1:16">
      <c r="A930" t="s">
        <v>943</v>
      </c>
      <c r="B930">
        <f>IFERROR([1]!s_stm07_is($A930,"W70156729",TEXT($B$1,"yyyy/mm/dd"),1),"")</f>
        <v>10172907704.5</v>
      </c>
      <c r="C930">
        <f>IFERROR([1]!s_stm07_is($A930,"W75682424",TEXT($B$1,"yyyy/mm/dd"),1),"")</f>
        <v>8897159519.1599998</v>
      </c>
      <c r="D930">
        <f>IFERROR([1]!s_stm07_is($A930,"W76031679",TEXT($B$1,"yyyy/mm/dd"),1),"")</f>
        <v>19061069.84</v>
      </c>
      <c r="E930">
        <f>IFERROR([1]!s_stm07_is($A930,"W70752487",TEXT($B$1,"yyyy/mm/dd"),1),"")</f>
        <v>521366188.55000001</v>
      </c>
      <c r="F930">
        <f>IFERROR([1]!s_stm07_is_103($A930,TEXT($B$1,"yyyy/mm/dd"),1),"")</f>
        <v>0</v>
      </c>
      <c r="G930">
        <f>IFERROR([1]!s_stm07_is_104($A930,TEXT($B$1,"yyyy/mm/dd"),1),"")</f>
        <v>239347756.55000001</v>
      </c>
      <c r="H930">
        <f>IFERROR([1]!s_stm07_is_105($A930,TEXT($B$1,"yyyy/mm/dd"),1),"")</f>
        <v>8443095.6300000008</v>
      </c>
      <c r="I930">
        <f>IFERROR([1]!s_stm07_is($A930,"W72946623",TEXT($B$1,"yyyy/mm/dd"),1),"")</f>
        <v>659806989.20000005</v>
      </c>
      <c r="J930">
        <f>IFERROR([1]!s_stm07_is($A930,"W30028333",TEXT($B$1,"yyyy/mm/dd"),1),"")</f>
        <v>435920951.08999997</v>
      </c>
      <c r="K930">
        <f>IFERROR([1]!s_stm07_cs($A930,"W77130581",TEXT($B$1,"yyyy/mm/dd"),1),"")</f>
        <v>1396305317</v>
      </c>
      <c r="L930">
        <f>IFERROR([1]!s_stm07_cs($A930,"W77745895",TEXT($B$1,"yyyy/mm/dd"),1),"")</f>
        <v>1493908621.51</v>
      </c>
      <c r="M930">
        <f>IFERROR([1]!S_FA_EPS_basic2($A930,$B$1,"Cur=CNY"),"")</f>
        <v>0.23</v>
      </c>
      <c r="N930">
        <f>IFERROR([1]!s_fa_arturndays($A930,TEXT($B$1,"yyyy/mm/dd")),"")</f>
        <v>38.985900000000001</v>
      </c>
      <c r="O930" t="str">
        <f>IFERROR([1]!fa_apturndays($A930,TEXT($B$1,"yyyy/mm/dd")),"")</f>
        <v>Fetch...</v>
      </c>
      <c r="P930">
        <f>IFERROR([1]!s_fa_invturndays($A930,TEXT($B$1,"yyyy/mm/dd")),"")</f>
        <v>27.276199999999999</v>
      </c>
    </row>
    <row r="931" spans="1:16">
      <c r="A931" t="s">
        <v>944</v>
      </c>
      <c r="B931">
        <f>IFERROR([1]!s_stm07_is($A931,"W70156729",TEXT($B$1,"yyyy/mm/dd"),1),"")</f>
        <v>6102944926</v>
      </c>
      <c r="C931">
        <f>IFERROR([1]!s_stm07_is($A931,"W75682424",TEXT($B$1,"yyyy/mm/dd"),1),"")</f>
        <v>5563449130.0799999</v>
      </c>
      <c r="D931">
        <f>IFERROR([1]!s_stm07_is($A931,"W76031679",TEXT($B$1,"yyyy/mm/dd"),1),"")</f>
        <v>32086352.239999998</v>
      </c>
      <c r="E931">
        <f>IFERROR([1]!s_stm07_is($A931,"W70752487",TEXT($B$1,"yyyy/mm/dd"),1),"")</f>
        <v>411187378.07999998</v>
      </c>
      <c r="F931">
        <f>IFERROR([1]!s_stm07_is_103($A931,TEXT($B$1,"yyyy/mm/dd"),1),"")</f>
        <v>103753126.47</v>
      </c>
      <c r="G931">
        <f>IFERROR([1]!s_stm07_is_104($A931,TEXT($B$1,"yyyy/mm/dd"),1),"")</f>
        <v>21014115.199999999</v>
      </c>
      <c r="H931">
        <f>IFERROR([1]!s_stm07_is_105($A931,TEXT($B$1,"yyyy/mm/dd"),1),"")</f>
        <v>20194276.699999999</v>
      </c>
      <c r="I931">
        <f>IFERROR([1]!s_stm07_is($A931,"W72946623",TEXT($B$1,"yyyy/mm/dd"),1),"")</f>
        <v>16841166.010000002</v>
      </c>
      <c r="J931">
        <f>IFERROR([1]!s_stm07_is($A931,"W30028333",TEXT($B$1,"yyyy/mm/dd"),1),"")</f>
        <v>35556687.850000001</v>
      </c>
      <c r="K931">
        <f>IFERROR([1]!s_stm07_cs($A931,"W77130581",TEXT($B$1,"yyyy/mm/dd"),1),"")</f>
        <v>363333516.24000001</v>
      </c>
      <c r="L931">
        <f>IFERROR([1]!s_stm07_cs($A931,"W77745895",TEXT($B$1,"yyyy/mm/dd"),1),"")</f>
        <v>211196176.86000001</v>
      </c>
      <c r="M931">
        <f>IFERROR([1]!S_FA_EPS_basic2($A931,$B$1,"Cur=CNY"),"")</f>
        <v>0.03</v>
      </c>
      <c r="N931">
        <f>IFERROR([1]!s_fa_arturndays($A931,TEXT($B$1,"yyyy/mm/dd")),"")</f>
        <v>117.43219999999999</v>
      </c>
      <c r="O931" t="str">
        <f>IFERROR([1]!fa_apturndays($A931,TEXT($B$1,"yyyy/mm/dd")),"")</f>
        <v>Fetch...</v>
      </c>
      <c r="P931">
        <f>IFERROR([1]!s_fa_invturndays($A931,TEXT($B$1,"yyyy/mm/dd")),"")</f>
        <v>323.91579999999999</v>
      </c>
    </row>
    <row r="932" spans="1:16">
      <c r="A932" t="s">
        <v>945</v>
      </c>
      <c r="B932">
        <f>IFERROR([1]!s_stm07_is($A932,"W70156729",TEXT($B$1,"yyyy/mm/dd"),1),"")</f>
        <v>1630531614.3599999</v>
      </c>
      <c r="C932">
        <f>IFERROR([1]!s_stm07_is($A932,"W75682424",TEXT($B$1,"yyyy/mm/dd"),1),"")</f>
        <v>318601958.55000001</v>
      </c>
      <c r="D932">
        <f>IFERROR([1]!s_stm07_is($A932,"W76031679",TEXT($B$1,"yyyy/mm/dd"),1),"")</f>
        <v>139328980.31</v>
      </c>
      <c r="E932">
        <f>IFERROR([1]!s_stm07_is($A932,"W70752487",TEXT($B$1,"yyyy/mm/dd"),1),"")</f>
        <v>807631882.59000003</v>
      </c>
      <c r="F932">
        <f>IFERROR([1]!s_stm07_is_103($A932,TEXT($B$1,"yyyy/mm/dd"),1),"")</f>
        <v>2821647.29</v>
      </c>
      <c r="G932">
        <f>IFERROR([1]!s_stm07_is_104($A932,TEXT($B$1,"yyyy/mm/dd"),1),"")</f>
        <v>143067728.80000001</v>
      </c>
      <c r="H932">
        <f>IFERROR([1]!s_stm07_is_105($A932,TEXT($B$1,"yyyy/mm/dd"),1),"")</f>
        <v>8595139.1099999994</v>
      </c>
      <c r="I932">
        <f>IFERROR([1]!s_stm07_is($A932,"W72946623",TEXT($B$1,"yyyy/mm/dd"),1),"")</f>
        <v>1085409004.01</v>
      </c>
      <c r="J932">
        <f>IFERROR([1]!s_stm07_is($A932,"W30028333",TEXT($B$1,"yyyy/mm/dd"),1),"")</f>
        <v>934665943.32000005</v>
      </c>
      <c r="K932">
        <f>IFERROR([1]!s_stm07_cs($A932,"W77130581",TEXT($B$1,"yyyy/mm/dd"),1),"")</f>
        <v>798940299.00999999</v>
      </c>
      <c r="L932">
        <f>IFERROR([1]!s_stm07_cs($A932,"W77745895",TEXT($B$1,"yyyy/mm/dd"),1),"")</f>
        <v>79207228.319999993</v>
      </c>
      <c r="M932">
        <f>IFERROR([1]!S_FA_EPS_basic2($A932,$B$1,"Cur=CNY"),"")</f>
        <v>0.28000000000000003</v>
      </c>
      <c r="N932">
        <f>IFERROR([1]!s_fa_arturndays($A932,TEXT($B$1,"yyyy/mm/dd")),"")</f>
        <v>59.305100000000003</v>
      </c>
      <c r="O932" t="str">
        <f>IFERROR([1]!fa_apturndays($A932,TEXT($B$1,"yyyy/mm/dd")),"")</f>
        <v>Fetch...</v>
      </c>
      <c r="P932">
        <f>IFERROR([1]!s_fa_invturndays($A932,TEXT($B$1,"yyyy/mm/dd")),"")</f>
        <v>1025.0569</v>
      </c>
    </row>
    <row r="933" spans="1:16">
      <c r="A933" t="s">
        <v>946</v>
      </c>
      <c r="B933">
        <f>IFERROR([1]!s_stm07_is($A933,"W70156729",TEXT($B$1,"yyyy/mm/dd"),1),"")</f>
        <v>8141540425.1099997</v>
      </c>
      <c r="C933">
        <f>IFERROR([1]!s_stm07_is($A933,"W75682424",TEXT($B$1,"yyyy/mm/dd"),1),"")</f>
        <v>6606608347.4499998</v>
      </c>
      <c r="D933">
        <f>IFERROR([1]!s_stm07_is($A933,"W76031679",TEXT($B$1,"yyyy/mm/dd"),1),"")</f>
        <v>96521484.219999999</v>
      </c>
      <c r="E933">
        <f>IFERROR([1]!s_stm07_is($A933,"W70752487",TEXT($B$1,"yyyy/mm/dd"),1),"")</f>
        <v>1217982001.1300001</v>
      </c>
      <c r="F933">
        <f>IFERROR([1]!s_stm07_is_103($A933,TEXT($B$1,"yyyy/mm/dd"),1),"")</f>
        <v>2473782.65</v>
      </c>
      <c r="G933">
        <f>IFERROR([1]!s_stm07_is_104($A933,TEXT($B$1,"yyyy/mm/dd"),1),"")</f>
        <v>383722961.25999999</v>
      </c>
      <c r="H933">
        <f>IFERROR([1]!s_stm07_is_105($A933,TEXT($B$1,"yyyy/mm/dd"),1),"")</f>
        <v>73410458.909999996</v>
      </c>
      <c r="I933">
        <f>IFERROR([1]!s_stm07_is($A933,"W72946623",TEXT($B$1,"yyyy/mm/dd"),1),"")</f>
        <v>-810089751.55999994</v>
      </c>
      <c r="J933">
        <f>IFERROR([1]!s_stm07_is($A933,"W30028333",TEXT($B$1,"yyyy/mm/dd"),1),"")</f>
        <v>-539924732.76999998</v>
      </c>
      <c r="K933">
        <f>IFERROR([1]!s_stm07_cs($A933,"W77130581",TEXT($B$1,"yyyy/mm/dd"),1),"")</f>
        <v>-341829248.76999998</v>
      </c>
      <c r="L933">
        <f>IFERROR([1]!s_stm07_cs($A933,"W77745895",TEXT($B$1,"yyyy/mm/dd"),1),"")</f>
        <v>8168781862.04</v>
      </c>
      <c r="M933">
        <f>IFERROR([1]!S_FA_EPS_basic2($A933,$B$1,"Cur=CNY"),"")</f>
        <v>-0.36649999999999999</v>
      </c>
      <c r="N933">
        <f>IFERROR([1]!s_fa_arturndays($A933,TEXT($B$1,"yyyy/mm/dd")),"")</f>
        <v>6.7472000000000003</v>
      </c>
      <c r="O933" t="str">
        <f>IFERROR([1]!fa_apturndays($A933,TEXT($B$1,"yyyy/mm/dd")),"")</f>
        <v>Fetch...</v>
      </c>
      <c r="P933">
        <f>IFERROR([1]!s_fa_invturndays($A933,TEXT($B$1,"yyyy/mm/dd")),"")</f>
        <v>43.165500000000002</v>
      </c>
    </row>
    <row r="934" spans="1:16">
      <c r="A934" t="s">
        <v>947</v>
      </c>
      <c r="B934">
        <f>IFERROR([1]!s_stm07_is($A934,"W70156729",TEXT($B$1,"yyyy/mm/dd"),1),"")</f>
        <v>11493909430.4</v>
      </c>
      <c r="C934">
        <f>IFERROR([1]!s_stm07_is($A934,"W75682424",TEXT($B$1,"yyyy/mm/dd"),1),"")</f>
        <v>10478121715.389999</v>
      </c>
      <c r="D934">
        <f>IFERROR([1]!s_stm07_is($A934,"W76031679",TEXT($B$1,"yyyy/mm/dd"),1),"")</f>
        <v>82139015.599999994</v>
      </c>
      <c r="E934">
        <f>IFERROR([1]!s_stm07_is($A934,"W70752487",TEXT($B$1,"yyyy/mm/dd"),1),"")</f>
        <v>135936509.31</v>
      </c>
      <c r="F934">
        <f>IFERROR([1]!s_stm07_is_103($A934,TEXT($B$1,"yyyy/mm/dd"),1),"")</f>
        <v>4206400.2</v>
      </c>
      <c r="G934">
        <f>IFERROR([1]!s_stm07_is_104($A934,TEXT($B$1,"yyyy/mm/dd"),1),"")</f>
        <v>20094459.440000001</v>
      </c>
      <c r="H934">
        <f>IFERROR([1]!s_stm07_is_105($A934,TEXT($B$1,"yyyy/mm/dd"),1),"")</f>
        <v>16891739.489999998</v>
      </c>
      <c r="I934">
        <f>IFERROR([1]!s_stm07_is($A934,"W72946623",TEXT($B$1,"yyyy/mm/dd"),1),"")</f>
        <v>740058785.42999995</v>
      </c>
      <c r="J934">
        <f>IFERROR([1]!s_stm07_is($A934,"W30028333",TEXT($B$1,"yyyy/mm/dd"),1),"")</f>
        <v>525051958.39999998</v>
      </c>
      <c r="K934">
        <f>IFERROR([1]!s_stm07_cs($A934,"W77130581",TEXT($B$1,"yyyy/mm/dd"),1),"")</f>
        <v>689966467.26999998</v>
      </c>
      <c r="L934">
        <f>IFERROR([1]!s_stm07_cs($A934,"W77745895",TEXT($B$1,"yyyy/mm/dd"),1),"")</f>
        <v>223539345.40000001</v>
      </c>
      <c r="M934">
        <f>IFERROR([1]!S_FA_EPS_basic2($A934,$B$1,"Cur=CNY"),"")</f>
        <v>0.40200000000000002</v>
      </c>
      <c r="N934">
        <f>IFERROR([1]!s_fa_arturndays($A934,TEXT($B$1,"yyyy/mm/dd")),"")</f>
        <v>20.2455</v>
      </c>
      <c r="O934" t="str">
        <f>IFERROR([1]!fa_apturndays($A934,TEXT($B$1,"yyyy/mm/dd")),"")</f>
        <v>Fetch...</v>
      </c>
      <c r="P934">
        <f>IFERROR([1]!s_fa_invturndays($A934,TEXT($B$1,"yyyy/mm/dd")),"")</f>
        <v>70.781099999999995</v>
      </c>
    </row>
    <row r="935" spans="1:16">
      <c r="A935" t="s">
        <v>948</v>
      </c>
      <c r="B935">
        <f>IFERROR([1]!s_stm07_is($A935,"W70156729",TEXT($B$1,"yyyy/mm/dd"),1),"")</f>
        <v>52327002669.099998</v>
      </c>
      <c r="C935">
        <f>IFERROR([1]!s_stm07_is($A935,"W75682424",TEXT($B$1,"yyyy/mm/dd"),1),"")</f>
        <v>51376369779.209999</v>
      </c>
      <c r="D935">
        <f>IFERROR([1]!s_stm07_is($A935,"W76031679",TEXT($B$1,"yyyy/mm/dd"),1),"")</f>
        <v>20067633.800000001</v>
      </c>
      <c r="E935">
        <f>IFERROR([1]!s_stm07_is($A935,"W70752487",TEXT($B$1,"yyyy/mm/dd"),1),"")</f>
        <v>503256557.44999999</v>
      </c>
      <c r="F935">
        <f>IFERROR([1]!s_stm07_is_103($A935,TEXT($B$1,"yyyy/mm/dd"),1),"")</f>
        <v>522237057.30000001</v>
      </c>
      <c r="G935">
        <f>IFERROR([1]!s_stm07_is_104($A935,TEXT($B$1,"yyyy/mm/dd"),1),"")</f>
        <v>56857974.579999998</v>
      </c>
      <c r="H935">
        <f>IFERROR([1]!s_stm07_is_105($A935,TEXT($B$1,"yyyy/mm/dd"),1),"")</f>
        <v>95490226.75</v>
      </c>
      <c r="I935">
        <f>IFERROR([1]!s_stm07_is($A935,"W72946623",TEXT($B$1,"yyyy/mm/dd"),1),"")</f>
        <v>69510970.450000003</v>
      </c>
      <c r="J935">
        <f>IFERROR([1]!s_stm07_is($A935,"W30028333",TEXT($B$1,"yyyy/mm/dd"),1),"")</f>
        <v>24138999.02</v>
      </c>
      <c r="K935">
        <f>IFERROR([1]!s_stm07_cs($A935,"W77130581",TEXT($B$1,"yyyy/mm/dd"),1),"")</f>
        <v>2144254361.8199999</v>
      </c>
      <c r="L935">
        <f>IFERROR([1]!s_stm07_cs($A935,"W77745895",TEXT($B$1,"yyyy/mm/dd"),1),"")</f>
        <v>1216712769.96</v>
      </c>
      <c r="M935">
        <f>IFERROR([1]!S_FA_EPS_basic2($A935,$B$1,"Cur=CNY"),"")</f>
        <v>0.01</v>
      </c>
      <c r="N935">
        <f>IFERROR([1]!s_fa_arturndays($A935,TEXT($B$1,"yyyy/mm/dd")),"")</f>
        <v>7.2610000000000001</v>
      </c>
      <c r="O935" t="str">
        <f>IFERROR([1]!fa_apturndays($A935,TEXT($B$1,"yyyy/mm/dd")),"")</f>
        <v>Fetch...</v>
      </c>
      <c r="P935">
        <f>IFERROR([1]!s_fa_invturndays($A935,TEXT($B$1,"yyyy/mm/dd")),"")</f>
        <v>34.2714</v>
      </c>
    </row>
    <row r="936" spans="1:16">
      <c r="A936" t="s">
        <v>949</v>
      </c>
      <c r="B936">
        <f>IFERROR([1]!s_stm07_is($A936,"W70156729",TEXT($B$1,"yyyy/mm/dd"),1),"")</f>
        <v>10500021614.280001</v>
      </c>
      <c r="C936">
        <f>IFERROR([1]!s_stm07_is($A936,"W75682424",TEXT($B$1,"yyyy/mm/dd"),1),"")</f>
        <v>7393099378.9700003</v>
      </c>
      <c r="D936">
        <f>IFERROR([1]!s_stm07_is($A936,"W76031679",TEXT($B$1,"yyyy/mm/dd"),1),"")</f>
        <v>1647701434.25</v>
      </c>
      <c r="E936">
        <f>IFERROR([1]!s_stm07_is($A936,"W70752487",TEXT($B$1,"yyyy/mm/dd"),1),"")</f>
        <v>754584287.42999995</v>
      </c>
      <c r="F936">
        <f>IFERROR([1]!s_stm07_is_103($A936,TEXT($B$1,"yyyy/mm/dd"),1),"")</f>
        <v>257538609.03</v>
      </c>
      <c r="G936">
        <f>IFERROR([1]!s_stm07_is_104($A936,TEXT($B$1,"yyyy/mm/dd"),1),"")</f>
        <v>138228977.11000001</v>
      </c>
      <c r="H936">
        <f>IFERROR([1]!s_stm07_is_105($A936,TEXT($B$1,"yyyy/mm/dd"),1),"")</f>
        <v>10308256</v>
      </c>
      <c r="I936">
        <f>IFERROR([1]!s_stm07_is($A936,"W72946623",TEXT($B$1,"yyyy/mm/dd"),1),"")</f>
        <v>221108143.78999999</v>
      </c>
      <c r="J936">
        <f>IFERROR([1]!s_stm07_is($A936,"W30028333",TEXT($B$1,"yyyy/mm/dd"),1),"")</f>
        <v>120570288.48999999</v>
      </c>
      <c r="K936">
        <f>IFERROR([1]!s_stm07_cs($A936,"W77130581",TEXT($B$1,"yyyy/mm/dd"),1),"")</f>
        <v>583884730.16999996</v>
      </c>
      <c r="L936">
        <f>IFERROR([1]!s_stm07_cs($A936,"W77745895",TEXT($B$1,"yyyy/mm/dd"),1),"")</f>
        <v>523157622.54000002</v>
      </c>
      <c r="M936">
        <f>IFERROR([1]!S_FA_EPS_basic2($A936,$B$1,"Cur=CNY"),"")</f>
        <v>0.22</v>
      </c>
      <c r="N936">
        <f>IFERROR([1]!s_fa_arturndays($A936,TEXT($B$1,"yyyy/mm/dd")),"")</f>
        <v>72.561599999999999</v>
      </c>
      <c r="O936" t="str">
        <f>IFERROR([1]!fa_apturndays($A936,TEXT($B$1,"yyyy/mm/dd")),"")</f>
        <v>Fetch...</v>
      </c>
      <c r="P936">
        <f>IFERROR([1]!s_fa_invturndays($A936,TEXT($B$1,"yyyy/mm/dd")),"")</f>
        <v>119.944</v>
      </c>
    </row>
    <row r="937" spans="1:16">
      <c r="A937" t="s">
        <v>950</v>
      </c>
      <c r="B937">
        <f>IFERROR([1]!s_stm07_is($A937,"W70156729",TEXT($B$1,"yyyy/mm/dd"),1),"")</f>
        <v>10627820486.01</v>
      </c>
      <c r="C937">
        <f>IFERROR([1]!s_stm07_is($A937,"W75682424",TEXT($B$1,"yyyy/mm/dd"),1),"")</f>
        <v>8803568978.7199993</v>
      </c>
      <c r="D937">
        <f>IFERROR([1]!s_stm07_is($A937,"W76031679",TEXT($B$1,"yyyy/mm/dd"),1),"")</f>
        <v>226054144.16999999</v>
      </c>
      <c r="E937">
        <f>IFERROR([1]!s_stm07_is($A937,"W70752487",TEXT($B$1,"yyyy/mm/dd"),1),"")</f>
        <v>523882714.06</v>
      </c>
      <c r="F937">
        <f>IFERROR([1]!s_stm07_is_103($A937,TEXT($B$1,"yyyy/mm/dd"),1),"")</f>
        <v>315716978.08999997</v>
      </c>
      <c r="G937">
        <f>IFERROR([1]!s_stm07_is_104($A937,TEXT($B$1,"yyyy/mm/dd"),1),"")</f>
        <v>13766596</v>
      </c>
      <c r="H937">
        <f>IFERROR([1]!s_stm07_is_105($A937,TEXT($B$1,"yyyy/mm/dd"),1),"")</f>
        <v>36163865.520000003</v>
      </c>
      <c r="I937">
        <f>IFERROR([1]!s_stm07_is($A937,"W72946623",TEXT($B$1,"yyyy/mm/dd"),1),"")</f>
        <v>778335135.52999997</v>
      </c>
      <c r="J937">
        <f>IFERROR([1]!s_stm07_is($A937,"W30028333",TEXT($B$1,"yyyy/mm/dd"),1),"")</f>
        <v>657357866.46000004</v>
      </c>
      <c r="K937">
        <f>IFERROR([1]!s_stm07_cs($A937,"W77130581",TEXT($B$1,"yyyy/mm/dd"),1),"")</f>
        <v>1947866764.0899999</v>
      </c>
      <c r="L937">
        <f>IFERROR([1]!s_stm07_cs($A937,"W77745895",TEXT($B$1,"yyyy/mm/dd"),1),"")</f>
        <v>472227596.31999999</v>
      </c>
      <c r="M937">
        <f>IFERROR([1]!S_FA_EPS_basic2($A937,$B$1,"Cur=CNY"),"")</f>
        <v>0.55000000000000004</v>
      </c>
      <c r="N937">
        <f>IFERROR([1]!s_fa_arturndays($A937,TEXT($B$1,"yyyy/mm/dd")),"")</f>
        <v>201.286</v>
      </c>
      <c r="O937" t="str">
        <f>IFERROR([1]!fa_apturndays($A937,TEXT($B$1,"yyyy/mm/dd")),"")</f>
        <v>Fetch...</v>
      </c>
      <c r="P937">
        <f>IFERROR([1]!s_fa_invturndays($A937,TEXT($B$1,"yyyy/mm/dd")),"")</f>
        <v>44.576500000000003</v>
      </c>
    </row>
    <row r="938" spans="1:16">
      <c r="A938" t="s">
        <v>951</v>
      </c>
      <c r="B938">
        <f>IFERROR([1]!s_stm07_is($A938,"W70156729",TEXT($B$1,"yyyy/mm/dd"),1),"")</f>
        <v>14721871107.450001</v>
      </c>
      <c r="C938">
        <f>IFERROR([1]!s_stm07_is($A938,"W75682424",TEXT($B$1,"yyyy/mm/dd"),1),"")</f>
        <v>7232045839.1599998</v>
      </c>
      <c r="D938">
        <f>IFERROR([1]!s_stm07_is($A938,"W76031679",TEXT($B$1,"yyyy/mm/dd"),1),"")</f>
        <v>2654819257.02</v>
      </c>
      <c r="E938">
        <f>IFERROR([1]!s_stm07_is($A938,"W70752487",TEXT($B$1,"yyyy/mm/dd"),1),"")</f>
        <v>598471485.36000001</v>
      </c>
      <c r="F938">
        <f>IFERROR([1]!s_stm07_is_103($A938,TEXT($B$1,"yyyy/mm/dd"),1),"")</f>
        <v>15880484.52</v>
      </c>
      <c r="G938">
        <f>IFERROR([1]!s_stm07_is_104($A938,TEXT($B$1,"yyyy/mm/dd"),1),"")</f>
        <v>5152290.6100000003</v>
      </c>
      <c r="H938">
        <f>IFERROR([1]!s_stm07_is_105($A938,TEXT($B$1,"yyyy/mm/dd"),1),"")</f>
        <v>23909423.800000001</v>
      </c>
      <c r="I938">
        <f>IFERROR([1]!s_stm07_is($A938,"W72946623",TEXT($B$1,"yyyy/mm/dd"),1),"")</f>
        <v>3241925584.3099999</v>
      </c>
      <c r="J938">
        <f>IFERROR([1]!s_stm07_is($A938,"W30028333",TEXT($B$1,"yyyy/mm/dd"),1),"")</f>
        <v>1230897085.4100001</v>
      </c>
      <c r="K938">
        <f>IFERROR([1]!s_stm07_cs($A938,"W77130581",TEXT($B$1,"yyyy/mm/dd"),1),"")</f>
        <v>2624190299.4899998</v>
      </c>
      <c r="L938">
        <f>IFERROR([1]!s_stm07_cs($A938,"W77745895",TEXT($B$1,"yyyy/mm/dd"),1),"")</f>
        <v>419524022.63</v>
      </c>
      <c r="M938">
        <f>IFERROR([1]!S_FA_EPS_basic2($A938,$B$1,"Cur=CNY"),"")</f>
        <v>2.54</v>
      </c>
      <c r="N938">
        <f>IFERROR([1]!s_fa_arturndays($A938,TEXT($B$1,"yyyy/mm/dd")),"")</f>
        <v>1.8442000000000001</v>
      </c>
      <c r="O938" t="str">
        <f>IFERROR([1]!fa_apturndays($A938,TEXT($B$1,"yyyy/mm/dd")),"")</f>
        <v>Fetch...</v>
      </c>
      <c r="P938">
        <f>IFERROR([1]!s_fa_invturndays($A938,TEXT($B$1,"yyyy/mm/dd")),"")</f>
        <v>105.29089999999999</v>
      </c>
    </row>
    <row r="939" spans="1:16">
      <c r="A939" t="s">
        <v>952</v>
      </c>
      <c r="B939">
        <f>IFERROR([1]!s_stm07_is($A939,"W70156729",TEXT($B$1,"yyyy/mm/dd"),1),"")</f>
        <v>3749891150.9699998</v>
      </c>
      <c r="C939">
        <f>IFERROR([1]!s_stm07_is($A939,"W75682424",TEXT($B$1,"yyyy/mm/dd"),1),"")</f>
        <v>2765769920.75</v>
      </c>
      <c r="D939">
        <f>IFERROR([1]!s_stm07_is($A939,"W76031679",TEXT($B$1,"yyyy/mm/dd"),1),"")</f>
        <v>77416580.5</v>
      </c>
      <c r="E939">
        <f>IFERROR([1]!s_stm07_is($A939,"W70752487",TEXT($B$1,"yyyy/mm/dd"),1),"")</f>
        <v>184519227.44</v>
      </c>
      <c r="F939">
        <f>IFERROR([1]!s_stm07_is_103($A939,TEXT($B$1,"yyyy/mm/dd"),1),"")</f>
        <v>100004769.17</v>
      </c>
      <c r="G939">
        <f>IFERROR([1]!s_stm07_is_104($A939,TEXT($B$1,"yyyy/mm/dd"),1),"")</f>
        <v>164676063.50999999</v>
      </c>
      <c r="H939">
        <f>IFERROR([1]!s_stm07_is_105($A939,TEXT($B$1,"yyyy/mm/dd"),1),"")</f>
        <v>38272347.07</v>
      </c>
      <c r="I939">
        <f>IFERROR([1]!s_stm07_is($A939,"W72946623",TEXT($B$1,"yyyy/mm/dd"),1),"")</f>
        <v>389571701.5</v>
      </c>
      <c r="J939">
        <f>IFERROR([1]!s_stm07_is($A939,"W30028333",TEXT($B$1,"yyyy/mm/dd"),1),"")</f>
        <v>276196370</v>
      </c>
      <c r="K939">
        <f>IFERROR([1]!s_stm07_cs($A939,"W77130581",TEXT($B$1,"yyyy/mm/dd"),1),"")</f>
        <v>-140125692.13999999</v>
      </c>
      <c r="L939">
        <f>IFERROR([1]!s_stm07_cs($A939,"W77745895",TEXT($B$1,"yyyy/mm/dd"),1),"")</f>
        <v>302891005</v>
      </c>
      <c r="M939">
        <f>IFERROR([1]!S_FA_EPS_basic2($A939,$B$1,"Cur=CNY"),"")</f>
        <v>0.25900000000000001</v>
      </c>
      <c r="N939">
        <f>IFERROR([1]!s_fa_arturndays($A939,TEXT($B$1,"yyyy/mm/dd")),"")</f>
        <v>155.57480000000001</v>
      </c>
      <c r="O939" t="str">
        <f>IFERROR([1]!fa_apturndays($A939,TEXT($B$1,"yyyy/mm/dd")),"")</f>
        <v>Fetch...</v>
      </c>
      <c r="P939">
        <f>IFERROR([1]!s_fa_invturndays($A939,TEXT($B$1,"yyyy/mm/dd")),"")</f>
        <v>647.13279999999997</v>
      </c>
    </row>
    <row r="940" spans="1:16">
      <c r="A940" t="s">
        <v>953</v>
      </c>
      <c r="B940">
        <f>IFERROR([1]!s_stm07_is($A940,"W70156729",TEXT($B$1,"yyyy/mm/dd"),1),"")</f>
        <v>29299516687.41</v>
      </c>
      <c r="C940">
        <f>IFERROR([1]!s_stm07_is($A940,"W75682424",TEXT($B$1,"yyyy/mm/dd"),1),"")</f>
        <v>24038336665.84</v>
      </c>
      <c r="D940">
        <f>IFERROR([1]!s_stm07_is($A940,"W76031679",TEXT($B$1,"yyyy/mm/dd"),1),"")</f>
        <v>441905993.77999997</v>
      </c>
      <c r="E940">
        <f>IFERROR([1]!s_stm07_is($A940,"W70752487",TEXT($B$1,"yyyy/mm/dd"),1),"")</f>
        <v>492347601.33999997</v>
      </c>
      <c r="F940">
        <f>IFERROR([1]!s_stm07_is_103($A940,TEXT($B$1,"yyyy/mm/dd"),1),"")</f>
        <v>1313887888.3199999</v>
      </c>
      <c r="G940">
        <f>IFERROR([1]!s_stm07_is_104($A940,TEXT($B$1,"yyyy/mm/dd"),1),"")</f>
        <v>439785459.42000002</v>
      </c>
      <c r="H940">
        <f>IFERROR([1]!s_stm07_is_105($A940,TEXT($B$1,"yyyy/mm/dd"),1),"")</f>
        <v>11860268.92</v>
      </c>
      <c r="I940">
        <f>IFERROR([1]!s_stm07_is($A940,"W72946623",TEXT($B$1,"yyyy/mm/dd"),1),"")</f>
        <v>2164729647.4899998</v>
      </c>
      <c r="J940">
        <f>IFERROR([1]!s_stm07_is($A940,"W30028333",TEXT($B$1,"yyyy/mm/dd"),1),"")</f>
        <v>1492051474.4300001</v>
      </c>
      <c r="K940">
        <f>IFERROR([1]!s_stm07_cs($A940,"W77130581",TEXT($B$1,"yyyy/mm/dd"),1),"")</f>
        <v>1615381555.71</v>
      </c>
      <c r="L940">
        <f>IFERROR([1]!s_stm07_cs($A940,"W77745895",TEXT($B$1,"yyyy/mm/dd"),1),"")</f>
        <v>2249222391.77</v>
      </c>
      <c r="M940">
        <f>IFERROR([1]!S_FA_EPS_basic2($A940,$B$1,"Cur=CNY"),"")</f>
        <v>1.35</v>
      </c>
      <c r="N940">
        <f>IFERROR([1]!s_fa_arturndays($A940,TEXT($B$1,"yyyy/mm/dd")),"")</f>
        <v>22.845199999999998</v>
      </c>
      <c r="O940" t="str">
        <f>IFERROR([1]!fa_apturndays($A940,TEXT($B$1,"yyyy/mm/dd")),"")</f>
        <v>Fetch...</v>
      </c>
      <c r="P940">
        <f>IFERROR([1]!s_fa_invturndays($A940,TEXT($B$1,"yyyy/mm/dd")),"")</f>
        <v>56.1693</v>
      </c>
    </row>
    <row r="941" spans="1:16">
      <c r="A941" t="s">
        <v>954</v>
      </c>
      <c r="B941">
        <f>IFERROR([1]!s_stm07_is($A941,"W70156729",TEXT($B$1,"yyyy/mm/dd"),1),"")</f>
        <v>65396217598.599998</v>
      </c>
      <c r="C941">
        <f>IFERROR([1]!s_stm07_is($A941,"W75682424",TEXT($B$1,"yyyy/mm/dd"),1),"")</f>
        <v>56680133779.82</v>
      </c>
      <c r="D941">
        <f>IFERROR([1]!s_stm07_is($A941,"W76031679",TEXT($B$1,"yyyy/mm/dd"),1),"")</f>
        <v>1062091870.74</v>
      </c>
      <c r="E941">
        <f>IFERROR([1]!s_stm07_is($A941,"W70752487",TEXT($B$1,"yyyy/mm/dd"),1),"")</f>
        <v>1692446100.28</v>
      </c>
      <c r="F941">
        <f>IFERROR([1]!s_stm07_is_103($A941,TEXT($B$1,"yyyy/mm/dd"),1),"")</f>
        <v>2761132718.5</v>
      </c>
      <c r="G941">
        <f>IFERROR([1]!s_stm07_is_104($A941,TEXT($B$1,"yyyy/mm/dd"),1),"")</f>
        <v>900737151.11000001</v>
      </c>
      <c r="H941">
        <f>IFERROR([1]!s_stm07_is_105($A941,TEXT($B$1,"yyyy/mm/dd"),1),"")</f>
        <v>29401776.219999999</v>
      </c>
      <c r="I941">
        <f>IFERROR([1]!s_stm07_is($A941,"W72946623",TEXT($B$1,"yyyy/mm/dd"),1),"")</f>
        <v>1341233909.3099999</v>
      </c>
      <c r="J941">
        <f>IFERROR([1]!s_stm07_is($A941,"W30028333",TEXT($B$1,"yyyy/mm/dd"),1),"")</f>
        <v>1149875189.6800001</v>
      </c>
      <c r="K941">
        <f>IFERROR([1]!s_stm07_cs($A941,"W77130581",TEXT($B$1,"yyyy/mm/dd"),1),"")</f>
        <v>5904461474.1899996</v>
      </c>
      <c r="L941">
        <f>IFERROR([1]!s_stm07_cs($A941,"W77745895",TEXT($B$1,"yyyy/mm/dd"),1),"")</f>
        <v>2328154529.1599998</v>
      </c>
      <c r="M941">
        <f>IFERROR([1]!S_FA_EPS_basic2($A941,$B$1,"Cur=CNY"),"")</f>
        <v>0.44590000000000002</v>
      </c>
      <c r="N941">
        <f>IFERROR([1]!s_fa_arturndays($A941,TEXT($B$1,"yyyy/mm/dd")),"")</f>
        <v>46.738700000000001</v>
      </c>
      <c r="O941" t="str">
        <f>IFERROR([1]!fa_apturndays($A941,TEXT($B$1,"yyyy/mm/dd")),"")</f>
        <v>Fetch...</v>
      </c>
      <c r="P941">
        <f>IFERROR([1]!s_fa_invturndays($A941,TEXT($B$1,"yyyy/mm/dd")),"")</f>
        <v>48.674300000000002</v>
      </c>
    </row>
    <row r="942" spans="1:16">
      <c r="A942" t="s">
        <v>955</v>
      </c>
      <c r="B942">
        <f>IFERROR([1]!s_stm07_is($A942,"W70156729",TEXT($B$1,"yyyy/mm/dd"),1),"")</f>
        <v>151977991216.09</v>
      </c>
      <c r="C942">
        <f>IFERROR([1]!s_stm07_is($A942,"W75682424",TEXT($B$1,"yyyy/mm/dd"),1),"")</f>
        <v>132858583891.53</v>
      </c>
      <c r="D942">
        <f>IFERROR([1]!s_stm07_is($A942,"W76031679",TEXT($B$1,"yyyy/mm/dd"),1),"")</f>
        <v>304770393.72000003</v>
      </c>
      <c r="E942">
        <f>IFERROR([1]!s_stm07_is($A942,"W70752487",TEXT($B$1,"yyyy/mm/dd"),1),"")</f>
        <v>6376263857.2200003</v>
      </c>
      <c r="F942">
        <f>IFERROR([1]!s_stm07_is_103($A942,TEXT($B$1,"yyyy/mm/dd"),1),"")</f>
        <v>5906886066.5200005</v>
      </c>
      <c r="G942">
        <f>IFERROR([1]!s_stm07_is_104($A942,TEXT($B$1,"yyyy/mm/dd"),1),"")</f>
        <v>696365102.89999998</v>
      </c>
      <c r="H942">
        <f>IFERROR([1]!s_stm07_is_105($A942,TEXT($B$1,"yyyy/mm/dd"),1),"")</f>
        <v>3146697935.0999999</v>
      </c>
      <c r="I942">
        <f>IFERROR([1]!s_stm07_is($A942,"W72946623",TEXT($B$1,"yyyy/mm/dd"),1),"")</f>
        <v>10724397140.200001</v>
      </c>
      <c r="J942">
        <f>IFERROR([1]!s_stm07_is($A942,"W30028333",TEXT($B$1,"yyyy/mm/dd"),1),"")</f>
        <v>7848378198.3299999</v>
      </c>
      <c r="K942">
        <f>IFERROR([1]!s_stm07_cs($A942,"W77130581",TEXT($B$1,"yyyy/mm/dd"),1),"")</f>
        <v>7766831729.4300003</v>
      </c>
      <c r="L942">
        <f>IFERROR([1]!s_stm07_cs($A942,"W77745895",TEXT($B$1,"yyyy/mm/dd"),1),"")</f>
        <v>3445076324.0799999</v>
      </c>
      <c r="M942">
        <f>IFERROR([1]!S_FA_EPS_basic2($A942,$B$1,"Cur=CNY"),"")</f>
        <v>1.24</v>
      </c>
      <c r="N942">
        <f>IFERROR([1]!s_fa_arturndays($A942,TEXT($B$1,"yyyy/mm/dd")),"")</f>
        <v>12.336499999999999</v>
      </c>
      <c r="O942" t="str">
        <f>IFERROR([1]!fa_apturndays($A942,TEXT($B$1,"yyyy/mm/dd")),"")</f>
        <v>Fetch...</v>
      </c>
      <c r="P942">
        <f>IFERROR([1]!s_fa_invturndays($A942,TEXT($B$1,"yyyy/mm/dd")),"")</f>
        <v>183.07570000000001</v>
      </c>
    </row>
    <row r="943" spans="1:16">
      <c r="A943" t="s">
        <v>956</v>
      </c>
      <c r="B943">
        <f>IFERROR([1]!s_stm07_is($A943,"W70156729",TEXT($B$1,"yyyy/mm/dd"),1),"")</f>
        <v>3605017439.0500002</v>
      </c>
      <c r="C943">
        <f>IFERROR([1]!s_stm07_is($A943,"W75682424",TEXT($B$1,"yyyy/mm/dd"),1),"")</f>
        <v>3267638278.2600002</v>
      </c>
      <c r="D943">
        <f>IFERROR([1]!s_stm07_is($A943,"W76031679",TEXT($B$1,"yyyy/mm/dd"),1),"")</f>
        <v>72906229.319999993</v>
      </c>
      <c r="E943">
        <f>IFERROR([1]!s_stm07_is($A943,"W70752487",TEXT($B$1,"yyyy/mm/dd"),1),"")</f>
        <v>186893567.16999999</v>
      </c>
      <c r="F943">
        <f>IFERROR([1]!s_stm07_is_103($A943,TEXT($B$1,"yyyy/mm/dd"),1),"")</f>
        <v>140762141.46000001</v>
      </c>
      <c r="G943">
        <f>IFERROR([1]!s_stm07_is_104($A943,TEXT($B$1,"yyyy/mm/dd"),1),"")</f>
        <v>51634105.280000001</v>
      </c>
      <c r="H943">
        <f>IFERROR([1]!s_stm07_is_105($A943,TEXT($B$1,"yyyy/mm/dd"),1),"")</f>
        <v>16388642.720000001</v>
      </c>
      <c r="I943">
        <f>IFERROR([1]!s_stm07_is($A943,"W72946623",TEXT($B$1,"yyyy/mm/dd"),1),"")</f>
        <v>-438342824.95999998</v>
      </c>
      <c r="J943">
        <f>IFERROR([1]!s_stm07_is($A943,"W30028333",TEXT($B$1,"yyyy/mm/dd"),1),"")</f>
        <v>-445025068.22000003</v>
      </c>
      <c r="K943">
        <f>IFERROR([1]!s_stm07_cs($A943,"W77130581",TEXT($B$1,"yyyy/mm/dd"),1),"")</f>
        <v>572585568.23000002</v>
      </c>
      <c r="L943">
        <f>IFERROR([1]!s_stm07_cs($A943,"W77745895",TEXT($B$1,"yyyy/mm/dd"),1),"")</f>
        <v>21758797.739999998</v>
      </c>
      <c r="M943">
        <f>IFERROR([1]!S_FA_EPS_basic2($A943,$B$1,"Cur=CNY"),"")</f>
        <v>-0.31030000000000002</v>
      </c>
      <c r="N943">
        <f>IFERROR([1]!s_fa_arturndays($A943,TEXT($B$1,"yyyy/mm/dd")),"")</f>
        <v>137.18469999999999</v>
      </c>
      <c r="O943" t="str">
        <f>IFERROR([1]!fa_apturndays($A943,TEXT($B$1,"yyyy/mm/dd")),"")</f>
        <v>Fetch...</v>
      </c>
      <c r="P943">
        <f>IFERROR([1]!s_fa_invturndays($A943,TEXT($B$1,"yyyy/mm/dd")),"")</f>
        <v>46.066400000000002</v>
      </c>
    </row>
    <row r="944" spans="1:16">
      <c r="A944" t="s">
        <v>957</v>
      </c>
      <c r="B944">
        <f>IFERROR([1]!s_stm07_is($A944,"W70156729",TEXT($B$1,"yyyy/mm/dd"),1),"")</f>
        <v>671270432045.30005</v>
      </c>
      <c r="C944">
        <f>IFERROR([1]!s_stm07_is($A944,"W75682424",TEXT($B$1,"yyyy/mm/dd"),1),"")</f>
        <v>633922118488.70996</v>
      </c>
      <c r="D944">
        <f>IFERROR([1]!s_stm07_is($A944,"W76031679",TEXT($B$1,"yyyy/mm/dd"),1),"")</f>
        <v>11909322448.91</v>
      </c>
      <c r="E944">
        <f>IFERROR([1]!s_stm07_is($A944,"W70752487",TEXT($B$1,"yyyy/mm/dd"),1),"")</f>
        <v>2255667830.0500002</v>
      </c>
      <c r="F944">
        <f>IFERROR([1]!s_stm07_is_103($A944,TEXT($B$1,"yyyy/mm/dd"),1),"")</f>
        <v>413566683.57999998</v>
      </c>
      <c r="G944">
        <f>IFERROR([1]!s_stm07_is_104($A944,TEXT($B$1,"yyyy/mm/dd"),1),"")</f>
        <v>5581230401.5600004</v>
      </c>
      <c r="H944">
        <f>IFERROR([1]!s_stm07_is_105($A944,TEXT($B$1,"yyyy/mm/dd"),1),"")</f>
        <v>2229971241.6199999</v>
      </c>
      <c r="I944">
        <f>IFERROR([1]!s_stm07_is($A944,"W72946623",TEXT($B$1,"yyyy/mm/dd"),1),"")</f>
        <v>-25432431556.709999</v>
      </c>
      <c r="J944">
        <f>IFERROR([1]!s_stm07_is($A944,"W30028333",TEXT($B$1,"yyyy/mm/dd"),1),"")</f>
        <v>-10814732169.18</v>
      </c>
      <c r="K944">
        <f>IFERROR([1]!s_stm07_cs($A944,"W77130581",TEXT($B$1,"yyyy/mm/dd"),1),"")</f>
        <v>11589495370.700001</v>
      </c>
      <c r="L944">
        <f>IFERROR([1]!s_stm07_cs($A944,"W77745895",TEXT($B$1,"yyyy/mm/dd"),1),"")</f>
        <v>3166721899.5300002</v>
      </c>
      <c r="M944">
        <f>IFERROR([1]!S_FA_EPS_basic2($A944,$B$1,"Cur=CNY"),"")</f>
        <v>-3.91</v>
      </c>
      <c r="N944">
        <f>IFERROR([1]!s_fa_arturndays($A944,TEXT($B$1,"yyyy/mm/dd")),"")</f>
        <v>11.3621</v>
      </c>
      <c r="O944" t="str">
        <f>IFERROR([1]!fa_apturndays($A944,TEXT($B$1,"yyyy/mm/dd")),"")</f>
        <v>Fetch...</v>
      </c>
      <c r="P944">
        <f>IFERROR([1]!s_fa_invturndays($A944,TEXT($B$1,"yyyy/mm/dd")),"")</f>
        <v>183.06639999999999</v>
      </c>
    </row>
    <row r="945" spans="1:16">
      <c r="A945" t="s">
        <v>958</v>
      </c>
      <c r="B945">
        <f>IFERROR([1]!s_stm07_is($A945,"W70156729",TEXT($B$1,"yyyy/mm/dd"),1),"")</f>
        <v>3147786605.2800002</v>
      </c>
      <c r="C945">
        <f>IFERROR([1]!s_stm07_is($A945,"W75682424",TEXT($B$1,"yyyy/mm/dd"),1),"")</f>
        <v>0</v>
      </c>
      <c r="D945">
        <f>IFERROR([1]!s_stm07_is($A945,"W76031679",TEXT($B$1,"yyyy/mm/dd"),1),"")</f>
        <v>0</v>
      </c>
      <c r="E945">
        <f>IFERROR([1]!s_stm07_is($A945,"W70752487",TEXT($B$1,"yyyy/mm/dd"),1),"")</f>
        <v>2301050374.98</v>
      </c>
      <c r="F945">
        <f>IFERROR([1]!s_stm07_is_103($A945,TEXT($B$1,"yyyy/mm/dd"),1),"")</f>
        <v>0</v>
      </c>
      <c r="G945">
        <f>IFERROR([1]!s_stm07_is_104($A945,TEXT($B$1,"yyyy/mm/dd"),1),"")</f>
        <v>0</v>
      </c>
      <c r="H945">
        <f>IFERROR([1]!s_stm07_is_105($A945,TEXT($B$1,"yyyy/mm/dd"),1),"")</f>
        <v>0</v>
      </c>
      <c r="I945">
        <f>IFERROR([1]!s_stm07_is($A945,"W72946623",TEXT($B$1,"yyyy/mm/dd"),1),"")</f>
        <v>180453158.83000001</v>
      </c>
      <c r="J945">
        <f>IFERROR([1]!s_stm07_is($A945,"W30028333",TEXT($B$1,"yyyy/mm/dd"),1),"")</f>
        <v>182014100.88</v>
      </c>
      <c r="K945">
        <f>IFERROR([1]!s_stm07_cs($A945,"W77130581",TEXT($B$1,"yyyy/mm/dd"),1),"")</f>
        <v>-2127388709.29</v>
      </c>
      <c r="L945">
        <f>IFERROR([1]!s_stm07_cs($A945,"W77745895",TEXT($B$1,"yyyy/mm/dd"),1),"")</f>
        <v>161525870.88999999</v>
      </c>
      <c r="M945">
        <f>IFERROR([1]!S_FA_EPS_basic2($A945,$B$1,"Cur=CNY"),"")</f>
        <v>0.08</v>
      </c>
      <c r="N945">
        <f>IFERROR([1]!s_fa_arturndays($A945,TEXT($B$1,"yyyy/mm/dd")),"")</f>
        <v>0</v>
      </c>
      <c r="O945" t="str">
        <f>IFERROR([1]!fa_apturndays($A945,TEXT($B$1,"yyyy/mm/dd")),"")</f>
        <v>Fetch...</v>
      </c>
      <c r="P945">
        <f>IFERROR([1]!s_fa_invturndays($A945,TEXT($B$1,"yyyy/mm/dd")),"")</f>
        <v>0</v>
      </c>
    </row>
    <row r="946" spans="1:16">
      <c r="A946" t="s">
        <v>959</v>
      </c>
      <c r="B946">
        <f>IFERROR([1]!s_stm07_is($A946,"W70156729",TEXT($B$1,"yyyy/mm/dd"),1),"")</f>
        <v>23817274448.009998</v>
      </c>
      <c r="C946">
        <f>IFERROR([1]!s_stm07_is($A946,"W75682424",TEXT($B$1,"yyyy/mm/dd"),1),"")</f>
        <v>18860084956.439999</v>
      </c>
      <c r="D946">
        <f>IFERROR([1]!s_stm07_is($A946,"W76031679",TEXT($B$1,"yyyy/mm/dd"),1),"")</f>
        <v>70168994.079999998</v>
      </c>
      <c r="E946">
        <f>IFERROR([1]!s_stm07_is($A946,"W70752487",TEXT($B$1,"yyyy/mm/dd"),1),"")</f>
        <v>1435538564.8900001</v>
      </c>
      <c r="F946">
        <f>IFERROR([1]!s_stm07_is_103($A946,TEXT($B$1,"yyyy/mm/dd"),1),"")</f>
        <v>94876568.040000007</v>
      </c>
      <c r="G946">
        <f>IFERROR([1]!s_stm07_is_104($A946,TEXT($B$1,"yyyy/mm/dd"),1),"")</f>
        <v>1928896693.01</v>
      </c>
      <c r="H946">
        <f>IFERROR([1]!s_stm07_is_105($A946,TEXT($B$1,"yyyy/mm/dd"),1),"")</f>
        <v>149572029.41</v>
      </c>
      <c r="I946">
        <f>IFERROR([1]!s_stm07_is($A946,"W72946623",TEXT($B$1,"yyyy/mm/dd"),1),"")</f>
        <v>712490720.05999994</v>
      </c>
      <c r="J946">
        <f>IFERROR([1]!s_stm07_is($A946,"W30028333",TEXT($B$1,"yyyy/mm/dd"),1),"")</f>
        <v>208619686.91</v>
      </c>
      <c r="K946">
        <f>IFERROR([1]!s_stm07_cs($A946,"W77130581",TEXT($B$1,"yyyy/mm/dd"),1),"")</f>
        <v>6126618819.3000002</v>
      </c>
      <c r="L946">
        <f>IFERROR([1]!s_stm07_cs($A946,"W77745895",TEXT($B$1,"yyyy/mm/dd"),1),"")</f>
        <v>757268957.24000001</v>
      </c>
      <c r="M946">
        <f>IFERROR([1]!S_FA_EPS_basic2($A946,$B$1,"Cur=CNY"),"")</f>
        <v>9.4999999999999998E-3</v>
      </c>
      <c r="N946">
        <f>IFERROR([1]!s_fa_arturndays($A946,TEXT($B$1,"yyyy/mm/dd")),"")</f>
        <v>43.732799999999997</v>
      </c>
      <c r="O946" t="str">
        <f>IFERROR([1]!fa_apturndays($A946,TEXT($B$1,"yyyy/mm/dd")),"")</f>
        <v>Fetch...</v>
      </c>
      <c r="P946">
        <f>IFERROR([1]!s_fa_invturndays($A946,TEXT($B$1,"yyyy/mm/dd")),"")</f>
        <v>17.742599999999999</v>
      </c>
    </row>
    <row r="947" spans="1:16">
      <c r="A947" t="s">
        <v>960</v>
      </c>
      <c r="B947">
        <f>IFERROR([1]!s_stm07_is($A947,"W70156729",TEXT($B$1,"yyyy/mm/dd"),1),"")</f>
        <v>2144902771.73</v>
      </c>
      <c r="C947">
        <f>IFERROR([1]!s_stm07_is($A947,"W75682424",TEXT($B$1,"yyyy/mm/dd"),1),"")</f>
        <v>1672718730.9400001</v>
      </c>
      <c r="D947">
        <f>IFERROR([1]!s_stm07_is($A947,"W76031679",TEXT($B$1,"yyyy/mm/dd"),1),"")</f>
        <v>66292441.710000001</v>
      </c>
      <c r="E947">
        <f>IFERROR([1]!s_stm07_is($A947,"W70752487",TEXT($B$1,"yyyy/mm/dd"),1),"")</f>
        <v>275278245.81999999</v>
      </c>
      <c r="F947">
        <f>IFERROR([1]!s_stm07_is_103($A947,TEXT($B$1,"yyyy/mm/dd"),1),"")</f>
        <v>43667731.039999999</v>
      </c>
      <c r="G947">
        <f>IFERROR([1]!s_stm07_is_104($A947,TEXT($B$1,"yyyy/mm/dd"),1),"")</f>
        <v>12546251.24</v>
      </c>
      <c r="H947">
        <f>IFERROR([1]!s_stm07_is_105($A947,TEXT($B$1,"yyyy/mm/dd"),1),"")</f>
        <v>43817553.590000004</v>
      </c>
      <c r="I947">
        <f>IFERROR([1]!s_stm07_is($A947,"W72946623",TEXT($B$1,"yyyy/mm/dd"),1),"")</f>
        <v>-177656391.59999999</v>
      </c>
      <c r="J947">
        <f>IFERROR([1]!s_stm07_is($A947,"W30028333",TEXT($B$1,"yyyy/mm/dd"),1),"")</f>
        <v>-213770858.38</v>
      </c>
      <c r="K947">
        <f>IFERROR([1]!s_stm07_cs($A947,"W77130581",TEXT($B$1,"yyyy/mm/dd"),1),"")</f>
        <v>144368228.47999999</v>
      </c>
      <c r="L947">
        <f>IFERROR([1]!s_stm07_cs($A947,"W77745895",TEXT($B$1,"yyyy/mm/dd"),1),"")</f>
        <v>56882756.159999996</v>
      </c>
      <c r="M947">
        <f>IFERROR([1]!S_FA_EPS_basic2($A947,$B$1,"Cur=CNY"),"")</f>
        <v>-0.2228</v>
      </c>
      <c r="N947">
        <f>IFERROR([1]!s_fa_arturndays($A947,TEXT($B$1,"yyyy/mm/dd")),"")</f>
        <v>38.066200000000002</v>
      </c>
      <c r="O947" t="str">
        <f>IFERROR([1]!fa_apturndays($A947,TEXT($B$1,"yyyy/mm/dd")),"")</f>
        <v>Fetch...</v>
      </c>
      <c r="P947">
        <f>IFERROR([1]!s_fa_invturndays($A947,TEXT($B$1,"yyyy/mm/dd")),"")</f>
        <v>276.1583</v>
      </c>
    </row>
    <row r="948" spans="1:16">
      <c r="A948" t="s">
        <v>961</v>
      </c>
      <c r="B948">
        <f>IFERROR([1]!s_stm07_is($A948,"W70156729",TEXT($B$1,"yyyy/mm/dd"),1),"")</f>
        <v>26990866988.560001</v>
      </c>
      <c r="C948">
        <f>IFERROR([1]!s_stm07_is($A948,"W75682424",TEXT($B$1,"yyyy/mm/dd"),1),"")</f>
        <v>19370582708.279999</v>
      </c>
      <c r="D948">
        <f>IFERROR([1]!s_stm07_is($A948,"W76031679",TEXT($B$1,"yyyy/mm/dd"),1),"")</f>
        <v>145427442.72</v>
      </c>
      <c r="E948">
        <f>IFERROR([1]!s_stm07_is($A948,"W70752487",TEXT($B$1,"yyyy/mm/dd"),1),"")</f>
        <v>814427275.65999997</v>
      </c>
      <c r="F948">
        <f>IFERROR([1]!s_stm07_is_103($A948,TEXT($B$1,"yyyy/mm/dd"),1),"")</f>
        <v>1120348344.4400001</v>
      </c>
      <c r="G948">
        <f>IFERROR([1]!s_stm07_is_104($A948,TEXT($B$1,"yyyy/mm/dd"),1),"")</f>
        <v>103885684.76000001</v>
      </c>
      <c r="H948">
        <f>IFERROR([1]!s_stm07_is_105($A948,TEXT($B$1,"yyyy/mm/dd"),1),"")</f>
        <v>44154113.909999996</v>
      </c>
      <c r="I948">
        <f>IFERROR([1]!s_stm07_is($A948,"W72946623",TEXT($B$1,"yyyy/mm/dd"),1),"")</f>
        <v>5074199147.1899996</v>
      </c>
      <c r="J948">
        <f>IFERROR([1]!s_stm07_is($A948,"W30028333",TEXT($B$1,"yyyy/mm/dd"),1),"")</f>
        <v>3783228877.4400001</v>
      </c>
      <c r="K948">
        <f>IFERROR([1]!s_stm07_cs($A948,"W77130581",TEXT($B$1,"yyyy/mm/dd"),1),"")</f>
        <v>6260587144.3699999</v>
      </c>
      <c r="L948">
        <f>IFERROR([1]!s_stm07_cs($A948,"W77745895",TEXT($B$1,"yyyy/mm/dd"),1),"")</f>
        <v>5615683585.2700005</v>
      </c>
      <c r="M948">
        <f>IFERROR([1]!S_FA_EPS_basic2($A948,$B$1,"Cur=CNY"),"")</f>
        <v>1.4</v>
      </c>
      <c r="N948">
        <f>IFERROR([1]!s_fa_arturndays($A948,TEXT($B$1,"yyyy/mm/dd")),"")</f>
        <v>11.7342</v>
      </c>
      <c r="O948" t="str">
        <f>IFERROR([1]!fa_apturndays($A948,TEXT($B$1,"yyyy/mm/dd")),"")</f>
        <v>Fetch...</v>
      </c>
      <c r="P948">
        <f>IFERROR([1]!s_fa_invturndays($A948,TEXT($B$1,"yyyy/mm/dd")),"")</f>
        <v>44.470199999999998</v>
      </c>
    </row>
    <row r="949" spans="1:16">
      <c r="A949" t="s">
        <v>962</v>
      </c>
      <c r="B949">
        <f>IFERROR([1]!s_stm07_is($A949,"W70156729",TEXT($B$1,"yyyy/mm/dd"),1),"")</f>
        <v>6168036314.6300001</v>
      </c>
      <c r="C949">
        <f>IFERROR([1]!s_stm07_is($A949,"W75682424",TEXT($B$1,"yyyy/mm/dd"),1),"")</f>
        <v>3463231712.7600002</v>
      </c>
      <c r="D949">
        <f>IFERROR([1]!s_stm07_is($A949,"W76031679",TEXT($B$1,"yyyy/mm/dd"),1),"")</f>
        <v>124903052.79000001</v>
      </c>
      <c r="E949">
        <f>IFERROR([1]!s_stm07_is($A949,"W70752487",TEXT($B$1,"yyyy/mm/dd"),1),"")</f>
        <v>496043575.85000002</v>
      </c>
      <c r="F949">
        <f>IFERROR([1]!s_stm07_is_103($A949,TEXT($B$1,"yyyy/mm/dd"),1),"")</f>
        <v>159993236.22</v>
      </c>
      <c r="G949">
        <f>IFERROR([1]!s_stm07_is_104($A949,TEXT($B$1,"yyyy/mm/dd"),1),"")</f>
        <v>7336021.8799999999</v>
      </c>
      <c r="H949">
        <f>IFERROR([1]!s_stm07_is_105($A949,TEXT($B$1,"yyyy/mm/dd"),1),"")</f>
        <v>12085262.91</v>
      </c>
      <c r="I949">
        <f>IFERROR([1]!s_stm07_is($A949,"W72946623",TEXT($B$1,"yyyy/mm/dd"),1),"")</f>
        <v>1822723792.4000001</v>
      </c>
      <c r="J949">
        <f>IFERROR([1]!s_stm07_is($A949,"W30028333",TEXT($B$1,"yyyy/mm/dd"),1),"")</f>
        <v>1090837981.2</v>
      </c>
      <c r="K949">
        <f>IFERROR([1]!s_stm07_cs($A949,"W77130581",TEXT($B$1,"yyyy/mm/dd"),1),"")</f>
        <v>338746658.63</v>
      </c>
      <c r="L949">
        <f>IFERROR([1]!s_stm07_cs($A949,"W77745895",TEXT($B$1,"yyyy/mm/dd"),1),"")</f>
        <v>605531434.30999994</v>
      </c>
      <c r="M949">
        <f>IFERROR([1]!S_FA_EPS_basic2($A949,$B$1,"Cur=CNY"),"")</f>
        <v>0.55000000000000004</v>
      </c>
      <c r="N949">
        <f>IFERROR([1]!s_fa_arturndays($A949,TEXT($B$1,"yyyy/mm/dd")),"")</f>
        <v>46.379800000000003</v>
      </c>
      <c r="O949" t="str">
        <f>IFERROR([1]!fa_apturndays($A949,TEXT($B$1,"yyyy/mm/dd")),"")</f>
        <v>Fetch...</v>
      </c>
      <c r="P949">
        <f>IFERROR([1]!s_fa_invturndays($A949,TEXT($B$1,"yyyy/mm/dd")),"")</f>
        <v>410.16289999999998</v>
      </c>
    </row>
    <row r="950" spans="1:16">
      <c r="A950" t="s">
        <v>963</v>
      </c>
      <c r="B950">
        <f>IFERROR([1]!s_stm07_is($A950,"W70156729",TEXT($B$1,"yyyy/mm/dd"),1),"")</f>
        <v>1607275122.97</v>
      </c>
      <c r="C950">
        <f>IFERROR([1]!s_stm07_is($A950,"W75682424",TEXT($B$1,"yyyy/mm/dd"),1),"")</f>
        <v>732913906.05999994</v>
      </c>
      <c r="D950">
        <f>IFERROR([1]!s_stm07_is($A950,"W76031679",TEXT($B$1,"yyyy/mm/dd"),1),"")</f>
        <v>335114.61</v>
      </c>
      <c r="E950">
        <f>IFERROR([1]!s_stm07_is($A950,"W70752487",TEXT($B$1,"yyyy/mm/dd"),1),"")</f>
        <v>85486398.739999995</v>
      </c>
      <c r="F950">
        <f>IFERROR([1]!s_stm07_is_103($A950,TEXT($B$1,"yyyy/mm/dd"),1),"")</f>
        <v>10033049.449999999</v>
      </c>
      <c r="G950">
        <f>IFERROR([1]!s_stm07_is_104($A950,TEXT($B$1,"yyyy/mm/dd"),1),"")</f>
        <v>74935104.609999999</v>
      </c>
      <c r="H950">
        <f>IFERROR([1]!s_stm07_is_105($A950,TEXT($B$1,"yyyy/mm/dd"),1),"")</f>
        <v>3621802.88</v>
      </c>
      <c r="I950">
        <f>IFERROR([1]!s_stm07_is($A950,"W72946623",TEXT($B$1,"yyyy/mm/dd"),1),"")</f>
        <v>754870303.25999999</v>
      </c>
      <c r="J950">
        <f>IFERROR([1]!s_stm07_is($A950,"W30028333",TEXT($B$1,"yyyy/mm/dd"),1),"")</f>
        <v>521622271.37</v>
      </c>
      <c r="K950">
        <f>IFERROR([1]!s_stm07_cs($A950,"W77130581",TEXT($B$1,"yyyy/mm/dd"),1),"")</f>
        <v>2005936151.3599999</v>
      </c>
      <c r="L950">
        <f>IFERROR([1]!s_stm07_cs($A950,"W77745895",TEXT($B$1,"yyyy/mm/dd"),1),"")</f>
        <v>194117711.40000001</v>
      </c>
      <c r="M950">
        <f>IFERROR([1]!S_FA_EPS_basic2($A950,$B$1,"Cur=CNY"),"")</f>
        <v>0.27410000000000001</v>
      </c>
      <c r="N950">
        <f>IFERROR([1]!s_fa_arturndays($A950,TEXT($B$1,"yyyy/mm/dd")),"")</f>
        <v>596.52030000000002</v>
      </c>
      <c r="O950" t="str">
        <f>IFERROR([1]!fa_apturndays($A950,TEXT($B$1,"yyyy/mm/dd")),"")</f>
        <v>Fetch...</v>
      </c>
      <c r="P950">
        <f>IFERROR([1]!s_fa_invturndays($A950,TEXT($B$1,"yyyy/mm/dd")),"")</f>
        <v>21.127300000000002</v>
      </c>
    </row>
    <row r="951" spans="1:16">
      <c r="A951" t="s">
        <v>964</v>
      </c>
      <c r="B951">
        <f>IFERROR([1]!s_stm07_is($A951,"W70156729",TEXT($B$1,"yyyy/mm/dd"),1),"")</f>
        <v>61247393438.93</v>
      </c>
      <c r="C951">
        <f>IFERROR([1]!s_stm07_is($A951,"W75682424",TEXT($B$1,"yyyy/mm/dd"),1),"")</f>
        <v>55139903816.580002</v>
      </c>
      <c r="D951">
        <f>IFERROR([1]!s_stm07_is($A951,"W76031679",TEXT($B$1,"yyyy/mm/dd"),1),"")</f>
        <v>2222963750.2199998</v>
      </c>
      <c r="E951">
        <f>IFERROR([1]!s_stm07_is($A951,"W70752487",TEXT($B$1,"yyyy/mm/dd"),1),"")</f>
        <v>1476794085.3299999</v>
      </c>
      <c r="F951">
        <f>IFERROR([1]!s_stm07_is_103($A951,TEXT($B$1,"yyyy/mm/dd"),1),"")</f>
        <v>1782418726.24</v>
      </c>
      <c r="G951">
        <f>IFERROR([1]!s_stm07_is_104($A951,TEXT($B$1,"yyyy/mm/dd"),1),"")</f>
        <v>149088727.56</v>
      </c>
      <c r="H951">
        <f>IFERROR([1]!s_stm07_is_105($A951,TEXT($B$1,"yyyy/mm/dd"),1),"")</f>
        <v>138290216.13999999</v>
      </c>
      <c r="I951">
        <f>IFERROR([1]!s_stm07_is($A951,"W72946623",TEXT($B$1,"yyyy/mm/dd"),1),"")</f>
        <v>1360988404.1700001</v>
      </c>
      <c r="J951">
        <f>IFERROR([1]!s_stm07_is($A951,"W30028333",TEXT($B$1,"yyyy/mm/dd"),1),"")</f>
        <v>1363826801.45</v>
      </c>
      <c r="K951">
        <f>IFERROR([1]!s_stm07_cs($A951,"W77130581",TEXT($B$1,"yyyy/mm/dd"),1),"")</f>
        <v>1894598193.5</v>
      </c>
      <c r="L951">
        <f>IFERROR([1]!s_stm07_cs($A951,"W77745895",TEXT($B$1,"yyyy/mm/dd"),1),"")</f>
        <v>856401820.63999999</v>
      </c>
      <c r="M951">
        <f>IFERROR([1]!S_FA_EPS_basic2($A951,$B$1,"Cur=CNY"),"")</f>
        <v>0.17199999999999999</v>
      </c>
      <c r="N951">
        <f>IFERROR([1]!s_fa_arturndays($A951,TEXT($B$1,"yyyy/mm/dd")),"")</f>
        <v>35.278599999999997</v>
      </c>
      <c r="O951" t="str">
        <f>IFERROR([1]!fa_apturndays($A951,TEXT($B$1,"yyyy/mm/dd")),"")</f>
        <v>Fetch...</v>
      </c>
      <c r="P951">
        <f>IFERROR([1]!s_fa_invturndays($A951,TEXT($B$1,"yyyy/mm/dd")),"")</f>
        <v>48.865900000000003</v>
      </c>
    </row>
    <row r="952" spans="1:16">
      <c r="A952" t="s">
        <v>965</v>
      </c>
      <c r="B952">
        <f>IFERROR([1]!s_stm07_is($A952,"W70156729",TEXT($B$1,"yyyy/mm/dd"),1),"")</f>
        <v>3239141159.6999998</v>
      </c>
      <c r="C952">
        <f>IFERROR([1]!s_stm07_is($A952,"W75682424",TEXT($B$1,"yyyy/mm/dd"),1),"")</f>
        <v>2202850636.54</v>
      </c>
      <c r="D952">
        <f>IFERROR([1]!s_stm07_is($A952,"W76031679",TEXT($B$1,"yyyy/mm/dd"),1),"")</f>
        <v>78564563.200000003</v>
      </c>
      <c r="E952">
        <f>IFERROR([1]!s_stm07_is($A952,"W70752487",TEXT($B$1,"yyyy/mm/dd"),1),"")</f>
        <v>155506404.83000001</v>
      </c>
      <c r="F952">
        <f>IFERROR([1]!s_stm07_is_103($A952,TEXT($B$1,"yyyy/mm/dd"),1),"")</f>
        <v>44408944.560000002</v>
      </c>
      <c r="G952">
        <f>IFERROR([1]!s_stm07_is_104($A952,TEXT($B$1,"yyyy/mm/dd"),1),"")</f>
        <v>88325553.340000004</v>
      </c>
      <c r="H952">
        <f>IFERROR([1]!s_stm07_is_105($A952,TEXT($B$1,"yyyy/mm/dd"),1),"")</f>
        <v>166254355.53</v>
      </c>
      <c r="I952">
        <f>IFERROR([1]!s_stm07_is($A952,"W72946623",TEXT($B$1,"yyyy/mm/dd"),1),"")</f>
        <v>824705717.64999998</v>
      </c>
      <c r="J952">
        <f>IFERROR([1]!s_stm07_is($A952,"W30028333",TEXT($B$1,"yyyy/mm/dd"),1),"")</f>
        <v>685977946.89999998</v>
      </c>
      <c r="K952">
        <f>IFERROR([1]!s_stm07_cs($A952,"W77130581",TEXT($B$1,"yyyy/mm/dd"),1),"")</f>
        <v>1228337969.74</v>
      </c>
      <c r="L952">
        <f>IFERROR([1]!s_stm07_cs($A952,"W77745895",TEXT($B$1,"yyyy/mm/dd"),1),"")</f>
        <v>192352345.96000001</v>
      </c>
      <c r="M952">
        <f>IFERROR([1]!S_FA_EPS_basic2($A952,$B$1,"Cur=CNY"),"")</f>
        <v>0.30840000000000001</v>
      </c>
      <c r="N952">
        <f>IFERROR([1]!s_fa_arturndays($A952,TEXT($B$1,"yyyy/mm/dd")),"")</f>
        <v>118.3627</v>
      </c>
      <c r="O952" t="str">
        <f>IFERROR([1]!fa_apturndays($A952,TEXT($B$1,"yyyy/mm/dd")),"")</f>
        <v>Fetch...</v>
      </c>
      <c r="P952">
        <f>IFERROR([1]!s_fa_invturndays($A952,TEXT($B$1,"yyyy/mm/dd")),"")</f>
        <v>53.3444</v>
      </c>
    </row>
    <row r="953" spans="1:16">
      <c r="A953" t="s">
        <v>966</v>
      </c>
      <c r="B953">
        <f>IFERROR([1]!s_stm07_is($A953,"W70156729",TEXT($B$1,"yyyy/mm/dd"),1),"")</f>
        <v>205996611436.85001</v>
      </c>
      <c r="C953">
        <f>IFERROR([1]!s_stm07_is($A953,"W75682424",TEXT($B$1,"yyyy/mm/dd"),1),"")</f>
        <v>184762356722.09</v>
      </c>
      <c r="D953">
        <f>IFERROR([1]!s_stm07_is($A953,"W76031679",TEXT($B$1,"yyyy/mm/dd"),1),"")</f>
        <v>648134158.61000001</v>
      </c>
      <c r="E953">
        <f>IFERROR([1]!s_stm07_is($A953,"W70752487",TEXT($B$1,"yyyy/mm/dd"),1),"")</f>
        <v>7582614167.0900002</v>
      </c>
      <c r="F953">
        <f>IFERROR([1]!s_stm07_is_103($A953,TEXT($B$1,"yyyy/mm/dd"),1),"")</f>
        <v>7840655107.6400003</v>
      </c>
      <c r="G953">
        <f>IFERROR([1]!s_stm07_is_104($A953,TEXT($B$1,"yyyy/mm/dd"),1),"")</f>
        <v>2620013090.3099999</v>
      </c>
      <c r="H953">
        <f>IFERROR([1]!s_stm07_is_105($A953,TEXT($B$1,"yyyy/mm/dd"),1),"")</f>
        <v>648707121.63</v>
      </c>
      <c r="I953">
        <f>IFERROR([1]!s_stm07_is($A953,"W72946623",TEXT($B$1,"yyyy/mm/dd"),1),"")</f>
        <v>1678018064.53</v>
      </c>
      <c r="J953">
        <f>IFERROR([1]!s_stm07_is($A953,"W30028333",TEXT($B$1,"yyyy/mm/dd"),1),"")</f>
        <v>1237139456.03</v>
      </c>
      <c r="K953">
        <f>IFERROR([1]!s_stm07_cs($A953,"W77130581",TEXT($B$1,"yyyy/mm/dd"),1),"")</f>
        <v>6559933514.1700001</v>
      </c>
      <c r="L953">
        <f>IFERROR([1]!s_stm07_cs($A953,"W77745895",TEXT($B$1,"yyyy/mm/dd"),1),"")</f>
        <v>1801029628.75</v>
      </c>
      <c r="M953">
        <f>IFERROR([1]!S_FA_EPS_basic2($A953,$B$1,"Cur=CNY"),"")</f>
        <v>0.08</v>
      </c>
      <c r="N953">
        <f>IFERROR([1]!s_fa_arturndays($A953,TEXT($B$1,"yyyy/mm/dd")),"")</f>
        <v>109.11069999999999</v>
      </c>
      <c r="O953" t="str">
        <f>IFERROR([1]!fa_apturndays($A953,TEXT($B$1,"yyyy/mm/dd")),"")</f>
        <v>Fetch...</v>
      </c>
      <c r="P953">
        <f>IFERROR([1]!s_fa_invturndays($A953,TEXT($B$1,"yyyy/mm/dd")),"")</f>
        <v>194.7209</v>
      </c>
    </row>
    <row r="954" spans="1:16">
      <c r="A954" t="s">
        <v>967</v>
      </c>
      <c r="B954">
        <f>IFERROR([1]!s_stm07_is($A954,"W70156729",TEXT($B$1,"yyyy/mm/dd"),1),"")</f>
        <v>3173723283.3899999</v>
      </c>
      <c r="C954">
        <f>IFERROR([1]!s_stm07_is($A954,"W75682424",TEXT($B$1,"yyyy/mm/dd"),1),"")</f>
        <v>2297478070.0100002</v>
      </c>
      <c r="D954">
        <f>IFERROR([1]!s_stm07_is($A954,"W76031679",TEXT($B$1,"yyyy/mm/dd"),1),"")</f>
        <v>94735776.75</v>
      </c>
      <c r="E954">
        <f>IFERROR([1]!s_stm07_is($A954,"W70752487",TEXT($B$1,"yyyy/mm/dd"),1),"")</f>
        <v>102019248.84999999</v>
      </c>
      <c r="F954">
        <f>IFERROR([1]!s_stm07_is_103($A954,TEXT($B$1,"yyyy/mm/dd"),1),"")</f>
        <v>492546958.54000002</v>
      </c>
      <c r="G954">
        <f>IFERROR([1]!s_stm07_is_104($A954,TEXT($B$1,"yyyy/mm/dd"),1),"")</f>
        <v>1879079.52</v>
      </c>
      <c r="H954">
        <f>IFERROR([1]!s_stm07_is_105($A954,TEXT($B$1,"yyyy/mm/dd"),1),"")</f>
        <v>29579667.75</v>
      </c>
      <c r="I954">
        <f>IFERROR([1]!s_stm07_is($A954,"W72946623",TEXT($B$1,"yyyy/mm/dd"),1),"")</f>
        <v>273979703.56</v>
      </c>
      <c r="J954">
        <f>IFERROR([1]!s_stm07_is($A954,"W30028333",TEXT($B$1,"yyyy/mm/dd"),1),"")</f>
        <v>236226970.65000001</v>
      </c>
      <c r="K954">
        <f>IFERROR([1]!s_stm07_cs($A954,"W77130581",TEXT($B$1,"yyyy/mm/dd"),1),"")</f>
        <v>251674982.53999999</v>
      </c>
      <c r="L954">
        <f>IFERROR([1]!s_stm07_cs($A954,"W77745895",TEXT($B$1,"yyyy/mm/dd"),1),"")</f>
        <v>43840260.090000004</v>
      </c>
      <c r="M954">
        <f>IFERROR([1]!S_FA_EPS_basic2($A954,$B$1,"Cur=CNY"),"")</f>
        <v>0.33</v>
      </c>
      <c r="N954">
        <f>IFERROR([1]!s_fa_arturndays($A954,TEXT($B$1,"yyyy/mm/dd")),"")</f>
        <v>82.709199999999996</v>
      </c>
      <c r="O954" t="str">
        <f>IFERROR([1]!fa_apturndays($A954,TEXT($B$1,"yyyy/mm/dd")),"")</f>
        <v>Fetch...</v>
      </c>
      <c r="P954">
        <f>IFERROR([1]!s_fa_invturndays($A954,TEXT($B$1,"yyyy/mm/dd")),"")</f>
        <v>139.97980000000001</v>
      </c>
    </row>
    <row r="955" spans="1:16">
      <c r="A955" t="s">
        <v>968</v>
      </c>
      <c r="B955">
        <f>IFERROR([1]!s_stm07_is($A955,"W70156729",TEXT($B$1,"yyyy/mm/dd"),1),"")</f>
        <v>18880860110.360001</v>
      </c>
      <c r="C955">
        <f>IFERROR([1]!s_stm07_is($A955,"W75682424",TEXT($B$1,"yyyy/mm/dd"),1),"")</f>
        <v>12627832919.209999</v>
      </c>
      <c r="D955">
        <f>IFERROR([1]!s_stm07_is($A955,"W76031679",TEXT($B$1,"yyyy/mm/dd"),1),"")</f>
        <v>211094362.59999999</v>
      </c>
      <c r="E955">
        <f>IFERROR([1]!s_stm07_is($A955,"W70752487",TEXT($B$1,"yyyy/mm/dd"),1),"")</f>
        <v>742632238.21000004</v>
      </c>
      <c r="F955">
        <f>IFERROR([1]!s_stm07_is_103($A955,TEXT($B$1,"yyyy/mm/dd"),1),"")</f>
        <v>582434136.51999998</v>
      </c>
      <c r="G955">
        <f>IFERROR([1]!s_stm07_is_104($A955,TEXT($B$1,"yyyy/mm/dd"),1),"")</f>
        <v>308705063.5</v>
      </c>
      <c r="H955">
        <f>IFERROR([1]!s_stm07_is_105($A955,TEXT($B$1,"yyyy/mm/dd"),1),"")</f>
        <v>42856000.100000001</v>
      </c>
      <c r="I955">
        <f>IFERROR([1]!s_stm07_is($A955,"W72946623",TEXT($B$1,"yyyy/mm/dd"),1),"")</f>
        <v>4149713597.6900001</v>
      </c>
      <c r="J955">
        <f>IFERROR([1]!s_stm07_is($A955,"W30028333",TEXT($B$1,"yyyy/mm/dd"),1),"")</f>
        <v>3285461018.6799998</v>
      </c>
      <c r="K955">
        <f>IFERROR([1]!s_stm07_cs($A955,"W77130581",TEXT($B$1,"yyyy/mm/dd"),1),"")</f>
        <v>4200505000.6199999</v>
      </c>
      <c r="L955">
        <f>IFERROR([1]!s_stm07_cs($A955,"W77745895",TEXT($B$1,"yyyy/mm/dd"),1),"")</f>
        <v>1368256678.3800001</v>
      </c>
      <c r="M955">
        <f>IFERROR([1]!S_FA_EPS_basic2($A955,$B$1,"Cur=CNY"),"")</f>
        <v>0.82130000000000003</v>
      </c>
      <c r="N955">
        <f>IFERROR([1]!s_fa_arturndays($A955,TEXT($B$1,"yyyy/mm/dd")),"")</f>
        <v>35.386400000000002</v>
      </c>
      <c r="O955" t="str">
        <f>IFERROR([1]!fa_apturndays($A955,TEXT($B$1,"yyyy/mm/dd")),"")</f>
        <v>Fetch...</v>
      </c>
      <c r="P955">
        <f>IFERROR([1]!s_fa_invturndays($A955,TEXT($B$1,"yyyy/mm/dd")),"")</f>
        <v>110.5821</v>
      </c>
    </row>
    <row r="956" spans="1:16">
      <c r="A956" t="s">
        <v>969</v>
      </c>
      <c r="B956">
        <f>IFERROR([1]!s_stm07_is($A956,"W70156729",TEXT($B$1,"yyyy/mm/dd"),1),"")</f>
        <v>11581812280.440001</v>
      </c>
      <c r="C956">
        <f>IFERROR([1]!s_stm07_is($A956,"W75682424",TEXT($B$1,"yyyy/mm/dd"),1),"")</f>
        <v>6265232662.4399996</v>
      </c>
      <c r="D956">
        <f>IFERROR([1]!s_stm07_is($A956,"W76031679",TEXT($B$1,"yyyy/mm/dd"),1),"")</f>
        <v>3578452353.5900002</v>
      </c>
      <c r="E956">
        <f>IFERROR([1]!s_stm07_is($A956,"W70752487",TEXT($B$1,"yyyy/mm/dd"),1),"")</f>
        <v>957936346.88</v>
      </c>
      <c r="F956">
        <f>IFERROR([1]!s_stm07_is_103($A956,TEXT($B$1,"yyyy/mm/dd"),1),"")</f>
        <v>76170376.950000003</v>
      </c>
      <c r="G956">
        <f>IFERROR([1]!s_stm07_is_104($A956,TEXT($B$1,"yyyy/mm/dd"),1),"")</f>
        <v>562894138.13</v>
      </c>
      <c r="H956">
        <f>IFERROR([1]!s_stm07_is_105($A956,TEXT($B$1,"yyyy/mm/dd"),1),"")</f>
        <v>45423101.890000001</v>
      </c>
      <c r="I956">
        <f>IFERROR([1]!s_stm07_is($A956,"W72946623",TEXT($B$1,"yyyy/mm/dd"),1),"")</f>
        <v>2601454092.4099998</v>
      </c>
      <c r="J956">
        <f>IFERROR([1]!s_stm07_is($A956,"W30028333",TEXT($B$1,"yyyy/mm/dd"),1),"")</f>
        <v>2447339231.7600002</v>
      </c>
      <c r="K956">
        <f>IFERROR([1]!s_stm07_cs($A956,"W77130581",TEXT($B$1,"yyyy/mm/dd"),1),"")</f>
        <v>1233890166.3199999</v>
      </c>
      <c r="L956">
        <f>IFERROR([1]!s_stm07_cs($A956,"W77745895",TEXT($B$1,"yyyy/mm/dd"),1),"")</f>
        <v>367121714.79000002</v>
      </c>
      <c r="M956">
        <f>IFERROR([1]!S_FA_EPS_basic2($A956,$B$1,"Cur=CNY"),"")</f>
        <v>0.53</v>
      </c>
      <c r="N956">
        <f>IFERROR([1]!s_fa_arturndays($A956,TEXT($B$1,"yyyy/mm/dd")),"")</f>
        <v>9.3854000000000006</v>
      </c>
      <c r="O956" t="str">
        <f>IFERROR([1]!fa_apturndays($A956,TEXT($B$1,"yyyy/mm/dd")),"")</f>
        <v>Fetch...</v>
      </c>
      <c r="P956">
        <f>IFERROR([1]!s_fa_invturndays($A956,TEXT($B$1,"yyyy/mm/dd")),"")</f>
        <v>465.65769999999998</v>
      </c>
    </row>
    <row r="957" spans="1:16">
      <c r="A957" t="s">
        <v>970</v>
      </c>
      <c r="B957">
        <f>IFERROR([1]!s_stm07_is($A957,"W70156729",TEXT($B$1,"yyyy/mm/dd"),1),"")</f>
        <v>9080101363.4300003</v>
      </c>
      <c r="C957">
        <f>IFERROR([1]!s_stm07_is($A957,"W75682424",TEXT($B$1,"yyyy/mm/dd"),1),"")</f>
        <v>7381892569.3199997</v>
      </c>
      <c r="D957">
        <f>IFERROR([1]!s_stm07_is($A957,"W76031679",TEXT($B$1,"yyyy/mm/dd"),1),"")</f>
        <v>43466745.460000001</v>
      </c>
      <c r="E957">
        <f>IFERROR([1]!s_stm07_is($A957,"W70752487",TEXT($B$1,"yyyy/mm/dd"),1),"")</f>
        <v>328135121.32999998</v>
      </c>
      <c r="F957">
        <f>IFERROR([1]!s_stm07_is_103($A957,TEXT($B$1,"yyyy/mm/dd"),1),"")</f>
        <v>2370497.0099999998</v>
      </c>
      <c r="G957">
        <f>IFERROR([1]!s_stm07_is_104($A957,TEXT($B$1,"yyyy/mm/dd"),1),"")</f>
        <v>49690331.109999999</v>
      </c>
      <c r="H957">
        <f>IFERROR([1]!s_stm07_is_105($A957,TEXT($B$1,"yyyy/mm/dd"),1),"")</f>
        <v>37935341.219999999</v>
      </c>
      <c r="I957">
        <f>IFERROR([1]!s_stm07_is($A957,"W72946623",TEXT($B$1,"yyyy/mm/dd"),1),"")</f>
        <v>1392879749.6300001</v>
      </c>
      <c r="J957">
        <f>IFERROR([1]!s_stm07_is($A957,"W30028333",TEXT($B$1,"yyyy/mm/dd"),1),"")</f>
        <v>1085990512.6800001</v>
      </c>
      <c r="K957">
        <f>IFERROR([1]!s_stm07_cs($A957,"W77130581",TEXT($B$1,"yyyy/mm/dd"),1),"")</f>
        <v>2162236441.5100002</v>
      </c>
      <c r="L957">
        <f>IFERROR([1]!s_stm07_cs($A957,"W77745895",TEXT($B$1,"yyyy/mm/dd"),1),"")</f>
        <v>1394346052.8800001</v>
      </c>
      <c r="M957">
        <f>IFERROR([1]!S_FA_EPS_basic2($A957,$B$1,"Cur=CNY"),"")</f>
        <v>0.25659999999999999</v>
      </c>
      <c r="N957">
        <f>IFERROR([1]!s_fa_arturndays($A957,TEXT($B$1,"yyyy/mm/dd")),"")</f>
        <v>20.7577</v>
      </c>
      <c r="O957" t="str">
        <f>IFERROR([1]!fa_apturndays($A957,TEXT($B$1,"yyyy/mm/dd")),"")</f>
        <v>Fetch...</v>
      </c>
      <c r="P957">
        <f>IFERROR([1]!s_fa_invturndays($A957,TEXT($B$1,"yyyy/mm/dd")),"")</f>
        <v>3.5708000000000002</v>
      </c>
    </row>
    <row r="958" spans="1:16">
      <c r="A958" t="s">
        <v>971</v>
      </c>
      <c r="B958">
        <f>IFERROR([1]!s_stm07_is($A958,"W70156729",TEXT($B$1,"yyyy/mm/dd"),1),"")</f>
        <v>28431138459.439999</v>
      </c>
      <c r="C958">
        <f>IFERROR([1]!s_stm07_is($A958,"W75682424",TEXT($B$1,"yyyy/mm/dd"),1),"")</f>
        <v>20904648012.48</v>
      </c>
      <c r="D958">
        <f>IFERROR([1]!s_stm07_is($A958,"W76031679",TEXT($B$1,"yyyy/mm/dd"),1),"")</f>
        <v>536560293.86000001</v>
      </c>
      <c r="E958">
        <f>IFERROR([1]!s_stm07_is($A958,"W70752487",TEXT($B$1,"yyyy/mm/dd"),1),"")</f>
        <v>1088392001.5</v>
      </c>
      <c r="F958">
        <f>IFERROR([1]!s_stm07_is_103($A958,TEXT($B$1,"yyyy/mm/dd"),1),"")</f>
        <v>1450078250.3499999</v>
      </c>
      <c r="G958">
        <f>IFERROR([1]!s_stm07_is_104($A958,TEXT($B$1,"yyyy/mm/dd"),1),"")</f>
        <v>120430761.95</v>
      </c>
      <c r="H958">
        <f>IFERROR([1]!s_stm07_is_105($A958,TEXT($B$1,"yyyy/mm/dd"),1),"")</f>
        <v>18199061.379999999</v>
      </c>
      <c r="I958">
        <f>IFERROR([1]!s_stm07_is($A958,"W72946623",TEXT($B$1,"yyyy/mm/dd"),1),"")</f>
        <v>4416350481.6000004</v>
      </c>
      <c r="J958">
        <f>IFERROR([1]!s_stm07_is($A958,"W30028333",TEXT($B$1,"yyyy/mm/dd"),1),"")</f>
        <v>3333954377.9200001</v>
      </c>
      <c r="K958">
        <f>IFERROR([1]!s_stm07_cs($A958,"W77130581",TEXT($B$1,"yyyy/mm/dd"),1),"")</f>
        <v>5273633309.3599997</v>
      </c>
      <c r="L958">
        <f>IFERROR([1]!s_stm07_cs($A958,"W77745895",TEXT($B$1,"yyyy/mm/dd"),1),"")</f>
        <v>2375659280.2800002</v>
      </c>
      <c r="M958">
        <f>IFERROR([1]!S_FA_EPS_basic2($A958,$B$1,"Cur=CNY"),"")</f>
        <v>1.39</v>
      </c>
      <c r="N958">
        <f>IFERROR([1]!s_fa_arturndays($A958,TEXT($B$1,"yyyy/mm/dd")),"")</f>
        <v>106.55929999999999</v>
      </c>
      <c r="O958" t="str">
        <f>IFERROR([1]!fa_apturndays($A958,TEXT($B$1,"yyyy/mm/dd")),"")</f>
        <v>Fetch...</v>
      </c>
      <c r="P958">
        <f>IFERROR([1]!s_fa_invturndays($A958,TEXT($B$1,"yyyy/mm/dd")),"")</f>
        <v>93.901600000000002</v>
      </c>
    </row>
    <row r="959" spans="1:16">
      <c r="A959" t="s">
        <v>972</v>
      </c>
      <c r="B959">
        <f>IFERROR([1]!s_stm07_is($A959,"W70156729",TEXT($B$1,"yyyy/mm/dd"),1),"")</f>
        <v>3389672121.0700002</v>
      </c>
      <c r="C959">
        <f>IFERROR([1]!s_stm07_is($A959,"W75682424",TEXT($B$1,"yyyy/mm/dd"),1),"")</f>
        <v>2155872502.54</v>
      </c>
      <c r="D959">
        <f>IFERROR([1]!s_stm07_is($A959,"W76031679",TEXT($B$1,"yyyy/mm/dd"),1),"")</f>
        <v>268192922.13999999</v>
      </c>
      <c r="E959">
        <f>IFERROR([1]!s_stm07_is($A959,"W70752487",TEXT($B$1,"yyyy/mm/dd"),1),"")</f>
        <v>234569138.03</v>
      </c>
      <c r="F959">
        <f>IFERROR([1]!s_stm07_is_103($A959,TEXT($B$1,"yyyy/mm/dd"),1),"")</f>
        <v>2136909.4</v>
      </c>
      <c r="G959">
        <f>IFERROR([1]!s_stm07_is_104($A959,TEXT($B$1,"yyyy/mm/dd"),1),"")</f>
        <v>582445258.50999999</v>
      </c>
      <c r="H959">
        <f>IFERROR([1]!s_stm07_is_105($A959,TEXT($B$1,"yyyy/mm/dd"),1),"")</f>
        <v>92781352.980000004</v>
      </c>
      <c r="I959">
        <f>IFERROR([1]!s_stm07_is($A959,"W72946623",TEXT($B$1,"yyyy/mm/dd"),1),"")</f>
        <v>-349933654.58999997</v>
      </c>
      <c r="J959">
        <f>IFERROR([1]!s_stm07_is($A959,"W30028333",TEXT($B$1,"yyyy/mm/dd"),1),"")</f>
        <v>-1029394144</v>
      </c>
      <c r="K959">
        <f>IFERROR([1]!s_stm07_cs($A959,"W77130581",TEXT($B$1,"yyyy/mm/dd"),1),"")</f>
        <v>378134412.77999997</v>
      </c>
      <c r="L959">
        <f>IFERROR([1]!s_stm07_cs($A959,"W77745895",TEXT($B$1,"yyyy/mm/dd"),1),"")</f>
        <v>76048447.609999999</v>
      </c>
      <c r="M959">
        <f>IFERROR([1]!S_FA_EPS_basic2($A959,$B$1,"Cur=CNY"),"")</f>
        <v>-0.55000000000000004</v>
      </c>
      <c r="N959">
        <f>IFERROR([1]!s_fa_arturndays($A959,TEXT($B$1,"yyyy/mm/dd")),"")</f>
        <v>12.510300000000001</v>
      </c>
      <c r="O959" t="str">
        <f>IFERROR([1]!fa_apturndays($A959,TEXT($B$1,"yyyy/mm/dd")),"")</f>
        <v>Fetch...</v>
      </c>
      <c r="P959">
        <f>IFERROR([1]!s_fa_invturndays($A959,TEXT($B$1,"yyyy/mm/dd")),"")</f>
        <v>815.03279999999995</v>
      </c>
    </row>
    <row r="960" spans="1:16">
      <c r="A960" t="s">
        <v>973</v>
      </c>
      <c r="B960">
        <f>IFERROR([1]!s_stm07_is($A960,"W70156729",TEXT($B$1,"yyyy/mm/dd"),1),"")</f>
        <v>3452339764.0100002</v>
      </c>
      <c r="C960">
        <f>IFERROR([1]!s_stm07_is($A960,"W75682424",TEXT($B$1,"yyyy/mm/dd"),1),"")</f>
        <v>2505245132.6300001</v>
      </c>
      <c r="D960">
        <f>IFERROR([1]!s_stm07_is($A960,"W76031679",TEXT($B$1,"yyyy/mm/dd"),1),"")</f>
        <v>289389465.72000003</v>
      </c>
      <c r="E960">
        <f>IFERROR([1]!s_stm07_is($A960,"W70752487",TEXT($B$1,"yyyy/mm/dd"),1),"")</f>
        <v>110761810.45</v>
      </c>
      <c r="F960">
        <f>IFERROR([1]!s_stm07_is_103($A960,TEXT($B$1,"yyyy/mm/dd"),1),"")</f>
        <v>45131395.270000003</v>
      </c>
      <c r="G960">
        <f>IFERROR([1]!s_stm07_is_104($A960,TEXT($B$1,"yyyy/mm/dd"),1),"")</f>
        <v>36048377.18</v>
      </c>
      <c r="H960">
        <f>IFERROR([1]!s_stm07_is_105($A960,TEXT($B$1,"yyyy/mm/dd"),1),"")</f>
        <v>12723093.27</v>
      </c>
      <c r="I960">
        <f>IFERROR([1]!s_stm07_is($A960,"W72946623",TEXT($B$1,"yyyy/mm/dd"),1),"")</f>
        <v>394524347.00999999</v>
      </c>
      <c r="J960">
        <f>IFERROR([1]!s_stm07_is($A960,"W30028333",TEXT($B$1,"yyyy/mm/dd"),1),"")</f>
        <v>309119428.92000002</v>
      </c>
      <c r="K960">
        <f>IFERROR([1]!s_stm07_cs($A960,"W77130581",TEXT($B$1,"yyyy/mm/dd"),1),"")</f>
        <v>220282140.22</v>
      </c>
      <c r="L960">
        <f>IFERROR([1]!s_stm07_cs($A960,"W77745895",TEXT($B$1,"yyyy/mm/dd"),1),"")</f>
        <v>10884032.16</v>
      </c>
      <c r="M960">
        <f>IFERROR([1]!S_FA_EPS_basic2($A960,$B$1,"Cur=CNY"),"")</f>
        <v>0.18</v>
      </c>
      <c r="N960">
        <f>IFERROR([1]!s_fa_arturndays($A960,TEXT($B$1,"yyyy/mm/dd")),"")</f>
        <v>11.3124</v>
      </c>
      <c r="O960" t="str">
        <f>IFERROR([1]!fa_apturndays($A960,TEXT($B$1,"yyyy/mm/dd")),"")</f>
        <v>Fetch...</v>
      </c>
      <c r="P960">
        <f>IFERROR([1]!s_fa_invturndays($A960,TEXT($B$1,"yyyy/mm/dd")),"")</f>
        <v>31.4345</v>
      </c>
    </row>
    <row r="961" spans="1:16">
      <c r="A961" t="s">
        <v>974</v>
      </c>
      <c r="B961">
        <f>IFERROR([1]!s_stm07_is($A961,"W70156729",TEXT($B$1,"yyyy/mm/dd"),1),"")</f>
        <v>144932859000</v>
      </c>
      <c r="C961">
        <f>IFERROR([1]!s_stm07_is($A961,"W75682424",TEXT($B$1,"yyyy/mm/dd"),1),"")</f>
        <v>102409181000</v>
      </c>
      <c r="D961">
        <f>IFERROR([1]!s_stm07_is($A961,"W76031679",TEXT($B$1,"yyyy/mm/dd"),1),"")</f>
        <v>2886082000</v>
      </c>
      <c r="E961">
        <f>IFERROR([1]!s_stm07_is($A961,"W70752487",TEXT($B$1,"yyyy/mm/dd"),1),"")</f>
        <v>9829073000</v>
      </c>
      <c r="F961">
        <f>IFERROR([1]!s_stm07_is_103($A961,TEXT($B$1,"yyyy/mm/dd"),1),"")</f>
        <v>3397880000</v>
      </c>
      <c r="G961">
        <f>IFERROR([1]!s_stm07_is_104($A961,TEXT($B$1,"yyyy/mm/dd"),1),"")</f>
        <v>4095650000</v>
      </c>
      <c r="H961">
        <f>IFERROR([1]!s_stm07_is_105($A961,TEXT($B$1,"yyyy/mm/dd"),1),"")</f>
        <v>576801000</v>
      </c>
      <c r="I961">
        <f>IFERROR([1]!s_stm07_is($A961,"W72946623",TEXT($B$1,"yyyy/mm/dd"),1),"")</f>
        <v>18425048000</v>
      </c>
      <c r="J961">
        <f>IFERROR([1]!s_stm07_is($A961,"W30028333",TEXT($B$1,"yyyy/mm/dd"),1),"")</f>
        <v>8380948000</v>
      </c>
      <c r="K961">
        <f>IFERROR([1]!s_stm07_cs($A961,"W77130581",TEXT($B$1,"yyyy/mm/dd"),1),"")</f>
        <v>19484794000</v>
      </c>
      <c r="L961">
        <f>IFERROR([1]!s_stm07_cs($A961,"W77745895",TEXT($B$1,"yyyy/mm/dd"),1),"")</f>
        <v>18520825000</v>
      </c>
      <c r="M961">
        <f>IFERROR([1]!S_FA_EPS_basic2($A961,$B$1,"Cur=CNY"),"")</f>
        <v>0.84</v>
      </c>
      <c r="N961">
        <f>IFERROR([1]!s_fa_arturndays($A961,TEXT($B$1,"yyyy/mm/dd")),"")</f>
        <v>22.198399999999999</v>
      </c>
      <c r="O961" t="str">
        <f>IFERROR([1]!fa_apturndays($A961,TEXT($B$1,"yyyy/mm/dd")),"")</f>
        <v>Fetch...</v>
      </c>
      <c r="P961">
        <f>IFERROR([1]!s_fa_invturndays($A961,TEXT($B$1,"yyyy/mm/dd")),"")</f>
        <v>26.875299999999999</v>
      </c>
    </row>
    <row r="962" spans="1:16">
      <c r="A962" t="s">
        <v>975</v>
      </c>
      <c r="B962">
        <f>IFERROR([1]!s_stm07_is($A962,"W70156729",TEXT($B$1,"yyyy/mm/dd"),1),"")</f>
        <v>41661612748.150002</v>
      </c>
      <c r="C962">
        <f>IFERROR([1]!s_stm07_is($A962,"W75682424",TEXT($B$1,"yyyy/mm/dd"),1),"")</f>
        <v>20800103192.220001</v>
      </c>
      <c r="D962">
        <f>IFERROR([1]!s_stm07_is($A962,"W76031679",TEXT($B$1,"yyyy/mm/dd"),1),"")</f>
        <v>9193022306.2900009</v>
      </c>
      <c r="E962">
        <f>IFERROR([1]!s_stm07_is($A962,"W70752487",TEXT($B$1,"yyyy/mm/dd"),1),"")</f>
        <v>4583601754.2299995</v>
      </c>
      <c r="F962">
        <f>IFERROR([1]!s_stm07_is_103($A962,TEXT($B$1,"yyyy/mm/dd"),1),"")</f>
        <v>4012555580.8200002</v>
      </c>
      <c r="G962">
        <f>IFERROR([1]!s_stm07_is_104($A962,TEXT($B$1,"yyyy/mm/dd"),1),"")</f>
        <v>1265350720.9300001</v>
      </c>
      <c r="H962">
        <f>IFERROR([1]!s_stm07_is_105($A962,TEXT($B$1,"yyyy/mm/dd"),1),"")</f>
        <v>300503664.20999998</v>
      </c>
      <c r="I962">
        <f>IFERROR([1]!s_stm07_is($A962,"W72946623",TEXT($B$1,"yyyy/mm/dd"),1),"")</f>
        <v>5111983263.8699999</v>
      </c>
      <c r="J962">
        <f>IFERROR([1]!s_stm07_is($A962,"W30028333",TEXT($B$1,"yyyy/mm/dd"),1),"")</f>
        <v>3370561562.6100001</v>
      </c>
      <c r="K962">
        <f>IFERROR([1]!s_stm07_cs($A962,"W77130581",TEXT($B$1,"yyyy/mm/dd"),1),"")</f>
        <v>5213226878.3500004</v>
      </c>
      <c r="L962">
        <f>IFERROR([1]!s_stm07_cs($A962,"W77745895",TEXT($B$1,"yyyy/mm/dd"),1),"")</f>
        <v>4448451634.9099998</v>
      </c>
      <c r="M962">
        <f>IFERROR([1]!S_FA_EPS_basic2($A962,$B$1,"Cur=CNY"),"")</f>
        <v>1.27</v>
      </c>
      <c r="N962">
        <f>IFERROR([1]!s_fa_arturndays($A962,TEXT($B$1,"yyyy/mm/dd")),"")</f>
        <v>74.816100000000006</v>
      </c>
      <c r="O962" t="str">
        <f>IFERROR([1]!fa_apturndays($A962,TEXT($B$1,"yyyy/mm/dd")),"")</f>
        <v>Fetch...</v>
      </c>
      <c r="P962">
        <f>IFERROR([1]!s_fa_invturndays($A962,TEXT($B$1,"yyyy/mm/dd")),"")</f>
        <v>119.03189999999999</v>
      </c>
    </row>
    <row r="963" spans="1:16">
      <c r="A963" t="s">
        <v>976</v>
      </c>
      <c r="B963">
        <f>IFERROR([1]!s_stm07_is($A963,"W70156729",TEXT($B$1,"yyyy/mm/dd"),1),"")</f>
        <v>1722298983.55</v>
      </c>
      <c r="C963">
        <f>IFERROR([1]!s_stm07_is($A963,"W75682424",TEXT($B$1,"yyyy/mm/dd"),1),"")</f>
        <v>842339582.36000001</v>
      </c>
      <c r="D963">
        <f>IFERROR([1]!s_stm07_is($A963,"W76031679",TEXT($B$1,"yyyy/mm/dd"),1),"")</f>
        <v>184476593.47999999</v>
      </c>
      <c r="E963">
        <f>IFERROR([1]!s_stm07_is($A963,"W70752487",TEXT($B$1,"yyyy/mm/dd"),1),"")</f>
        <v>72152268.989999995</v>
      </c>
      <c r="F963">
        <f>IFERROR([1]!s_stm07_is_103($A963,TEXT($B$1,"yyyy/mm/dd"),1),"")</f>
        <v>12728442.380000001</v>
      </c>
      <c r="G963">
        <f>IFERROR([1]!s_stm07_is_104($A963,TEXT($B$1,"yyyy/mm/dd"),1),"")</f>
        <v>20458946.98</v>
      </c>
      <c r="H963">
        <f>IFERROR([1]!s_stm07_is_105($A963,TEXT($B$1,"yyyy/mm/dd"),1),"")</f>
        <v>496816.2</v>
      </c>
      <c r="I963">
        <f>IFERROR([1]!s_stm07_is($A963,"W72946623",TEXT($B$1,"yyyy/mm/dd"),1),"")</f>
        <v>299439486.81999999</v>
      </c>
      <c r="J963">
        <f>IFERROR([1]!s_stm07_is($A963,"W30028333",TEXT($B$1,"yyyy/mm/dd"),1),"")</f>
        <v>216373720.31</v>
      </c>
      <c r="K963">
        <f>IFERROR([1]!s_stm07_cs($A963,"W77130581",TEXT($B$1,"yyyy/mm/dd"),1),"")</f>
        <v>-86084740.299999997</v>
      </c>
      <c r="L963">
        <f>IFERROR([1]!s_stm07_cs($A963,"W77745895",TEXT($B$1,"yyyy/mm/dd"),1),"")</f>
        <v>213271558.84999999</v>
      </c>
      <c r="M963">
        <f>IFERROR([1]!S_FA_EPS_basic2($A963,$B$1,"Cur=CNY"),"")</f>
        <v>0.45750000000000002</v>
      </c>
      <c r="N963">
        <f>IFERROR([1]!s_fa_arturndays($A963,TEXT($B$1,"yyyy/mm/dd")),"")</f>
        <v>4.0590000000000002</v>
      </c>
      <c r="O963" t="str">
        <f>IFERROR([1]!fa_apturndays($A963,TEXT($B$1,"yyyy/mm/dd")),"")</f>
        <v>Fetch...</v>
      </c>
      <c r="P963">
        <f>IFERROR([1]!s_fa_invturndays($A963,TEXT($B$1,"yyyy/mm/dd")),"")</f>
        <v>1016.0881000000001</v>
      </c>
    </row>
    <row r="964" spans="1:16">
      <c r="A964" t="s">
        <v>977</v>
      </c>
      <c r="B964">
        <f>IFERROR([1]!s_stm07_is($A964,"W70156729",TEXT($B$1,"yyyy/mm/dd"),1),"")</f>
        <v>1396413685.47</v>
      </c>
      <c r="C964">
        <f>IFERROR([1]!s_stm07_is($A964,"W75682424",TEXT($B$1,"yyyy/mm/dd"),1),"")</f>
        <v>648887448.42999995</v>
      </c>
      <c r="D964">
        <f>IFERROR([1]!s_stm07_is($A964,"W76031679",TEXT($B$1,"yyyy/mm/dd"),1),"")</f>
        <v>335424429.51999998</v>
      </c>
      <c r="E964">
        <f>IFERROR([1]!s_stm07_is($A964,"W70752487",TEXT($B$1,"yyyy/mm/dd"),1),"")</f>
        <v>189579715.83000001</v>
      </c>
      <c r="F964">
        <f>IFERROR([1]!s_stm07_is_103($A964,TEXT($B$1,"yyyy/mm/dd"),1),"")</f>
        <v>131087459.56</v>
      </c>
      <c r="G964">
        <f>IFERROR([1]!s_stm07_is_104($A964,TEXT($B$1,"yyyy/mm/dd"),1),"")</f>
        <v>470251.54</v>
      </c>
      <c r="H964">
        <f>IFERROR([1]!s_stm07_is_105($A964,TEXT($B$1,"yyyy/mm/dd"),1),"")</f>
        <v>51170911.869999997</v>
      </c>
      <c r="I964">
        <f>IFERROR([1]!s_stm07_is($A964,"W72946623",TEXT($B$1,"yyyy/mm/dd"),1),"")</f>
        <v>104619896.61</v>
      </c>
      <c r="J964">
        <f>IFERROR([1]!s_stm07_is($A964,"W30028333",TEXT($B$1,"yyyy/mm/dd"),1),"")</f>
        <v>100111637.70999999</v>
      </c>
      <c r="K964">
        <f>IFERROR([1]!s_stm07_cs($A964,"W77130581",TEXT($B$1,"yyyy/mm/dd"),1),"")</f>
        <v>316116860.10000002</v>
      </c>
      <c r="L964">
        <f>IFERROR([1]!s_stm07_cs($A964,"W77745895",TEXT($B$1,"yyyy/mm/dd"),1),"")</f>
        <v>121426242.43000001</v>
      </c>
      <c r="M964">
        <f>IFERROR([1]!S_FA_EPS_basic2($A964,$B$1,"Cur=CNY"),"")</f>
        <v>0.09</v>
      </c>
      <c r="N964">
        <f>IFERROR([1]!s_fa_arturndays($A964,TEXT($B$1,"yyyy/mm/dd")),"")</f>
        <v>157.82550000000001</v>
      </c>
      <c r="O964" t="str">
        <f>IFERROR([1]!fa_apturndays($A964,TEXT($B$1,"yyyy/mm/dd")),"")</f>
        <v>Fetch...</v>
      </c>
      <c r="P964">
        <f>IFERROR([1]!s_fa_invturndays($A964,TEXT($B$1,"yyyy/mm/dd")),"")</f>
        <v>156.39250000000001</v>
      </c>
    </row>
    <row r="965" spans="1:16">
      <c r="A965" t="s">
        <v>978</v>
      </c>
      <c r="B965">
        <f>IFERROR([1]!s_stm07_is($A965,"W70156729",TEXT($B$1,"yyyy/mm/dd"),1),"")</f>
        <v>9542126753.9799995</v>
      </c>
      <c r="C965">
        <f>IFERROR([1]!s_stm07_is($A965,"W75682424",TEXT($B$1,"yyyy/mm/dd"),1),"")</f>
        <v>8682707454.1599998</v>
      </c>
      <c r="D965">
        <f>IFERROR([1]!s_stm07_is($A965,"W76031679",TEXT($B$1,"yyyy/mm/dd"),1),"")</f>
        <v>48565020</v>
      </c>
      <c r="E965">
        <f>IFERROR([1]!s_stm07_is($A965,"W70752487",TEXT($B$1,"yyyy/mm/dd"),1),"")</f>
        <v>166519642.03999999</v>
      </c>
      <c r="F965">
        <f>IFERROR([1]!s_stm07_is_103($A965,TEXT($B$1,"yyyy/mm/dd"),1),"")</f>
        <v>285014494.62</v>
      </c>
      <c r="G965">
        <f>IFERROR([1]!s_stm07_is_104($A965,TEXT($B$1,"yyyy/mm/dd"),1),"")</f>
        <v>39672646.75</v>
      </c>
      <c r="H965">
        <f>IFERROR([1]!s_stm07_is_105($A965,TEXT($B$1,"yyyy/mm/dd"),1),"")</f>
        <v>4623948.3600000003</v>
      </c>
      <c r="I965">
        <f>IFERROR([1]!s_stm07_is($A965,"W72946623",TEXT($B$1,"yyyy/mm/dd"),1),"")</f>
        <v>286695844.67000002</v>
      </c>
      <c r="J965">
        <f>IFERROR([1]!s_stm07_is($A965,"W30028333",TEXT($B$1,"yyyy/mm/dd"),1),"")</f>
        <v>264789582.15000001</v>
      </c>
      <c r="K965">
        <f>IFERROR([1]!s_stm07_cs($A965,"W77130581",TEXT($B$1,"yyyy/mm/dd"),1),"")</f>
        <v>-78811719.569999993</v>
      </c>
      <c r="L965">
        <f>IFERROR([1]!s_stm07_cs($A965,"W77745895",TEXT($B$1,"yyyy/mm/dd"),1),"")</f>
        <v>208967038.49000001</v>
      </c>
      <c r="M965">
        <f>IFERROR([1]!S_FA_EPS_basic2($A965,$B$1,"Cur=CNY"),"")</f>
        <v>0.313</v>
      </c>
      <c r="N965">
        <f>IFERROR([1]!s_fa_arturndays($A965,TEXT($B$1,"yyyy/mm/dd")),"")</f>
        <v>34.667400000000001</v>
      </c>
      <c r="O965" t="str">
        <f>IFERROR([1]!fa_apturndays($A965,TEXT($B$1,"yyyy/mm/dd")),"")</f>
        <v>Fetch...</v>
      </c>
      <c r="P965">
        <f>IFERROR([1]!s_fa_invturndays($A965,TEXT($B$1,"yyyy/mm/dd")),"")</f>
        <v>47.4696</v>
      </c>
    </row>
    <row r="966" spans="1:16">
      <c r="A966" t="s">
        <v>979</v>
      </c>
      <c r="B966">
        <f>IFERROR([1]!s_stm07_is($A966,"W70156729",TEXT($B$1,"yyyy/mm/dd"),1),"")</f>
        <v>3589261703.9499998</v>
      </c>
      <c r="C966">
        <f>IFERROR([1]!s_stm07_is($A966,"W75682424",TEXT($B$1,"yyyy/mm/dd"),1),"")</f>
        <v>2922503668.3400002</v>
      </c>
      <c r="D966">
        <f>IFERROR([1]!s_stm07_is($A966,"W76031679",TEXT($B$1,"yyyy/mm/dd"),1),"")</f>
        <v>169756202.94</v>
      </c>
      <c r="E966">
        <f>IFERROR([1]!s_stm07_is($A966,"W70752487",TEXT($B$1,"yyyy/mm/dd"),1),"")</f>
        <v>299985423.67000002</v>
      </c>
      <c r="F966">
        <f>IFERROR([1]!s_stm07_is_103($A966,TEXT($B$1,"yyyy/mm/dd"),1),"")</f>
        <v>0</v>
      </c>
      <c r="G966">
        <f>IFERROR([1]!s_stm07_is_104($A966,TEXT($B$1,"yyyy/mm/dd"),1),"")</f>
        <v>1514959849.53</v>
      </c>
      <c r="H966">
        <f>IFERROR([1]!s_stm07_is_105($A966,TEXT($B$1,"yyyy/mm/dd"),1),"")</f>
        <v>89133595.409999996</v>
      </c>
      <c r="I966">
        <f>IFERROR([1]!s_stm07_is($A966,"W72946623",TEXT($B$1,"yyyy/mm/dd"),1),"")</f>
        <v>136144632.78999999</v>
      </c>
      <c r="J966">
        <f>IFERROR([1]!s_stm07_is($A966,"W30028333",TEXT($B$1,"yyyy/mm/dd"),1),"")</f>
        <v>261125936.37</v>
      </c>
      <c r="K966">
        <f>IFERROR([1]!s_stm07_cs($A966,"W77130581",TEXT($B$1,"yyyy/mm/dd"),1),"")</f>
        <v>138929967.77000001</v>
      </c>
      <c r="L966">
        <f>IFERROR([1]!s_stm07_cs($A966,"W77745895",TEXT($B$1,"yyyy/mm/dd"),1),"")</f>
        <v>28556878.690000001</v>
      </c>
      <c r="M966">
        <f>IFERROR([1]!S_FA_EPS_basic2($A966,$B$1,"Cur=CNY"),"")</f>
        <v>0.03</v>
      </c>
      <c r="N966">
        <f>IFERROR([1]!s_fa_arturndays($A966,TEXT($B$1,"yyyy/mm/dd")),"")</f>
        <v>1.9231</v>
      </c>
      <c r="O966" t="str">
        <f>IFERROR([1]!fa_apturndays($A966,TEXT($B$1,"yyyy/mm/dd")),"")</f>
        <v>Fetch...</v>
      </c>
      <c r="P966">
        <f>IFERROR([1]!s_fa_invturndays($A966,TEXT($B$1,"yyyy/mm/dd")),"")</f>
        <v>3797.4684000000002</v>
      </c>
    </row>
    <row r="967" spans="1:16">
      <c r="A967" t="s">
        <v>980</v>
      </c>
      <c r="B967">
        <f>IFERROR([1]!s_stm07_is($A967,"W70156729",TEXT($B$1,"yyyy/mm/dd"),1),"")</f>
        <v>9604068814.2099991</v>
      </c>
      <c r="C967">
        <f>IFERROR([1]!s_stm07_is($A967,"W75682424",TEXT($B$1,"yyyy/mm/dd"),1),"")</f>
        <v>7374652401.8299999</v>
      </c>
      <c r="D967">
        <f>IFERROR([1]!s_stm07_is($A967,"W76031679",TEXT($B$1,"yyyy/mm/dd"),1),"")</f>
        <v>146138268.24000001</v>
      </c>
      <c r="E967">
        <f>IFERROR([1]!s_stm07_is($A967,"W70752487",TEXT($B$1,"yyyy/mm/dd"),1),"")</f>
        <v>659382490.83000004</v>
      </c>
      <c r="F967">
        <f>IFERROR([1]!s_stm07_is_103($A967,TEXT($B$1,"yyyy/mm/dd"),1),"")</f>
        <v>343909809.38</v>
      </c>
      <c r="G967">
        <f>IFERROR([1]!s_stm07_is_104($A967,TEXT($B$1,"yyyy/mm/dd"),1),"")</f>
        <v>90123506.540000007</v>
      </c>
      <c r="H967">
        <f>IFERROR([1]!s_stm07_is_105($A967,TEXT($B$1,"yyyy/mm/dd"),1),"")</f>
        <v>22245108.120000001</v>
      </c>
      <c r="I967">
        <f>IFERROR([1]!s_stm07_is($A967,"W72946623",TEXT($B$1,"yyyy/mm/dd"),1),"")</f>
        <v>1262097273.49</v>
      </c>
      <c r="J967">
        <f>IFERROR([1]!s_stm07_is($A967,"W30028333",TEXT($B$1,"yyyy/mm/dd"),1),"")</f>
        <v>1037282250.54</v>
      </c>
      <c r="K967">
        <f>IFERROR([1]!s_stm07_cs($A967,"W77130581",TEXT($B$1,"yyyy/mm/dd"),1),"")</f>
        <v>1195616662.9300001</v>
      </c>
      <c r="L967">
        <f>IFERROR([1]!s_stm07_cs($A967,"W77745895",TEXT($B$1,"yyyy/mm/dd"),1),"")</f>
        <v>1251277407.9100001</v>
      </c>
      <c r="M967">
        <f>IFERROR([1]!S_FA_EPS_basic2($A967,$B$1,"Cur=CNY"),"")</f>
        <v>0.68400000000000005</v>
      </c>
      <c r="N967">
        <f>IFERROR([1]!s_fa_arturndays($A967,TEXT($B$1,"yyyy/mm/dd")),"")</f>
        <v>56.206099999999999</v>
      </c>
      <c r="O967" t="str">
        <f>IFERROR([1]!fa_apturndays($A967,TEXT($B$1,"yyyy/mm/dd")),"")</f>
        <v>Fetch...</v>
      </c>
      <c r="P967">
        <f>IFERROR([1]!s_fa_invturndays($A967,TEXT($B$1,"yyyy/mm/dd")),"")</f>
        <v>90.024799999999999</v>
      </c>
    </row>
    <row r="968" spans="1:16">
      <c r="A968" t="s">
        <v>981</v>
      </c>
      <c r="B968">
        <f>IFERROR([1]!s_stm07_is($A968,"W70156729",TEXT($B$1,"yyyy/mm/dd"),1),"")</f>
        <v>2981538230.4299998</v>
      </c>
      <c r="C968">
        <f>IFERROR([1]!s_stm07_is($A968,"W75682424",TEXT($B$1,"yyyy/mm/dd"),1),"")</f>
        <v>172474862.94999999</v>
      </c>
      <c r="D968">
        <f>IFERROR([1]!s_stm07_is($A968,"W76031679",TEXT($B$1,"yyyy/mm/dd"),1),"")</f>
        <v>1644299989.97</v>
      </c>
      <c r="E968">
        <f>IFERROR([1]!s_stm07_is($A968,"W70752487",TEXT($B$1,"yyyy/mm/dd"),1),"")</f>
        <v>129241359.43000001</v>
      </c>
      <c r="F968">
        <f>IFERROR([1]!s_stm07_is_103($A968,TEXT($B$1,"yyyy/mm/dd"),1),"")</f>
        <v>74080120</v>
      </c>
      <c r="G968">
        <f>IFERROR([1]!s_stm07_is_104($A968,TEXT($B$1,"yyyy/mm/dd"),1),"")</f>
        <v>12569466.82</v>
      </c>
      <c r="H968">
        <f>IFERROR([1]!s_stm07_is_105($A968,TEXT($B$1,"yyyy/mm/dd"),1),"")</f>
        <v>80518694.590000004</v>
      </c>
      <c r="I968">
        <f>IFERROR([1]!s_stm07_is($A968,"W72946623",TEXT($B$1,"yyyy/mm/dd"),1),"")</f>
        <v>1040617869.2</v>
      </c>
      <c r="J968">
        <f>IFERROR([1]!s_stm07_is($A968,"W30028333",TEXT($B$1,"yyyy/mm/dd"),1),"")</f>
        <v>937931435.32000005</v>
      </c>
      <c r="K968">
        <f>IFERROR([1]!s_stm07_cs($A968,"W77130581",TEXT($B$1,"yyyy/mm/dd"),1),"")</f>
        <v>1004750805.92</v>
      </c>
      <c r="L968">
        <f>IFERROR([1]!s_stm07_cs($A968,"W77745895",TEXT($B$1,"yyyy/mm/dd"),1),"")</f>
        <v>15957010.34</v>
      </c>
      <c r="M968">
        <f>IFERROR([1]!S_FA_EPS_basic2($A968,$B$1,"Cur=CNY"),"")</f>
        <v>2.91</v>
      </c>
      <c r="N968">
        <f>IFERROR([1]!s_fa_arturndays($A968,TEXT($B$1,"yyyy/mm/dd")),"")</f>
        <v>73.723699999999994</v>
      </c>
      <c r="O968" t="str">
        <f>IFERROR([1]!fa_apturndays($A968,TEXT($B$1,"yyyy/mm/dd")),"")</f>
        <v>Fetch...</v>
      </c>
      <c r="P968">
        <f>IFERROR([1]!s_fa_invturndays($A968,TEXT($B$1,"yyyy/mm/dd")),"")</f>
        <v>329.21809999999999</v>
      </c>
    </row>
    <row r="969" spans="1:16">
      <c r="A969" t="s">
        <v>982</v>
      </c>
      <c r="B969">
        <f>IFERROR([1]!s_stm07_is($A969,"W70156729",TEXT($B$1,"yyyy/mm/dd"),1),"")</f>
        <v>8880602021.7800007</v>
      </c>
      <c r="C969">
        <f>IFERROR([1]!s_stm07_is($A969,"W75682424",TEXT($B$1,"yyyy/mm/dd"),1),"")</f>
        <v>5801863711.1099997</v>
      </c>
      <c r="D969">
        <f>IFERROR([1]!s_stm07_is($A969,"W76031679",TEXT($B$1,"yyyy/mm/dd"),1),"")</f>
        <v>894249972.42999995</v>
      </c>
      <c r="E969">
        <f>IFERROR([1]!s_stm07_is($A969,"W70752487",TEXT($B$1,"yyyy/mm/dd"),1),"")</f>
        <v>520888009.22000003</v>
      </c>
      <c r="F969">
        <f>IFERROR([1]!s_stm07_is_103($A969,TEXT($B$1,"yyyy/mm/dd"),1),"")</f>
        <v>579884528.64999998</v>
      </c>
      <c r="G969">
        <f>IFERROR([1]!s_stm07_is_104($A969,TEXT($B$1,"yyyy/mm/dd"),1),"")</f>
        <v>24870165.399999999</v>
      </c>
      <c r="H969">
        <f>IFERROR([1]!s_stm07_is_105($A969,TEXT($B$1,"yyyy/mm/dd"),1),"")</f>
        <v>30144729.32</v>
      </c>
      <c r="I969">
        <f>IFERROR([1]!s_stm07_is($A969,"W72946623",TEXT($B$1,"yyyy/mm/dd"),1),"")</f>
        <v>951729488.24000001</v>
      </c>
      <c r="J969">
        <f>IFERROR([1]!s_stm07_is($A969,"W30028333",TEXT($B$1,"yyyy/mm/dd"),1),"")</f>
        <v>873380229.20000005</v>
      </c>
      <c r="K969">
        <f>IFERROR([1]!s_stm07_cs($A969,"W77130581",TEXT($B$1,"yyyy/mm/dd"),1),"")</f>
        <v>1885768711.27</v>
      </c>
      <c r="L969">
        <f>IFERROR([1]!s_stm07_cs($A969,"W77745895",TEXT($B$1,"yyyy/mm/dd"),1),"")</f>
        <v>446471610.05000001</v>
      </c>
      <c r="M969">
        <f>IFERROR([1]!S_FA_EPS_basic2($A969,$B$1,"Cur=CNY"),"")</f>
        <v>0.91</v>
      </c>
      <c r="N969">
        <f>IFERROR([1]!s_fa_arturndays($A969,TEXT($B$1,"yyyy/mm/dd")),"")</f>
        <v>62.728700000000003</v>
      </c>
      <c r="O969" t="str">
        <f>IFERROR([1]!fa_apturndays($A969,TEXT($B$1,"yyyy/mm/dd")),"")</f>
        <v>Fetch...</v>
      </c>
      <c r="P969">
        <f>IFERROR([1]!s_fa_invturndays($A969,TEXT($B$1,"yyyy/mm/dd")),"")</f>
        <v>123.7028</v>
      </c>
    </row>
    <row r="970" spans="1:16">
      <c r="A970" t="s">
        <v>983</v>
      </c>
      <c r="B970">
        <f>IFERROR([1]!s_stm07_is($A970,"W70156729",TEXT($B$1,"yyyy/mm/dd"),1),"")</f>
        <v>3136136181.6399999</v>
      </c>
      <c r="C970">
        <f>IFERROR([1]!s_stm07_is($A970,"W75682424",TEXT($B$1,"yyyy/mm/dd"),1),"")</f>
        <v>3494128789.9099998</v>
      </c>
      <c r="D970">
        <f>IFERROR([1]!s_stm07_is($A970,"W76031679",TEXT($B$1,"yyyy/mm/dd"),1),"")</f>
        <v>8828075.3599999994</v>
      </c>
      <c r="E970">
        <f>IFERROR([1]!s_stm07_is($A970,"W70752487",TEXT($B$1,"yyyy/mm/dd"),1),"")</f>
        <v>123943374.91</v>
      </c>
      <c r="F970">
        <f>IFERROR([1]!s_stm07_is_103($A970,TEXT($B$1,"yyyy/mm/dd"),1),"")</f>
        <v>1834227.69</v>
      </c>
      <c r="G970">
        <f>IFERROR([1]!s_stm07_is_104($A970,TEXT($B$1,"yyyy/mm/dd"),1),"")</f>
        <v>76572320.109999999</v>
      </c>
      <c r="H970">
        <f>IFERROR([1]!s_stm07_is_105($A970,TEXT($B$1,"yyyy/mm/dd"),1),"")</f>
        <v>8223956.04</v>
      </c>
      <c r="I970">
        <f>IFERROR([1]!s_stm07_is($A970,"W72946623",TEXT($B$1,"yyyy/mm/dd"),1),"")</f>
        <v>-561174706.71000004</v>
      </c>
      <c r="J970">
        <f>IFERROR([1]!s_stm07_is($A970,"W30028333",TEXT($B$1,"yyyy/mm/dd"),1),"")</f>
        <v>-584583338.38</v>
      </c>
      <c r="K970">
        <f>IFERROR([1]!s_stm07_cs($A970,"W77130581",TEXT($B$1,"yyyy/mm/dd"),1),"")</f>
        <v>1227202506.3699999</v>
      </c>
      <c r="L970">
        <f>IFERROR([1]!s_stm07_cs($A970,"W77745895",TEXT($B$1,"yyyy/mm/dd"),1),"")</f>
        <v>251279193.87</v>
      </c>
      <c r="M970">
        <f>IFERROR([1]!S_FA_EPS_basic2($A970,$B$1,"Cur=CNY"),"")</f>
        <v>-0.35270000000000001</v>
      </c>
      <c r="N970">
        <f>IFERROR([1]!s_fa_arturndays($A970,TEXT($B$1,"yyyy/mm/dd")),"")</f>
        <v>504.69650000000001</v>
      </c>
      <c r="O970" t="str">
        <f>IFERROR([1]!fa_apturndays($A970,TEXT($B$1,"yyyy/mm/dd")),"")</f>
        <v>Fetch...</v>
      </c>
      <c r="P970">
        <f>IFERROR([1]!s_fa_invturndays($A970,TEXT($B$1,"yyyy/mm/dd")),"")</f>
        <v>13.384399999999999</v>
      </c>
    </row>
    <row r="971" spans="1:16">
      <c r="A971" t="s">
        <v>984</v>
      </c>
      <c r="B971">
        <f>IFERROR([1]!s_stm07_is($A971,"W70156729",TEXT($B$1,"yyyy/mm/dd"),1),"")</f>
        <v>34619858906.959999</v>
      </c>
      <c r="C971">
        <f>IFERROR([1]!s_stm07_is($A971,"W75682424",TEXT($B$1,"yyyy/mm/dd"),1),"")</f>
        <v>25896754002.93</v>
      </c>
      <c r="D971">
        <f>IFERROR([1]!s_stm07_is($A971,"W76031679",TEXT($B$1,"yyyy/mm/dd"),1),"")</f>
        <v>280583470.94</v>
      </c>
      <c r="E971">
        <f>IFERROR([1]!s_stm07_is($A971,"W70752487",TEXT($B$1,"yyyy/mm/dd"),1),"")</f>
        <v>826862005.38</v>
      </c>
      <c r="F971">
        <f>IFERROR([1]!s_stm07_is_103($A971,TEXT($B$1,"yyyy/mm/dd"),1),"")</f>
        <v>1311479081.0999999</v>
      </c>
      <c r="G971">
        <f>IFERROR([1]!s_stm07_is_104($A971,TEXT($B$1,"yyyy/mm/dd"),1),"")</f>
        <v>172764954.87</v>
      </c>
      <c r="H971">
        <f>IFERROR([1]!s_stm07_is_105($A971,TEXT($B$1,"yyyy/mm/dd"),1),"")</f>
        <v>414733221.11000001</v>
      </c>
      <c r="I971">
        <f>IFERROR([1]!s_stm07_is($A971,"W72946623",TEXT($B$1,"yyyy/mm/dd"),1),"")</f>
        <v>6538460526.21</v>
      </c>
      <c r="J971">
        <f>IFERROR([1]!s_stm07_is($A971,"W30028333",TEXT($B$1,"yyyy/mm/dd"),1),"")</f>
        <v>4735509136.0299997</v>
      </c>
      <c r="K971">
        <f>IFERROR([1]!s_stm07_cs($A971,"W77130581",TEXT($B$1,"yyyy/mm/dd"),1),"")</f>
        <v>7428939620.9499998</v>
      </c>
      <c r="L971">
        <f>IFERROR([1]!s_stm07_cs($A971,"W77745895",TEXT($B$1,"yyyy/mm/dd"),1),"")</f>
        <v>3882611114.0999999</v>
      </c>
      <c r="M971">
        <f>IFERROR([1]!S_FA_EPS_basic2($A971,$B$1,"Cur=CNY"),"")</f>
        <v>0.41</v>
      </c>
      <c r="N971">
        <f>IFERROR([1]!s_fa_arturndays($A971,TEXT($B$1,"yyyy/mm/dd")),"")</f>
        <v>39.757899999999999</v>
      </c>
      <c r="O971" t="str">
        <f>IFERROR([1]!fa_apturndays($A971,TEXT($B$1,"yyyy/mm/dd")),"")</f>
        <v>Fetch...</v>
      </c>
      <c r="P971">
        <f>IFERROR([1]!s_fa_invturndays($A971,TEXT($B$1,"yyyy/mm/dd")),"")</f>
        <v>101.4885</v>
      </c>
    </row>
    <row r="972" spans="1:16">
      <c r="A972" t="s">
        <v>985</v>
      </c>
      <c r="B972">
        <f>IFERROR([1]!s_stm07_is($A972,"W70156729",TEXT($B$1,"yyyy/mm/dd"),1),"")</f>
        <v>3650898043.8200002</v>
      </c>
      <c r="C972">
        <f>IFERROR([1]!s_stm07_is($A972,"W75682424",TEXT($B$1,"yyyy/mm/dd"),1),"")</f>
        <v>1724709979.0699999</v>
      </c>
      <c r="D972">
        <f>IFERROR([1]!s_stm07_is($A972,"W76031679",TEXT($B$1,"yyyy/mm/dd"),1),"")</f>
        <v>1367006559.21</v>
      </c>
      <c r="E972">
        <f>IFERROR([1]!s_stm07_is($A972,"W70752487",TEXT($B$1,"yyyy/mm/dd"),1),"")</f>
        <v>179439225.44999999</v>
      </c>
      <c r="F972">
        <f>IFERROR([1]!s_stm07_is_103($A972,TEXT($B$1,"yyyy/mm/dd"),1),"")</f>
        <v>161722359.06</v>
      </c>
      <c r="G972">
        <f>IFERROR([1]!s_stm07_is_104($A972,TEXT($B$1,"yyyy/mm/dd"),1),"")</f>
        <v>5840116.7800000003</v>
      </c>
      <c r="H972">
        <f>IFERROR([1]!s_stm07_is_105($A972,TEXT($B$1,"yyyy/mm/dd"),1),"")</f>
        <v>46200474.280000001</v>
      </c>
      <c r="I972">
        <f>IFERROR([1]!s_stm07_is($A972,"W72946623",TEXT($B$1,"yyyy/mm/dd"),1),"")</f>
        <v>284875962.69</v>
      </c>
      <c r="J972">
        <f>IFERROR([1]!s_stm07_is($A972,"W30028333",TEXT($B$1,"yyyy/mm/dd"),1),"")</f>
        <v>187751524.83000001</v>
      </c>
      <c r="K972">
        <f>IFERROR([1]!s_stm07_cs($A972,"W77130581",TEXT($B$1,"yyyy/mm/dd"),1),"")</f>
        <v>276222635.88999999</v>
      </c>
      <c r="L972">
        <f>IFERROR([1]!s_stm07_cs($A972,"W77745895",TEXT($B$1,"yyyy/mm/dd"),1),"")</f>
        <v>110420501.05</v>
      </c>
      <c r="M972">
        <f>IFERROR([1]!S_FA_EPS_basic2($A972,$B$1,"Cur=CNY"),"")</f>
        <v>0.18</v>
      </c>
      <c r="N972">
        <f>IFERROR([1]!s_fa_arturndays($A972,TEXT($B$1,"yyyy/mm/dd")),"")</f>
        <v>40.780299999999997</v>
      </c>
      <c r="O972" t="str">
        <f>IFERROR([1]!fa_apturndays($A972,TEXT($B$1,"yyyy/mm/dd")),"")</f>
        <v>Fetch...</v>
      </c>
      <c r="P972">
        <f>IFERROR([1]!s_fa_invturndays($A972,TEXT($B$1,"yyyy/mm/dd")),"")</f>
        <v>110.4464</v>
      </c>
    </row>
    <row r="973" spans="1:16">
      <c r="A973" t="s">
        <v>986</v>
      </c>
      <c r="B973">
        <f>IFERROR([1]!s_stm07_is($A973,"W70156729",TEXT($B$1,"yyyy/mm/dd"),1),"")</f>
        <v>1849841236.5699999</v>
      </c>
      <c r="C973">
        <f>IFERROR([1]!s_stm07_is($A973,"W75682424",TEXT($B$1,"yyyy/mm/dd"),1),"")</f>
        <v>1699761405.8199999</v>
      </c>
      <c r="D973">
        <f>IFERROR([1]!s_stm07_is($A973,"W76031679",TEXT($B$1,"yyyy/mm/dd"),1),"")</f>
        <v>21787265.18</v>
      </c>
      <c r="E973">
        <f>IFERROR([1]!s_stm07_is($A973,"W70752487",TEXT($B$1,"yyyy/mm/dd"),1),"")</f>
        <v>71187955.5</v>
      </c>
      <c r="F973">
        <f>IFERROR([1]!s_stm07_is_103($A973,TEXT($B$1,"yyyy/mm/dd"),1),"")</f>
        <v>86423680.620000005</v>
      </c>
      <c r="G973">
        <f>IFERROR([1]!s_stm07_is_104($A973,TEXT($B$1,"yyyy/mm/dd"),1),"")</f>
        <v>21852196.84</v>
      </c>
      <c r="H973">
        <f>IFERROR([1]!s_stm07_is_105($A973,TEXT($B$1,"yyyy/mm/dd"),1),"")</f>
        <v>6035666.8799999999</v>
      </c>
      <c r="I973">
        <f>IFERROR([1]!s_stm07_is($A973,"W72946623",TEXT($B$1,"yyyy/mm/dd"),1),"")</f>
        <v>201180452.25999999</v>
      </c>
      <c r="J973">
        <f>IFERROR([1]!s_stm07_is($A973,"W30028333",TEXT($B$1,"yyyy/mm/dd"),1),"")</f>
        <v>200920200.41</v>
      </c>
      <c r="K973">
        <f>IFERROR([1]!s_stm07_cs($A973,"W77130581",TEXT($B$1,"yyyy/mm/dd"),1),"")</f>
        <v>-210862706.03999999</v>
      </c>
      <c r="L973">
        <f>IFERROR([1]!s_stm07_cs($A973,"W77745895",TEXT($B$1,"yyyy/mm/dd"),1),"")</f>
        <v>297161621.48000002</v>
      </c>
      <c r="M973">
        <f>IFERROR([1]!S_FA_EPS_basic2($A973,$B$1,"Cur=CNY"),"")</f>
        <v>7.0000000000000007E-2</v>
      </c>
      <c r="N973">
        <f>IFERROR([1]!s_fa_arturndays($A973,TEXT($B$1,"yyyy/mm/dd")),"")</f>
        <v>51.611400000000003</v>
      </c>
      <c r="O973" t="str">
        <f>IFERROR([1]!fa_apturndays($A973,TEXT($B$1,"yyyy/mm/dd")),"")</f>
        <v>Fetch...</v>
      </c>
      <c r="P973">
        <f>IFERROR([1]!s_fa_invturndays($A973,TEXT($B$1,"yyyy/mm/dd")),"")</f>
        <v>73.682900000000004</v>
      </c>
    </row>
    <row r="974" spans="1:16">
      <c r="A974" t="s">
        <v>987</v>
      </c>
      <c r="B974">
        <f>IFERROR([1]!s_stm07_is($A974,"W70156729",TEXT($B$1,"yyyy/mm/dd"),1),"")</f>
        <v>75276847420.820007</v>
      </c>
      <c r="C974">
        <f>IFERROR([1]!s_stm07_is($A974,"W75682424",TEXT($B$1,"yyyy/mm/dd"),1),"")</f>
        <v>68113962592.029999</v>
      </c>
      <c r="D974">
        <f>IFERROR([1]!s_stm07_is($A974,"W76031679",TEXT($B$1,"yyyy/mm/dd"),1),"")</f>
        <v>302566009.43000001</v>
      </c>
      <c r="E974">
        <f>IFERROR([1]!s_stm07_is($A974,"W70752487",TEXT($B$1,"yyyy/mm/dd"),1),"")</f>
        <v>1191478949.78</v>
      </c>
      <c r="F974">
        <f>IFERROR([1]!s_stm07_is_103($A974,TEXT($B$1,"yyyy/mm/dd"),1),"")</f>
        <v>162412528.22999999</v>
      </c>
      <c r="G974">
        <f>IFERROR([1]!s_stm07_is_104($A974,TEXT($B$1,"yyyy/mm/dd"),1),"")</f>
        <v>146888792.40000001</v>
      </c>
      <c r="H974">
        <f>IFERROR([1]!s_stm07_is_105($A974,TEXT($B$1,"yyyy/mm/dd"),1),"")</f>
        <v>166683686.59</v>
      </c>
      <c r="I974">
        <f>IFERROR([1]!s_stm07_is($A974,"W72946623",TEXT($B$1,"yyyy/mm/dd"),1),"")</f>
        <v>5302589712.5799999</v>
      </c>
      <c r="J974">
        <f>IFERROR([1]!s_stm07_is($A974,"W30028333",TEXT($B$1,"yyyy/mm/dd"),1),"")</f>
        <v>4322350576.04</v>
      </c>
      <c r="K974">
        <f>IFERROR([1]!s_stm07_cs($A974,"W77130581",TEXT($B$1,"yyyy/mm/dd"),1),"")</f>
        <v>7849871865</v>
      </c>
      <c r="L974">
        <f>IFERROR([1]!s_stm07_cs($A974,"W77745895",TEXT($B$1,"yyyy/mm/dd"),1),"")</f>
        <v>8606838227.7399998</v>
      </c>
      <c r="M974">
        <f>IFERROR([1]!S_FA_EPS_basic2($A974,$B$1,"Cur=CNY"),"")</f>
        <v>1.2578</v>
      </c>
      <c r="N974">
        <f>IFERROR([1]!s_fa_arturndays($A974,TEXT($B$1,"yyyy/mm/dd")),"")</f>
        <v>8.7499000000000002</v>
      </c>
      <c r="O974" t="str">
        <f>IFERROR([1]!fa_apturndays($A974,TEXT($B$1,"yyyy/mm/dd")),"")</f>
        <v>Fetch...</v>
      </c>
      <c r="P974">
        <f>IFERROR([1]!s_fa_invturndays($A974,TEXT($B$1,"yyyy/mm/dd")),"")</f>
        <v>1.3874</v>
      </c>
    </row>
    <row r="975" spans="1:16">
      <c r="A975" t="s">
        <v>988</v>
      </c>
      <c r="B975">
        <f>IFERROR([1]!s_stm07_is($A975,"W70156729",TEXT($B$1,"yyyy/mm/dd"),1),"")</f>
        <v>463263797.87</v>
      </c>
      <c r="C975">
        <f>IFERROR([1]!s_stm07_is($A975,"W75682424",TEXT($B$1,"yyyy/mm/dd"),1),"")</f>
        <v>369171932.97000003</v>
      </c>
      <c r="D975">
        <f>IFERROR([1]!s_stm07_is($A975,"W76031679",TEXT($B$1,"yyyy/mm/dd"),1),"")</f>
        <v>60040734.850000001</v>
      </c>
      <c r="E975">
        <f>IFERROR([1]!s_stm07_is($A975,"W70752487",TEXT($B$1,"yyyy/mm/dd"),1),"")</f>
        <v>121307048.95999999</v>
      </c>
      <c r="F975">
        <f>IFERROR([1]!s_stm07_is_103($A975,TEXT($B$1,"yyyy/mm/dd"),1),"")</f>
        <v>62847091.079999998</v>
      </c>
      <c r="G975">
        <f>IFERROR([1]!s_stm07_is_104($A975,TEXT($B$1,"yyyy/mm/dd"),1),"")</f>
        <v>73285556.469999999</v>
      </c>
      <c r="H975">
        <f>IFERROR([1]!s_stm07_is_105($A975,TEXT($B$1,"yyyy/mm/dd"),1),"")</f>
        <v>7269493.6399999997</v>
      </c>
      <c r="I975">
        <f>IFERROR([1]!s_stm07_is($A975,"W72946623",TEXT($B$1,"yyyy/mm/dd"),1),"")</f>
        <v>-692602438.38</v>
      </c>
      <c r="J975">
        <f>IFERROR([1]!s_stm07_is($A975,"W30028333",TEXT($B$1,"yyyy/mm/dd"),1),"")</f>
        <v>-654815518.60000002</v>
      </c>
      <c r="K975">
        <f>IFERROR([1]!s_stm07_cs($A975,"W77130581",TEXT($B$1,"yyyy/mm/dd"),1),"")</f>
        <v>162608183.71000001</v>
      </c>
      <c r="L975">
        <f>IFERROR([1]!s_stm07_cs($A975,"W77745895",TEXT($B$1,"yyyy/mm/dd"),1),"")</f>
        <v>35050144.920000002</v>
      </c>
      <c r="M975">
        <f>IFERROR([1]!S_FA_EPS_basic2($A975,$B$1,"Cur=CNY"),"")</f>
        <v>-0.34820000000000001</v>
      </c>
      <c r="N975">
        <f>IFERROR([1]!s_fa_arturndays($A975,TEXT($B$1,"yyyy/mm/dd")),"")</f>
        <v>37.692399999999999</v>
      </c>
      <c r="O975" t="str">
        <f>IFERROR([1]!fa_apturndays($A975,TEXT($B$1,"yyyy/mm/dd")),"")</f>
        <v>Fetch...</v>
      </c>
      <c r="P975">
        <f>IFERROR([1]!s_fa_invturndays($A975,TEXT($B$1,"yyyy/mm/dd")),"")</f>
        <v>433.21300000000002</v>
      </c>
    </row>
    <row r="976" spans="1:16">
      <c r="A976" t="s">
        <v>989</v>
      </c>
      <c r="B976">
        <f>IFERROR([1]!s_stm07_is($A976,"W70156729",TEXT($B$1,"yyyy/mm/dd"),1),"")</f>
        <v>127903640232.07001</v>
      </c>
      <c r="C976">
        <f>IFERROR([1]!s_stm07_is($A976,"W75682424",TEXT($B$1,"yyyy/mm/dd"),1),"")</f>
        <v>113380418714.75999</v>
      </c>
      <c r="D976">
        <f>IFERROR([1]!s_stm07_is($A976,"W76031679",TEXT($B$1,"yyyy/mm/dd"),1),"")</f>
        <v>103059837.8</v>
      </c>
      <c r="E976">
        <f>IFERROR([1]!s_stm07_is($A976,"W70752487",TEXT($B$1,"yyyy/mm/dd"),1),"")</f>
        <v>3562873248.0999999</v>
      </c>
      <c r="F976">
        <f>IFERROR([1]!s_stm07_is_103($A976,TEXT($B$1,"yyyy/mm/dd"),1),"")</f>
        <v>796075481.13</v>
      </c>
      <c r="G976">
        <f>IFERROR([1]!s_stm07_is_104($A976,TEXT($B$1,"yyyy/mm/dd"),1),"")</f>
        <v>2565669695.3299999</v>
      </c>
      <c r="H976">
        <f>IFERROR([1]!s_stm07_is_105($A976,TEXT($B$1,"yyyy/mm/dd"),1),"")</f>
        <v>822702736.05999994</v>
      </c>
      <c r="I976">
        <f>IFERROR([1]!s_stm07_is($A976,"W72946623",TEXT($B$1,"yyyy/mm/dd"),1),"")</f>
        <v>709811422.84000003</v>
      </c>
      <c r="J976">
        <f>IFERROR([1]!s_stm07_is($A976,"W30028333",TEXT($B$1,"yyyy/mm/dd"),1),"")</f>
        <v>224809723.47</v>
      </c>
      <c r="K976">
        <f>IFERROR([1]!s_stm07_cs($A976,"W77130581",TEXT($B$1,"yyyy/mm/dd"),1),"")</f>
        <v>1475968699.0599999</v>
      </c>
      <c r="L976">
        <f>IFERROR([1]!s_stm07_cs($A976,"W77745895",TEXT($B$1,"yyyy/mm/dd"),1),"")</f>
        <v>4323401143.9300003</v>
      </c>
      <c r="M976">
        <f>IFERROR([1]!S_FA_EPS_basic2($A976,$B$1,"Cur=CNY"),"")</f>
        <v>6.0499999999999998E-2</v>
      </c>
      <c r="N976">
        <f>IFERROR([1]!s_fa_arturndays($A976,TEXT($B$1,"yyyy/mm/dd")),"")</f>
        <v>493.48869999999999</v>
      </c>
      <c r="O976" t="str">
        <f>IFERROR([1]!fa_apturndays($A976,TEXT($B$1,"yyyy/mm/dd")),"")</f>
        <v>Fetch...</v>
      </c>
      <c r="P976">
        <f>IFERROR([1]!s_fa_invturndays($A976,TEXT($B$1,"yyyy/mm/dd")),"")</f>
        <v>257.8981</v>
      </c>
    </row>
    <row r="977" spans="1:16">
      <c r="A977" t="s">
        <v>990</v>
      </c>
      <c r="B977">
        <f>IFERROR([1]!s_stm07_is($A977,"W70156729",TEXT($B$1,"yyyy/mm/dd"),1),"")</f>
        <v>1748586406.3900001</v>
      </c>
      <c r="C977">
        <f>IFERROR([1]!s_stm07_is($A977,"W75682424",TEXT($B$1,"yyyy/mm/dd"),1),"")</f>
        <v>977536442.89999998</v>
      </c>
      <c r="D977">
        <f>IFERROR([1]!s_stm07_is($A977,"W76031679",TEXT($B$1,"yyyy/mm/dd"),1),"")</f>
        <v>491619926.37</v>
      </c>
      <c r="E977">
        <f>IFERROR([1]!s_stm07_is($A977,"W70752487",TEXT($B$1,"yyyy/mm/dd"),1),"")</f>
        <v>342749556.10000002</v>
      </c>
      <c r="F977">
        <f>IFERROR([1]!s_stm07_is_103($A977,TEXT($B$1,"yyyy/mm/dd"),1),"")</f>
        <v>125259622.61</v>
      </c>
      <c r="G977">
        <f>IFERROR([1]!s_stm07_is_104($A977,TEXT($B$1,"yyyy/mm/dd"),1),"")</f>
        <v>64321898.810000002</v>
      </c>
      <c r="H977">
        <f>IFERROR([1]!s_stm07_is_105($A977,TEXT($B$1,"yyyy/mm/dd"),1),"")</f>
        <v>103336320.61</v>
      </c>
      <c r="I977">
        <f>IFERROR([1]!s_stm07_is($A977,"W72946623",TEXT($B$1,"yyyy/mm/dd"),1),"")</f>
        <v>-527065763.75</v>
      </c>
      <c r="J977">
        <f>IFERROR([1]!s_stm07_is($A977,"W30028333",TEXT($B$1,"yyyy/mm/dd"),1),"")</f>
        <v>-357088533.51999998</v>
      </c>
      <c r="K977">
        <f>IFERROR([1]!s_stm07_cs($A977,"W77130581",TEXT($B$1,"yyyy/mm/dd"),1),"")</f>
        <v>-18907983.109999999</v>
      </c>
      <c r="L977">
        <f>IFERROR([1]!s_stm07_cs($A977,"W77745895",TEXT($B$1,"yyyy/mm/dd"),1),"")</f>
        <v>100901614.33</v>
      </c>
      <c r="M977">
        <f>IFERROR([1]!S_FA_EPS_basic2($A977,$B$1,"Cur=CNY"),"")</f>
        <v>-0.1144</v>
      </c>
      <c r="N977">
        <f>IFERROR([1]!s_fa_arturndays($A977,TEXT($B$1,"yyyy/mm/dd")),"")</f>
        <v>96.215500000000006</v>
      </c>
      <c r="O977" t="str">
        <f>IFERROR([1]!fa_apturndays($A977,TEXT($B$1,"yyyy/mm/dd")),"")</f>
        <v>Fetch...</v>
      </c>
      <c r="P977">
        <f>IFERROR([1]!s_fa_invturndays($A977,TEXT($B$1,"yyyy/mm/dd")),"")</f>
        <v>264.2396</v>
      </c>
    </row>
    <row r="978" spans="1:16">
      <c r="A978" t="s">
        <v>991</v>
      </c>
      <c r="B978">
        <f>IFERROR([1]!s_stm07_is($A978,"W70156729",TEXT($B$1,"yyyy/mm/dd"),1),"")</f>
        <v>7606797307.6599998</v>
      </c>
      <c r="C978">
        <f>IFERROR([1]!s_stm07_is($A978,"W75682424",TEXT($B$1,"yyyy/mm/dd"),1),"")</f>
        <v>4573133076.4899998</v>
      </c>
      <c r="D978">
        <f>IFERROR([1]!s_stm07_is($A978,"W76031679",TEXT($B$1,"yyyy/mm/dd"),1),"")</f>
        <v>665023260.33000004</v>
      </c>
      <c r="E978">
        <f>IFERROR([1]!s_stm07_is($A978,"W70752487",TEXT($B$1,"yyyy/mm/dd"),1),"")</f>
        <v>852546507.34000003</v>
      </c>
      <c r="F978">
        <f>IFERROR([1]!s_stm07_is_103($A978,TEXT($B$1,"yyyy/mm/dd"),1),"")</f>
        <v>64037359.32</v>
      </c>
      <c r="G978">
        <f>IFERROR([1]!s_stm07_is_104($A978,TEXT($B$1,"yyyy/mm/dd"),1),"")</f>
        <v>302033709.19999999</v>
      </c>
      <c r="H978">
        <f>IFERROR([1]!s_stm07_is_105($A978,TEXT($B$1,"yyyy/mm/dd"),1),"")</f>
        <v>27547758.899999999</v>
      </c>
      <c r="I978">
        <f>IFERROR([1]!s_stm07_is($A978,"W72946623",TEXT($B$1,"yyyy/mm/dd"),1),"")</f>
        <v>1139321099.6600001</v>
      </c>
      <c r="J978">
        <f>IFERROR([1]!s_stm07_is($A978,"W30028333",TEXT($B$1,"yyyy/mm/dd"),1),"")</f>
        <v>811136343.11000001</v>
      </c>
      <c r="K978">
        <f>IFERROR([1]!s_stm07_cs($A978,"W77130581",TEXT($B$1,"yyyy/mm/dd"),1),"")</f>
        <v>3313341174.1100001</v>
      </c>
      <c r="L978">
        <f>IFERROR([1]!s_stm07_cs($A978,"W77745895",TEXT($B$1,"yyyy/mm/dd"),1),"")</f>
        <v>432968112.73000002</v>
      </c>
      <c r="M978">
        <f>IFERROR([1]!S_FA_EPS_basic2($A978,$B$1,"Cur=CNY"),"")</f>
        <v>0.72640000000000005</v>
      </c>
      <c r="N978">
        <f>IFERROR([1]!s_fa_arturndays($A978,TEXT($B$1,"yyyy/mm/dd")),"")</f>
        <v>11.242000000000001</v>
      </c>
      <c r="O978" t="str">
        <f>IFERROR([1]!fa_apturndays($A978,TEXT($B$1,"yyyy/mm/dd")),"")</f>
        <v>Fetch...</v>
      </c>
      <c r="P978">
        <f>IFERROR([1]!s_fa_invturndays($A978,TEXT($B$1,"yyyy/mm/dd")),"")</f>
        <v>2.8250999999999999</v>
      </c>
    </row>
    <row r="979" spans="1:16">
      <c r="A979" t="s">
        <v>992</v>
      </c>
      <c r="B979">
        <f>IFERROR([1]!s_stm07_is($A979,"W70156729",TEXT($B$1,"yyyy/mm/dd"),1),"")</f>
        <v>5820017131.1599998</v>
      </c>
      <c r="C979">
        <f>IFERROR([1]!s_stm07_is($A979,"W75682424",TEXT($B$1,"yyyy/mm/dd"),1),"")</f>
        <v>5459213612.5</v>
      </c>
      <c r="D979">
        <f>IFERROR([1]!s_stm07_is($A979,"W76031679",TEXT($B$1,"yyyy/mm/dd"),1),"")</f>
        <v>28122772.289999999</v>
      </c>
      <c r="E979">
        <f>IFERROR([1]!s_stm07_is($A979,"W70752487",TEXT($B$1,"yyyy/mm/dd"),1),"")</f>
        <v>193361067.27000001</v>
      </c>
      <c r="F979">
        <f>IFERROR([1]!s_stm07_is_103($A979,TEXT($B$1,"yyyy/mm/dd"),1),"")</f>
        <v>28744412.260000002</v>
      </c>
      <c r="G979">
        <f>IFERROR([1]!s_stm07_is_104($A979,TEXT($B$1,"yyyy/mm/dd"),1),"")</f>
        <v>72756177.840000004</v>
      </c>
      <c r="H979">
        <f>IFERROR([1]!s_stm07_is_105($A979,TEXT($B$1,"yyyy/mm/dd"),1),"")</f>
        <v>6803048.7999999998</v>
      </c>
      <c r="I979">
        <f>IFERROR([1]!s_stm07_is($A979,"W72946623",TEXT($B$1,"yyyy/mm/dd"),1),"")</f>
        <v>122150819.58</v>
      </c>
      <c r="J979">
        <f>IFERROR([1]!s_stm07_is($A979,"W30028333",TEXT($B$1,"yyyy/mm/dd"),1),"")</f>
        <v>127555922.67</v>
      </c>
      <c r="K979">
        <f>IFERROR([1]!s_stm07_cs($A979,"W77130581",TEXT($B$1,"yyyy/mm/dd"),1),"")</f>
        <v>927070703.01999998</v>
      </c>
      <c r="L979">
        <f>IFERROR([1]!s_stm07_cs($A979,"W77745895",TEXT($B$1,"yyyy/mm/dd"),1),"")</f>
        <v>148587461.12</v>
      </c>
      <c r="M979">
        <f>IFERROR([1]!S_FA_EPS_basic2($A979,$B$1,"Cur=CNY"),"")</f>
        <v>0.38</v>
      </c>
      <c r="N979">
        <f>IFERROR([1]!s_fa_arturndays($A979,TEXT($B$1,"yyyy/mm/dd")),"")</f>
        <v>6.4885000000000002</v>
      </c>
      <c r="O979" t="str">
        <f>IFERROR([1]!fa_apturndays($A979,TEXT($B$1,"yyyy/mm/dd")),"")</f>
        <v>Fetch...</v>
      </c>
      <c r="P979">
        <f>IFERROR([1]!s_fa_invturndays($A979,TEXT($B$1,"yyyy/mm/dd")),"")</f>
        <v>105.7269</v>
      </c>
    </row>
    <row r="980" spans="1:16">
      <c r="A980" t="s">
        <v>993</v>
      </c>
      <c r="B980">
        <f>IFERROR([1]!s_stm07_is($A980,"W70156729",TEXT($B$1,"yyyy/mm/dd"),1),"")</f>
        <v>30280876718.57</v>
      </c>
      <c r="C980">
        <f>IFERROR([1]!s_stm07_is($A980,"W75682424",TEXT($B$1,"yyyy/mm/dd"),1),"")</f>
        <v>24236729228.48</v>
      </c>
      <c r="D980">
        <f>IFERROR([1]!s_stm07_is($A980,"W76031679",TEXT($B$1,"yyyy/mm/dd"),1),"")</f>
        <v>956284520.39999998</v>
      </c>
      <c r="E980">
        <f>IFERROR([1]!s_stm07_is($A980,"W70752487",TEXT($B$1,"yyyy/mm/dd"),1),"")</f>
        <v>528068018.88</v>
      </c>
      <c r="F980">
        <f>IFERROR([1]!s_stm07_is_103($A980,TEXT($B$1,"yyyy/mm/dd"),1),"")</f>
        <v>24362164.940000001</v>
      </c>
      <c r="G980">
        <f>IFERROR([1]!s_stm07_is_104($A980,TEXT($B$1,"yyyy/mm/dd"),1),"")</f>
        <v>646291259.5</v>
      </c>
      <c r="H980">
        <f>IFERROR([1]!s_stm07_is_105($A980,TEXT($B$1,"yyyy/mm/dd"),1),"")</f>
        <v>170014854.56999999</v>
      </c>
      <c r="I980">
        <f>IFERROR([1]!s_stm07_is($A980,"W72946623",TEXT($B$1,"yyyy/mm/dd"),1),"")</f>
        <v>321233440.31</v>
      </c>
      <c r="J980">
        <f>IFERROR([1]!s_stm07_is($A980,"W30028333",TEXT($B$1,"yyyy/mm/dd"),1),"")</f>
        <v>-413203465.14999998</v>
      </c>
      <c r="K980">
        <f>IFERROR([1]!s_stm07_cs($A980,"W77130581",TEXT($B$1,"yyyy/mm/dd"),1),"")</f>
        <v>622962833.00999999</v>
      </c>
      <c r="L980">
        <f>IFERROR([1]!s_stm07_cs($A980,"W77745895",TEXT($B$1,"yyyy/mm/dd"),1),"")</f>
        <v>64203013.159999996</v>
      </c>
      <c r="M980">
        <f>IFERROR([1]!S_FA_EPS_basic2($A980,$B$1,"Cur=CNY"),"")</f>
        <v>-0.28999999999999998</v>
      </c>
      <c r="N980">
        <f>IFERROR([1]!s_fa_arturndays($A980,TEXT($B$1,"yyyy/mm/dd")),"")</f>
        <v>2.0640999999999998</v>
      </c>
      <c r="O980" t="str">
        <f>IFERROR([1]!fa_apturndays($A980,TEXT($B$1,"yyyy/mm/dd")),"")</f>
        <v>Fetch...</v>
      </c>
      <c r="P980">
        <f>IFERROR([1]!s_fa_invturndays($A980,TEXT($B$1,"yyyy/mm/dd")),"")</f>
        <v>1062.5737999999999</v>
      </c>
    </row>
    <row r="981" spans="1:16">
      <c r="A981" t="s">
        <v>994</v>
      </c>
      <c r="B981">
        <f>IFERROR([1]!s_stm07_is($A981,"W70156729",TEXT($B$1,"yyyy/mm/dd"),1),"")</f>
        <v>10549640956.879999</v>
      </c>
      <c r="C981">
        <f>IFERROR([1]!s_stm07_is($A981,"W75682424",TEXT($B$1,"yyyy/mm/dd"),1),"")</f>
        <v>5819865024.29</v>
      </c>
      <c r="D981">
        <f>IFERROR([1]!s_stm07_is($A981,"W76031679",TEXT($B$1,"yyyy/mm/dd"),1),"")</f>
        <v>2078460063.73</v>
      </c>
      <c r="E981">
        <f>IFERROR([1]!s_stm07_is($A981,"W70752487",TEXT($B$1,"yyyy/mm/dd"),1),"")</f>
        <v>872523571.03999996</v>
      </c>
      <c r="F981">
        <f>IFERROR([1]!s_stm07_is_103($A981,TEXT($B$1,"yyyy/mm/dd"),1),"")</f>
        <v>478539580.31999999</v>
      </c>
      <c r="G981">
        <f>IFERROR([1]!s_stm07_is_104($A981,TEXT($B$1,"yyyy/mm/dd"),1),"")</f>
        <v>100076115.64</v>
      </c>
      <c r="H981">
        <f>IFERROR([1]!s_stm07_is_105($A981,TEXT($B$1,"yyyy/mm/dd"),1),"")</f>
        <v>20854594.460000001</v>
      </c>
      <c r="I981">
        <f>IFERROR([1]!s_stm07_is($A981,"W72946623",TEXT($B$1,"yyyy/mm/dd"),1),"")</f>
        <v>815376113.01999998</v>
      </c>
      <c r="J981">
        <f>IFERROR([1]!s_stm07_is($A981,"W30028333",TEXT($B$1,"yyyy/mm/dd"),1),"")</f>
        <v>540707781.22000003</v>
      </c>
      <c r="K981">
        <f>IFERROR([1]!s_stm07_cs($A981,"W77130581",TEXT($B$1,"yyyy/mm/dd"),1),"")</f>
        <v>2031676015.4200001</v>
      </c>
      <c r="L981">
        <f>IFERROR([1]!s_stm07_cs($A981,"W77745895",TEXT($B$1,"yyyy/mm/dd"),1),"")</f>
        <v>376395257.63999999</v>
      </c>
      <c r="M981">
        <f>IFERROR([1]!S_FA_EPS_basic2($A981,$B$1,"Cur=CNY"),"")</f>
        <v>0.46</v>
      </c>
      <c r="N981">
        <f>IFERROR([1]!s_fa_arturndays($A981,TEXT($B$1,"yyyy/mm/dd")),"")</f>
        <v>60.811799999999998</v>
      </c>
      <c r="O981" t="str">
        <f>IFERROR([1]!fa_apturndays($A981,TEXT($B$1,"yyyy/mm/dd")),"")</f>
        <v>Fetch...</v>
      </c>
      <c r="P981">
        <f>IFERROR([1]!s_fa_invturndays($A981,TEXT($B$1,"yyyy/mm/dd")),"")</f>
        <v>107.6716</v>
      </c>
    </row>
    <row r="982" spans="1:16">
      <c r="A982" t="s">
        <v>995</v>
      </c>
      <c r="B982">
        <f>IFERROR([1]!s_stm07_is($A982,"W70156729",TEXT($B$1,"yyyy/mm/dd"),1),"")</f>
        <v>6283076008.7799997</v>
      </c>
      <c r="C982">
        <f>IFERROR([1]!s_stm07_is($A982,"W75682424",TEXT($B$1,"yyyy/mm/dd"),1),"")</f>
        <v>3912974468.4299998</v>
      </c>
      <c r="D982">
        <f>IFERROR([1]!s_stm07_is($A982,"W76031679",TEXT($B$1,"yyyy/mm/dd"),1),"")</f>
        <v>67893190.579999998</v>
      </c>
      <c r="E982">
        <f>IFERROR([1]!s_stm07_is($A982,"W70752487",TEXT($B$1,"yyyy/mm/dd"),1),"")</f>
        <v>299473502.85000002</v>
      </c>
      <c r="F982">
        <f>IFERROR([1]!s_stm07_is_103($A982,TEXT($B$1,"yyyy/mm/dd"),1),"")</f>
        <v>55421652.710000001</v>
      </c>
      <c r="G982">
        <f>IFERROR([1]!s_stm07_is_104($A982,TEXT($B$1,"yyyy/mm/dd"),1),"")</f>
        <v>222236447.44999999</v>
      </c>
      <c r="H982">
        <f>IFERROR([1]!s_stm07_is_105($A982,TEXT($B$1,"yyyy/mm/dd"),1),"")</f>
        <v>21918382.199999999</v>
      </c>
      <c r="I982">
        <f>IFERROR([1]!s_stm07_is($A982,"W72946623",TEXT($B$1,"yyyy/mm/dd"),1),"")</f>
        <v>1921685550.25</v>
      </c>
      <c r="J982">
        <f>IFERROR([1]!s_stm07_is($A982,"W30028333",TEXT($B$1,"yyyy/mm/dd"),1),"")</f>
        <v>1279547415.9100001</v>
      </c>
      <c r="K982">
        <f>IFERROR([1]!s_stm07_cs($A982,"W77130581",TEXT($B$1,"yyyy/mm/dd"),1),"")</f>
        <v>2974896103.0999999</v>
      </c>
      <c r="L982">
        <f>IFERROR([1]!s_stm07_cs($A982,"W77745895",TEXT($B$1,"yyyy/mm/dd"),1),"")</f>
        <v>1690017830.5899999</v>
      </c>
      <c r="M982">
        <f>IFERROR([1]!S_FA_EPS_basic2($A982,$B$1,"Cur=CNY"),"")</f>
        <v>0.55000000000000004</v>
      </c>
      <c r="N982">
        <f>IFERROR([1]!s_fa_arturndays($A982,TEXT($B$1,"yyyy/mm/dd")),"")</f>
        <v>37.059199999999997</v>
      </c>
      <c r="O982" t="str">
        <f>IFERROR([1]!fa_apturndays($A982,TEXT($B$1,"yyyy/mm/dd")),"")</f>
        <v>Fetch...</v>
      </c>
      <c r="P982">
        <f>IFERROR([1]!s_fa_invturndays($A982,TEXT($B$1,"yyyy/mm/dd")),"")</f>
        <v>248.79060000000001</v>
      </c>
    </row>
    <row r="983" spans="1:16">
      <c r="A983" t="s">
        <v>996</v>
      </c>
      <c r="B983">
        <f>IFERROR([1]!s_stm07_is($A983,"W70156729",TEXT($B$1,"yyyy/mm/dd"),1),"")</f>
        <v>10179298126.620001</v>
      </c>
      <c r="C983">
        <f>IFERROR([1]!s_stm07_is($A983,"W75682424",TEXT($B$1,"yyyy/mm/dd"),1),"")</f>
        <v>8671577025.9400005</v>
      </c>
      <c r="D983">
        <f>IFERROR([1]!s_stm07_is($A983,"W76031679",TEXT($B$1,"yyyy/mm/dd"),1),"")</f>
        <v>13601249.49</v>
      </c>
      <c r="E983">
        <f>IFERROR([1]!s_stm07_is($A983,"W70752487",TEXT($B$1,"yyyy/mm/dd"),1),"")</f>
        <v>163451504.91</v>
      </c>
      <c r="F983">
        <f>IFERROR([1]!s_stm07_is_103($A983,TEXT($B$1,"yyyy/mm/dd"),1),"")</f>
        <v>314358753.18000001</v>
      </c>
      <c r="G983">
        <f>IFERROR([1]!s_stm07_is_104($A983,TEXT($B$1,"yyyy/mm/dd"),1),"")</f>
        <v>30416452.640000001</v>
      </c>
      <c r="H983">
        <f>IFERROR([1]!s_stm07_is_105($A983,TEXT($B$1,"yyyy/mm/dd"),1),"")</f>
        <v>6231889.6699999999</v>
      </c>
      <c r="I983">
        <f>IFERROR([1]!s_stm07_is($A983,"W72946623",TEXT($B$1,"yyyy/mm/dd"),1),"")</f>
        <v>1123733050.28</v>
      </c>
      <c r="J983">
        <f>IFERROR([1]!s_stm07_is($A983,"W30028333",TEXT($B$1,"yyyy/mm/dd"),1),"")</f>
        <v>987752105.08000004</v>
      </c>
      <c r="K983">
        <f>IFERROR([1]!s_stm07_cs($A983,"W77130581",TEXT($B$1,"yyyy/mm/dd"),1),"")</f>
        <v>816468399.08000004</v>
      </c>
      <c r="L983">
        <f>IFERROR([1]!s_stm07_cs($A983,"W77745895",TEXT($B$1,"yyyy/mm/dd"),1),"")</f>
        <v>282432598.16000003</v>
      </c>
      <c r="M983">
        <f>IFERROR([1]!S_FA_EPS_basic2($A983,$B$1,"Cur=CNY"),"")</f>
        <v>0.74</v>
      </c>
      <c r="N983">
        <f>IFERROR([1]!s_fa_arturndays($A983,TEXT($B$1,"yyyy/mm/dd")),"")</f>
        <v>28.707000000000001</v>
      </c>
      <c r="O983" t="str">
        <f>IFERROR([1]!fa_apturndays($A983,TEXT($B$1,"yyyy/mm/dd")),"")</f>
        <v>Fetch...</v>
      </c>
      <c r="P983">
        <f>IFERROR([1]!s_fa_invturndays($A983,TEXT($B$1,"yyyy/mm/dd")),"")</f>
        <v>30.635999999999999</v>
      </c>
    </row>
    <row r="984" spans="1:16">
      <c r="A984" t="s">
        <v>997</v>
      </c>
      <c r="B984">
        <f>IFERROR([1]!s_stm07_is($A984,"W70156729",TEXT($B$1,"yyyy/mm/dd"),1),"")</f>
        <v>31629416193.830002</v>
      </c>
      <c r="C984">
        <f>IFERROR([1]!s_stm07_is($A984,"W75682424",TEXT($B$1,"yyyy/mm/dd"),1),"")</f>
        <v>4362655815.4300003</v>
      </c>
      <c r="D984">
        <f>IFERROR([1]!s_stm07_is($A984,"W76031679",TEXT($B$1,"yyyy/mm/dd"),1),"")</f>
        <v>9106426024.5</v>
      </c>
      <c r="E984">
        <f>IFERROR([1]!s_stm07_is($A984,"W70752487",TEXT($B$1,"yyyy/mm/dd"),1),"")</f>
        <v>2806207717.6500001</v>
      </c>
      <c r="F984">
        <f>IFERROR([1]!s_stm07_is_103($A984,TEXT($B$1,"yyyy/mm/dd"),1),"")</f>
        <v>6961155413.2299995</v>
      </c>
      <c r="G984">
        <f>IFERROR([1]!s_stm07_is_104($A984,TEXT($B$1,"yyyy/mm/dd"),1),"")</f>
        <v>14349097.41</v>
      </c>
      <c r="H984">
        <f>IFERROR([1]!s_stm07_is_105($A984,TEXT($B$1,"yyyy/mm/dd"),1),"")</f>
        <v>785387184.80999994</v>
      </c>
      <c r="I984">
        <f>IFERROR([1]!s_stm07_is($A984,"W72946623",TEXT($B$1,"yyyy/mm/dd"),1),"")</f>
        <v>8707625538.1800003</v>
      </c>
      <c r="J984">
        <f>IFERROR([1]!s_stm07_is($A984,"W30028333",TEXT($B$1,"yyyy/mm/dd"),1),"")</f>
        <v>7711054811.9799995</v>
      </c>
      <c r="K984">
        <f>IFERROR([1]!s_stm07_cs($A984,"W77130581",TEXT($B$1,"yyyy/mm/dd"),1),"")</f>
        <v>11235378130.629999</v>
      </c>
      <c r="L984">
        <f>IFERROR([1]!s_stm07_cs($A984,"W77745895",TEXT($B$1,"yyyy/mm/dd"),1),"")</f>
        <v>2961906284.5799999</v>
      </c>
      <c r="M984">
        <f>IFERROR([1]!S_FA_EPS_basic2($A984,$B$1,"Cur=CNY"),"")</f>
        <v>1.19</v>
      </c>
      <c r="N984">
        <f>IFERROR([1]!s_fa_arturndays($A984,TEXT($B$1,"yyyy/mm/dd")),"")</f>
        <v>57.258299999999998</v>
      </c>
      <c r="O984" t="str">
        <f>IFERROR([1]!fa_apturndays($A984,TEXT($B$1,"yyyy/mm/dd")),"")</f>
        <v>Fetch...</v>
      </c>
      <c r="P984">
        <f>IFERROR([1]!s_fa_invturndays($A984,TEXT($B$1,"yyyy/mm/dd")),"")</f>
        <v>218.4864</v>
      </c>
    </row>
    <row r="985" spans="1:16">
      <c r="A985" t="s">
        <v>998</v>
      </c>
      <c r="B985">
        <f>IFERROR([1]!s_stm07_is($A985,"W70156729",TEXT($B$1,"yyyy/mm/dd"),1),"")</f>
        <v>57994436345.68</v>
      </c>
      <c r="C985">
        <f>IFERROR([1]!s_stm07_is($A985,"W75682424",TEXT($B$1,"yyyy/mm/dd"),1),"")</f>
        <v>49832498003.559998</v>
      </c>
      <c r="D985">
        <f>IFERROR([1]!s_stm07_is($A985,"W76031679",TEXT($B$1,"yyyy/mm/dd"),1),"")</f>
        <v>517142060.33999997</v>
      </c>
      <c r="E985">
        <f>IFERROR([1]!s_stm07_is($A985,"W70752487",TEXT($B$1,"yyyy/mm/dd"),1),"")</f>
        <v>1413581978.4100001</v>
      </c>
      <c r="F985">
        <f>IFERROR([1]!s_stm07_is_103($A985,TEXT($B$1,"yyyy/mm/dd"),1),"")</f>
        <v>2312369490.4099998</v>
      </c>
      <c r="G985">
        <f>IFERROR([1]!s_stm07_is_104($A985,TEXT($B$1,"yyyy/mm/dd"),1),"")</f>
        <v>681432072.61000001</v>
      </c>
      <c r="H985">
        <f>IFERROR([1]!s_stm07_is_105($A985,TEXT($B$1,"yyyy/mm/dd"),1),"")</f>
        <v>222843533.43000001</v>
      </c>
      <c r="I985">
        <f>IFERROR([1]!s_stm07_is($A985,"W72946623",TEXT($B$1,"yyyy/mm/dd"),1),"")</f>
        <v>3380697009.4699998</v>
      </c>
      <c r="J985">
        <f>IFERROR([1]!s_stm07_is($A985,"W30028333",TEXT($B$1,"yyyy/mm/dd"),1),"")</f>
        <v>2867435008.7199998</v>
      </c>
      <c r="K985">
        <f>IFERROR([1]!s_stm07_cs($A985,"W77130581",TEXT($B$1,"yyyy/mm/dd"),1),"")</f>
        <v>3673541594.8000002</v>
      </c>
      <c r="L985">
        <f>IFERROR([1]!s_stm07_cs($A985,"W77745895",TEXT($B$1,"yyyy/mm/dd"),1),"")</f>
        <v>2676524424.77</v>
      </c>
      <c r="M985">
        <f>IFERROR([1]!S_FA_EPS_basic2($A985,$B$1,"Cur=CNY"),"")</f>
        <v>0.46510000000000001</v>
      </c>
      <c r="N985">
        <f>IFERROR([1]!s_fa_arturndays($A985,TEXT($B$1,"yyyy/mm/dd")),"")</f>
        <v>21.6479</v>
      </c>
      <c r="O985" t="str">
        <f>IFERROR([1]!fa_apturndays($A985,TEXT($B$1,"yyyy/mm/dd")),"")</f>
        <v>Fetch...</v>
      </c>
      <c r="P985">
        <f>IFERROR([1]!s_fa_invturndays($A985,TEXT($B$1,"yyyy/mm/dd")),"")</f>
        <v>59.981999999999999</v>
      </c>
    </row>
    <row r="986" spans="1:16">
      <c r="A986" t="s">
        <v>999</v>
      </c>
      <c r="B986">
        <f>IFERROR([1]!s_stm07_is($A986,"W70156729",TEXT($B$1,"yyyy/mm/dd"),1),"")</f>
        <v>3853391129.6999998</v>
      </c>
      <c r="C986">
        <f>IFERROR([1]!s_stm07_is($A986,"W75682424",TEXT($B$1,"yyyy/mm/dd"),1),"")</f>
        <v>769552146.92999995</v>
      </c>
      <c r="D986">
        <f>IFERROR([1]!s_stm07_is($A986,"W76031679",TEXT($B$1,"yyyy/mm/dd"),1),"")</f>
        <v>1828759703.53</v>
      </c>
      <c r="E986">
        <f>IFERROR([1]!s_stm07_is($A986,"W70752487",TEXT($B$1,"yyyy/mm/dd"),1),"")</f>
        <v>215598513.87</v>
      </c>
      <c r="F986">
        <f>IFERROR([1]!s_stm07_is_103($A986,TEXT($B$1,"yyyy/mm/dd"),1),"")</f>
        <v>169124390.58000001</v>
      </c>
      <c r="G986">
        <f>IFERROR([1]!s_stm07_is_104($A986,TEXT($B$1,"yyyy/mm/dd"),1),"")</f>
        <v>3900518.95</v>
      </c>
      <c r="H986">
        <f>IFERROR([1]!s_stm07_is_105($A986,TEXT($B$1,"yyyy/mm/dd"),1),"")</f>
        <v>9728108.5299999993</v>
      </c>
      <c r="I986">
        <f>IFERROR([1]!s_stm07_is($A986,"W72946623",TEXT($B$1,"yyyy/mm/dd"),1),"")</f>
        <v>879465631.27999997</v>
      </c>
      <c r="J986">
        <f>IFERROR([1]!s_stm07_is($A986,"W30028333",TEXT($B$1,"yyyy/mm/dd"),1),"")</f>
        <v>759503032.52999997</v>
      </c>
      <c r="K986">
        <f>IFERROR([1]!s_stm07_cs($A986,"W77130581",TEXT($B$1,"yyyy/mm/dd"),1),"")</f>
        <v>553882713.78999996</v>
      </c>
      <c r="L986">
        <f>IFERROR([1]!s_stm07_cs($A986,"W77745895",TEXT($B$1,"yyyy/mm/dd"),1),"")</f>
        <v>56830201.530000001</v>
      </c>
      <c r="M986">
        <f>IFERROR([1]!S_FA_EPS_basic2($A986,$B$1,"Cur=CNY"),"")</f>
        <v>1.34</v>
      </c>
      <c r="N986">
        <f>IFERROR([1]!s_fa_arturndays($A986,TEXT($B$1,"yyyy/mm/dd")),"")</f>
        <v>35.023499999999999</v>
      </c>
      <c r="O986" t="str">
        <f>IFERROR([1]!fa_apturndays($A986,TEXT($B$1,"yyyy/mm/dd")),"")</f>
        <v>Fetch...</v>
      </c>
      <c r="P986">
        <f>IFERROR([1]!s_fa_invturndays($A986,TEXT($B$1,"yyyy/mm/dd")),"")</f>
        <v>203.87360000000001</v>
      </c>
    </row>
    <row r="987" spans="1:16">
      <c r="A987" t="s">
        <v>1000</v>
      </c>
      <c r="B987">
        <f>IFERROR([1]!s_stm07_is($A987,"W70156729",TEXT($B$1,"yyyy/mm/dd"),1),"")</f>
        <v>12151993169.530001</v>
      </c>
      <c r="C987">
        <f>IFERROR([1]!s_stm07_is($A987,"W75682424",TEXT($B$1,"yyyy/mm/dd"),1),"")</f>
        <v>8475362755.04</v>
      </c>
      <c r="D987">
        <f>IFERROR([1]!s_stm07_is($A987,"W76031679",TEXT($B$1,"yyyy/mm/dd"),1),"")</f>
        <v>26271628.43</v>
      </c>
      <c r="E987">
        <f>IFERROR([1]!s_stm07_is($A987,"W70752487",TEXT($B$1,"yyyy/mm/dd"),1),"")</f>
        <v>672264890.37</v>
      </c>
      <c r="F987">
        <f>IFERROR([1]!s_stm07_is_103($A987,TEXT($B$1,"yyyy/mm/dd"),1),"")</f>
        <v>132163043.40000001</v>
      </c>
      <c r="G987">
        <f>IFERROR([1]!s_stm07_is_104($A987,TEXT($B$1,"yyyy/mm/dd"),1),"")</f>
        <v>953153227.26999998</v>
      </c>
      <c r="H987">
        <f>IFERROR([1]!s_stm07_is_105($A987,TEXT($B$1,"yyyy/mm/dd"),1),"")</f>
        <v>9128955.6099999994</v>
      </c>
      <c r="I987">
        <f>IFERROR([1]!s_stm07_is($A987,"W72946623",TEXT($B$1,"yyyy/mm/dd"),1),"")</f>
        <v>1740004670.4200001</v>
      </c>
      <c r="J987">
        <f>IFERROR([1]!s_stm07_is($A987,"W30028333",TEXT($B$1,"yyyy/mm/dd"),1),"")</f>
        <v>532212883.35000002</v>
      </c>
      <c r="K987">
        <f>IFERROR([1]!s_stm07_cs($A987,"W77130581",TEXT($B$1,"yyyy/mm/dd"),1),"")</f>
        <v>4904959257.25</v>
      </c>
      <c r="L987">
        <f>IFERROR([1]!s_stm07_cs($A987,"W77745895",TEXT($B$1,"yyyy/mm/dd"),1),"")</f>
        <v>4314482556.4700003</v>
      </c>
      <c r="M987">
        <f>IFERROR([1]!S_FA_EPS_basic2($A987,$B$1,"Cur=CNY"),"")</f>
        <v>0.1215</v>
      </c>
      <c r="N987">
        <f>IFERROR([1]!s_fa_arturndays($A987,TEXT($B$1,"yyyy/mm/dd")),"")</f>
        <v>68.326800000000006</v>
      </c>
      <c r="O987" t="str">
        <f>IFERROR([1]!fa_apturndays($A987,TEXT($B$1,"yyyy/mm/dd")),"")</f>
        <v>Fetch...</v>
      </c>
      <c r="P987">
        <f>IFERROR([1]!s_fa_invturndays($A987,TEXT($B$1,"yyyy/mm/dd")),"")</f>
        <v>64.359300000000005</v>
      </c>
    </row>
    <row r="988" spans="1:16">
      <c r="A988" t="s">
        <v>1001</v>
      </c>
      <c r="B988">
        <f>IFERROR([1]!s_stm07_is($A988,"W70156729",TEXT($B$1,"yyyy/mm/dd"),1),"")</f>
        <v>25741175885.310001</v>
      </c>
      <c r="C988">
        <f>IFERROR([1]!s_stm07_is($A988,"W75682424",TEXT($B$1,"yyyy/mm/dd"),1),"")</f>
        <v>19227332206.34</v>
      </c>
      <c r="D988">
        <f>IFERROR([1]!s_stm07_is($A988,"W76031679",TEXT($B$1,"yyyy/mm/dd"),1),"")</f>
        <v>1515948163.47</v>
      </c>
      <c r="E988">
        <f>IFERROR([1]!s_stm07_is($A988,"W70752487",TEXT($B$1,"yyyy/mm/dd"),1),"")</f>
        <v>1107694242.1400001</v>
      </c>
      <c r="F988">
        <f>IFERROR([1]!s_stm07_is_103($A988,TEXT($B$1,"yyyy/mm/dd"),1),"")</f>
        <v>198240292.75999999</v>
      </c>
      <c r="G988">
        <f>IFERROR([1]!s_stm07_is_104($A988,TEXT($B$1,"yyyy/mm/dd"),1),"")</f>
        <v>116874513.97</v>
      </c>
      <c r="H988">
        <f>IFERROR([1]!s_stm07_is_105($A988,TEXT($B$1,"yyyy/mm/dd"),1),"")</f>
        <v>104529049.45999999</v>
      </c>
      <c r="I988">
        <f>IFERROR([1]!s_stm07_is($A988,"W72946623",TEXT($B$1,"yyyy/mm/dd"),1),"")</f>
        <v>3263718882.1399999</v>
      </c>
      <c r="J988">
        <f>IFERROR([1]!s_stm07_is($A988,"W30028333",TEXT($B$1,"yyyy/mm/dd"),1),"")</f>
        <v>2362771161.71</v>
      </c>
      <c r="K988">
        <f>IFERROR([1]!s_stm07_cs($A988,"W77130581",TEXT($B$1,"yyyy/mm/dd"),1),"")</f>
        <v>4517600128.1400003</v>
      </c>
      <c r="L988">
        <f>IFERROR([1]!s_stm07_cs($A988,"W77745895",TEXT($B$1,"yyyy/mm/dd"),1),"")</f>
        <v>872352949.77999997</v>
      </c>
      <c r="M988">
        <f>IFERROR([1]!S_FA_EPS_basic2($A988,$B$1,"Cur=CNY"),"")</f>
        <v>0.84</v>
      </c>
      <c r="N988">
        <f>IFERROR([1]!s_fa_arturndays($A988,TEXT($B$1,"yyyy/mm/dd")),"")</f>
        <v>17.125599999999999</v>
      </c>
      <c r="O988" t="str">
        <f>IFERROR([1]!fa_apturndays($A988,TEXT($B$1,"yyyy/mm/dd")),"")</f>
        <v>Fetch...</v>
      </c>
      <c r="P988">
        <f>IFERROR([1]!s_fa_invturndays($A988,TEXT($B$1,"yyyy/mm/dd")),"")</f>
        <v>71.153300000000002</v>
      </c>
    </row>
    <row r="989" spans="1:16">
      <c r="A989" t="s">
        <v>1002</v>
      </c>
      <c r="B989">
        <f>IFERROR([1]!s_stm07_is($A989,"W70156729",TEXT($B$1,"yyyy/mm/dd"),1),"")</f>
        <v>16728842770.370001</v>
      </c>
      <c r="C989">
        <f>IFERROR([1]!s_stm07_is($A989,"W75682424",TEXT($B$1,"yyyy/mm/dd"),1),"")</f>
        <v>12595747716.27</v>
      </c>
      <c r="D989">
        <f>IFERROR([1]!s_stm07_is($A989,"W76031679",TEXT($B$1,"yyyy/mm/dd"),1),"")</f>
        <v>940639629.38999999</v>
      </c>
      <c r="E989">
        <f>IFERROR([1]!s_stm07_is($A989,"W70752487",TEXT($B$1,"yyyy/mm/dd"),1),"")</f>
        <v>548677801.88</v>
      </c>
      <c r="F989">
        <f>IFERROR([1]!s_stm07_is_103($A989,TEXT($B$1,"yyyy/mm/dd"),1),"")</f>
        <v>676830375.15999997</v>
      </c>
      <c r="G989">
        <f>IFERROR([1]!s_stm07_is_104($A989,TEXT($B$1,"yyyy/mm/dd"),1),"")</f>
        <v>171656676.15000001</v>
      </c>
      <c r="H989">
        <f>IFERROR([1]!s_stm07_is_105($A989,TEXT($B$1,"yyyy/mm/dd"),1),"")</f>
        <v>30819031.530000001</v>
      </c>
      <c r="I989">
        <f>IFERROR([1]!s_stm07_is($A989,"W72946623",TEXT($B$1,"yyyy/mm/dd"),1),"")</f>
        <v>1871140552.6700001</v>
      </c>
      <c r="J989">
        <f>IFERROR([1]!s_stm07_is($A989,"W30028333",TEXT($B$1,"yyyy/mm/dd"),1),"")</f>
        <v>1544409068.9400001</v>
      </c>
      <c r="K989">
        <f>IFERROR([1]!s_stm07_cs($A989,"W77130581",TEXT($B$1,"yyyy/mm/dd"),1),"")</f>
        <v>2477959556.3400002</v>
      </c>
      <c r="L989">
        <f>IFERROR([1]!s_stm07_cs($A989,"W77745895",TEXT($B$1,"yyyy/mm/dd"),1),"")</f>
        <v>1700512297.5699999</v>
      </c>
      <c r="M989">
        <f>IFERROR([1]!S_FA_EPS_basic2($A989,$B$1,"Cur=CNY"),"")</f>
        <v>1.78</v>
      </c>
      <c r="N989">
        <f>IFERROR([1]!s_fa_arturndays($A989,TEXT($B$1,"yyyy/mm/dd")),"")</f>
        <v>39.533900000000003</v>
      </c>
      <c r="O989" t="str">
        <f>IFERROR([1]!fa_apturndays($A989,TEXT($B$1,"yyyy/mm/dd")),"")</f>
        <v>Fetch...</v>
      </c>
      <c r="P989">
        <f>IFERROR([1]!s_fa_invturndays($A989,TEXT($B$1,"yyyy/mm/dd")),"")</f>
        <v>134.1482</v>
      </c>
    </row>
    <row r="990" spans="1:16">
      <c r="A990" t="s">
        <v>1003</v>
      </c>
      <c r="B990">
        <f>IFERROR([1]!s_stm07_is($A990,"W70156729",TEXT($B$1,"yyyy/mm/dd"),1),"")</f>
        <v>17230692072</v>
      </c>
      <c r="C990">
        <f>IFERROR([1]!s_stm07_is($A990,"W75682424",TEXT($B$1,"yyyy/mm/dd"),1),"")</f>
        <v>12352266069</v>
      </c>
      <c r="D990">
        <f>IFERROR([1]!s_stm07_is($A990,"W76031679",TEXT($B$1,"yyyy/mm/dd"),1),"")</f>
        <v>1495138179</v>
      </c>
      <c r="E990">
        <f>IFERROR([1]!s_stm07_is($A990,"W70752487",TEXT($B$1,"yyyy/mm/dd"),1),"")</f>
        <v>855545180</v>
      </c>
      <c r="F990">
        <f>IFERROR([1]!s_stm07_is_103($A990,TEXT($B$1,"yyyy/mm/dd"),1),"")</f>
        <v>456124857</v>
      </c>
      <c r="G990">
        <f>IFERROR([1]!s_stm07_is_104($A990,TEXT($B$1,"yyyy/mm/dd"),1),"")</f>
        <v>54220416</v>
      </c>
      <c r="H990">
        <f>IFERROR([1]!s_stm07_is_105($A990,TEXT($B$1,"yyyy/mm/dd"),1),"")</f>
        <v>89233645</v>
      </c>
      <c r="I990">
        <f>IFERROR([1]!s_stm07_is($A990,"W72946623",TEXT($B$1,"yyyy/mm/dd"),1),"")</f>
        <v>1570496599</v>
      </c>
      <c r="J990">
        <f>IFERROR([1]!s_stm07_is($A990,"W30028333",TEXT($B$1,"yyyy/mm/dd"),1),"")</f>
        <v>1154532027</v>
      </c>
      <c r="K990">
        <f>IFERROR([1]!s_stm07_cs($A990,"W77130581",TEXT($B$1,"yyyy/mm/dd"),1),"")</f>
        <v>3330708477</v>
      </c>
      <c r="L990">
        <f>IFERROR([1]!s_stm07_cs($A990,"W77745895",TEXT($B$1,"yyyy/mm/dd"),1),"")</f>
        <v>3702315609</v>
      </c>
      <c r="M990">
        <f>IFERROR([1]!S_FA_EPS_basic2($A990,$B$1,"Cur=CNY"),"")</f>
        <v>0.43</v>
      </c>
      <c r="N990">
        <f>IFERROR([1]!s_fa_arturndays($A990,TEXT($B$1,"yyyy/mm/dd")),"")</f>
        <v>41.072000000000003</v>
      </c>
      <c r="O990" t="str">
        <f>IFERROR([1]!fa_apturndays($A990,TEXT($B$1,"yyyy/mm/dd")),"")</f>
        <v>Fetch...</v>
      </c>
      <c r="P990">
        <f>IFERROR([1]!s_fa_invturndays($A990,TEXT($B$1,"yyyy/mm/dd")),"")</f>
        <v>70.131699999999995</v>
      </c>
    </row>
    <row r="991" spans="1:16">
      <c r="A991" t="s">
        <v>1004</v>
      </c>
      <c r="B991">
        <f>IFERROR([1]!s_stm07_is($A991,"W70156729",TEXT($B$1,"yyyy/mm/dd"),1),"")</f>
        <v>5802918064.8999996</v>
      </c>
      <c r="C991">
        <f>IFERROR([1]!s_stm07_is($A991,"W75682424",TEXT($B$1,"yyyy/mm/dd"),1),"")</f>
        <v>3680642804.2199998</v>
      </c>
      <c r="D991">
        <f>IFERROR([1]!s_stm07_is($A991,"W76031679",TEXT($B$1,"yyyy/mm/dd"),1),"")</f>
        <v>12433417.51</v>
      </c>
      <c r="E991">
        <f>IFERROR([1]!s_stm07_is($A991,"W70752487",TEXT($B$1,"yyyy/mm/dd"),1),"")</f>
        <v>296179706.63</v>
      </c>
      <c r="F991">
        <f>IFERROR([1]!s_stm07_is_103($A991,TEXT($B$1,"yyyy/mm/dd"),1),"")</f>
        <v>83171127.549999997</v>
      </c>
      <c r="G991">
        <f>IFERROR([1]!s_stm07_is_104($A991,TEXT($B$1,"yyyy/mm/dd"),1),"")</f>
        <v>41342890.329999998</v>
      </c>
      <c r="H991">
        <f>IFERROR([1]!s_stm07_is_105($A991,TEXT($B$1,"yyyy/mm/dd"),1),"")</f>
        <v>7996737.5099999998</v>
      </c>
      <c r="I991">
        <f>IFERROR([1]!s_stm07_is($A991,"W72946623",TEXT($B$1,"yyyy/mm/dd"),1),"")</f>
        <v>1533958059.4300001</v>
      </c>
      <c r="J991">
        <f>IFERROR([1]!s_stm07_is($A991,"W30028333",TEXT($B$1,"yyyy/mm/dd"),1),"")</f>
        <v>800774077.13999999</v>
      </c>
      <c r="K991">
        <f>IFERROR([1]!s_stm07_cs($A991,"W77130581",TEXT($B$1,"yyyy/mm/dd"),1),"")</f>
        <v>1463135196.1300001</v>
      </c>
      <c r="L991">
        <f>IFERROR([1]!s_stm07_cs($A991,"W77745895",TEXT($B$1,"yyyy/mm/dd"),1),"")</f>
        <v>160545149.41999999</v>
      </c>
      <c r="M991">
        <f>IFERROR([1]!S_FA_EPS_basic2($A991,$B$1,"Cur=CNY"),"")</f>
        <v>1.27</v>
      </c>
      <c r="N991">
        <f>IFERROR([1]!s_fa_arturndays($A991,TEXT($B$1,"yyyy/mm/dd")),"")</f>
        <v>2.3565999999999998</v>
      </c>
      <c r="O991" t="str">
        <f>IFERROR([1]!fa_apturndays($A991,TEXT($B$1,"yyyy/mm/dd")),"")</f>
        <v>Fetch...</v>
      </c>
      <c r="P991">
        <f>IFERROR([1]!s_fa_invturndays($A991,TEXT($B$1,"yyyy/mm/dd")),"")</f>
        <v>82.789100000000005</v>
      </c>
    </row>
    <row r="992" spans="1:16">
      <c r="A992" t="s">
        <v>1005</v>
      </c>
      <c r="B992">
        <f>IFERROR([1]!s_stm07_is($A992,"W70156729",TEXT($B$1,"yyyy/mm/dd"),1),"")</f>
        <v>2286538593.9400001</v>
      </c>
      <c r="C992">
        <f>IFERROR([1]!s_stm07_is($A992,"W75682424",TEXT($B$1,"yyyy/mm/dd"),1),"")</f>
        <v>1545826623.3299999</v>
      </c>
      <c r="D992">
        <f>IFERROR([1]!s_stm07_is($A992,"W76031679",TEXT($B$1,"yyyy/mm/dd"),1),"")</f>
        <v>377210424.51999998</v>
      </c>
      <c r="E992">
        <f>IFERROR([1]!s_stm07_is($A992,"W70752487",TEXT($B$1,"yyyy/mm/dd"),1),"")</f>
        <v>98302064.090000004</v>
      </c>
      <c r="F992">
        <f>IFERROR([1]!s_stm07_is_103($A992,TEXT($B$1,"yyyy/mm/dd"),1),"")</f>
        <v>93922451.569999993</v>
      </c>
      <c r="G992">
        <f>IFERROR([1]!s_stm07_is_104($A992,TEXT($B$1,"yyyy/mm/dd"),1),"")</f>
        <v>565159.61</v>
      </c>
      <c r="H992">
        <f>IFERROR([1]!s_stm07_is_105($A992,TEXT($B$1,"yyyy/mm/dd"),1),"")</f>
        <v>1081862.9099999999</v>
      </c>
      <c r="I992">
        <f>IFERROR([1]!s_stm07_is($A992,"W72946623",TEXT($B$1,"yyyy/mm/dd"),1),"")</f>
        <v>169354928.77000001</v>
      </c>
      <c r="J992">
        <f>IFERROR([1]!s_stm07_is($A992,"W30028333",TEXT($B$1,"yyyy/mm/dd"),1),"")</f>
        <v>143638286.53999999</v>
      </c>
      <c r="K992">
        <f>IFERROR([1]!s_stm07_cs($A992,"W77130581",TEXT($B$1,"yyyy/mm/dd"),1),"")</f>
        <v>246285925.83000001</v>
      </c>
      <c r="L992">
        <f>IFERROR([1]!s_stm07_cs($A992,"W77745895",TEXT($B$1,"yyyy/mm/dd"),1),"")</f>
        <v>210920421.69999999</v>
      </c>
      <c r="M992">
        <f>IFERROR([1]!S_FA_EPS_basic2($A992,$B$1,"Cur=CNY"),"")</f>
        <v>0.13</v>
      </c>
      <c r="N992">
        <f>IFERROR([1]!s_fa_arturndays($A992,TEXT($B$1,"yyyy/mm/dd")),"")</f>
        <v>4.7064000000000004</v>
      </c>
      <c r="O992" t="str">
        <f>IFERROR([1]!fa_apturndays($A992,TEXT($B$1,"yyyy/mm/dd")),"")</f>
        <v>Fetch...</v>
      </c>
      <c r="P992">
        <f>IFERROR([1]!s_fa_invturndays($A992,TEXT($B$1,"yyyy/mm/dd")),"")</f>
        <v>69.1815</v>
      </c>
    </row>
    <row r="993" spans="1:16">
      <c r="A993" t="s">
        <v>1006</v>
      </c>
      <c r="B993">
        <f>IFERROR([1]!s_stm07_is($A993,"W70156729",TEXT($B$1,"yyyy/mm/dd"),1),"")</f>
        <v>203234573814.42001</v>
      </c>
      <c r="C993">
        <f>IFERROR([1]!s_stm07_is($A993,"W75682424",TEXT($B$1,"yyyy/mm/dd"),1),"")</f>
        <v>175569584829.32001</v>
      </c>
      <c r="D993">
        <f>IFERROR([1]!s_stm07_is($A993,"W76031679",TEXT($B$1,"yyyy/mm/dd"),1),"")</f>
        <v>1630471458.75</v>
      </c>
      <c r="E993">
        <f>IFERROR([1]!s_stm07_is($A993,"W70752487",TEXT($B$1,"yyyy/mm/dd"),1),"")</f>
        <v>2801987383.6199999</v>
      </c>
      <c r="F993">
        <f>IFERROR([1]!s_stm07_is_103($A993,TEXT($B$1,"yyyy/mm/dd"),1),"")</f>
        <v>4865228956.1099997</v>
      </c>
      <c r="G993">
        <f>IFERROR([1]!s_stm07_is_104($A993,TEXT($B$1,"yyyy/mm/dd"),1),"")</f>
        <v>2935698983.54</v>
      </c>
      <c r="H993">
        <f>IFERROR([1]!s_stm07_is_105($A993,TEXT($B$1,"yyyy/mm/dd"),1),"")</f>
        <v>1042074379.7</v>
      </c>
      <c r="I993">
        <f>IFERROR([1]!s_stm07_is($A993,"W72946623",TEXT($B$1,"yyyy/mm/dd"),1),"")</f>
        <v>16268157181.59</v>
      </c>
      <c r="J993">
        <f>IFERROR([1]!s_stm07_is($A993,"W30028333",TEXT($B$1,"yyyy/mm/dd"),1),"")</f>
        <v>12527201094.15</v>
      </c>
      <c r="K993">
        <f>IFERROR([1]!s_stm07_cs($A993,"W77130581",TEXT($B$1,"yyyy/mm/dd"),1),"")</f>
        <v>33105189455.82</v>
      </c>
      <c r="L993">
        <f>IFERROR([1]!s_stm07_cs($A993,"W77745895",TEXT($B$1,"yyyy/mm/dd"),1),"")</f>
        <v>30711201211.889999</v>
      </c>
      <c r="M993">
        <f>IFERROR([1]!S_FA_EPS_basic2($A993,$B$1,"Cur=CNY"),"")</f>
        <v>3.99</v>
      </c>
      <c r="N993">
        <f>IFERROR([1]!s_fa_arturndays($A993,TEXT($B$1,"yyyy/mm/dd")),"")</f>
        <v>24.969000000000001</v>
      </c>
      <c r="O993" t="str">
        <f>IFERROR([1]!fa_apturndays($A993,TEXT($B$1,"yyyy/mm/dd")),"")</f>
        <v>Fetch...</v>
      </c>
      <c r="P993">
        <f>IFERROR([1]!s_fa_invturndays($A993,TEXT($B$1,"yyyy/mm/dd")),"")</f>
        <v>51.386000000000003</v>
      </c>
    </row>
    <row r="994" spans="1:16">
      <c r="A994" t="s">
        <v>1007</v>
      </c>
      <c r="B994">
        <f>IFERROR([1]!s_stm07_is($A994,"W70156729",TEXT($B$1,"yyyy/mm/dd"),1),"")</f>
        <v>12516931784.559999</v>
      </c>
      <c r="C994">
        <f>IFERROR([1]!s_stm07_is($A994,"W75682424",TEXT($B$1,"yyyy/mm/dd"),1),"")</f>
        <v>9523386172.2900009</v>
      </c>
      <c r="D994">
        <f>IFERROR([1]!s_stm07_is($A994,"W76031679",TEXT($B$1,"yyyy/mm/dd"),1),"")</f>
        <v>440590389.44999999</v>
      </c>
      <c r="E994">
        <f>IFERROR([1]!s_stm07_is($A994,"W70752487",TEXT($B$1,"yyyy/mm/dd"),1),"")</f>
        <v>433400369.36000001</v>
      </c>
      <c r="F994">
        <f>IFERROR([1]!s_stm07_is_103($A994,TEXT($B$1,"yyyy/mm/dd"),1),"")</f>
        <v>619758819.11000001</v>
      </c>
      <c r="G994">
        <f>IFERROR([1]!s_stm07_is_104($A994,TEXT($B$1,"yyyy/mm/dd"),1),"")</f>
        <v>1827884.27</v>
      </c>
      <c r="H994">
        <f>IFERROR([1]!s_stm07_is_105($A994,TEXT($B$1,"yyyy/mm/dd"),1),"")</f>
        <v>71739020.969999999</v>
      </c>
      <c r="I994">
        <f>IFERROR([1]!s_stm07_is($A994,"W72946623",TEXT($B$1,"yyyy/mm/dd"),1),"")</f>
        <v>1430572139.53</v>
      </c>
      <c r="J994">
        <f>IFERROR([1]!s_stm07_is($A994,"W30028333",TEXT($B$1,"yyyy/mm/dd"),1),"")</f>
        <v>1119833030.96</v>
      </c>
      <c r="K994">
        <f>IFERROR([1]!s_stm07_cs($A994,"W77130581",TEXT($B$1,"yyyy/mm/dd"),1),"")</f>
        <v>810660127.90999997</v>
      </c>
      <c r="L994">
        <f>IFERROR([1]!s_stm07_cs($A994,"W77745895",TEXT($B$1,"yyyy/mm/dd"),1),"")</f>
        <v>299150556.75999999</v>
      </c>
      <c r="M994">
        <f>IFERROR([1]!S_FA_EPS_basic2($A994,$B$1,"Cur=CNY"),"")</f>
        <v>0.82530000000000003</v>
      </c>
      <c r="N994">
        <f>IFERROR([1]!s_fa_arturndays($A994,TEXT($B$1,"yyyy/mm/dd")),"")</f>
        <v>180.18020000000001</v>
      </c>
      <c r="O994" t="str">
        <f>IFERROR([1]!fa_apturndays($A994,TEXT($B$1,"yyyy/mm/dd")),"")</f>
        <v>Fetch...</v>
      </c>
      <c r="P994">
        <f>IFERROR([1]!s_fa_invturndays($A994,TEXT($B$1,"yyyy/mm/dd")),"")</f>
        <v>85.346500000000006</v>
      </c>
    </row>
    <row r="995" spans="1:16">
      <c r="A995" t="s">
        <v>1008</v>
      </c>
      <c r="B995">
        <f>IFERROR([1]!s_stm07_is($A995,"W70156729",TEXT($B$1,"yyyy/mm/dd"),1),"")</f>
        <v>6317329571.1599998</v>
      </c>
      <c r="C995">
        <f>IFERROR([1]!s_stm07_is($A995,"W75682424",TEXT($B$1,"yyyy/mm/dd"),1),"")</f>
        <v>2363178249.6500001</v>
      </c>
      <c r="D995">
        <f>IFERROR([1]!s_stm07_is($A995,"W76031679",TEXT($B$1,"yyyy/mm/dd"),1),"")</f>
        <v>3032201008.04</v>
      </c>
      <c r="E995">
        <f>IFERROR([1]!s_stm07_is($A995,"W70752487",TEXT($B$1,"yyyy/mm/dd"),1),"")</f>
        <v>585646264.94000006</v>
      </c>
      <c r="F995">
        <f>IFERROR([1]!s_stm07_is_103($A995,TEXT($B$1,"yyyy/mm/dd"),1),"")</f>
        <v>203540718.75999999</v>
      </c>
      <c r="G995">
        <f>IFERROR([1]!s_stm07_is_104($A995,TEXT($B$1,"yyyy/mm/dd"),1),"")</f>
        <v>45212499.780000001</v>
      </c>
      <c r="H995">
        <f>IFERROR([1]!s_stm07_is_105($A995,TEXT($B$1,"yyyy/mm/dd"),1),"")</f>
        <v>38706781.020000003</v>
      </c>
      <c r="I995">
        <f>IFERROR([1]!s_stm07_is($A995,"W72946623",TEXT($B$1,"yyyy/mm/dd"),1),"")</f>
        <v>314936458.18000001</v>
      </c>
      <c r="J995">
        <f>IFERROR([1]!s_stm07_is($A995,"W30028333",TEXT($B$1,"yyyy/mm/dd"),1),"")</f>
        <v>267580951.22</v>
      </c>
      <c r="K995">
        <f>IFERROR([1]!s_stm07_cs($A995,"W77130581",TEXT($B$1,"yyyy/mm/dd"),1),"")</f>
        <v>801358978.70000005</v>
      </c>
      <c r="L995">
        <f>IFERROR([1]!s_stm07_cs($A995,"W77745895",TEXT($B$1,"yyyy/mm/dd"),1),"")</f>
        <v>76822175.120000005</v>
      </c>
      <c r="M995">
        <f>IFERROR([1]!S_FA_EPS_basic2($A995,$B$1,"Cur=CNY"),"")</f>
        <v>0.4</v>
      </c>
      <c r="N995">
        <f>IFERROR([1]!s_fa_arturndays($A995,TEXT($B$1,"yyyy/mm/dd")),"")</f>
        <v>38.097700000000003</v>
      </c>
      <c r="O995" t="str">
        <f>IFERROR([1]!fa_apturndays($A995,TEXT($B$1,"yyyy/mm/dd")),"")</f>
        <v>Fetch...</v>
      </c>
      <c r="P995">
        <f>IFERROR([1]!s_fa_invturndays($A995,TEXT($B$1,"yyyy/mm/dd")),"")</f>
        <v>98.627399999999994</v>
      </c>
    </row>
    <row r="996" spans="1:16">
      <c r="A996" t="s">
        <v>1009</v>
      </c>
      <c r="B996">
        <f>IFERROR([1]!s_stm07_is($A996,"W70156729",TEXT($B$1,"yyyy/mm/dd"),1),"")</f>
        <v>7449126774.96</v>
      </c>
      <c r="C996">
        <f>IFERROR([1]!s_stm07_is($A996,"W75682424",TEXT($B$1,"yyyy/mm/dd"),1),"")</f>
        <v>7229532345.8999996</v>
      </c>
      <c r="D996">
        <f>IFERROR([1]!s_stm07_is($A996,"W76031679",TEXT($B$1,"yyyy/mm/dd"),1),"")</f>
        <v>8766692.9299999997</v>
      </c>
      <c r="E996">
        <f>IFERROR([1]!s_stm07_is($A996,"W70752487",TEXT($B$1,"yyyy/mm/dd"),1),"")</f>
        <v>52378195.850000001</v>
      </c>
      <c r="F996">
        <f>IFERROR([1]!s_stm07_is_103($A996,TEXT($B$1,"yyyy/mm/dd"),1),"")</f>
        <v>83704981.189999998</v>
      </c>
      <c r="G996">
        <f>IFERROR([1]!s_stm07_is_104($A996,TEXT($B$1,"yyyy/mm/dd"),1),"")</f>
        <v>0</v>
      </c>
      <c r="H996">
        <f>IFERROR([1]!s_stm07_is_105($A996,TEXT($B$1,"yyyy/mm/dd"),1),"")</f>
        <v>2371825.67</v>
      </c>
      <c r="I996">
        <f>IFERROR([1]!s_stm07_is($A996,"W72946623",TEXT($B$1,"yyyy/mm/dd"),1),"")</f>
        <v>54459132.390000001</v>
      </c>
      <c r="J996">
        <f>IFERROR([1]!s_stm07_is($A996,"W30028333",TEXT($B$1,"yyyy/mm/dd"),1),"")</f>
        <v>39759841.299999997</v>
      </c>
      <c r="K996">
        <f>IFERROR([1]!s_stm07_cs($A996,"W77130581",TEXT($B$1,"yyyy/mm/dd"),1),"")</f>
        <v>165279020.88999999</v>
      </c>
      <c r="L996">
        <f>IFERROR([1]!s_stm07_cs($A996,"W77745895",TEXT($B$1,"yyyy/mm/dd"),1),"")</f>
        <v>16826495.940000001</v>
      </c>
      <c r="M996">
        <f>IFERROR([1]!S_FA_EPS_basic2($A996,$B$1,"Cur=CNY"),"")</f>
        <v>5.5399999999999998E-2</v>
      </c>
      <c r="N996">
        <f>IFERROR([1]!s_fa_arturndays($A996,TEXT($B$1,"yyyy/mm/dd")),"")</f>
        <v>271.82119999999998</v>
      </c>
      <c r="O996" t="str">
        <f>IFERROR([1]!fa_apturndays($A996,TEXT($B$1,"yyyy/mm/dd")),"")</f>
        <v>Fetch...</v>
      </c>
      <c r="P996">
        <f>IFERROR([1]!s_fa_invturndays($A996,TEXT($B$1,"yyyy/mm/dd")),"")</f>
        <v>132.82169999999999</v>
      </c>
    </row>
    <row r="997" spans="1:16">
      <c r="A997" t="s">
        <v>1010</v>
      </c>
      <c r="B997">
        <f>IFERROR([1]!s_stm07_is($A997,"W70156729",TEXT($B$1,"yyyy/mm/dd"),1),"")</f>
        <v>36260458326</v>
      </c>
      <c r="C997">
        <f>IFERROR([1]!s_stm07_is($A997,"W75682424",TEXT($B$1,"yyyy/mm/dd"),1),"")</f>
        <v>31278160080</v>
      </c>
      <c r="D997">
        <f>IFERROR([1]!s_stm07_is($A997,"W76031679",TEXT($B$1,"yyyy/mm/dd"),1),"")</f>
        <v>236909842</v>
      </c>
      <c r="E997">
        <f>IFERROR([1]!s_stm07_is($A997,"W70752487",TEXT($B$1,"yyyy/mm/dd"),1),"")</f>
        <v>837981962</v>
      </c>
      <c r="F997">
        <f>IFERROR([1]!s_stm07_is_103($A997,TEXT($B$1,"yyyy/mm/dd"),1),"")</f>
        <v>1515374795</v>
      </c>
      <c r="G997">
        <f>IFERROR([1]!s_stm07_is_104($A997,TEXT($B$1,"yyyy/mm/dd"),1),"")</f>
        <v>641183627</v>
      </c>
      <c r="H997">
        <f>IFERROR([1]!s_stm07_is_105($A997,TEXT($B$1,"yyyy/mm/dd"),1),"")</f>
        <v>353481891</v>
      </c>
      <c r="I997">
        <f>IFERROR([1]!s_stm07_is($A997,"W72946623",TEXT($B$1,"yyyy/mm/dd"),1),"")</f>
        <v>1116024014</v>
      </c>
      <c r="J997">
        <f>IFERROR([1]!s_stm07_is($A997,"W30028333",TEXT($B$1,"yyyy/mm/dd"),1),"")</f>
        <v>731841793</v>
      </c>
      <c r="K997">
        <f>IFERROR([1]!s_stm07_cs($A997,"W77130581",TEXT($B$1,"yyyy/mm/dd"),1),"")</f>
        <v>6249304381</v>
      </c>
      <c r="L997">
        <f>IFERROR([1]!s_stm07_cs($A997,"W77745895",TEXT($B$1,"yyyy/mm/dd"),1),"")</f>
        <v>1049783500</v>
      </c>
      <c r="M997">
        <f>IFERROR([1]!S_FA_EPS_basic2($A997,$B$1,"Cur=CNY"),"")</f>
        <v>0.14000000000000001</v>
      </c>
      <c r="N997">
        <f>IFERROR([1]!s_fa_arturndays($A997,TEXT($B$1,"yyyy/mm/dd")),"")</f>
        <v>78.688500000000005</v>
      </c>
      <c r="O997" t="str">
        <f>IFERROR([1]!fa_apturndays($A997,TEXT($B$1,"yyyy/mm/dd")),"")</f>
        <v>Fetch...</v>
      </c>
      <c r="P997">
        <f>IFERROR([1]!s_fa_invturndays($A997,TEXT($B$1,"yyyy/mm/dd")),"")</f>
        <v>318.75330000000002</v>
      </c>
    </row>
    <row r="998" spans="1:16">
      <c r="A998" t="s">
        <v>1011</v>
      </c>
      <c r="B998">
        <f>IFERROR([1]!s_stm07_is($A998,"W70156729",TEXT($B$1,"yyyy/mm/dd"),1),"")</f>
        <v>13936907015.01</v>
      </c>
      <c r="C998">
        <f>IFERROR([1]!s_stm07_is($A998,"W75682424",TEXT($B$1,"yyyy/mm/dd"),1),"")</f>
        <v>9307919186.6399994</v>
      </c>
      <c r="D998">
        <f>IFERROR([1]!s_stm07_is($A998,"W76031679",TEXT($B$1,"yyyy/mm/dd"),1),"")</f>
        <v>122763949.73999999</v>
      </c>
      <c r="E998">
        <f>IFERROR([1]!s_stm07_is($A998,"W70752487",TEXT($B$1,"yyyy/mm/dd"),1),"")</f>
        <v>890306942.29999995</v>
      </c>
      <c r="F998">
        <f>IFERROR([1]!s_stm07_is_103($A998,TEXT($B$1,"yyyy/mm/dd"),1),"")</f>
        <v>92491465.700000003</v>
      </c>
      <c r="G998">
        <f>IFERROR([1]!s_stm07_is_104($A998,TEXT($B$1,"yyyy/mm/dd"),1),"")</f>
        <v>830096329.01999998</v>
      </c>
      <c r="H998">
        <f>IFERROR([1]!s_stm07_is_105($A998,TEXT($B$1,"yyyy/mm/dd"),1),"")</f>
        <v>39231260.390000001</v>
      </c>
      <c r="I998">
        <f>IFERROR([1]!s_stm07_is($A998,"W72946623",TEXT($B$1,"yyyy/mm/dd"),1),"")</f>
        <v>2919122489.23</v>
      </c>
      <c r="J998">
        <f>IFERROR([1]!s_stm07_is($A998,"W30028333",TEXT($B$1,"yyyy/mm/dd"),1),"")</f>
        <v>1973065482.52</v>
      </c>
      <c r="K998">
        <f>IFERROR([1]!s_stm07_cs($A998,"W77130581",TEXT($B$1,"yyyy/mm/dd"),1),"")</f>
        <v>4017799726.4099998</v>
      </c>
      <c r="L998">
        <f>IFERROR([1]!s_stm07_cs($A998,"W77745895",TEXT($B$1,"yyyy/mm/dd"),1),"")</f>
        <v>1544625063.75</v>
      </c>
      <c r="M998">
        <f>IFERROR([1]!S_FA_EPS_basic2($A998,$B$1,"Cur=CNY"),"")</f>
        <v>2.42</v>
      </c>
      <c r="N998">
        <f>IFERROR([1]!s_fa_arturndays($A998,TEXT($B$1,"yyyy/mm/dd")),"")</f>
        <v>162.58690000000001</v>
      </c>
      <c r="O998" t="str">
        <f>IFERROR([1]!fa_apturndays($A998,TEXT($B$1,"yyyy/mm/dd")),"")</f>
        <v>Fetch...</v>
      </c>
      <c r="P998">
        <f>IFERROR([1]!s_fa_invturndays($A998,TEXT($B$1,"yyyy/mm/dd")),"")</f>
        <v>45.924799999999998</v>
      </c>
    </row>
    <row r="999" spans="1:16">
      <c r="A999" t="s">
        <v>1012</v>
      </c>
      <c r="B999">
        <f>IFERROR([1]!s_stm07_is($A999,"W70156729",TEXT($B$1,"yyyy/mm/dd"),1),"")</f>
        <v>83426379063.539993</v>
      </c>
      <c r="C999">
        <f>IFERROR([1]!s_stm07_is($A999,"W75682424",TEXT($B$1,"yyyy/mm/dd"),1),"")</f>
        <v>76129454266.360001</v>
      </c>
      <c r="D999">
        <f>IFERROR([1]!s_stm07_is($A999,"W76031679",TEXT($B$1,"yyyy/mm/dd"),1),"")</f>
        <v>1684062756.3199999</v>
      </c>
      <c r="E999">
        <f>IFERROR([1]!s_stm07_is($A999,"W70752487",TEXT($B$1,"yyyy/mm/dd"),1),"")</f>
        <v>1220872109.8199999</v>
      </c>
      <c r="F999">
        <f>IFERROR([1]!s_stm07_is_103($A999,TEXT($B$1,"yyyy/mm/dd"),1),"")</f>
        <v>68245142.390000001</v>
      </c>
      <c r="G999">
        <f>IFERROR([1]!s_stm07_is_104($A999,TEXT($B$1,"yyyy/mm/dd"),1),"")</f>
        <v>2044761826.8499999</v>
      </c>
      <c r="H999">
        <f>IFERROR([1]!s_stm07_is_105($A999,TEXT($B$1,"yyyy/mm/dd"),1),"")</f>
        <v>412193239.35000002</v>
      </c>
      <c r="I999">
        <f>IFERROR([1]!s_stm07_is($A999,"W72946623",TEXT($B$1,"yyyy/mm/dd"),1),"")</f>
        <v>-7469837854.0699997</v>
      </c>
      <c r="J999">
        <f>IFERROR([1]!s_stm07_is($A999,"W30028333",TEXT($B$1,"yyyy/mm/dd"),1),"")</f>
        <v>-9495887302.2099991</v>
      </c>
      <c r="K999">
        <f>IFERROR([1]!s_stm07_cs($A999,"W77130581",TEXT($B$1,"yyyy/mm/dd"),1),"")</f>
        <v>19888627889.77</v>
      </c>
      <c r="L999">
        <f>IFERROR([1]!s_stm07_cs($A999,"W77745895",TEXT($B$1,"yyyy/mm/dd"),1),"")</f>
        <v>7187862158.3900003</v>
      </c>
      <c r="M999">
        <f>IFERROR([1]!S_FA_EPS_basic2($A999,$B$1,"Cur=CNY"),"")</f>
        <v>-3.48</v>
      </c>
      <c r="N999">
        <f>IFERROR([1]!s_fa_arturndays($A999,TEXT($B$1,"yyyy/mm/dd")),"")</f>
        <v>8.3854000000000006</v>
      </c>
      <c r="O999" t="str">
        <f>IFERROR([1]!fa_apturndays($A999,TEXT($B$1,"yyyy/mm/dd")),"")</f>
        <v>Fetch...</v>
      </c>
      <c r="P999">
        <f>IFERROR([1]!s_fa_invturndays($A999,TEXT($B$1,"yyyy/mm/dd")),"")</f>
        <v>1037.7629999999999</v>
      </c>
    </row>
    <row r="1000" spans="1:16">
      <c r="A1000" t="s">
        <v>1013</v>
      </c>
      <c r="B1000">
        <f>IFERROR([1]!s_stm07_is($A1000,"W70156729",TEXT($B$1,"yyyy/mm/dd"),1),"")</f>
        <v>11343134247.280001</v>
      </c>
      <c r="C1000">
        <f>IFERROR([1]!s_stm07_is($A1000,"W75682424",TEXT($B$1,"yyyy/mm/dd"),1),"")</f>
        <v>10267447196.82</v>
      </c>
      <c r="D1000">
        <f>IFERROR([1]!s_stm07_is($A1000,"W76031679",TEXT($B$1,"yyyy/mm/dd"),1),"")</f>
        <v>150262553.08000001</v>
      </c>
      <c r="E1000">
        <f>IFERROR([1]!s_stm07_is($A1000,"W70752487",TEXT($B$1,"yyyy/mm/dd"),1),"")</f>
        <v>434666404.45999998</v>
      </c>
      <c r="F1000">
        <f>IFERROR([1]!s_stm07_is_103($A1000,TEXT($B$1,"yyyy/mm/dd"),1),"")</f>
        <v>244807174.53999999</v>
      </c>
      <c r="G1000">
        <f>IFERROR([1]!s_stm07_is_104($A1000,TEXT($B$1,"yyyy/mm/dd"),1),"")</f>
        <v>79407028.560000002</v>
      </c>
      <c r="H1000">
        <f>IFERROR([1]!s_stm07_is_105($A1000,TEXT($B$1,"yyyy/mm/dd"),1),"")</f>
        <v>10330486.43</v>
      </c>
      <c r="I1000">
        <f>IFERROR([1]!s_stm07_is($A1000,"W72946623",TEXT($B$1,"yyyy/mm/dd"),1),"")</f>
        <v>112182680.62</v>
      </c>
      <c r="J1000">
        <f>IFERROR([1]!s_stm07_is($A1000,"W30028333",TEXT($B$1,"yyyy/mm/dd"),1),"")</f>
        <v>73949395.489999995</v>
      </c>
      <c r="K1000">
        <f>IFERROR([1]!s_stm07_cs($A1000,"W77130581",TEXT($B$1,"yyyy/mm/dd"),1),"")</f>
        <v>83262132.140000001</v>
      </c>
      <c r="L1000">
        <f>IFERROR([1]!s_stm07_cs($A1000,"W77745895",TEXT($B$1,"yyyy/mm/dd"),1),"")</f>
        <v>6978551472.8699999</v>
      </c>
      <c r="M1000">
        <f>IFERROR([1]!S_FA_EPS_basic2($A1000,$B$1,"Cur=CNY"),"")</f>
        <v>5.04E-2</v>
      </c>
      <c r="N1000">
        <f>IFERROR([1]!s_fa_arturndays($A1000,TEXT($B$1,"yyyy/mm/dd")),"")</f>
        <v>3.3069000000000002</v>
      </c>
      <c r="O1000" t="str">
        <f>IFERROR([1]!fa_apturndays($A1000,TEXT($B$1,"yyyy/mm/dd")),"")</f>
        <v>Fetch...</v>
      </c>
      <c r="P1000">
        <f>IFERROR([1]!s_fa_invturndays($A1000,TEXT($B$1,"yyyy/mm/dd")),"")</f>
        <v>34.834099999999999</v>
      </c>
    </row>
    <row r="1001" spans="1:16">
      <c r="A1001" t="s">
        <v>1014</v>
      </c>
      <c r="B1001">
        <f>IFERROR([1]!s_stm07_is($A1001,"W70156729",TEXT($B$1,"yyyy/mm/dd"),1),"")</f>
        <v>4917335979.3800001</v>
      </c>
      <c r="C1001">
        <f>IFERROR([1]!s_stm07_is($A1001,"W75682424",TEXT($B$1,"yyyy/mm/dd"),1),"")</f>
        <v>1277410417.9300001</v>
      </c>
      <c r="D1001">
        <f>IFERROR([1]!s_stm07_is($A1001,"W76031679",TEXT($B$1,"yyyy/mm/dd"),1),"")</f>
        <v>2025612718.3699999</v>
      </c>
      <c r="E1001">
        <f>IFERROR([1]!s_stm07_is($A1001,"W70752487",TEXT($B$1,"yyyy/mm/dd"),1),"")</f>
        <v>391475591.11000001</v>
      </c>
      <c r="F1001">
        <f>IFERROR([1]!s_stm07_is_103($A1001,TEXT($B$1,"yyyy/mm/dd"),1),"")</f>
        <v>189808190.41</v>
      </c>
      <c r="G1001">
        <f>IFERROR([1]!s_stm07_is_104($A1001,TEXT($B$1,"yyyy/mm/dd"),1),"")</f>
        <v>9162579.8100000005</v>
      </c>
      <c r="H1001">
        <f>IFERROR([1]!s_stm07_is_105($A1001,TEXT($B$1,"yyyy/mm/dd"),1),"")</f>
        <v>41837920.869999997</v>
      </c>
      <c r="I1001">
        <f>IFERROR([1]!s_stm07_is($A1001,"W72946623",TEXT($B$1,"yyyy/mm/dd"),1),"")</f>
        <v>2487451831.4499998</v>
      </c>
      <c r="J1001">
        <f>IFERROR([1]!s_stm07_is($A1001,"W30028333",TEXT($B$1,"yyyy/mm/dd"),1),"")</f>
        <v>2131021536.79</v>
      </c>
      <c r="K1001">
        <f>IFERROR([1]!s_stm07_cs($A1001,"W77130581",TEXT($B$1,"yyyy/mm/dd"),1),"")</f>
        <v>461065773.20999998</v>
      </c>
      <c r="L1001">
        <f>IFERROR([1]!s_stm07_cs($A1001,"W77745895",TEXT($B$1,"yyyy/mm/dd"),1),"")</f>
        <v>118612858.88</v>
      </c>
      <c r="M1001">
        <f>IFERROR([1]!S_FA_EPS_basic2($A1001,$B$1,"Cur=CNY"),"")</f>
        <v>2.77</v>
      </c>
      <c r="N1001">
        <f>IFERROR([1]!s_fa_arturndays($A1001,TEXT($B$1,"yyyy/mm/dd")),"")</f>
        <v>63.308900000000001</v>
      </c>
      <c r="O1001" t="str">
        <f>IFERROR([1]!fa_apturndays($A1001,TEXT($B$1,"yyyy/mm/dd")),"")</f>
        <v>Fetch...</v>
      </c>
      <c r="P1001">
        <f>IFERROR([1]!s_fa_invturndays($A1001,TEXT($B$1,"yyyy/mm/dd")),"")</f>
        <v>340.81229999999999</v>
      </c>
    </row>
    <row r="1002" spans="1:16">
      <c r="A1002" t="s">
        <v>1015</v>
      </c>
      <c r="B1002">
        <f>IFERROR([1]!s_stm07_is($A1002,"W70156729",TEXT($B$1,"yyyy/mm/dd"),1),"")</f>
        <v>3200634874.4400001</v>
      </c>
      <c r="C1002">
        <f>IFERROR([1]!s_stm07_is($A1002,"W75682424",TEXT($B$1,"yyyy/mm/dd"),1),"")</f>
        <v>2580083206.0500002</v>
      </c>
      <c r="D1002">
        <f>IFERROR([1]!s_stm07_is($A1002,"W76031679",TEXT($B$1,"yyyy/mm/dd"),1),"")</f>
        <v>93686848.280000001</v>
      </c>
      <c r="E1002">
        <f>IFERROR([1]!s_stm07_is($A1002,"W70752487",TEXT($B$1,"yyyy/mm/dd"),1),"")</f>
        <v>313352179.61000001</v>
      </c>
      <c r="F1002">
        <f>IFERROR([1]!s_stm07_is_103($A1002,TEXT($B$1,"yyyy/mm/dd"),1),"")</f>
        <v>227337639.84</v>
      </c>
      <c r="G1002">
        <f>IFERROR([1]!s_stm07_is_104($A1002,TEXT($B$1,"yyyy/mm/dd"),1),"")</f>
        <v>15239408.1</v>
      </c>
      <c r="H1002">
        <f>IFERROR([1]!s_stm07_is_105($A1002,TEXT($B$1,"yyyy/mm/dd"),1),"")</f>
        <v>19146653.829999998</v>
      </c>
      <c r="I1002">
        <f>IFERROR([1]!s_stm07_is($A1002,"W72946623",TEXT($B$1,"yyyy/mm/dd"),1),"")</f>
        <v>-200716473.19999999</v>
      </c>
      <c r="J1002">
        <f>IFERROR([1]!s_stm07_is($A1002,"W30028333",TEXT($B$1,"yyyy/mm/dd"),1),"")</f>
        <v>-165175980.75999999</v>
      </c>
      <c r="K1002">
        <f>IFERROR([1]!s_stm07_cs($A1002,"W77130581",TEXT($B$1,"yyyy/mm/dd"),1),"")</f>
        <v>102609806.97</v>
      </c>
      <c r="L1002">
        <f>IFERROR([1]!s_stm07_cs($A1002,"W77745895",TEXT($B$1,"yyyy/mm/dd"),1),"")</f>
        <v>774424241.64999998</v>
      </c>
      <c r="M1002">
        <f>IFERROR([1]!S_FA_EPS_basic2($A1002,$B$1,"Cur=CNY"),"")</f>
        <v>-0.13600000000000001</v>
      </c>
      <c r="N1002">
        <f>IFERROR([1]!s_fa_arturndays($A1002,TEXT($B$1,"yyyy/mm/dd")),"")</f>
        <v>210.69880000000001</v>
      </c>
      <c r="O1002" t="str">
        <f>IFERROR([1]!fa_apturndays($A1002,TEXT($B$1,"yyyy/mm/dd")),"")</f>
        <v>Fetch...</v>
      </c>
      <c r="P1002">
        <f>IFERROR([1]!s_fa_invturndays($A1002,TEXT($B$1,"yyyy/mm/dd")),"")</f>
        <v>194.23759999999999</v>
      </c>
    </row>
    <row r="1003" spans="1:16">
      <c r="A1003" t="s">
        <v>1016</v>
      </c>
      <c r="B1003">
        <f>IFERROR([1]!s_stm07_is($A1003,"W70156729",TEXT($B$1,"yyyy/mm/dd"),1),"")</f>
        <v>3792896089.46</v>
      </c>
      <c r="C1003">
        <f>IFERROR([1]!s_stm07_is($A1003,"W75682424",TEXT($B$1,"yyyy/mm/dd"),1),"")</f>
        <v>3640965367.5599999</v>
      </c>
      <c r="D1003">
        <f>IFERROR([1]!s_stm07_is($A1003,"W76031679",TEXT($B$1,"yyyy/mm/dd"),1),"")</f>
        <v>25535747.670000002</v>
      </c>
      <c r="E1003">
        <f>IFERROR([1]!s_stm07_is($A1003,"W70752487",TEXT($B$1,"yyyy/mm/dd"),1),"")</f>
        <v>157028374.21000001</v>
      </c>
      <c r="F1003">
        <f>IFERROR([1]!s_stm07_is_103($A1003,TEXT($B$1,"yyyy/mm/dd"),1),"")</f>
        <v>14930114.470000001</v>
      </c>
      <c r="G1003">
        <f>IFERROR([1]!s_stm07_is_104($A1003,TEXT($B$1,"yyyy/mm/dd"),1),"")</f>
        <v>21024708.82</v>
      </c>
      <c r="H1003">
        <f>IFERROR([1]!s_stm07_is_105($A1003,TEXT($B$1,"yyyy/mm/dd"),1),"")</f>
        <v>3236788.5</v>
      </c>
      <c r="I1003">
        <f>IFERROR([1]!s_stm07_is($A1003,"W72946623",TEXT($B$1,"yyyy/mm/dd"),1),"")</f>
        <v>-73327905.709999993</v>
      </c>
      <c r="J1003">
        <f>IFERROR([1]!s_stm07_is($A1003,"W30028333",TEXT($B$1,"yyyy/mm/dd"),1),"")</f>
        <v>-74308656.409999996</v>
      </c>
      <c r="K1003">
        <f>IFERROR([1]!s_stm07_cs($A1003,"W77130581",TEXT($B$1,"yyyy/mm/dd"),1),"")</f>
        <v>-323088441.85000002</v>
      </c>
      <c r="L1003">
        <f>IFERROR([1]!s_stm07_cs($A1003,"W77745895",TEXT($B$1,"yyyy/mm/dd"),1),"")</f>
        <v>82440596.239999995</v>
      </c>
      <c r="M1003">
        <f>IFERROR([1]!S_FA_EPS_basic2($A1003,$B$1,"Cur=CNY"),"")</f>
        <v>-3.1800000000000002E-2</v>
      </c>
      <c r="N1003">
        <f>IFERROR([1]!s_fa_arturndays($A1003,TEXT($B$1,"yyyy/mm/dd")),"")</f>
        <v>1.0922000000000001</v>
      </c>
      <c r="O1003" t="str">
        <f>IFERROR([1]!fa_apturndays($A1003,TEXT($B$1,"yyyy/mm/dd")),"")</f>
        <v>Fetch...</v>
      </c>
      <c r="P1003">
        <f>IFERROR([1]!s_fa_invturndays($A1003,TEXT($B$1,"yyyy/mm/dd")),"")</f>
        <v>40.366</v>
      </c>
    </row>
    <row r="1004" spans="1:16">
      <c r="A1004" t="s">
        <v>1017</v>
      </c>
      <c r="B1004">
        <f>IFERROR([1]!s_stm07_is($A1004,"W70156729",TEXT($B$1,"yyyy/mm/dd"),1),"")</f>
        <v>77656109939.229996</v>
      </c>
      <c r="C1004">
        <f>IFERROR([1]!s_stm07_is($A1004,"W75682424",TEXT($B$1,"yyyy/mm/dd"),1),"")</f>
        <v>65045061403.739998</v>
      </c>
      <c r="D1004">
        <f>IFERROR([1]!s_stm07_is($A1004,"W76031679",TEXT($B$1,"yyyy/mm/dd"),1),"")</f>
        <v>5826805538.3999996</v>
      </c>
      <c r="E1004">
        <f>IFERROR([1]!s_stm07_is($A1004,"W70752487",TEXT($B$1,"yyyy/mm/dd"),1),"")</f>
        <v>2508860485.3400002</v>
      </c>
      <c r="F1004">
        <f>IFERROR([1]!s_stm07_is_103($A1004,TEXT($B$1,"yyyy/mm/dd"),1),"")</f>
        <v>661633556.21000004</v>
      </c>
      <c r="G1004">
        <f>IFERROR([1]!s_stm07_is_104($A1004,TEXT($B$1,"yyyy/mm/dd"),1),"")</f>
        <v>401507404.35000002</v>
      </c>
      <c r="H1004">
        <f>IFERROR([1]!s_stm07_is_105($A1004,TEXT($B$1,"yyyy/mm/dd"),1),"")</f>
        <v>141887111.93000001</v>
      </c>
      <c r="I1004">
        <f>IFERROR([1]!s_stm07_is($A1004,"W72946623",TEXT($B$1,"yyyy/mm/dd"),1),"")</f>
        <v>3689925942.4200001</v>
      </c>
      <c r="J1004">
        <f>IFERROR([1]!s_stm07_is($A1004,"W30028333",TEXT($B$1,"yyyy/mm/dd"),1),"")</f>
        <v>2983113594.8000002</v>
      </c>
      <c r="K1004">
        <f>IFERROR([1]!s_stm07_cs($A1004,"W77130581",TEXT($B$1,"yyyy/mm/dd"),1),"")</f>
        <v>-232460774.72</v>
      </c>
      <c r="L1004">
        <f>IFERROR([1]!s_stm07_cs($A1004,"W77745895",TEXT($B$1,"yyyy/mm/dd"),1),"")</f>
        <v>1239929498.6500001</v>
      </c>
      <c r="M1004">
        <f>IFERROR([1]!S_FA_EPS_basic2($A1004,$B$1,"Cur=CNY"),"")</f>
        <v>1.835</v>
      </c>
      <c r="N1004">
        <f>IFERROR([1]!s_fa_arturndays($A1004,TEXT($B$1,"yyyy/mm/dd")),"")</f>
        <v>75.506500000000003</v>
      </c>
      <c r="O1004" t="str">
        <f>IFERROR([1]!fa_apturndays($A1004,TEXT($B$1,"yyyy/mm/dd")),"")</f>
        <v>Fetch...</v>
      </c>
      <c r="P1004">
        <f>IFERROR([1]!s_fa_invturndays($A1004,TEXT($B$1,"yyyy/mm/dd")),"")</f>
        <v>71.811899999999994</v>
      </c>
    </row>
    <row r="1005" spans="1:16">
      <c r="A1005" t="s">
        <v>1018</v>
      </c>
      <c r="B1005">
        <f>IFERROR([1]!s_stm07_is($A1005,"W70156729",TEXT($B$1,"yyyy/mm/dd"),1),"")</f>
        <v>35602116549.610001</v>
      </c>
      <c r="C1005">
        <f>IFERROR([1]!s_stm07_is($A1005,"W75682424",TEXT($B$1,"yyyy/mm/dd"),1),"")</f>
        <v>32705807787.43</v>
      </c>
      <c r="D1005">
        <f>IFERROR([1]!s_stm07_is($A1005,"W76031679",TEXT($B$1,"yyyy/mm/dd"),1),"")</f>
        <v>478889526.98000002</v>
      </c>
      <c r="E1005">
        <f>IFERROR([1]!s_stm07_is($A1005,"W70752487",TEXT($B$1,"yyyy/mm/dd"),1),"")</f>
        <v>974153183.04999995</v>
      </c>
      <c r="F1005">
        <f>IFERROR([1]!s_stm07_is_103($A1005,TEXT($B$1,"yyyy/mm/dd"),1),"")</f>
        <v>610497093.21000004</v>
      </c>
      <c r="G1005">
        <f>IFERROR([1]!s_stm07_is_104($A1005,TEXT($B$1,"yyyy/mm/dd"),1),"")</f>
        <v>90352542.310000002</v>
      </c>
      <c r="H1005">
        <f>IFERROR([1]!s_stm07_is_105($A1005,TEXT($B$1,"yyyy/mm/dd"),1),"")</f>
        <v>64463428.719999999</v>
      </c>
      <c r="I1005">
        <f>IFERROR([1]!s_stm07_is($A1005,"W72946623",TEXT($B$1,"yyyy/mm/dd"),1),"")</f>
        <v>580287644.14999998</v>
      </c>
      <c r="J1005">
        <f>IFERROR([1]!s_stm07_is($A1005,"W30028333",TEXT($B$1,"yyyy/mm/dd"),1),"")</f>
        <v>421432178.25999999</v>
      </c>
      <c r="K1005">
        <f>IFERROR([1]!s_stm07_cs($A1005,"W77130581",TEXT($B$1,"yyyy/mm/dd"),1),"")</f>
        <v>4954594875.3900003</v>
      </c>
      <c r="L1005">
        <f>IFERROR([1]!s_stm07_cs($A1005,"W77745895",TEXT($B$1,"yyyy/mm/dd"),1),"")</f>
        <v>1952221829.97</v>
      </c>
      <c r="M1005">
        <f>IFERROR([1]!S_FA_EPS_basic2($A1005,$B$1,"Cur=CNY"),"")</f>
        <v>0.28179999999999999</v>
      </c>
      <c r="N1005">
        <f>IFERROR([1]!s_fa_arturndays($A1005,TEXT($B$1,"yyyy/mm/dd")),"")</f>
        <v>56.293999999999997</v>
      </c>
      <c r="O1005" t="str">
        <f>IFERROR([1]!fa_apturndays($A1005,TEXT($B$1,"yyyy/mm/dd")),"")</f>
        <v>Fetch...</v>
      </c>
      <c r="P1005">
        <f>IFERROR([1]!s_fa_invturndays($A1005,TEXT($B$1,"yyyy/mm/dd")),"")</f>
        <v>102.235</v>
      </c>
    </row>
    <row r="1006" spans="1:16">
      <c r="A1006" t="s">
        <v>1019</v>
      </c>
      <c r="B1006">
        <f>IFERROR([1]!s_stm07_is($A1006,"W70156729",TEXT($B$1,"yyyy/mm/dd"),1),"")</f>
        <v>2429955135.98</v>
      </c>
      <c r="C1006">
        <f>IFERROR([1]!s_stm07_is($A1006,"W75682424",TEXT($B$1,"yyyy/mm/dd"),1),"")</f>
        <v>1133393268.6500001</v>
      </c>
      <c r="D1006">
        <f>IFERROR([1]!s_stm07_is($A1006,"W76031679",TEXT($B$1,"yyyy/mm/dd"),1),"")</f>
        <v>21405131.59</v>
      </c>
      <c r="E1006">
        <f>IFERROR([1]!s_stm07_is($A1006,"W70752487",TEXT($B$1,"yyyy/mm/dd"),1),"")</f>
        <v>232333107.88</v>
      </c>
      <c r="F1006">
        <f>IFERROR([1]!s_stm07_is_103($A1006,TEXT($B$1,"yyyy/mm/dd"),1),"")</f>
        <v>8421837.0600000005</v>
      </c>
      <c r="G1006">
        <f>IFERROR([1]!s_stm07_is_104($A1006,TEXT($B$1,"yyyy/mm/dd"),1),"")</f>
        <v>31327726.780000001</v>
      </c>
      <c r="H1006">
        <f>IFERROR([1]!s_stm07_is_105($A1006,TEXT($B$1,"yyyy/mm/dd"),1),"")</f>
        <v>338052.86</v>
      </c>
      <c r="I1006">
        <f>IFERROR([1]!s_stm07_is($A1006,"W72946623",TEXT($B$1,"yyyy/mm/dd"),1),"")</f>
        <v>696582952.05999994</v>
      </c>
      <c r="J1006">
        <f>IFERROR([1]!s_stm07_is($A1006,"W30028333",TEXT($B$1,"yyyy/mm/dd"),1),"")</f>
        <v>512033436.58999997</v>
      </c>
      <c r="K1006">
        <f>IFERROR([1]!s_stm07_cs($A1006,"W77130581",TEXT($B$1,"yyyy/mm/dd"),1),"")</f>
        <v>601084203.42999995</v>
      </c>
      <c r="L1006">
        <f>IFERROR([1]!s_stm07_cs($A1006,"W77745895",TEXT($B$1,"yyyy/mm/dd"),1),"")</f>
        <v>542090770.33000004</v>
      </c>
      <c r="M1006">
        <f>IFERROR([1]!S_FA_EPS_basic2($A1006,$B$1,"Cur=CNY"),"")</f>
        <v>0.56010000000000004</v>
      </c>
      <c r="N1006">
        <f>IFERROR([1]!s_fa_arturndays($A1006,TEXT($B$1,"yyyy/mm/dd")),"")</f>
        <v>3.2972999999999999</v>
      </c>
      <c r="O1006" t="str">
        <f>IFERROR([1]!fa_apturndays($A1006,TEXT($B$1,"yyyy/mm/dd")),"")</f>
        <v>Fetch...</v>
      </c>
      <c r="P1006">
        <f>IFERROR([1]!s_fa_invturndays($A1006,TEXT($B$1,"yyyy/mm/dd")),"")</f>
        <v>55.523899999999998</v>
      </c>
    </row>
    <row r="1007" spans="1:16">
      <c r="A1007" t="s">
        <v>1020</v>
      </c>
      <c r="B1007">
        <f>IFERROR([1]!s_stm07_is($A1007,"W70156729",TEXT($B$1,"yyyy/mm/dd"),1),"")</f>
        <v>99650697576.699997</v>
      </c>
      <c r="C1007">
        <f>IFERROR([1]!s_stm07_is($A1007,"W75682424",TEXT($B$1,"yyyy/mm/dd"),1),"")</f>
        <v>92348173296.160004</v>
      </c>
      <c r="D1007">
        <f>IFERROR([1]!s_stm07_is($A1007,"W76031679",TEXT($B$1,"yyyy/mm/dd"),1),"")</f>
        <v>127246954.90000001</v>
      </c>
      <c r="E1007">
        <f>IFERROR([1]!s_stm07_is($A1007,"W70752487",TEXT($B$1,"yyyy/mm/dd"),1),"")</f>
        <v>3197316903.5700002</v>
      </c>
      <c r="F1007">
        <f>IFERROR([1]!s_stm07_is_103($A1007,TEXT($B$1,"yyyy/mm/dd"),1),"")</f>
        <v>1986524459.3099999</v>
      </c>
      <c r="G1007">
        <f>IFERROR([1]!s_stm07_is_104($A1007,TEXT($B$1,"yyyy/mm/dd"),1),"")</f>
        <v>355138448.77999997</v>
      </c>
      <c r="H1007">
        <f>IFERROR([1]!s_stm07_is_105($A1007,TEXT($B$1,"yyyy/mm/dd"),1),"")</f>
        <v>176561345.16999999</v>
      </c>
      <c r="I1007">
        <f>IFERROR([1]!s_stm07_is($A1007,"W72946623",TEXT($B$1,"yyyy/mm/dd"),1),"")</f>
        <v>1079706232.1700001</v>
      </c>
      <c r="J1007">
        <f>IFERROR([1]!s_stm07_is($A1007,"W30028333",TEXT($B$1,"yyyy/mm/dd"),1),"")</f>
        <v>356237753.88999999</v>
      </c>
      <c r="K1007">
        <f>IFERROR([1]!s_stm07_cs($A1007,"W77130581",TEXT($B$1,"yyyy/mm/dd"),1),"")</f>
        <v>6049700922.4700003</v>
      </c>
      <c r="L1007">
        <f>IFERROR([1]!s_stm07_cs($A1007,"W77745895",TEXT($B$1,"yyyy/mm/dd"),1),"")</f>
        <v>399701550.64999998</v>
      </c>
      <c r="M1007">
        <f>IFERROR([1]!S_FA_EPS_basic2($A1007,$B$1,"Cur=CNY"),"")</f>
        <v>6.3799999999999996E-2</v>
      </c>
      <c r="N1007">
        <f>IFERROR([1]!s_fa_arturndays($A1007,TEXT($B$1,"yyyy/mm/dd")),"")</f>
        <v>51.923299999999998</v>
      </c>
      <c r="O1007" t="str">
        <f>IFERROR([1]!fa_apturndays($A1007,TEXT($B$1,"yyyy/mm/dd")),"")</f>
        <v>Fetch...</v>
      </c>
      <c r="P1007">
        <f>IFERROR([1]!s_fa_invturndays($A1007,TEXT($B$1,"yyyy/mm/dd")),"")</f>
        <v>160.7861</v>
      </c>
    </row>
    <row r="1008" spans="1:16">
      <c r="A1008" t="s">
        <v>1021</v>
      </c>
      <c r="B1008">
        <f>IFERROR([1]!s_stm07_is($A1008,"W70156729",TEXT($B$1,"yyyy/mm/dd"),1),"")</f>
        <v>201087300615.48999</v>
      </c>
      <c r="C1008">
        <f>IFERROR([1]!s_stm07_is($A1008,"W75682424",TEXT($B$1,"yyyy/mm/dd"),1),"")</f>
        <v>174568467326.07999</v>
      </c>
      <c r="D1008">
        <f>IFERROR([1]!s_stm07_is($A1008,"W76031679",TEXT($B$1,"yyyy/mm/dd"),1),"")</f>
        <v>291073257.99000001</v>
      </c>
      <c r="E1008">
        <f>IFERROR([1]!s_stm07_is($A1008,"W70752487",TEXT($B$1,"yyyy/mm/dd"),1),"")</f>
        <v>2496266183.8600001</v>
      </c>
      <c r="F1008">
        <f>IFERROR([1]!s_stm07_is_103($A1008,TEXT($B$1,"yyyy/mm/dd"),1),"")</f>
        <v>1625694869.6400001</v>
      </c>
      <c r="G1008">
        <f>IFERROR([1]!s_stm07_is_104($A1008,TEXT($B$1,"yyyy/mm/dd"),1),"")</f>
        <v>4060786672.8000002</v>
      </c>
      <c r="H1008">
        <f>IFERROR([1]!s_stm07_is_105($A1008,TEXT($B$1,"yyyy/mm/dd"),1),"")</f>
        <v>336460433.17000002</v>
      </c>
      <c r="I1008">
        <f>IFERROR([1]!s_stm07_is($A1008,"W72946623",TEXT($B$1,"yyyy/mm/dd"),1),"")</f>
        <v>9420392275.0499992</v>
      </c>
      <c r="J1008">
        <f>IFERROR([1]!s_stm07_is($A1008,"W30028333",TEXT($B$1,"yyyy/mm/dd"),1),"")</f>
        <v>7074582387.5299997</v>
      </c>
      <c r="K1008">
        <f>IFERROR([1]!s_stm07_cs($A1008,"W77130581",TEXT($B$1,"yyyy/mm/dd"),1),"")</f>
        <v>31121788543.43</v>
      </c>
      <c r="L1008">
        <f>IFERROR([1]!s_stm07_cs($A1008,"W77745895",TEXT($B$1,"yyyy/mm/dd"),1),"")</f>
        <v>7111242107.71</v>
      </c>
      <c r="M1008">
        <f>IFERROR([1]!S_FA_EPS_basic2($A1008,$B$1,"Cur=CNY"),"")</f>
        <v>1.01</v>
      </c>
      <c r="N1008">
        <f>IFERROR([1]!s_fa_arturndays($A1008,TEXT($B$1,"yyyy/mm/dd")),"")</f>
        <v>1.0931</v>
      </c>
      <c r="O1008" t="str">
        <f>IFERROR([1]!fa_apturndays($A1008,TEXT($B$1,"yyyy/mm/dd")),"")</f>
        <v>Fetch...</v>
      </c>
      <c r="P1008">
        <f>IFERROR([1]!s_fa_invturndays($A1008,TEXT($B$1,"yyyy/mm/dd")),"")</f>
        <v>49.456000000000003</v>
      </c>
    </row>
    <row r="1009" spans="1:16">
      <c r="A1009" t="s">
        <v>1022</v>
      </c>
      <c r="B1009">
        <f>IFERROR([1]!s_stm07_is($A1009,"W70156729",TEXT($B$1,"yyyy/mm/dd"),1),"")</f>
        <v>21444330070.740002</v>
      </c>
      <c r="C1009">
        <f>IFERROR([1]!s_stm07_is($A1009,"W75682424",TEXT($B$1,"yyyy/mm/dd"),1),"")</f>
        <v>12984313485.139999</v>
      </c>
      <c r="D1009">
        <f>IFERROR([1]!s_stm07_is($A1009,"W76031679",TEXT($B$1,"yyyy/mm/dd"),1),"")</f>
        <v>128599163.48999999</v>
      </c>
      <c r="E1009">
        <f>IFERROR([1]!s_stm07_is($A1009,"W70752487",TEXT($B$1,"yyyy/mm/dd"),1),"")</f>
        <v>1719723353.72</v>
      </c>
      <c r="F1009">
        <f>IFERROR([1]!s_stm07_is_103($A1009,TEXT($B$1,"yyyy/mm/dd"),1),"")</f>
        <v>856702668.19000006</v>
      </c>
      <c r="G1009">
        <f>IFERROR([1]!s_stm07_is_104($A1009,TEXT($B$1,"yyyy/mm/dd"),1),"")</f>
        <v>618926381.13999999</v>
      </c>
      <c r="H1009">
        <f>IFERROR([1]!s_stm07_is_105($A1009,TEXT($B$1,"yyyy/mm/dd"),1),"")</f>
        <v>84662163.719999999</v>
      </c>
      <c r="I1009">
        <f>IFERROR([1]!s_stm07_is($A1009,"W72946623",TEXT($B$1,"yyyy/mm/dd"),1),"")</f>
        <v>3025220078.96</v>
      </c>
      <c r="J1009">
        <f>IFERROR([1]!s_stm07_is($A1009,"W30028333",TEXT($B$1,"yyyy/mm/dd"),1),"")</f>
        <v>1703031089.51</v>
      </c>
      <c r="K1009">
        <f>IFERROR([1]!s_stm07_cs($A1009,"W77130581",TEXT($B$1,"yyyy/mm/dd"),1),"")</f>
        <v>3179188892.75</v>
      </c>
      <c r="L1009">
        <f>IFERROR([1]!s_stm07_cs($A1009,"W77745895",TEXT($B$1,"yyyy/mm/dd"),1),"")</f>
        <v>6134825030.1899996</v>
      </c>
      <c r="M1009">
        <f>IFERROR([1]!S_FA_EPS_basic2($A1009,$B$1,"Cur=CNY"),"")</f>
        <v>0.43</v>
      </c>
      <c r="N1009">
        <f>IFERROR([1]!s_fa_arturndays($A1009,TEXT($B$1,"yyyy/mm/dd")),"")</f>
        <v>31.927600000000002</v>
      </c>
      <c r="O1009" t="str">
        <f>IFERROR([1]!fa_apturndays($A1009,TEXT($B$1,"yyyy/mm/dd")),"")</f>
        <v>Fetch...</v>
      </c>
      <c r="P1009">
        <f>IFERROR([1]!s_fa_invturndays($A1009,TEXT($B$1,"yyyy/mm/dd")),"")</f>
        <v>27.4438</v>
      </c>
    </row>
    <row r="1010" spans="1:16">
      <c r="A1010" t="s">
        <v>1023</v>
      </c>
      <c r="B1010">
        <f>IFERROR([1]!s_stm07_is($A1010,"W70156729",TEXT($B$1,"yyyy/mm/dd"),1),"")</f>
        <v>13313234220.200001</v>
      </c>
      <c r="C1010">
        <f>IFERROR([1]!s_stm07_is($A1010,"W75682424",TEXT($B$1,"yyyy/mm/dd"),1),"")</f>
        <v>9293010529.1200008</v>
      </c>
      <c r="D1010">
        <f>IFERROR([1]!s_stm07_is($A1010,"W76031679",TEXT($B$1,"yyyy/mm/dd"),1),"")</f>
        <v>659772971.71000004</v>
      </c>
      <c r="E1010">
        <f>IFERROR([1]!s_stm07_is($A1010,"W70752487",TEXT($B$1,"yyyy/mm/dd"),1),"")</f>
        <v>719226742.82000005</v>
      </c>
      <c r="F1010">
        <f>IFERROR([1]!s_stm07_is_103($A1010,TEXT($B$1,"yyyy/mm/dd"),1),"")</f>
        <v>582228820.62</v>
      </c>
      <c r="G1010">
        <f>IFERROR([1]!s_stm07_is_104($A1010,TEXT($B$1,"yyyy/mm/dd"),1),"")</f>
        <v>265100395.47999999</v>
      </c>
      <c r="H1010">
        <f>IFERROR([1]!s_stm07_is_105($A1010,TEXT($B$1,"yyyy/mm/dd"),1),"")</f>
        <v>634504915.13999999</v>
      </c>
      <c r="I1010">
        <f>IFERROR([1]!s_stm07_is($A1010,"W72946623",TEXT($B$1,"yyyy/mm/dd"),1),"")</f>
        <v>2352999041.0900002</v>
      </c>
      <c r="J1010">
        <f>IFERROR([1]!s_stm07_is($A1010,"W30028333",TEXT($B$1,"yyyy/mm/dd"),1),"")</f>
        <v>1829019504.6400001</v>
      </c>
      <c r="K1010">
        <f>IFERROR([1]!s_stm07_cs($A1010,"W77130581",TEXT($B$1,"yyyy/mm/dd"),1),"")</f>
        <v>5836996154.4300003</v>
      </c>
      <c r="L1010">
        <f>IFERROR([1]!s_stm07_cs($A1010,"W77745895",TEXT($B$1,"yyyy/mm/dd"),1),"")</f>
        <v>271916475.42000002</v>
      </c>
      <c r="M1010">
        <f>IFERROR([1]!S_FA_EPS_basic2($A1010,$B$1,"Cur=CNY"),"")</f>
        <v>0.56220000000000003</v>
      </c>
      <c r="N1010">
        <f>IFERROR([1]!s_fa_arturndays($A1010,TEXT($B$1,"yyyy/mm/dd")),"")</f>
        <v>48.661099999999998</v>
      </c>
      <c r="O1010" t="str">
        <f>IFERROR([1]!fa_apturndays($A1010,TEXT($B$1,"yyyy/mm/dd")),"")</f>
        <v>Fetch...</v>
      </c>
      <c r="P1010">
        <f>IFERROR([1]!s_fa_invturndays($A1010,TEXT($B$1,"yyyy/mm/dd")),"")</f>
        <v>1090.2483</v>
      </c>
    </row>
    <row r="1011" spans="1:16">
      <c r="A1011" t="s">
        <v>1024</v>
      </c>
      <c r="B1011">
        <f>IFERROR([1]!s_stm07_is($A1011,"W70156729",TEXT($B$1,"yyyy/mm/dd"),1),"")</f>
        <v>1634938645.46</v>
      </c>
      <c r="C1011">
        <f>IFERROR([1]!s_stm07_is($A1011,"W75682424",TEXT($B$1,"yyyy/mm/dd"),1),"")</f>
        <v>1245241757.79</v>
      </c>
      <c r="D1011">
        <f>IFERROR([1]!s_stm07_is($A1011,"W76031679",TEXT($B$1,"yyyy/mm/dd"),1),"")</f>
        <v>55094884.969999999</v>
      </c>
      <c r="E1011">
        <f>IFERROR([1]!s_stm07_is($A1011,"W70752487",TEXT($B$1,"yyyy/mm/dd"),1),"")</f>
        <v>100633203.17</v>
      </c>
      <c r="F1011">
        <f>IFERROR([1]!s_stm07_is_103($A1011,TEXT($B$1,"yyyy/mm/dd"),1),"")</f>
        <v>76121644.890000001</v>
      </c>
      <c r="G1011">
        <f>IFERROR([1]!s_stm07_is_104($A1011,TEXT($B$1,"yyyy/mm/dd"),1),"")</f>
        <v>14076485.050000001</v>
      </c>
      <c r="H1011">
        <f>IFERROR([1]!s_stm07_is_105($A1011,TEXT($B$1,"yyyy/mm/dd"),1),"")</f>
        <v>876061.98</v>
      </c>
      <c r="I1011">
        <f>IFERROR([1]!s_stm07_is($A1011,"W72946623",TEXT($B$1,"yyyy/mm/dd"),1),"")</f>
        <v>170222709.66999999</v>
      </c>
      <c r="J1011">
        <f>IFERROR([1]!s_stm07_is($A1011,"W30028333",TEXT($B$1,"yyyy/mm/dd"),1),"")</f>
        <v>161570162.59</v>
      </c>
      <c r="K1011">
        <f>IFERROR([1]!s_stm07_cs($A1011,"W77130581",TEXT($B$1,"yyyy/mm/dd"),1),"")</f>
        <v>129033797.51000001</v>
      </c>
      <c r="L1011">
        <f>IFERROR([1]!s_stm07_cs($A1011,"W77745895",TEXT($B$1,"yyyy/mm/dd"),1),"")</f>
        <v>243034261.68000001</v>
      </c>
      <c r="M1011">
        <f>IFERROR([1]!S_FA_EPS_basic2($A1011,$B$1,"Cur=CNY"),"")</f>
        <v>0.19489999999999999</v>
      </c>
      <c r="N1011">
        <f>IFERROR([1]!s_fa_arturndays($A1011,TEXT($B$1,"yyyy/mm/dd")),"")</f>
        <v>210.13310000000001</v>
      </c>
      <c r="O1011" t="str">
        <f>IFERROR([1]!fa_apturndays($A1011,TEXT($B$1,"yyyy/mm/dd")),"")</f>
        <v>Fetch...</v>
      </c>
      <c r="P1011">
        <f>IFERROR([1]!s_fa_invturndays($A1011,TEXT($B$1,"yyyy/mm/dd")),"")</f>
        <v>131.4828</v>
      </c>
    </row>
    <row r="1012" spans="1:16">
      <c r="A1012" t="s">
        <v>1025</v>
      </c>
      <c r="B1012">
        <f>IFERROR([1]!s_stm07_is($A1012,"W70156729",TEXT($B$1,"yyyy/mm/dd"),1),"")</f>
        <v>77040962692.009995</v>
      </c>
      <c r="C1012">
        <f>IFERROR([1]!s_stm07_is($A1012,"W75682424",TEXT($B$1,"yyyy/mm/dd"),1),"")</f>
        <v>74606217222.210007</v>
      </c>
      <c r="D1012">
        <f>IFERROR([1]!s_stm07_is($A1012,"W76031679",TEXT($B$1,"yyyy/mm/dd"),1),"")</f>
        <v>124651257.94</v>
      </c>
      <c r="E1012">
        <f>IFERROR([1]!s_stm07_is($A1012,"W70752487",TEXT($B$1,"yyyy/mm/dd"),1),"")</f>
        <v>506600786.68000001</v>
      </c>
      <c r="F1012">
        <f>IFERROR([1]!s_stm07_is_103($A1012,TEXT($B$1,"yyyy/mm/dd"),1),"")</f>
        <v>313744747.48000002</v>
      </c>
      <c r="G1012">
        <f>IFERROR([1]!s_stm07_is_104($A1012,TEXT($B$1,"yyyy/mm/dd"),1),"")</f>
        <v>466418064.13999999</v>
      </c>
      <c r="H1012">
        <f>IFERROR([1]!s_stm07_is_105($A1012,TEXT($B$1,"yyyy/mm/dd"),1),"")</f>
        <v>54700012.020000003</v>
      </c>
      <c r="I1012">
        <f>IFERROR([1]!s_stm07_is($A1012,"W72946623",TEXT($B$1,"yyyy/mm/dd"),1),"")</f>
        <v>1018328663.67</v>
      </c>
      <c r="J1012">
        <f>IFERROR([1]!s_stm07_is($A1012,"W30028333",TEXT($B$1,"yyyy/mm/dd"),1),"")</f>
        <v>785520756.61000001</v>
      </c>
      <c r="K1012">
        <f>IFERROR([1]!s_stm07_cs($A1012,"W77130581",TEXT($B$1,"yyyy/mm/dd"),1),"")</f>
        <v>-1074340048.45</v>
      </c>
      <c r="L1012">
        <f>IFERROR([1]!s_stm07_cs($A1012,"W77745895",TEXT($B$1,"yyyy/mm/dd"),1),"")</f>
        <v>1201098151.79</v>
      </c>
      <c r="M1012">
        <f>IFERROR([1]!S_FA_EPS_basic2($A1012,$B$1,"Cur=CNY"),"")</f>
        <v>0.20119999999999999</v>
      </c>
      <c r="N1012">
        <f>IFERROR([1]!s_fa_arturndays($A1012,TEXT($B$1,"yyyy/mm/dd")),"")</f>
        <v>16.2805</v>
      </c>
      <c r="O1012" t="str">
        <f>IFERROR([1]!fa_apturndays($A1012,TEXT($B$1,"yyyy/mm/dd")),"")</f>
        <v>Fetch...</v>
      </c>
      <c r="P1012">
        <f>IFERROR([1]!s_fa_invturndays($A1012,TEXT($B$1,"yyyy/mm/dd")),"")</f>
        <v>19.988</v>
      </c>
    </row>
    <row r="1013" spans="1:16">
      <c r="A1013" t="s">
        <v>1026</v>
      </c>
      <c r="B1013">
        <f>IFERROR([1]!s_stm07_is($A1013,"W70156729",TEXT($B$1,"yyyy/mm/dd"),1),"")</f>
        <v>544623484060</v>
      </c>
      <c r="C1013">
        <f>IFERROR([1]!s_stm07_is($A1013,"W75682424",TEXT($B$1,"yyyy/mm/dd"),1),"")</f>
        <v>520686170283</v>
      </c>
      <c r="D1013">
        <f>IFERROR([1]!s_stm07_is($A1013,"W76031679",TEXT($B$1,"yyyy/mm/dd"),1),"")</f>
        <v>386937040</v>
      </c>
      <c r="E1013">
        <f>IFERROR([1]!s_stm07_is($A1013,"W70752487",TEXT($B$1,"yyyy/mm/dd"),1),"")</f>
        <v>3000943198</v>
      </c>
      <c r="F1013">
        <f>IFERROR([1]!s_stm07_is_103($A1013,TEXT($B$1,"yyyy/mm/dd"),1),"")</f>
        <v>1415439451</v>
      </c>
      <c r="G1013">
        <f>IFERROR([1]!s_stm07_is_104($A1013,TEXT($B$1,"yyyy/mm/dd"),1),"")</f>
        <v>2460832024</v>
      </c>
      <c r="H1013">
        <f>IFERROR([1]!s_stm07_is_105($A1013,TEXT($B$1,"yyyy/mm/dd"),1),"")</f>
        <v>1913679755</v>
      </c>
      <c r="I1013">
        <f>IFERROR([1]!s_stm07_is($A1013,"W72946623",TEXT($B$1,"yyyy/mm/dd"),1),"")</f>
        <v>10155190649</v>
      </c>
      <c r="J1013">
        <f>IFERROR([1]!s_stm07_is($A1013,"W30028333",TEXT($B$1,"yyyy/mm/dd"),1),"")</f>
        <v>7130191864</v>
      </c>
      <c r="K1013">
        <f>IFERROR([1]!s_stm07_cs($A1013,"W77130581",TEXT($B$1,"yyyy/mm/dd"),1),"")</f>
        <v>-6914101315</v>
      </c>
      <c r="L1013">
        <f>IFERROR([1]!s_stm07_cs($A1013,"W77745895",TEXT($B$1,"yyyy/mm/dd"),1),"")</f>
        <v>4587268623</v>
      </c>
      <c r="M1013">
        <f>IFERROR([1]!S_FA_EPS_basic2($A1013,$B$1,"Cur=CNY"),"")</f>
        <v>2.0699999999999998</v>
      </c>
      <c r="N1013">
        <f>IFERROR([1]!s_fa_arturndays($A1013,TEXT($B$1,"yyyy/mm/dd")),"")</f>
        <v>4.2512999999999996</v>
      </c>
      <c r="O1013" t="str">
        <f>IFERROR([1]!fa_apturndays($A1013,TEXT($B$1,"yyyy/mm/dd")),"")</f>
        <v>Fetch...</v>
      </c>
      <c r="P1013">
        <f>IFERROR([1]!s_fa_invturndays($A1013,TEXT($B$1,"yyyy/mm/dd")),"")</f>
        <v>39.078200000000002</v>
      </c>
    </row>
    <row r="1014" spans="1:16">
      <c r="A1014" t="s">
        <v>1027</v>
      </c>
      <c r="B1014">
        <f>IFERROR([1]!s_stm07_is($A1014,"W70156729",TEXT($B$1,"yyyy/mm/dd"),1),"")</f>
        <v>3342249636.4699998</v>
      </c>
      <c r="C1014">
        <f>IFERROR([1]!s_stm07_is($A1014,"W75682424",TEXT($B$1,"yyyy/mm/dd"),1),"")</f>
        <v>2645007170.0100002</v>
      </c>
      <c r="D1014">
        <f>IFERROR([1]!s_stm07_is($A1014,"W76031679",TEXT($B$1,"yyyy/mm/dd"),1),"")</f>
        <v>62733366.130000003</v>
      </c>
      <c r="E1014">
        <f>IFERROR([1]!s_stm07_is($A1014,"W70752487",TEXT($B$1,"yyyy/mm/dd"),1),"")</f>
        <v>237095952.05000001</v>
      </c>
      <c r="F1014">
        <f>IFERROR([1]!s_stm07_is_103($A1014,TEXT($B$1,"yyyy/mm/dd"),1),"")</f>
        <v>162611578.94</v>
      </c>
      <c r="G1014">
        <f>IFERROR([1]!s_stm07_is_104($A1014,TEXT($B$1,"yyyy/mm/dd"),1),"")</f>
        <v>68855661.379999995</v>
      </c>
      <c r="H1014">
        <f>IFERROR([1]!s_stm07_is_105($A1014,TEXT($B$1,"yyyy/mm/dd"),1),"")</f>
        <v>18493483.989999998</v>
      </c>
      <c r="I1014">
        <f>IFERROR([1]!s_stm07_is($A1014,"W72946623",TEXT($B$1,"yyyy/mm/dd"),1),"")</f>
        <v>561381778.77999997</v>
      </c>
      <c r="J1014">
        <f>IFERROR([1]!s_stm07_is($A1014,"W30028333",TEXT($B$1,"yyyy/mm/dd"),1),"")</f>
        <v>480172675.11000001</v>
      </c>
      <c r="K1014">
        <f>IFERROR([1]!s_stm07_cs($A1014,"W77130581",TEXT($B$1,"yyyy/mm/dd"),1),"")</f>
        <v>180048501.19999999</v>
      </c>
      <c r="L1014">
        <f>IFERROR([1]!s_stm07_cs($A1014,"W77745895",TEXT($B$1,"yyyy/mm/dd"),1),"")</f>
        <v>186899180.66</v>
      </c>
      <c r="M1014">
        <f>IFERROR([1]!S_FA_EPS_basic2($A1014,$B$1,"Cur=CNY"),"")</f>
        <v>1.06</v>
      </c>
      <c r="N1014">
        <f>IFERROR([1]!s_fa_arturndays($A1014,TEXT($B$1,"yyyy/mm/dd")),"")</f>
        <v>98.830500000000001</v>
      </c>
      <c r="O1014" t="str">
        <f>IFERROR([1]!fa_apturndays($A1014,TEXT($B$1,"yyyy/mm/dd")),"")</f>
        <v>Fetch...</v>
      </c>
      <c r="P1014">
        <f>IFERROR([1]!s_fa_invturndays($A1014,TEXT($B$1,"yyyy/mm/dd")),"")</f>
        <v>84.360500000000002</v>
      </c>
    </row>
    <row r="1015" spans="1:16">
      <c r="A1015" t="s">
        <v>1028</v>
      </c>
      <c r="B1015">
        <f>IFERROR([1]!s_stm07_is($A1015,"W70156729",TEXT($B$1,"yyyy/mm/dd"),1),"")</f>
        <v>5464351851.4099998</v>
      </c>
      <c r="C1015">
        <f>IFERROR([1]!s_stm07_is($A1015,"W75682424",TEXT($B$1,"yyyy/mm/dd"),1),"")</f>
        <v>4491216332.4399996</v>
      </c>
      <c r="D1015">
        <f>IFERROR([1]!s_stm07_is($A1015,"W76031679",TEXT($B$1,"yyyy/mm/dd"),1),"")</f>
        <v>127533178.29000001</v>
      </c>
      <c r="E1015">
        <f>IFERROR([1]!s_stm07_is($A1015,"W70752487",TEXT($B$1,"yyyy/mm/dd"),1),"")</f>
        <v>221848397.87</v>
      </c>
      <c r="F1015">
        <f>IFERROR([1]!s_stm07_is_103($A1015,TEXT($B$1,"yyyy/mm/dd"),1),"")</f>
        <v>275887866.68000001</v>
      </c>
      <c r="G1015">
        <f>IFERROR([1]!s_stm07_is_104($A1015,TEXT($B$1,"yyyy/mm/dd"),1),"")</f>
        <v>27914692.059999999</v>
      </c>
      <c r="H1015">
        <f>IFERROR([1]!s_stm07_is_105($A1015,TEXT($B$1,"yyyy/mm/dd"),1),"")</f>
        <v>20336727</v>
      </c>
      <c r="I1015">
        <f>IFERROR([1]!s_stm07_is($A1015,"W72946623",TEXT($B$1,"yyyy/mm/dd"),1),"")</f>
        <v>368355053.38999999</v>
      </c>
      <c r="J1015">
        <f>IFERROR([1]!s_stm07_is($A1015,"W30028333",TEXT($B$1,"yyyy/mm/dd"),1),"")</f>
        <v>330825589.94</v>
      </c>
      <c r="K1015">
        <f>IFERROR([1]!s_stm07_cs($A1015,"W77130581",TEXT($B$1,"yyyy/mm/dd"),1),"")</f>
        <v>348583969.16000003</v>
      </c>
      <c r="L1015">
        <f>IFERROR([1]!s_stm07_cs($A1015,"W77745895",TEXT($B$1,"yyyy/mm/dd"),1),"")</f>
        <v>83240242.810000002</v>
      </c>
      <c r="M1015">
        <f>IFERROR([1]!S_FA_EPS_basic2($A1015,$B$1,"Cur=CNY"),"")</f>
        <v>0.30740000000000001</v>
      </c>
      <c r="N1015">
        <f>IFERROR([1]!s_fa_arturndays($A1015,TEXT($B$1,"yyyy/mm/dd")),"")</f>
        <v>114.35469999999999</v>
      </c>
      <c r="O1015" t="str">
        <f>IFERROR([1]!fa_apturndays($A1015,TEXT($B$1,"yyyy/mm/dd")),"")</f>
        <v>Fetch...</v>
      </c>
      <c r="P1015">
        <f>IFERROR([1]!s_fa_invturndays($A1015,TEXT($B$1,"yyyy/mm/dd")),"")</f>
        <v>133.90860000000001</v>
      </c>
    </row>
    <row r="1016" spans="1:16">
      <c r="A1016" t="s">
        <v>1029</v>
      </c>
      <c r="B1016">
        <f>IFERROR([1]!s_stm07_is($A1016,"W70156729",TEXT($B$1,"yyyy/mm/dd"),1),"")</f>
        <v>3207490902.3899999</v>
      </c>
      <c r="C1016">
        <f>IFERROR([1]!s_stm07_is($A1016,"W75682424",TEXT($B$1,"yyyy/mm/dd"),1),"")</f>
        <v>0</v>
      </c>
      <c r="D1016">
        <f>IFERROR([1]!s_stm07_is($A1016,"W76031679",TEXT($B$1,"yyyy/mm/dd"),1),"")</f>
        <v>0</v>
      </c>
      <c r="E1016">
        <f>IFERROR([1]!s_stm07_is($A1016,"W70752487",TEXT($B$1,"yyyy/mm/dd"),1),"")</f>
        <v>1838099681.26</v>
      </c>
      <c r="F1016">
        <f>IFERROR([1]!s_stm07_is_103($A1016,TEXT($B$1,"yyyy/mm/dd"),1),"")</f>
        <v>0</v>
      </c>
      <c r="G1016">
        <f>IFERROR([1]!s_stm07_is_104($A1016,TEXT($B$1,"yyyy/mm/dd"),1),"")</f>
        <v>0</v>
      </c>
      <c r="H1016">
        <f>IFERROR([1]!s_stm07_is_105($A1016,TEXT($B$1,"yyyy/mm/dd"),1),"")</f>
        <v>0</v>
      </c>
      <c r="I1016">
        <f>IFERROR([1]!s_stm07_is($A1016,"W72946623",TEXT($B$1,"yyyy/mm/dd"),1),"")</f>
        <v>1147946299.5899999</v>
      </c>
      <c r="J1016">
        <f>IFERROR([1]!s_stm07_is($A1016,"W30028333",TEXT($B$1,"yyyy/mm/dd"),1),"")</f>
        <v>1062373676.8200001</v>
      </c>
      <c r="K1016">
        <f>IFERROR([1]!s_stm07_cs($A1016,"W77130581",TEXT($B$1,"yyyy/mm/dd"),1),"")</f>
        <v>-4608407392.3000002</v>
      </c>
      <c r="L1016">
        <f>IFERROR([1]!s_stm07_cs($A1016,"W77745895",TEXT($B$1,"yyyy/mm/dd"),1),"")</f>
        <v>101473107.61</v>
      </c>
      <c r="M1016">
        <f>IFERROR([1]!S_FA_EPS_basic2($A1016,$B$1,"Cur=CNY"),"")</f>
        <v>0.16</v>
      </c>
      <c r="N1016">
        <f>IFERROR([1]!s_fa_arturndays($A1016,TEXT($B$1,"yyyy/mm/dd")),"")</f>
        <v>0</v>
      </c>
      <c r="O1016" t="str">
        <f>IFERROR([1]!fa_apturndays($A1016,TEXT($B$1,"yyyy/mm/dd")),"")</f>
        <v>Fetch...</v>
      </c>
      <c r="P1016">
        <f>IFERROR([1]!s_fa_invturndays($A1016,TEXT($B$1,"yyyy/mm/dd")),"")</f>
        <v>0</v>
      </c>
    </row>
    <row r="1017" spans="1:16">
      <c r="A1017" t="s">
        <v>1030</v>
      </c>
      <c r="B1017">
        <f>IFERROR([1]!s_stm07_is($A1017,"W70156729",TEXT($B$1,"yyyy/mm/dd"),1),"")</f>
        <v>24211960384.18</v>
      </c>
      <c r="C1017">
        <f>IFERROR([1]!s_stm07_is($A1017,"W75682424",TEXT($B$1,"yyyy/mm/dd"),1),"")</f>
        <v>17262730792.950001</v>
      </c>
      <c r="D1017">
        <f>IFERROR([1]!s_stm07_is($A1017,"W76031679",TEXT($B$1,"yyyy/mm/dd"),1),"")</f>
        <v>157550985.37</v>
      </c>
      <c r="E1017">
        <f>IFERROR([1]!s_stm07_is($A1017,"W70752487",TEXT($B$1,"yyyy/mm/dd"),1),"")</f>
        <v>2125840710.6300001</v>
      </c>
      <c r="F1017">
        <f>IFERROR([1]!s_stm07_is_103($A1017,TEXT($B$1,"yyyy/mm/dd"),1),"")</f>
        <v>2751251460.25</v>
      </c>
      <c r="G1017">
        <f>IFERROR([1]!s_stm07_is_104($A1017,TEXT($B$1,"yyyy/mm/dd"),1),"")</f>
        <v>280052792.13999999</v>
      </c>
      <c r="H1017">
        <f>IFERROR([1]!s_stm07_is_105($A1017,TEXT($B$1,"yyyy/mm/dd"),1),"")</f>
        <v>94784624.590000004</v>
      </c>
      <c r="I1017">
        <f>IFERROR([1]!s_stm07_is($A1017,"W72946623",TEXT($B$1,"yyyy/mm/dd"),1),"")</f>
        <v>1449441632.53</v>
      </c>
      <c r="J1017">
        <f>IFERROR([1]!s_stm07_is($A1017,"W30028333",TEXT($B$1,"yyyy/mm/dd"),1),"")</f>
        <v>1067323487.88</v>
      </c>
      <c r="K1017">
        <f>IFERROR([1]!s_stm07_cs($A1017,"W77130581",TEXT($B$1,"yyyy/mm/dd"),1),"")</f>
        <v>282546710.14999998</v>
      </c>
      <c r="L1017">
        <f>IFERROR([1]!s_stm07_cs($A1017,"W77745895",TEXT($B$1,"yyyy/mm/dd"),1),"")</f>
        <v>2105866929.55</v>
      </c>
      <c r="M1017">
        <f>IFERROR([1]!S_FA_EPS_basic2($A1017,$B$1,"Cur=CNY"),"")</f>
        <v>0.22070000000000001</v>
      </c>
      <c r="N1017">
        <f>IFERROR([1]!s_fa_arturndays($A1017,TEXT($B$1,"yyyy/mm/dd")),"")</f>
        <v>359.6044</v>
      </c>
      <c r="O1017" t="str">
        <f>IFERROR([1]!fa_apturndays($A1017,TEXT($B$1,"yyyy/mm/dd")),"")</f>
        <v>Fetch...</v>
      </c>
      <c r="P1017">
        <f>IFERROR([1]!s_fa_invturndays($A1017,TEXT($B$1,"yyyy/mm/dd")),"")</f>
        <v>388.39139999999998</v>
      </c>
    </row>
    <row r="1018" spans="1:16">
      <c r="A1018" t="s">
        <v>1031</v>
      </c>
      <c r="B1018">
        <f>IFERROR([1]!s_stm07_is($A1018,"W70156729",TEXT($B$1,"yyyy/mm/dd"),1),"")</f>
        <v>7755970009.4300003</v>
      </c>
      <c r="C1018">
        <f>IFERROR([1]!s_stm07_is($A1018,"W75682424",TEXT($B$1,"yyyy/mm/dd"),1),"")</f>
        <v>5392065669.1999998</v>
      </c>
      <c r="D1018">
        <f>IFERROR([1]!s_stm07_is($A1018,"W76031679",TEXT($B$1,"yyyy/mm/dd"),1),"")</f>
        <v>656368519.71000004</v>
      </c>
      <c r="E1018">
        <f>IFERROR([1]!s_stm07_is($A1018,"W70752487",TEXT($B$1,"yyyy/mm/dd"),1),"")</f>
        <v>1517934499.5799999</v>
      </c>
      <c r="F1018">
        <f>IFERROR([1]!s_stm07_is_103($A1018,TEXT($B$1,"yyyy/mm/dd"),1),"")</f>
        <v>198999242.68000001</v>
      </c>
      <c r="G1018">
        <f>IFERROR([1]!s_stm07_is_104($A1018,TEXT($B$1,"yyyy/mm/dd"),1),"")</f>
        <v>72427747.090000004</v>
      </c>
      <c r="H1018">
        <f>IFERROR([1]!s_stm07_is_105($A1018,TEXT($B$1,"yyyy/mm/dd"),1),"")</f>
        <v>150530708.87</v>
      </c>
      <c r="I1018">
        <f>IFERROR([1]!s_stm07_is($A1018,"W72946623",TEXT($B$1,"yyyy/mm/dd"),1),"")</f>
        <v>458734459.54000002</v>
      </c>
      <c r="J1018">
        <f>IFERROR([1]!s_stm07_is($A1018,"W30028333",TEXT($B$1,"yyyy/mm/dd"),1),"")</f>
        <v>279720736.57999998</v>
      </c>
      <c r="K1018">
        <f>IFERROR([1]!s_stm07_cs($A1018,"W77130581",TEXT($B$1,"yyyy/mm/dd"),1),"")</f>
        <v>65780066.090000004</v>
      </c>
      <c r="L1018">
        <f>IFERROR([1]!s_stm07_cs($A1018,"W77745895",TEXT($B$1,"yyyy/mm/dd"),1),"")</f>
        <v>255505871.75</v>
      </c>
      <c r="M1018">
        <f>IFERROR([1]!S_FA_EPS_basic2($A1018,$B$1,"Cur=CNY"),"")</f>
        <v>0.2021</v>
      </c>
      <c r="N1018">
        <f>IFERROR([1]!s_fa_arturndays($A1018,TEXT($B$1,"yyyy/mm/dd")),"")</f>
        <v>82.806200000000004</v>
      </c>
      <c r="O1018" t="str">
        <f>IFERROR([1]!fa_apturndays($A1018,TEXT($B$1,"yyyy/mm/dd")),"")</f>
        <v>Fetch...</v>
      </c>
      <c r="P1018">
        <f>IFERROR([1]!s_fa_invturndays($A1018,TEXT($B$1,"yyyy/mm/dd")),"")</f>
        <v>71.906499999999994</v>
      </c>
    </row>
    <row r="1019" spans="1:16">
      <c r="A1019" t="s">
        <v>1032</v>
      </c>
      <c r="B1019">
        <f>IFERROR([1]!s_stm07_is($A1019,"W70156729",TEXT($B$1,"yyyy/mm/dd"),1),"")</f>
        <v>20289199757.75</v>
      </c>
      <c r="C1019">
        <f>IFERROR([1]!s_stm07_is($A1019,"W75682424",TEXT($B$1,"yyyy/mm/dd"),1),"")</f>
        <v>14188011306.93</v>
      </c>
      <c r="D1019">
        <f>IFERROR([1]!s_stm07_is($A1019,"W76031679",TEXT($B$1,"yyyy/mm/dd"),1),"")</f>
        <v>5746711.7199999997</v>
      </c>
      <c r="E1019">
        <f>IFERROR([1]!s_stm07_is($A1019,"W70752487",TEXT($B$1,"yyyy/mm/dd"),1),"")</f>
        <v>282051123.81</v>
      </c>
      <c r="F1019">
        <f>IFERROR([1]!s_stm07_is_103($A1019,TEXT($B$1,"yyyy/mm/dd"),1),"")</f>
        <v>91823.92</v>
      </c>
      <c r="G1019">
        <f>IFERROR([1]!s_stm07_is_104($A1019,TEXT($B$1,"yyyy/mm/dd"),1),"")</f>
        <v>838994863.38999999</v>
      </c>
      <c r="H1019">
        <f>IFERROR([1]!s_stm07_is_105($A1019,TEXT($B$1,"yyyy/mm/dd"),1),"")</f>
        <v>13711198.109999999</v>
      </c>
      <c r="I1019">
        <f>IFERROR([1]!s_stm07_is($A1019,"W72946623",TEXT($B$1,"yyyy/mm/dd"),1),"")</f>
        <v>6105571737.5100002</v>
      </c>
      <c r="J1019">
        <f>IFERROR([1]!s_stm07_is($A1019,"W30028333",TEXT($B$1,"yyyy/mm/dd"),1),"")</f>
        <v>4593870605.3100004</v>
      </c>
      <c r="K1019">
        <f>IFERROR([1]!s_stm07_cs($A1019,"W77130581",TEXT($B$1,"yyyy/mm/dd"),1),"")</f>
        <v>6761638748.3500004</v>
      </c>
      <c r="L1019">
        <f>IFERROR([1]!s_stm07_cs($A1019,"W77745895",TEXT($B$1,"yyyy/mm/dd"),1),"")</f>
        <v>7626330153.9700003</v>
      </c>
      <c r="M1019">
        <f>IFERROR([1]!S_FA_EPS_basic2($A1019,$B$1,"Cur=CNY"),"")</f>
        <v>0.91190000000000004</v>
      </c>
      <c r="N1019">
        <f>IFERROR([1]!s_fa_arturndays($A1019,TEXT($B$1,"yyyy/mm/dd")),"")</f>
        <v>35.157600000000002</v>
      </c>
      <c r="O1019" t="str">
        <f>IFERROR([1]!fa_apturndays($A1019,TEXT($B$1,"yyyy/mm/dd")),"")</f>
        <v>Fetch...</v>
      </c>
      <c r="P1019">
        <f>IFERROR([1]!s_fa_invturndays($A1019,TEXT($B$1,"yyyy/mm/dd")),"")</f>
        <v>49.170900000000003</v>
      </c>
    </row>
    <row r="1020" spans="1:16">
      <c r="A1020" t="s">
        <v>1033</v>
      </c>
      <c r="B1020">
        <f>IFERROR([1]!s_stm07_is($A1020,"W70156729",TEXT($B$1,"yyyy/mm/dd"),1),"")</f>
        <v>16688996654.92</v>
      </c>
      <c r="C1020">
        <f>IFERROR([1]!s_stm07_is($A1020,"W75682424",TEXT($B$1,"yyyy/mm/dd"),1),"")</f>
        <v>12474976797.27</v>
      </c>
      <c r="D1020">
        <f>IFERROR([1]!s_stm07_is($A1020,"W76031679",TEXT($B$1,"yyyy/mm/dd"),1),"")</f>
        <v>399064364.91000003</v>
      </c>
      <c r="E1020">
        <f>IFERROR([1]!s_stm07_is($A1020,"W70752487",TEXT($B$1,"yyyy/mm/dd"),1),"")</f>
        <v>1114168850.1600001</v>
      </c>
      <c r="F1020">
        <f>IFERROR([1]!s_stm07_is_103($A1020,TEXT($B$1,"yyyy/mm/dd"),1),"")</f>
        <v>966085983.67999995</v>
      </c>
      <c r="G1020">
        <f>IFERROR([1]!s_stm07_is_104($A1020,TEXT($B$1,"yyyy/mm/dd"),1),"")</f>
        <v>62769764.810000002</v>
      </c>
      <c r="H1020">
        <f>IFERROR([1]!s_stm07_is_105($A1020,TEXT($B$1,"yyyy/mm/dd"),1),"")</f>
        <v>42040191.549999997</v>
      </c>
      <c r="I1020">
        <f>IFERROR([1]!s_stm07_is($A1020,"W72946623",TEXT($B$1,"yyyy/mm/dd"),1),"")</f>
        <v>1938097800.5</v>
      </c>
      <c r="J1020">
        <f>IFERROR([1]!s_stm07_is($A1020,"W30028333",TEXT($B$1,"yyyy/mm/dd"),1),"")</f>
        <v>1444467040.45</v>
      </c>
      <c r="K1020">
        <f>IFERROR([1]!s_stm07_cs($A1020,"W77130581",TEXT($B$1,"yyyy/mm/dd"),1),"")</f>
        <v>1923369353.1199999</v>
      </c>
      <c r="L1020">
        <f>IFERROR([1]!s_stm07_cs($A1020,"W77745895",TEXT($B$1,"yyyy/mm/dd"),1),"")</f>
        <v>1521392364.1700001</v>
      </c>
      <c r="M1020">
        <f>IFERROR([1]!S_FA_EPS_basic2($A1020,$B$1,"Cur=CNY"),"")</f>
        <v>1.1197999999999999</v>
      </c>
      <c r="N1020">
        <f>IFERROR([1]!s_fa_arturndays($A1020,TEXT($B$1,"yyyy/mm/dd")),"")</f>
        <v>55.809600000000003</v>
      </c>
      <c r="O1020" t="str">
        <f>IFERROR([1]!fa_apturndays($A1020,TEXT($B$1,"yyyy/mm/dd")),"")</f>
        <v>Fetch...</v>
      </c>
      <c r="P1020">
        <f>IFERROR([1]!s_fa_invturndays($A1020,TEXT($B$1,"yyyy/mm/dd")),"")</f>
        <v>61.039700000000003</v>
      </c>
    </row>
    <row r="1021" spans="1:16">
      <c r="A1021" t="s">
        <v>1034</v>
      </c>
      <c r="B1021">
        <f>IFERROR([1]!s_stm07_is($A1021,"W70156729",TEXT($B$1,"yyyy/mm/dd"),1),"")</f>
        <v>15215738549.280001</v>
      </c>
      <c r="C1021">
        <f>IFERROR([1]!s_stm07_is($A1021,"W75682424",TEXT($B$1,"yyyy/mm/dd"),1),"")</f>
        <v>5714323041.9200001</v>
      </c>
      <c r="D1021">
        <f>IFERROR([1]!s_stm07_is($A1021,"W76031679",TEXT($B$1,"yyyy/mm/dd"),1),"")</f>
        <v>4147535893.3099999</v>
      </c>
      <c r="E1021">
        <f>IFERROR([1]!s_stm07_is($A1021,"W70752487",TEXT($B$1,"yyyy/mm/dd"),1),"")</f>
        <v>870488589.13</v>
      </c>
      <c r="F1021">
        <f>IFERROR([1]!s_stm07_is_103($A1021,TEXT($B$1,"yyyy/mm/dd"),1),"")</f>
        <v>1273012436.3299999</v>
      </c>
      <c r="G1021">
        <f>IFERROR([1]!s_stm07_is_104($A1021,TEXT($B$1,"yyyy/mm/dd"),1),"")</f>
        <v>87048116.170000002</v>
      </c>
      <c r="H1021">
        <f>IFERROR([1]!s_stm07_is_105($A1021,TEXT($B$1,"yyyy/mm/dd"),1),"")</f>
        <v>469337871.01999998</v>
      </c>
      <c r="I1021">
        <f>IFERROR([1]!s_stm07_is($A1021,"W72946623",TEXT($B$1,"yyyy/mm/dd"),1),"")</f>
        <v>3366308071.4699998</v>
      </c>
      <c r="J1021">
        <f>IFERROR([1]!s_stm07_is($A1021,"W30028333",TEXT($B$1,"yyyy/mm/dd"),1),"")</f>
        <v>1335547730.75</v>
      </c>
      <c r="K1021">
        <f>IFERROR([1]!s_stm07_cs($A1021,"W77130581",TEXT($B$1,"yyyy/mm/dd"),1),"")</f>
        <v>3891842483.6300001</v>
      </c>
      <c r="L1021">
        <f>IFERROR([1]!s_stm07_cs($A1021,"W77745895",TEXT($B$1,"yyyy/mm/dd"),1),"")</f>
        <v>767197834.65999997</v>
      </c>
      <c r="M1021">
        <f>IFERROR([1]!S_FA_EPS_basic2($A1021,$B$1,"Cur=CNY"),"")</f>
        <v>0.73</v>
      </c>
      <c r="N1021">
        <f>IFERROR([1]!s_fa_arturndays($A1021,TEXT($B$1,"yyyy/mm/dd")),"")</f>
        <v>60.949800000000003</v>
      </c>
      <c r="O1021" t="str">
        <f>IFERROR([1]!fa_apturndays($A1021,TEXT($B$1,"yyyy/mm/dd")),"")</f>
        <v>Fetch...</v>
      </c>
      <c r="P1021">
        <f>IFERROR([1]!s_fa_invturndays($A1021,TEXT($B$1,"yyyy/mm/dd")),"")</f>
        <v>152.30359999999999</v>
      </c>
    </row>
    <row r="1022" spans="1:16">
      <c r="A1022" t="s">
        <v>1035</v>
      </c>
      <c r="B1022">
        <f>IFERROR([1]!s_stm07_is($A1022,"W70156729",TEXT($B$1,"yyyy/mm/dd"),1),"")</f>
        <v>11872436487.5</v>
      </c>
      <c r="C1022">
        <f>IFERROR([1]!s_stm07_is($A1022,"W75682424",TEXT($B$1,"yyyy/mm/dd"),1),"")</f>
        <v>8884543869.5900002</v>
      </c>
      <c r="D1022">
        <f>IFERROR([1]!s_stm07_is($A1022,"W76031679",TEXT($B$1,"yyyy/mm/dd"),1),"")</f>
        <v>293677896.44</v>
      </c>
      <c r="E1022">
        <f>IFERROR([1]!s_stm07_is($A1022,"W70752487",TEXT($B$1,"yyyy/mm/dd"),1),"")</f>
        <v>679663917.87</v>
      </c>
      <c r="F1022">
        <f>IFERROR([1]!s_stm07_is_103($A1022,TEXT($B$1,"yyyy/mm/dd"),1),"")</f>
        <v>464111671.06</v>
      </c>
      <c r="G1022">
        <f>IFERROR([1]!s_stm07_is_104($A1022,TEXT($B$1,"yyyy/mm/dd"),1),"")</f>
        <v>103340970.97</v>
      </c>
      <c r="H1022">
        <f>IFERROR([1]!s_stm07_is_105($A1022,TEXT($B$1,"yyyy/mm/dd"),1),"")</f>
        <v>43584001.229999997</v>
      </c>
      <c r="I1022">
        <f>IFERROR([1]!s_stm07_is($A1022,"W72946623",TEXT($B$1,"yyyy/mm/dd"),1),"")</f>
        <v>1253609755.6500001</v>
      </c>
      <c r="J1022">
        <f>IFERROR([1]!s_stm07_is($A1022,"W30028333",TEXT($B$1,"yyyy/mm/dd"),1),"")</f>
        <v>1112291417.6700001</v>
      </c>
      <c r="K1022">
        <f>IFERROR([1]!s_stm07_cs($A1022,"W77130581",TEXT($B$1,"yyyy/mm/dd"),1),"")</f>
        <v>1618033813.03</v>
      </c>
      <c r="L1022">
        <f>IFERROR([1]!s_stm07_cs($A1022,"W77745895",TEXT($B$1,"yyyy/mm/dd"),1),"")</f>
        <v>1143468001.8099999</v>
      </c>
      <c r="M1022">
        <f>IFERROR([1]!S_FA_EPS_basic2($A1022,$B$1,"Cur=CNY"),"")</f>
        <v>0.88</v>
      </c>
      <c r="N1022">
        <f>IFERROR([1]!s_fa_arturndays($A1022,TEXT($B$1,"yyyy/mm/dd")),"")</f>
        <v>113.1044</v>
      </c>
      <c r="O1022" t="str">
        <f>IFERROR([1]!fa_apturndays($A1022,TEXT($B$1,"yyyy/mm/dd")),"")</f>
        <v>Fetch...</v>
      </c>
      <c r="P1022">
        <f>IFERROR([1]!s_fa_invturndays($A1022,TEXT($B$1,"yyyy/mm/dd")),"")</f>
        <v>239.8082</v>
      </c>
    </row>
    <row r="1023" spans="1:16">
      <c r="A1023" t="s">
        <v>1036</v>
      </c>
      <c r="B1023">
        <f>IFERROR([1]!s_stm07_is($A1023,"W70156729",TEXT($B$1,"yyyy/mm/dd"),1),"")</f>
        <v>5816188535.5100002</v>
      </c>
      <c r="C1023">
        <f>IFERROR([1]!s_stm07_is($A1023,"W75682424",TEXT($B$1,"yyyy/mm/dd"),1),"")</f>
        <v>4806268142.5100002</v>
      </c>
      <c r="D1023">
        <f>IFERROR([1]!s_stm07_is($A1023,"W76031679",TEXT($B$1,"yyyy/mm/dd"),1),"")</f>
        <v>81174814.079999998</v>
      </c>
      <c r="E1023">
        <f>IFERROR([1]!s_stm07_is($A1023,"W70752487",TEXT($B$1,"yyyy/mm/dd"),1),"")</f>
        <v>247737811.11000001</v>
      </c>
      <c r="F1023">
        <f>IFERROR([1]!s_stm07_is_103($A1023,TEXT($B$1,"yyyy/mm/dd"),1),"")</f>
        <v>177997572.91999999</v>
      </c>
      <c r="G1023">
        <f>IFERROR([1]!s_stm07_is_104($A1023,TEXT($B$1,"yyyy/mm/dd"),1),"")</f>
        <v>24494561.59</v>
      </c>
      <c r="H1023">
        <f>IFERROR([1]!s_stm07_is_105($A1023,TEXT($B$1,"yyyy/mm/dd"),1),"")</f>
        <v>12040627.880000001</v>
      </c>
      <c r="I1023">
        <f>IFERROR([1]!s_stm07_is($A1023,"W72946623",TEXT($B$1,"yyyy/mm/dd"),1),"")</f>
        <v>658456676</v>
      </c>
      <c r="J1023">
        <f>IFERROR([1]!s_stm07_is($A1023,"W30028333",TEXT($B$1,"yyyy/mm/dd"),1),"")</f>
        <v>532600833.25</v>
      </c>
      <c r="K1023">
        <f>IFERROR([1]!s_stm07_cs($A1023,"W77130581",TEXT($B$1,"yyyy/mm/dd"),1),"")</f>
        <v>295413701.41000003</v>
      </c>
      <c r="L1023">
        <f>IFERROR([1]!s_stm07_cs($A1023,"W77745895",TEXT($B$1,"yyyy/mm/dd"),1),"")</f>
        <v>1274461355.3</v>
      </c>
      <c r="M1023">
        <f>IFERROR([1]!S_FA_EPS_basic2($A1023,$B$1,"Cur=CNY"),"")</f>
        <v>1.24</v>
      </c>
      <c r="N1023">
        <f>IFERROR([1]!s_fa_arturndays($A1023,TEXT($B$1,"yyyy/mm/dd")),"")</f>
        <v>24.834399999999999</v>
      </c>
      <c r="O1023" t="str">
        <f>IFERROR([1]!fa_apturndays($A1023,TEXT($B$1,"yyyy/mm/dd")),"")</f>
        <v>Fetch...</v>
      </c>
      <c r="P1023">
        <f>IFERROR([1]!s_fa_invturndays($A1023,TEXT($B$1,"yyyy/mm/dd")),"")</f>
        <v>66.666700000000006</v>
      </c>
    </row>
    <row r="1024" spans="1:16">
      <c r="A1024" t="s">
        <v>1037</v>
      </c>
      <c r="B1024">
        <f>IFERROR([1]!s_stm07_is($A1024,"W70156729",TEXT($B$1,"yyyy/mm/dd"),1),"")</f>
        <v>6943158407.6800003</v>
      </c>
      <c r="C1024">
        <f>IFERROR([1]!s_stm07_is($A1024,"W75682424",TEXT($B$1,"yyyy/mm/dd"),1),"")</f>
        <v>1699067633.47</v>
      </c>
      <c r="D1024">
        <f>IFERROR([1]!s_stm07_is($A1024,"W76031679",TEXT($B$1,"yyyy/mm/dd"),1),"")</f>
        <v>35129927.310000002</v>
      </c>
      <c r="E1024">
        <f>IFERROR([1]!s_stm07_is($A1024,"W70752487",TEXT($B$1,"yyyy/mm/dd"),1),"")</f>
        <v>2486711916.6100001</v>
      </c>
      <c r="F1024">
        <f>IFERROR([1]!s_stm07_is_103($A1024,TEXT($B$1,"yyyy/mm/dd"),1),"")</f>
        <v>35003167.210000001</v>
      </c>
      <c r="G1024">
        <f>IFERROR([1]!s_stm07_is_104($A1024,TEXT($B$1,"yyyy/mm/dd"),1),"")</f>
        <v>344194994.85000002</v>
      </c>
      <c r="H1024">
        <f>IFERROR([1]!s_stm07_is_105($A1024,TEXT($B$1,"yyyy/mm/dd"),1),"")</f>
        <v>4542344.51</v>
      </c>
      <c r="I1024">
        <f>IFERROR([1]!s_stm07_is($A1024,"W72946623",TEXT($B$1,"yyyy/mm/dd"),1),"")</f>
        <v>717595270.51999998</v>
      </c>
      <c r="J1024">
        <f>IFERROR([1]!s_stm07_is($A1024,"W30028333",TEXT($B$1,"yyyy/mm/dd"),1),"")</f>
        <v>435658236.19999999</v>
      </c>
      <c r="K1024">
        <f>IFERROR([1]!s_stm07_cs($A1024,"W77130581",TEXT($B$1,"yyyy/mm/dd"),1),"")</f>
        <v>-5125285021.3500004</v>
      </c>
      <c r="L1024">
        <f>IFERROR([1]!s_stm07_cs($A1024,"W77745895",TEXT($B$1,"yyyy/mm/dd"),1),"")</f>
        <v>158929213.34</v>
      </c>
      <c r="M1024">
        <f>IFERROR([1]!S_FA_EPS_basic2($A1024,$B$1,"Cur=CNY"),"")</f>
        <v>0.05</v>
      </c>
      <c r="N1024">
        <f>IFERROR([1]!s_fa_arturndays($A1024,TEXT($B$1,"yyyy/mm/dd")),"")</f>
        <v>25.340299999999999</v>
      </c>
      <c r="O1024" t="str">
        <f>IFERROR([1]!fa_apturndays($A1024,TEXT($B$1,"yyyy/mm/dd")),"")</f>
        <v>Fetch...</v>
      </c>
      <c r="P1024">
        <f>IFERROR([1]!s_fa_invturndays($A1024,TEXT($B$1,"yyyy/mm/dd")),"")</f>
        <v>46.915900000000001</v>
      </c>
    </row>
    <row r="1025" spans="1:16">
      <c r="A1025" t="s">
        <v>1038</v>
      </c>
      <c r="B1025">
        <f>IFERROR([1]!s_stm07_is($A1025,"W70156729",TEXT($B$1,"yyyy/mm/dd"),1),"")</f>
        <v>14990898214.290001</v>
      </c>
      <c r="C1025">
        <f>IFERROR([1]!s_stm07_is($A1025,"W75682424",TEXT($B$1,"yyyy/mm/dd"),1),"")</f>
        <v>13392839447.59</v>
      </c>
      <c r="D1025">
        <f>IFERROR([1]!s_stm07_is($A1025,"W76031679",TEXT($B$1,"yyyy/mm/dd"),1),"")</f>
        <v>47849619.810000002</v>
      </c>
      <c r="E1025">
        <f>IFERROR([1]!s_stm07_is($A1025,"W70752487",TEXT($B$1,"yyyy/mm/dd"),1),"")</f>
        <v>507183018.70999998</v>
      </c>
      <c r="F1025">
        <f>IFERROR([1]!s_stm07_is_103($A1025,TEXT($B$1,"yyyy/mm/dd"),1),"")</f>
        <v>6532444.46</v>
      </c>
      <c r="G1025">
        <f>IFERROR([1]!s_stm07_is_104($A1025,TEXT($B$1,"yyyy/mm/dd"),1),"")</f>
        <v>113916864.5</v>
      </c>
      <c r="H1025">
        <f>IFERROR([1]!s_stm07_is_105($A1025,TEXT($B$1,"yyyy/mm/dd"),1),"")</f>
        <v>52989902.990000002</v>
      </c>
      <c r="I1025">
        <f>IFERROR([1]!s_stm07_is($A1025,"W72946623",TEXT($B$1,"yyyy/mm/dd"),1),"")</f>
        <v>1028741035.1</v>
      </c>
      <c r="J1025">
        <f>IFERROR([1]!s_stm07_is($A1025,"W30028333",TEXT($B$1,"yyyy/mm/dd"),1),"")</f>
        <v>839014104.85000002</v>
      </c>
      <c r="K1025">
        <f>IFERROR([1]!s_stm07_cs($A1025,"W77130581",TEXT($B$1,"yyyy/mm/dd"),1),"")</f>
        <v>733108870.87</v>
      </c>
      <c r="L1025">
        <f>IFERROR([1]!s_stm07_cs($A1025,"W77745895",TEXT($B$1,"yyyy/mm/dd"),1),"")</f>
        <v>303155341.08999997</v>
      </c>
      <c r="M1025">
        <f>IFERROR([1]!S_FA_EPS_basic2($A1025,$B$1,"Cur=CNY"),"")</f>
        <v>0.47870000000000001</v>
      </c>
      <c r="N1025">
        <f>IFERROR([1]!s_fa_arturndays($A1025,TEXT($B$1,"yyyy/mm/dd")),"")</f>
        <v>24.8293</v>
      </c>
      <c r="O1025" t="str">
        <f>IFERROR([1]!fa_apturndays($A1025,TEXT($B$1,"yyyy/mm/dd")),"")</f>
        <v>Fetch...</v>
      </c>
      <c r="P1025">
        <f>IFERROR([1]!s_fa_invturndays($A1025,TEXT($B$1,"yyyy/mm/dd")),"")</f>
        <v>120.5707</v>
      </c>
    </row>
    <row r="1026" spans="1:16">
      <c r="A1026" t="s">
        <v>1039</v>
      </c>
      <c r="B1026">
        <f>IFERROR([1]!s_stm07_is($A1026,"W70156729",TEXT($B$1,"yyyy/mm/dd"),1),"")</f>
        <v>9761526912.9500008</v>
      </c>
      <c r="C1026">
        <f>IFERROR([1]!s_stm07_is($A1026,"W75682424",TEXT($B$1,"yyyy/mm/dd"),1),"")</f>
        <v>7206878751.4700003</v>
      </c>
      <c r="D1026">
        <f>IFERROR([1]!s_stm07_is($A1026,"W76031679",TEXT($B$1,"yyyy/mm/dd"),1),"")</f>
        <v>20612431.48</v>
      </c>
      <c r="E1026">
        <f>IFERROR([1]!s_stm07_is($A1026,"W70752487",TEXT($B$1,"yyyy/mm/dd"),1),"")</f>
        <v>903884034.01999998</v>
      </c>
      <c r="F1026">
        <f>IFERROR([1]!s_stm07_is_103($A1026,TEXT($B$1,"yyyy/mm/dd"),1),"")</f>
        <v>294166986.74000001</v>
      </c>
      <c r="G1026">
        <f>IFERROR([1]!s_stm07_is_104($A1026,TEXT($B$1,"yyyy/mm/dd"),1),"")</f>
        <v>571250323.16999996</v>
      </c>
      <c r="H1026">
        <f>IFERROR([1]!s_stm07_is_105($A1026,TEXT($B$1,"yyyy/mm/dd"),1),"")</f>
        <v>3526367.99</v>
      </c>
      <c r="I1026">
        <f>IFERROR([1]!s_stm07_is($A1026,"W72946623",TEXT($B$1,"yyyy/mm/dd"),1),"")</f>
        <v>424146965.52999997</v>
      </c>
      <c r="J1026">
        <f>IFERROR([1]!s_stm07_is($A1026,"W30028333",TEXT($B$1,"yyyy/mm/dd"),1),"")</f>
        <v>329499119.95999998</v>
      </c>
      <c r="K1026">
        <f>IFERROR([1]!s_stm07_cs($A1026,"W77130581",TEXT($B$1,"yyyy/mm/dd"),1),"")</f>
        <v>944673276.25999999</v>
      </c>
      <c r="L1026">
        <f>IFERROR([1]!s_stm07_cs($A1026,"W77745895",TEXT($B$1,"yyyy/mm/dd"),1),"")</f>
        <v>4098445398.5700002</v>
      </c>
      <c r="M1026">
        <f>IFERROR([1]!S_FA_EPS_basic2($A1026,$B$1,"Cur=CNY"),"")</f>
        <v>0.153</v>
      </c>
      <c r="N1026">
        <f>IFERROR([1]!s_fa_arturndays($A1026,TEXT($B$1,"yyyy/mm/dd")),"")</f>
        <v>37.901499999999999</v>
      </c>
      <c r="O1026" t="str">
        <f>IFERROR([1]!fa_apturndays($A1026,TEXT($B$1,"yyyy/mm/dd")),"")</f>
        <v>Fetch...</v>
      </c>
      <c r="P1026">
        <f>IFERROR([1]!s_fa_invturndays($A1026,TEXT($B$1,"yyyy/mm/dd")),"")</f>
        <v>40.319899999999997</v>
      </c>
    </row>
    <row r="1027" spans="1:16">
      <c r="A1027" t="s">
        <v>1040</v>
      </c>
      <c r="B1027">
        <f>IFERROR([1]!s_stm07_is($A1027,"W70156729",TEXT($B$1,"yyyy/mm/dd"),1),"")</f>
        <v>21625651303.09</v>
      </c>
      <c r="C1027">
        <f>IFERROR([1]!s_stm07_is($A1027,"W75682424",TEXT($B$1,"yyyy/mm/dd"),1),"")</f>
        <v>11921261105.27</v>
      </c>
      <c r="D1027">
        <f>IFERROR([1]!s_stm07_is($A1027,"W76031679",TEXT($B$1,"yyyy/mm/dd"),1),"")</f>
        <v>5158526984.9399996</v>
      </c>
      <c r="E1027">
        <f>IFERROR([1]!s_stm07_is($A1027,"W70752487",TEXT($B$1,"yyyy/mm/dd"),1),"")</f>
        <v>1031271311.55</v>
      </c>
      <c r="F1027">
        <f>IFERROR([1]!s_stm07_is_103($A1027,TEXT($B$1,"yyyy/mm/dd"),1),"")</f>
        <v>212006266</v>
      </c>
      <c r="G1027">
        <f>IFERROR([1]!s_stm07_is_104($A1027,TEXT($B$1,"yyyy/mm/dd"),1),"")</f>
        <v>61637761.020000003</v>
      </c>
      <c r="H1027">
        <f>IFERROR([1]!s_stm07_is_105($A1027,TEXT($B$1,"yyyy/mm/dd"),1),"")</f>
        <v>241371889.63999999</v>
      </c>
      <c r="I1027">
        <f>IFERROR([1]!s_stm07_is($A1027,"W72946623",TEXT($B$1,"yyyy/mm/dd"),1),"")</f>
        <v>2806370031.7800002</v>
      </c>
      <c r="J1027">
        <f>IFERROR([1]!s_stm07_is($A1027,"W30028333",TEXT($B$1,"yyyy/mm/dd"),1),"")</f>
        <v>2165990940.7800002</v>
      </c>
      <c r="K1027">
        <f>IFERROR([1]!s_stm07_cs($A1027,"W77130581",TEXT($B$1,"yyyy/mm/dd"),1),"")</f>
        <v>4482481474.6000004</v>
      </c>
      <c r="L1027">
        <f>IFERROR([1]!s_stm07_cs($A1027,"W77745895",TEXT($B$1,"yyyy/mm/dd"),1),"")</f>
        <v>429928193.39999998</v>
      </c>
      <c r="M1027">
        <f>IFERROR([1]!S_FA_EPS_basic2($A1027,$B$1,"Cur=CNY"),"")</f>
        <v>0.45</v>
      </c>
      <c r="N1027">
        <f>IFERROR([1]!s_fa_arturndays($A1027,TEXT($B$1,"yyyy/mm/dd")),"")</f>
        <v>21.810099999999998</v>
      </c>
      <c r="O1027" t="str">
        <f>IFERROR([1]!fa_apturndays($A1027,TEXT($B$1,"yyyy/mm/dd")),"")</f>
        <v>Fetch...</v>
      </c>
      <c r="P1027">
        <f>IFERROR([1]!s_fa_invturndays($A1027,TEXT($B$1,"yyyy/mm/dd")),"")</f>
        <v>344.3329</v>
      </c>
    </row>
    <row r="1028" spans="1:16">
      <c r="A1028" t="s">
        <v>1041</v>
      </c>
      <c r="B1028">
        <f>IFERROR([1]!s_stm07_is($A1028,"W70156729",TEXT($B$1,"yyyy/mm/dd"),1),"")</f>
        <v>7783430662.6599998</v>
      </c>
      <c r="C1028">
        <f>IFERROR([1]!s_stm07_is($A1028,"W75682424",TEXT($B$1,"yyyy/mm/dd"),1),"")</f>
        <v>7733027732.0500002</v>
      </c>
      <c r="D1028">
        <f>IFERROR([1]!s_stm07_is($A1028,"W76031679",TEXT($B$1,"yyyy/mm/dd"),1),"")</f>
        <v>60493687.969999999</v>
      </c>
      <c r="E1028">
        <f>IFERROR([1]!s_stm07_is($A1028,"W70752487",TEXT($B$1,"yyyy/mm/dd"),1),"")</f>
        <v>210242331.84999999</v>
      </c>
      <c r="F1028">
        <f>IFERROR([1]!s_stm07_is_103($A1028,TEXT($B$1,"yyyy/mm/dd"),1),"")</f>
        <v>294543279.38</v>
      </c>
      <c r="G1028">
        <f>IFERROR([1]!s_stm07_is_104($A1028,TEXT($B$1,"yyyy/mm/dd"),1),"")</f>
        <v>81105473.599999994</v>
      </c>
      <c r="H1028">
        <f>IFERROR([1]!s_stm07_is_105($A1028,TEXT($B$1,"yyyy/mm/dd"),1),"")</f>
        <v>35460678.270000003</v>
      </c>
      <c r="I1028">
        <f>IFERROR([1]!s_stm07_is($A1028,"W72946623",TEXT($B$1,"yyyy/mm/dd"),1),"")</f>
        <v>-814497061.16999996</v>
      </c>
      <c r="J1028">
        <f>IFERROR([1]!s_stm07_is($A1028,"W30028333",TEXT($B$1,"yyyy/mm/dd"),1),"")</f>
        <v>-804969739.78999996</v>
      </c>
      <c r="K1028">
        <f>IFERROR([1]!s_stm07_cs($A1028,"W77130581",TEXT($B$1,"yyyy/mm/dd"),1),"")</f>
        <v>-1370002307.71</v>
      </c>
      <c r="L1028">
        <f>IFERROR([1]!s_stm07_cs($A1028,"W77745895",TEXT($B$1,"yyyy/mm/dd"),1),"")</f>
        <v>338185302.39999998</v>
      </c>
      <c r="M1028">
        <f>IFERROR([1]!S_FA_EPS_basic2($A1028,$B$1,"Cur=CNY"),"")</f>
        <v>-0.41</v>
      </c>
      <c r="N1028">
        <f>IFERROR([1]!s_fa_arturndays($A1028,TEXT($B$1,"yyyy/mm/dd")),"")</f>
        <v>33.111699999999999</v>
      </c>
      <c r="O1028" t="str">
        <f>IFERROR([1]!fa_apturndays($A1028,TEXT($B$1,"yyyy/mm/dd")),"")</f>
        <v>Fetch...</v>
      </c>
      <c r="P1028">
        <f>IFERROR([1]!s_fa_invturndays($A1028,TEXT($B$1,"yyyy/mm/dd")),"")</f>
        <v>150.0188</v>
      </c>
    </row>
    <row r="1029" spans="1:16">
      <c r="A1029" t="s">
        <v>1042</v>
      </c>
      <c r="B1029">
        <f>IFERROR([1]!s_stm07_is($A1029,"W70156729",TEXT($B$1,"yyyy/mm/dd"),1),"")</f>
        <v>4112358932.79</v>
      </c>
      <c r="C1029">
        <f>IFERROR([1]!s_stm07_is($A1029,"W75682424",TEXT($B$1,"yyyy/mm/dd"),1),"")</f>
        <v>4357973727.6400003</v>
      </c>
      <c r="D1029">
        <f>IFERROR([1]!s_stm07_is($A1029,"W76031679",TEXT($B$1,"yyyy/mm/dd"),1),"")</f>
        <v>121055006.18000001</v>
      </c>
      <c r="E1029">
        <f>IFERROR([1]!s_stm07_is($A1029,"W70752487",TEXT($B$1,"yyyy/mm/dd"),1),"")</f>
        <v>690705801.78999996</v>
      </c>
      <c r="F1029">
        <f>IFERROR([1]!s_stm07_is_103($A1029,TEXT($B$1,"yyyy/mm/dd"),1),"")</f>
        <v>110094482.03</v>
      </c>
      <c r="G1029">
        <f>IFERROR([1]!s_stm07_is_104($A1029,TEXT($B$1,"yyyy/mm/dd"),1),"")</f>
        <v>236833490.03999999</v>
      </c>
      <c r="H1029">
        <f>IFERROR([1]!s_stm07_is_105($A1029,TEXT($B$1,"yyyy/mm/dd"),1),"")</f>
        <v>45582339.530000001</v>
      </c>
      <c r="I1029">
        <f>IFERROR([1]!s_stm07_is($A1029,"W72946623",TEXT($B$1,"yyyy/mm/dd"),1),"")</f>
        <v>-1898886198.74</v>
      </c>
      <c r="J1029">
        <f>IFERROR([1]!s_stm07_is($A1029,"W30028333",TEXT($B$1,"yyyy/mm/dd"),1),"")</f>
        <v>-2016087639.8599999</v>
      </c>
      <c r="K1029">
        <f>IFERROR([1]!s_stm07_cs($A1029,"W77130581",TEXT($B$1,"yyyy/mm/dd"),1),"")</f>
        <v>-305731867.06999999</v>
      </c>
      <c r="L1029">
        <f>IFERROR([1]!s_stm07_cs($A1029,"W77745895",TEXT($B$1,"yyyy/mm/dd"),1),"")</f>
        <v>385211042.75999999</v>
      </c>
      <c r="M1029">
        <f>IFERROR([1]!S_FA_EPS_basic2($A1029,$B$1,"Cur=CNY"),"")</f>
        <v>-0.84330000000000005</v>
      </c>
      <c r="N1029">
        <f>IFERROR([1]!s_fa_arturndays($A1029,TEXT($B$1,"yyyy/mm/dd")),"")</f>
        <v>52.298200000000001</v>
      </c>
      <c r="O1029" t="str">
        <f>IFERROR([1]!fa_apturndays($A1029,TEXT($B$1,"yyyy/mm/dd")),"")</f>
        <v>Fetch...</v>
      </c>
      <c r="P1029">
        <f>IFERROR([1]!s_fa_invturndays($A1029,TEXT($B$1,"yyyy/mm/dd")),"")</f>
        <v>14.988099999999999</v>
      </c>
    </row>
    <row r="1030" spans="1:16">
      <c r="A1030" t="s">
        <v>1043</v>
      </c>
      <c r="B1030">
        <f>IFERROR([1]!s_stm07_is($A1030,"W70156729",TEXT($B$1,"yyyy/mm/dd"),1),"")</f>
        <v>66228963223.209999</v>
      </c>
      <c r="C1030">
        <f>IFERROR([1]!s_stm07_is($A1030,"W75682424",TEXT($B$1,"yyyy/mm/dd"),1),"")</f>
        <v>49117323852.589996</v>
      </c>
      <c r="D1030">
        <f>IFERROR([1]!s_stm07_is($A1030,"W76031679",TEXT($B$1,"yyyy/mm/dd"),1),"")</f>
        <v>2426002615.4400001</v>
      </c>
      <c r="E1030">
        <f>IFERROR([1]!s_stm07_is($A1030,"W70752487",TEXT($B$1,"yyyy/mm/dd"),1),"")</f>
        <v>1569344581.3299999</v>
      </c>
      <c r="F1030">
        <f>IFERROR([1]!s_stm07_is_103($A1030,TEXT($B$1,"yyyy/mm/dd"),1),"")</f>
        <v>3604120246.3600001</v>
      </c>
      <c r="G1030">
        <f>IFERROR([1]!s_stm07_is_104($A1030,TEXT($B$1,"yyyy/mm/dd"),1),"")</f>
        <v>20002353.809999999</v>
      </c>
      <c r="H1030">
        <f>IFERROR([1]!s_stm07_is_105($A1030,TEXT($B$1,"yyyy/mm/dd"),1),"")</f>
        <v>302800881.44</v>
      </c>
      <c r="I1030">
        <f>IFERROR([1]!s_stm07_is($A1030,"W72946623",TEXT($B$1,"yyyy/mm/dd"),1),"")</f>
        <v>9818913105.6700001</v>
      </c>
      <c r="J1030">
        <f>IFERROR([1]!s_stm07_is($A1030,"W30028333",TEXT($B$1,"yyyy/mm/dd"),1),"")</f>
        <v>8278971723.3199997</v>
      </c>
      <c r="K1030">
        <f>IFERROR([1]!s_stm07_cs($A1030,"W77130581",TEXT($B$1,"yyyy/mm/dd"),1),"")</f>
        <v>12768702125.040001</v>
      </c>
      <c r="L1030">
        <f>IFERROR([1]!s_stm07_cs($A1030,"W77745895",TEXT($B$1,"yyyy/mm/dd"),1),"")</f>
        <v>2110354922.0999999</v>
      </c>
      <c r="M1030">
        <f>IFERROR([1]!S_FA_EPS_basic2($A1030,$B$1,"Cur=CNY"),"")</f>
        <v>1.04</v>
      </c>
      <c r="N1030">
        <f>IFERROR([1]!s_fa_arturndays($A1030,TEXT($B$1,"yyyy/mm/dd")),"")</f>
        <v>168.76050000000001</v>
      </c>
      <c r="O1030" t="str">
        <f>IFERROR([1]!fa_apturndays($A1030,TEXT($B$1,"yyyy/mm/dd")),"")</f>
        <v>Fetch...</v>
      </c>
      <c r="P1030">
        <f>IFERROR([1]!s_fa_invturndays($A1030,TEXT($B$1,"yyyy/mm/dd")),"")</f>
        <v>100.3009</v>
      </c>
    </row>
    <row r="1031" spans="1:16">
      <c r="A1031" t="s">
        <v>1044</v>
      </c>
      <c r="B1031">
        <f>IFERROR([1]!s_stm07_is($A1031,"W70156729",TEXT($B$1,"yyyy/mm/dd"),1),"")</f>
        <v>18831442959.259998</v>
      </c>
      <c r="C1031">
        <f>IFERROR([1]!s_stm07_is($A1031,"W75682424",TEXT($B$1,"yyyy/mm/dd"),1),"")</f>
        <v>16435271505.110001</v>
      </c>
      <c r="D1031">
        <f>IFERROR([1]!s_stm07_is($A1031,"W76031679",TEXT($B$1,"yyyy/mm/dd"),1),"")</f>
        <v>143984639.61000001</v>
      </c>
      <c r="E1031">
        <f>IFERROR([1]!s_stm07_is($A1031,"W70752487",TEXT($B$1,"yyyy/mm/dd"),1),"")</f>
        <v>1323917098.5699999</v>
      </c>
      <c r="F1031">
        <f>IFERROR([1]!s_stm07_is_103($A1031,TEXT($B$1,"yyyy/mm/dd"),1),"")</f>
        <v>534916609.69999999</v>
      </c>
      <c r="G1031">
        <f>IFERROR([1]!s_stm07_is_104($A1031,TEXT($B$1,"yyyy/mm/dd"),1),"")</f>
        <v>134819050.69999999</v>
      </c>
      <c r="H1031">
        <f>IFERROR([1]!s_stm07_is_105($A1031,TEXT($B$1,"yyyy/mm/dd"),1),"")</f>
        <v>25440668.399999999</v>
      </c>
      <c r="I1031">
        <f>IFERROR([1]!s_stm07_is($A1031,"W72946623",TEXT($B$1,"yyyy/mm/dd"),1),"")</f>
        <v>96556295.030000001</v>
      </c>
      <c r="J1031">
        <f>IFERROR([1]!s_stm07_is($A1031,"W30028333",TEXT($B$1,"yyyy/mm/dd"),1),"")</f>
        <v>89528385.530000001</v>
      </c>
      <c r="K1031">
        <f>IFERROR([1]!s_stm07_cs($A1031,"W77130581",TEXT($B$1,"yyyy/mm/dd"),1),"")</f>
        <v>844735753.55999994</v>
      </c>
      <c r="L1031">
        <f>IFERROR([1]!s_stm07_cs($A1031,"W77745895",TEXT($B$1,"yyyy/mm/dd"),1),"")</f>
        <v>1541654861.1500001</v>
      </c>
      <c r="M1031">
        <f>IFERROR([1]!S_FA_EPS_basic2($A1031,$B$1,"Cur=CNY"),"")</f>
        <v>4.3400000000000001E-2</v>
      </c>
      <c r="N1031">
        <f>IFERROR([1]!s_fa_arturndays($A1031,TEXT($B$1,"yyyy/mm/dd")),"")</f>
        <v>5.2354000000000003</v>
      </c>
      <c r="O1031" t="str">
        <f>IFERROR([1]!fa_apturndays($A1031,TEXT($B$1,"yyyy/mm/dd")),"")</f>
        <v>Fetch...</v>
      </c>
      <c r="P1031">
        <f>IFERROR([1]!s_fa_invturndays($A1031,TEXT($B$1,"yyyy/mm/dd")),"")</f>
        <v>32.905299999999997</v>
      </c>
    </row>
    <row r="1032" spans="1:16">
      <c r="A1032" t="s">
        <v>1045</v>
      </c>
      <c r="B1032">
        <f>IFERROR([1]!s_stm07_is($A1032,"W70156729",TEXT($B$1,"yyyy/mm/dd"),1),"")</f>
        <v>19927252694.509998</v>
      </c>
      <c r="C1032">
        <f>IFERROR([1]!s_stm07_is($A1032,"W75682424",TEXT($B$1,"yyyy/mm/dd"),1),"")</f>
        <v>13661244520.860001</v>
      </c>
      <c r="D1032">
        <f>IFERROR([1]!s_stm07_is($A1032,"W76031679",TEXT($B$1,"yyyy/mm/dd"),1),"")</f>
        <v>470766537.04000002</v>
      </c>
      <c r="E1032">
        <f>IFERROR([1]!s_stm07_is($A1032,"W70752487",TEXT($B$1,"yyyy/mm/dd"),1),"")</f>
        <v>611962141.62</v>
      </c>
      <c r="F1032">
        <f>IFERROR([1]!s_stm07_is_103($A1032,TEXT($B$1,"yyyy/mm/dd"),1),"")</f>
        <v>40714140.909999996</v>
      </c>
      <c r="G1032">
        <f>IFERROR([1]!s_stm07_is_104($A1032,TEXT($B$1,"yyyy/mm/dd"),1),"")</f>
        <v>79492675.780000001</v>
      </c>
      <c r="H1032">
        <f>IFERROR([1]!s_stm07_is_105($A1032,TEXT($B$1,"yyyy/mm/dd"),1),"")</f>
        <v>93267843.689999998</v>
      </c>
      <c r="I1032">
        <f>IFERROR([1]!s_stm07_is($A1032,"W72946623",TEXT($B$1,"yyyy/mm/dd"),1),"")</f>
        <v>5407571550.5100002</v>
      </c>
      <c r="J1032">
        <f>IFERROR([1]!s_stm07_is($A1032,"W30028333",TEXT($B$1,"yyyy/mm/dd"),1),"")</f>
        <v>4203546946.9699998</v>
      </c>
      <c r="K1032">
        <f>IFERROR([1]!s_stm07_cs($A1032,"W77130581",TEXT($B$1,"yyyy/mm/dd"),1),"")</f>
        <v>10529211443</v>
      </c>
      <c r="L1032">
        <f>IFERROR([1]!s_stm07_cs($A1032,"W77745895",TEXT($B$1,"yyyy/mm/dd"),1),"")</f>
        <v>2182072518.3299999</v>
      </c>
      <c r="M1032">
        <f>IFERROR([1]!S_FA_EPS_basic2($A1032,$B$1,"Cur=CNY"),"")</f>
        <v>0.77</v>
      </c>
      <c r="N1032">
        <f>IFERROR([1]!s_fa_arturndays($A1032,TEXT($B$1,"yyyy/mm/dd")),"")</f>
        <v>8.3462999999999994</v>
      </c>
      <c r="O1032" t="str">
        <f>IFERROR([1]!fa_apturndays($A1032,TEXT($B$1,"yyyy/mm/dd")),"")</f>
        <v>Fetch...</v>
      </c>
      <c r="P1032">
        <f>IFERROR([1]!s_fa_invturndays($A1032,TEXT($B$1,"yyyy/mm/dd")),"")</f>
        <v>49.319099999999999</v>
      </c>
    </row>
    <row r="1033" spans="1:16">
      <c r="A1033" t="s">
        <v>1046</v>
      </c>
      <c r="B1033">
        <f>IFERROR([1]!s_stm07_is($A1033,"W70156729",TEXT($B$1,"yyyy/mm/dd"),1),"")</f>
        <v>4887945945.5799999</v>
      </c>
      <c r="C1033">
        <f>IFERROR([1]!s_stm07_is($A1033,"W75682424",TEXT($B$1,"yyyy/mm/dd"),1),"")</f>
        <v>4271654912.5700002</v>
      </c>
      <c r="D1033">
        <f>IFERROR([1]!s_stm07_is($A1033,"W76031679",TEXT($B$1,"yyyy/mm/dd"),1),"")</f>
        <v>149496930.84</v>
      </c>
      <c r="E1033">
        <f>IFERROR([1]!s_stm07_is($A1033,"W70752487",TEXT($B$1,"yyyy/mm/dd"),1),"")</f>
        <v>240226912.19</v>
      </c>
      <c r="F1033">
        <f>IFERROR([1]!s_stm07_is_103($A1033,TEXT($B$1,"yyyy/mm/dd"),1),"")</f>
        <v>166523277.78</v>
      </c>
      <c r="G1033">
        <f>IFERROR([1]!s_stm07_is_104($A1033,TEXT($B$1,"yyyy/mm/dd"),1),"")</f>
        <v>45669862.119999997</v>
      </c>
      <c r="H1033">
        <f>IFERROR([1]!s_stm07_is_105($A1033,TEXT($B$1,"yyyy/mm/dd"),1),"")</f>
        <v>15612699.52</v>
      </c>
      <c r="I1033">
        <f>IFERROR([1]!s_stm07_is($A1033,"W72946623",TEXT($B$1,"yyyy/mm/dd"),1),"")</f>
        <v>245300873</v>
      </c>
      <c r="J1033">
        <f>IFERROR([1]!s_stm07_is($A1033,"W30028333",TEXT($B$1,"yyyy/mm/dd"),1),"")</f>
        <v>224765977.66</v>
      </c>
      <c r="K1033">
        <f>IFERROR([1]!s_stm07_cs($A1033,"W77130581",TEXT($B$1,"yyyy/mm/dd"),1),"")</f>
        <v>701447917.50999999</v>
      </c>
      <c r="L1033">
        <f>IFERROR([1]!s_stm07_cs($A1033,"W77745895",TEXT($B$1,"yyyy/mm/dd"),1),"")</f>
        <v>214579830.44</v>
      </c>
      <c r="M1033">
        <f>IFERROR([1]!S_FA_EPS_basic2($A1033,$B$1,"Cur=CNY"),"")</f>
        <v>0.16</v>
      </c>
      <c r="N1033">
        <f>IFERROR([1]!s_fa_arturndays($A1033,TEXT($B$1,"yyyy/mm/dd")),"")</f>
        <v>261.62790000000001</v>
      </c>
      <c r="O1033" t="str">
        <f>IFERROR([1]!fa_apturndays($A1033,TEXT($B$1,"yyyy/mm/dd")),"")</f>
        <v>Fetch...</v>
      </c>
      <c r="P1033">
        <f>IFERROR([1]!s_fa_invturndays($A1033,TEXT($B$1,"yyyy/mm/dd")),"")</f>
        <v>253.05779999999999</v>
      </c>
    </row>
    <row r="1034" spans="1:16">
      <c r="A1034" t="s">
        <v>1047</v>
      </c>
      <c r="B1034">
        <f>IFERROR([1]!s_stm07_is($A1034,"W70156729",TEXT($B$1,"yyyy/mm/dd"),1),"")</f>
        <v>9363074210.1100006</v>
      </c>
      <c r="C1034">
        <f>IFERROR([1]!s_stm07_is($A1034,"W75682424",TEXT($B$1,"yyyy/mm/dd"),1),"")</f>
        <v>6327073047.3900003</v>
      </c>
      <c r="D1034">
        <f>IFERROR([1]!s_stm07_is($A1034,"W76031679",TEXT($B$1,"yyyy/mm/dd"),1),"")</f>
        <v>530429479.49000001</v>
      </c>
      <c r="E1034">
        <f>IFERROR([1]!s_stm07_is($A1034,"W70752487",TEXT($B$1,"yyyy/mm/dd"),1),"")</f>
        <v>763780746.49000001</v>
      </c>
      <c r="F1034">
        <f>IFERROR([1]!s_stm07_is_103($A1034,TEXT($B$1,"yyyy/mm/dd"),1),"")</f>
        <v>441787180.31</v>
      </c>
      <c r="G1034">
        <f>IFERROR([1]!s_stm07_is_104($A1034,TEXT($B$1,"yyyy/mm/dd"),1),"")</f>
        <v>4385554</v>
      </c>
      <c r="H1034">
        <f>IFERROR([1]!s_stm07_is_105($A1034,TEXT($B$1,"yyyy/mm/dd"),1),"")</f>
        <v>43587379.170000002</v>
      </c>
      <c r="I1034">
        <f>IFERROR([1]!s_stm07_is($A1034,"W72946623",TEXT($B$1,"yyyy/mm/dd"),1),"")</f>
        <v>1327585038.24</v>
      </c>
      <c r="J1034">
        <f>IFERROR([1]!s_stm07_is($A1034,"W30028333",TEXT($B$1,"yyyy/mm/dd"),1),"")</f>
        <v>941601686.09000003</v>
      </c>
      <c r="K1034">
        <f>IFERROR([1]!s_stm07_cs($A1034,"W77130581",TEXT($B$1,"yyyy/mm/dd"),1),"")</f>
        <v>1698089053.3299999</v>
      </c>
      <c r="L1034">
        <f>IFERROR([1]!s_stm07_cs($A1034,"W77745895",TEXT($B$1,"yyyy/mm/dd"),1),"")</f>
        <v>263826239.02000001</v>
      </c>
      <c r="M1034">
        <f>IFERROR([1]!S_FA_EPS_basic2($A1034,$B$1,"Cur=CNY"),"")</f>
        <v>0.70209999999999995</v>
      </c>
      <c r="N1034">
        <f>IFERROR([1]!s_fa_arturndays($A1034,TEXT($B$1,"yyyy/mm/dd")),"")</f>
        <v>38.784700000000001</v>
      </c>
      <c r="O1034" t="str">
        <f>IFERROR([1]!fa_apturndays($A1034,TEXT($B$1,"yyyy/mm/dd")),"")</f>
        <v>Fetch...</v>
      </c>
      <c r="P1034">
        <f>IFERROR([1]!s_fa_invturndays($A1034,TEXT($B$1,"yyyy/mm/dd")),"")</f>
        <v>112.6091</v>
      </c>
    </row>
    <row r="1035" spans="1:16">
      <c r="A1035" t="s">
        <v>1048</v>
      </c>
      <c r="B1035">
        <f>IFERROR([1]!s_stm07_is($A1035,"W70156729",TEXT($B$1,"yyyy/mm/dd"),1),"")</f>
        <v>6575214133.5500002</v>
      </c>
      <c r="C1035">
        <f>IFERROR([1]!s_stm07_is($A1035,"W75682424",TEXT($B$1,"yyyy/mm/dd"),1),"")</f>
        <v>4042284632.1900001</v>
      </c>
      <c r="D1035">
        <f>IFERROR([1]!s_stm07_is($A1035,"W76031679",TEXT($B$1,"yyyy/mm/dd"),1),"")</f>
        <v>1708462496.46</v>
      </c>
      <c r="E1035">
        <f>IFERROR([1]!s_stm07_is($A1035,"W70752487",TEXT($B$1,"yyyy/mm/dd"),1),"")</f>
        <v>378558162.68000001</v>
      </c>
      <c r="F1035">
        <f>IFERROR([1]!s_stm07_is_103($A1035,TEXT($B$1,"yyyy/mm/dd"),1),"")</f>
        <v>102548170.75</v>
      </c>
      <c r="G1035">
        <f>IFERROR([1]!s_stm07_is_104($A1035,TEXT($B$1,"yyyy/mm/dd"),1),"")</f>
        <v>50588546.009999998</v>
      </c>
      <c r="H1035">
        <f>IFERROR([1]!s_stm07_is_105($A1035,TEXT($B$1,"yyyy/mm/dd"),1),"")</f>
        <v>10000393.17</v>
      </c>
      <c r="I1035">
        <f>IFERROR([1]!s_stm07_is($A1035,"W72946623",TEXT($B$1,"yyyy/mm/dd"),1),"")</f>
        <v>473557838.67000002</v>
      </c>
      <c r="J1035">
        <f>IFERROR([1]!s_stm07_is($A1035,"W30028333",TEXT($B$1,"yyyy/mm/dd"),1),"")</f>
        <v>349940750.73000002</v>
      </c>
      <c r="K1035">
        <f>IFERROR([1]!s_stm07_cs($A1035,"W77130581",TEXT($B$1,"yyyy/mm/dd"),1),"")</f>
        <v>289236102.80000001</v>
      </c>
      <c r="L1035">
        <f>IFERROR([1]!s_stm07_cs($A1035,"W77745895",TEXT($B$1,"yyyy/mm/dd"),1),"")</f>
        <v>90559480.969999999</v>
      </c>
      <c r="M1035">
        <f>IFERROR([1]!S_FA_EPS_basic2($A1035,$B$1,"Cur=CNY"),"")</f>
        <v>0.46</v>
      </c>
      <c r="N1035">
        <f>IFERROR([1]!s_fa_arturndays($A1035,TEXT($B$1,"yyyy/mm/dd")),"")</f>
        <v>169.21270000000001</v>
      </c>
      <c r="O1035" t="str">
        <f>IFERROR([1]!fa_apturndays($A1035,TEXT($B$1,"yyyy/mm/dd")),"")</f>
        <v>Fetch...</v>
      </c>
      <c r="P1035">
        <f>IFERROR([1]!s_fa_invturndays($A1035,TEXT($B$1,"yyyy/mm/dd")),"")</f>
        <v>130.14709999999999</v>
      </c>
    </row>
    <row r="1036" spans="1:16">
      <c r="A1036" t="s">
        <v>1049</v>
      </c>
      <c r="B1036">
        <f>IFERROR([1]!s_stm07_is($A1036,"W70156729",TEXT($B$1,"yyyy/mm/dd"),1),"")</f>
        <v>30968875947.119999</v>
      </c>
      <c r="C1036">
        <f>IFERROR([1]!s_stm07_is($A1036,"W75682424",TEXT($B$1,"yyyy/mm/dd"),1),"")</f>
        <v>25036684955.599998</v>
      </c>
      <c r="D1036">
        <f>IFERROR([1]!s_stm07_is($A1036,"W76031679",TEXT($B$1,"yyyy/mm/dd"),1),"")</f>
        <v>93431496.060000002</v>
      </c>
      <c r="E1036">
        <f>IFERROR([1]!s_stm07_is($A1036,"W70752487",TEXT($B$1,"yyyy/mm/dd"),1),"")</f>
        <v>310201305.77999997</v>
      </c>
      <c r="F1036">
        <f>IFERROR([1]!s_stm07_is_103($A1036,TEXT($B$1,"yyyy/mm/dd"),1),"")</f>
        <v>885792285.60000002</v>
      </c>
      <c r="G1036">
        <f>IFERROR([1]!s_stm07_is_104($A1036,TEXT($B$1,"yyyy/mm/dd"),1),"")</f>
        <v>276524347.51999998</v>
      </c>
      <c r="H1036">
        <f>IFERROR([1]!s_stm07_is_105($A1036,TEXT($B$1,"yyyy/mm/dd"),1),"")</f>
        <v>13102384.710000001</v>
      </c>
      <c r="I1036">
        <f>IFERROR([1]!s_stm07_is($A1036,"W72946623",TEXT($B$1,"yyyy/mm/dd"),1),"")</f>
        <v>4262359187.1999998</v>
      </c>
      <c r="J1036">
        <f>IFERROR([1]!s_stm07_is($A1036,"W30028333",TEXT($B$1,"yyyy/mm/dd"),1),"")</f>
        <v>3315494470.04</v>
      </c>
      <c r="K1036">
        <f>IFERROR([1]!s_stm07_cs($A1036,"W77130581",TEXT($B$1,"yyyy/mm/dd"),1),"")</f>
        <v>4197555233.5500002</v>
      </c>
      <c r="L1036">
        <f>IFERROR([1]!s_stm07_cs($A1036,"W77745895",TEXT($B$1,"yyyy/mm/dd"),1),"")</f>
        <v>3649994293.98</v>
      </c>
      <c r="M1036">
        <f>IFERROR([1]!S_FA_EPS_basic2($A1036,$B$1,"Cur=CNY"),"")</f>
        <v>1.5629999999999999</v>
      </c>
      <c r="N1036">
        <f>IFERROR([1]!s_fa_arturndays($A1036,TEXT($B$1,"yyyy/mm/dd")),"")</f>
        <v>0.66569999999999996</v>
      </c>
      <c r="O1036" t="str">
        <f>IFERROR([1]!fa_apturndays($A1036,TEXT($B$1,"yyyy/mm/dd")),"")</f>
        <v>Fetch...</v>
      </c>
      <c r="P1036">
        <f>IFERROR([1]!s_fa_invturndays($A1036,TEXT($B$1,"yyyy/mm/dd")),"")</f>
        <v>20.215699999999998</v>
      </c>
    </row>
    <row r="1037" spans="1:16">
      <c r="A1037" t="s">
        <v>1050</v>
      </c>
      <c r="B1037">
        <f>IFERROR([1]!s_stm07_is($A1037,"W70156729",TEXT($B$1,"yyyy/mm/dd"),1),"")</f>
        <v>23210557897.169998</v>
      </c>
      <c r="C1037">
        <f>IFERROR([1]!s_stm07_is($A1037,"W75682424",TEXT($B$1,"yyyy/mm/dd"),1),"")</f>
        <v>18280031237.509998</v>
      </c>
      <c r="D1037">
        <f>IFERROR([1]!s_stm07_is($A1037,"W76031679",TEXT($B$1,"yyyy/mm/dd"),1),"")</f>
        <v>79640949.260000005</v>
      </c>
      <c r="E1037">
        <f>IFERROR([1]!s_stm07_is($A1037,"W70752487",TEXT($B$1,"yyyy/mm/dd"),1),"")</f>
        <v>1183000358.5799999</v>
      </c>
      <c r="F1037">
        <f>IFERROR([1]!s_stm07_is_103($A1037,TEXT($B$1,"yyyy/mm/dd"),1),"")</f>
        <v>95640943.519999996</v>
      </c>
      <c r="G1037">
        <f>IFERROR([1]!s_stm07_is_104($A1037,TEXT($B$1,"yyyy/mm/dd"),1),"")</f>
        <v>639272747.25999999</v>
      </c>
      <c r="H1037">
        <f>IFERROR([1]!s_stm07_is_105($A1037,TEXT($B$1,"yyyy/mm/dd"),1),"")</f>
        <v>110879255.06</v>
      </c>
      <c r="I1037">
        <f>IFERROR([1]!s_stm07_is($A1037,"W72946623",TEXT($B$1,"yyyy/mm/dd"),1),"")</f>
        <v>2868502947.5900002</v>
      </c>
      <c r="J1037">
        <f>IFERROR([1]!s_stm07_is($A1037,"W30028333",TEXT($B$1,"yyyy/mm/dd"),1),"")</f>
        <v>1779972016</v>
      </c>
      <c r="K1037">
        <f>IFERROR([1]!s_stm07_cs($A1037,"W77130581",TEXT($B$1,"yyyy/mm/dd"),1),"")</f>
        <v>6339217973.7700005</v>
      </c>
      <c r="L1037">
        <f>IFERROR([1]!s_stm07_cs($A1037,"W77745895",TEXT($B$1,"yyyy/mm/dd"),1),"")</f>
        <v>1661533359.0999999</v>
      </c>
      <c r="M1037">
        <f>IFERROR([1]!S_FA_EPS_basic2($A1037,$B$1,"Cur=CNY"),"")</f>
        <v>0.68600000000000005</v>
      </c>
      <c r="N1037">
        <f>IFERROR([1]!s_fa_arturndays($A1037,TEXT($B$1,"yyyy/mm/dd")),"")</f>
        <v>11.4046</v>
      </c>
      <c r="O1037" t="str">
        <f>IFERROR([1]!fa_apturndays($A1037,TEXT($B$1,"yyyy/mm/dd")),"")</f>
        <v>Fetch...</v>
      </c>
      <c r="P1037">
        <f>IFERROR([1]!s_fa_invturndays($A1037,TEXT($B$1,"yyyy/mm/dd")),"")</f>
        <v>41.092599999999997</v>
      </c>
    </row>
    <row r="1038" spans="1:16">
      <c r="A1038" t="s">
        <v>1051</v>
      </c>
      <c r="B1038">
        <f>IFERROR([1]!s_stm07_is($A1038,"W70156729",TEXT($B$1,"yyyy/mm/dd"),1),"")</f>
        <v>4191875074.7800002</v>
      </c>
      <c r="C1038">
        <f>IFERROR([1]!s_stm07_is($A1038,"W75682424",TEXT($B$1,"yyyy/mm/dd"),1),"")</f>
        <v>3534626262.9899998</v>
      </c>
      <c r="D1038">
        <f>IFERROR([1]!s_stm07_is($A1038,"W76031679",TEXT($B$1,"yyyy/mm/dd"),1),"")</f>
        <v>62664055.25</v>
      </c>
      <c r="E1038">
        <f>IFERROR([1]!s_stm07_is($A1038,"W70752487",TEXT($B$1,"yyyy/mm/dd"),1),"")</f>
        <v>254002816.86000001</v>
      </c>
      <c r="F1038">
        <f>IFERROR([1]!s_stm07_is_103($A1038,TEXT($B$1,"yyyy/mm/dd"),1),"")</f>
        <v>235423589.88999999</v>
      </c>
      <c r="G1038">
        <f>IFERROR([1]!s_stm07_is_104($A1038,TEXT($B$1,"yyyy/mm/dd"),1),"")</f>
        <v>518685.58</v>
      </c>
      <c r="H1038">
        <f>IFERROR([1]!s_stm07_is_105($A1038,TEXT($B$1,"yyyy/mm/dd"),1),"")</f>
        <v>9322887.0399999991</v>
      </c>
      <c r="I1038">
        <f>IFERROR([1]!s_stm07_is($A1038,"W72946623",TEXT($B$1,"yyyy/mm/dd"),1),"")</f>
        <v>115360271.3</v>
      </c>
      <c r="J1038">
        <f>IFERROR([1]!s_stm07_is($A1038,"W30028333",TEXT($B$1,"yyyy/mm/dd"),1),"")</f>
        <v>120610953.98999999</v>
      </c>
      <c r="K1038">
        <f>IFERROR([1]!s_stm07_cs($A1038,"W77130581",TEXT($B$1,"yyyy/mm/dd"),1),"")</f>
        <v>-165351688.19999999</v>
      </c>
      <c r="L1038">
        <f>IFERROR([1]!s_stm07_cs($A1038,"W77745895",TEXT($B$1,"yyyy/mm/dd"),1),"")</f>
        <v>139997944.69999999</v>
      </c>
      <c r="M1038">
        <f>IFERROR([1]!S_FA_EPS_basic2($A1038,$B$1,"Cur=CNY"),"")</f>
        <v>0.08</v>
      </c>
      <c r="N1038">
        <f>IFERROR([1]!s_fa_arturndays($A1038,TEXT($B$1,"yyyy/mm/dd")),"")</f>
        <v>410.67759999999998</v>
      </c>
      <c r="O1038" t="str">
        <f>IFERROR([1]!fa_apturndays($A1038,TEXT($B$1,"yyyy/mm/dd")),"")</f>
        <v>Fetch...</v>
      </c>
      <c r="P1038">
        <f>IFERROR([1]!s_fa_invturndays($A1038,TEXT($B$1,"yyyy/mm/dd")),"")</f>
        <v>54.443199999999997</v>
      </c>
    </row>
    <row r="1039" spans="1:16">
      <c r="A1039" t="s">
        <v>1052</v>
      </c>
      <c r="B1039">
        <f>IFERROR([1]!s_stm07_is($A1039,"W70156729",TEXT($B$1,"yyyy/mm/dd"),1),"")</f>
        <v>9001411806.0599995</v>
      </c>
      <c r="C1039">
        <f>IFERROR([1]!s_stm07_is($A1039,"W75682424",TEXT($B$1,"yyyy/mm/dd"),1),"")</f>
        <v>5722504066.8299999</v>
      </c>
      <c r="D1039">
        <f>IFERROR([1]!s_stm07_is($A1039,"W76031679",TEXT($B$1,"yyyy/mm/dd"),1),"")</f>
        <v>400983989.08999997</v>
      </c>
      <c r="E1039">
        <f>IFERROR([1]!s_stm07_is($A1039,"W70752487",TEXT($B$1,"yyyy/mm/dd"),1),"")</f>
        <v>359204675.91000003</v>
      </c>
      <c r="F1039">
        <f>IFERROR([1]!s_stm07_is_103($A1039,TEXT($B$1,"yyyy/mm/dd"),1),"")</f>
        <v>252231218.87</v>
      </c>
      <c r="G1039">
        <f>IFERROR([1]!s_stm07_is_104($A1039,TEXT($B$1,"yyyy/mm/dd"),1),"")</f>
        <v>31745589.190000001</v>
      </c>
      <c r="H1039">
        <f>IFERROR([1]!s_stm07_is_105($A1039,TEXT($B$1,"yyyy/mm/dd"),1),"")</f>
        <v>14391200.939999999</v>
      </c>
      <c r="I1039">
        <f>IFERROR([1]!s_stm07_is($A1039,"W72946623",TEXT($B$1,"yyyy/mm/dd"),1),"")</f>
        <v>2537828299.1700001</v>
      </c>
      <c r="J1039">
        <f>IFERROR([1]!s_stm07_is($A1039,"W30028333",TEXT($B$1,"yyyy/mm/dd"),1),"")</f>
        <v>2158633048.4200001</v>
      </c>
      <c r="K1039">
        <f>IFERROR([1]!s_stm07_cs($A1039,"W77130581",TEXT($B$1,"yyyy/mm/dd"),1),"")</f>
        <v>77026625.730000004</v>
      </c>
      <c r="L1039">
        <f>IFERROR([1]!s_stm07_cs($A1039,"W77745895",TEXT($B$1,"yyyy/mm/dd"),1),"")</f>
        <v>339796706.66000003</v>
      </c>
      <c r="M1039">
        <f>IFERROR([1]!S_FA_EPS_basic2($A1039,$B$1,"Cur=CNY"),"")</f>
        <v>3.58</v>
      </c>
      <c r="N1039">
        <f>IFERROR([1]!s_fa_arturndays($A1039,TEXT($B$1,"yyyy/mm/dd")),"")</f>
        <v>30.651900000000001</v>
      </c>
      <c r="O1039" t="str">
        <f>IFERROR([1]!fa_apturndays($A1039,TEXT($B$1,"yyyy/mm/dd")),"")</f>
        <v>Fetch...</v>
      </c>
      <c r="P1039">
        <f>IFERROR([1]!s_fa_invturndays($A1039,TEXT($B$1,"yyyy/mm/dd")),"")</f>
        <v>366.41219999999998</v>
      </c>
    </row>
    <row r="1040" spans="1:16">
      <c r="A1040" t="s">
        <v>1053</v>
      </c>
      <c r="B1040">
        <f>IFERROR([1]!s_stm07_is($A1040,"W70156729",TEXT($B$1,"yyyy/mm/dd"),1),"")</f>
        <v>84128281703.139999</v>
      </c>
      <c r="C1040">
        <f>IFERROR([1]!s_stm07_is($A1040,"W75682424",TEXT($B$1,"yyyy/mm/dd"),1),"")</f>
        <v>81856406510.25</v>
      </c>
      <c r="D1040">
        <f>IFERROR([1]!s_stm07_is($A1040,"W76031679",TEXT($B$1,"yyyy/mm/dd"),1),"")</f>
        <v>1505481767.54</v>
      </c>
      <c r="E1040">
        <f>IFERROR([1]!s_stm07_is($A1040,"W70752487",TEXT($B$1,"yyyy/mm/dd"),1),"")</f>
        <v>3422422421.2199998</v>
      </c>
      <c r="F1040">
        <f>IFERROR([1]!s_stm07_is_103($A1040,TEXT($B$1,"yyyy/mm/dd"),1),"")</f>
        <v>1106164996.5899999</v>
      </c>
      <c r="G1040">
        <f>IFERROR([1]!s_stm07_is_104($A1040,TEXT($B$1,"yyyy/mm/dd"),1),"")</f>
        <v>2895890520.9299998</v>
      </c>
      <c r="H1040">
        <f>IFERROR([1]!s_stm07_is_105($A1040,TEXT($B$1,"yyyy/mm/dd"),1),"")</f>
        <v>215366298.12</v>
      </c>
      <c r="I1040">
        <f>IFERROR([1]!s_stm07_is($A1040,"W72946623",TEXT($B$1,"yyyy/mm/dd"),1),"")</f>
        <v>-11670943654.43</v>
      </c>
      <c r="J1040">
        <f>IFERROR([1]!s_stm07_is($A1040,"W30028333",TEXT($B$1,"yyyy/mm/dd"),1),"")</f>
        <v>-9553425884.0599995</v>
      </c>
      <c r="K1040">
        <f>IFERROR([1]!s_stm07_cs($A1040,"W77130581",TEXT($B$1,"yyyy/mm/dd"),1),"")</f>
        <v>1379185344.6099999</v>
      </c>
      <c r="L1040">
        <f>IFERROR([1]!s_stm07_cs($A1040,"W77745895",TEXT($B$1,"yyyy/mm/dd"),1),"")</f>
        <v>13055824075.889999</v>
      </c>
      <c r="M1040">
        <f>IFERROR([1]!S_FA_EPS_basic2($A1040,$B$1,"Cur=CNY"),"")</f>
        <v>-2.1221999999999999</v>
      </c>
      <c r="N1040">
        <f>IFERROR([1]!s_fa_arturndays($A1040,TEXT($B$1,"yyyy/mm/dd")),"")</f>
        <v>29.035299999999999</v>
      </c>
      <c r="O1040" t="str">
        <f>IFERROR([1]!fa_apturndays($A1040,TEXT($B$1,"yyyy/mm/dd")),"")</f>
        <v>Fetch...</v>
      </c>
      <c r="P1040">
        <f>IFERROR([1]!s_fa_invturndays($A1040,TEXT($B$1,"yyyy/mm/dd")),"")</f>
        <v>62.665399999999998</v>
      </c>
    </row>
    <row r="1041" spans="1:16">
      <c r="A1041" t="s">
        <v>1054</v>
      </c>
      <c r="B1041">
        <f>IFERROR([1]!s_stm07_is($A1041,"W70156729",TEXT($B$1,"yyyy/mm/dd"),1),"")</f>
        <v>2418857503.4899998</v>
      </c>
      <c r="C1041">
        <f>IFERROR([1]!s_stm07_is($A1041,"W75682424",TEXT($B$1,"yyyy/mm/dd"),1),"")</f>
        <v>1469308379.3299999</v>
      </c>
      <c r="D1041">
        <f>IFERROR([1]!s_stm07_is($A1041,"W76031679",TEXT($B$1,"yyyy/mm/dd"),1),"")</f>
        <v>147723406.47</v>
      </c>
      <c r="E1041">
        <f>IFERROR([1]!s_stm07_is($A1041,"W70752487",TEXT($B$1,"yyyy/mm/dd"),1),"")</f>
        <v>381361497.06</v>
      </c>
      <c r="F1041">
        <f>IFERROR([1]!s_stm07_is_103($A1041,TEXT($B$1,"yyyy/mm/dd"),1),"")</f>
        <v>484102285.63999999</v>
      </c>
      <c r="G1041">
        <f>IFERROR([1]!s_stm07_is_104($A1041,TEXT($B$1,"yyyy/mm/dd"),1),"")</f>
        <v>4138810.63</v>
      </c>
      <c r="H1041">
        <f>IFERROR([1]!s_stm07_is_105($A1041,TEXT($B$1,"yyyy/mm/dd"),1),"")</f>
        <v>5146687.79</v>
      </c>
      <c r="I1041">
        <f>IFERROR([1]!s_stm07_is($A1041,"W72946623",TEXT($B$1,"yyyy/mm/dd"),1),"")</f>
        <v>-149845331.18000001</v>
      </c>
      <c r="J1041">
        <f>IFERROR([1]!s_stm07_is($A1041,"W30028333",TEXT($B$1,"yyyy/mm/dd"),1),"")</f>
        <v>-168353895.22</v>
      </c>
      <c r="K1041">
        <f>IFERROR([1]!s_stm07_cs($A1041,"W77130581",TEXT($B$1,"yyyy/mm/dd"),1),"")</f>
        <v>322784600.26999998</v>
      </c>
      <c r="L1041">
        <f>IFERROR([1]!s_stm07_cs($A1041,"W77745895",TEXT($B$1,"yyyy/mm/dd"),1),"")</f>
        <v>15715615.789999999</v>
      </c>
      <c r="M1041">
        <f>IFERROR([1]!S_FA_EPS_basic2($A1041,$B$1,"Cur=CNY"),"")</f>
        <v>-0.1782</v>
      </c>
      <c r="N1041">
        <f>IFERROR([1]!s_fa_arturndays($A1041,TEXT($B$1,"yyyy/mm/dd")),"")</f>
        <v>49.798000000000002</v>
      </c>
      <c r="O1041" t="str">
        <f>IFERROR([1]!fa_apturndays($A1041,TEXT($B$1,"yyyy/mm/dd")),"")</f>
        <v>Fetch...</v>
      </c>
      <c r="P1041">
        <f>IFERROR([1]!s_fa_invturndays($A1041,TEXT($B$1,"yyyy/mm/dd")),"")</f>
        <v>228.9348</v>
      </c>
    </row>
    <row r="1042" spans="1:16">
      <c r="A1042" t="s">
        <v>1055</v>
      </c>
      <c r="B1042">
        <f>IFERROR([1]!s_stm07_is($A1042,"W70156729",TEXT($B$1,"yyyy/mm/dd"),1),"")</f>
        <v>2996224540.0599999</v>
      </c>
      <c r="C1042">
        <f>IFERROR([1]!s_stm07_is($A1042,"W75682424",TEXT($B$1,"yyyy/mm/dd"),1),"")</f>
        <v>2407587974.0500002</v>
      </c>
      <c r="D1042">
        <f>IFERROR([1]!s_stm07_is($A1042,"W76031679",TEXT($B$1,"yyyy/mm/dd"),1),"")</f>
        <v>2425935.7200000002</v>
      </c>
      <c r="E1042">
        <f>IFERROR([1]!s_stm07_is($A1042,"W70752487",TEXT($B$1,"yyyy/mm/dd"),1),"")</f>
        <v>121412790.56999999</v>
      </c>
      <c r="F1042">
        <f>IFERROR([1]!s_stm07_is_103($A1042,TEXT($B$1,"yyyy/mm/dd"),1),"")</f>
        <v>0</v>
      </c>
      <c r="G1042">
        <f>IFERROR([1]!s_stm07_is_104($A1042,TEXT($B$1,"yyyy/mm/dd"),1),"")</f>
        <v>951620.41</v>
      </c>
      <c r="H1042">
        <f>IFERROR([1]!s_stm07_is_105($A1042,TEXT($B$1,"yyyy/mm/dd"),1),"")</f>
        <v>42218998.829999998</v>
      </c>
      <c r="I1042">
        <f>IFERROR([1]!s_stm07_is($A1042,"W72946623",TEXT($B$1,"yyyy/mm/dd"),1),"")</f>
        <v>473618717.67000002</v>
      </c>
      <c r="J1042">
        <f>IFERROR([1]!s_stm07_is($A1042,"W30028333",TEXT($B$1,"yyyy/mm/dd"),1),"")</f>
        <v>393273703.49000001</v>
      </c>
      <c r="K1042">
        <f>IFERROR([1]!s_stm07_cs($A1042,"W77130581",TEXT($B$1,"yyyy/mm/dd"),1),"")</f>
        <v>929035553.5</v>
      </c>
      <c r="L1042">
        <f>IFERROR([1]!s_stm07_cs($A1042,"W77745895",TEXT($B$1,"yyyy/mm/dd"),1),"")</f>
        <v>587660131.45000005</v>
      </c>
      <c r="M1042">
        <f>IFERROR([1]!S_FA_EPS_basic2($A1042,$B$1,"Cur=CNY"),"")</f>
        <v>0.26</v>
      </c>
      <c r="N1042">
        <f>IFERROR([1]!s_fa_arturndays($A1042,TEXT($B$1,"yyyy/mm/dd")),"")</f>
        <v>67.050299999999993</v>
      </c>
      <c r="O1042" t="str">
        <f>IFERROR([1]!fa_apturndays($A1042,TEXT($B$1,"yyyy/mm/dd")),"")</f>
        <v>Fetch...</v>
      </c>
      <c r="P1042">
        <f>IFERROR([1]!s_fa_invturndays($A1042,TEXT($B$1,"yyyy/mm/dd")),"")</f>
        <v>0.19980000000000001</v>
      </c>
    </row>
    <row r="1043" spans="1:16">
      <c r="A1043" t="s">
        <v>1056</v>
      </c>
      <c r="B1043">
        <f>IFERROR([1]!s_stm07_is($A1043,"W70156729",TEXT($B$1,"yyyy/mm/dd"),1),"")</f>
        <v>6124089437.3100004</v>
      </c>
      <c r="C1043">
        <f>IFERROR([1]!s_stm07_is($A1043,"W75682424",TEXT($B$1,"yyyy/mm/dd"),1),"")</f>
        <v>4908421763.8100004</v>
      </c>
      <c r="D1043">
        <f>IFERROR([1]!s_stm07_is($A1043,"W76031679",TEXT($B$1,"yyyy/mm/dd"),1),"")</f>
        <v>68246146.579999998</v>
      </c>
      <c r="E1043">
        <f>IFERROR([1]!s_stm07_is($A1043,"W70752487",TEXT($B$1,"yyyy/mm/dd"),1),"")</f>
        <v>252592671.63</v>
      </c>
      <c r="F1043">
        <f>IFERROR([1]!s_stm07_is_103($A1043,TEXT($B$1,"yyyy/mm/dd"),1),"")</f>
        <v>168297198.63</v>
      </c>
      <c r="G1043">
        <f>IFERROR([1]!s_stm07_is_104($A1043,TEXT($B$1,"yyyy/mm/dd"),1),"")</f>
        <v>66380471.140000001</v>
      </c>
      <c r="H1043">
        <f>IFERROR([1]!s_stm07_is_105($A1043,TEXT($B$1,"yyyy/mm/dd"),1),"")</f>
        <v>6310113.1799999997</v>
      </c>
      <c r="I1043">
        <f>IFERROR([1]!s_stm07_is($A1043,"W72946623",TEXT($B$1,"yyyy/mm/dd"),1),"")</f>
        <v>575499866.21000004</v>
      </c>
      <c r="J1043">
        <f>IFERROR([1]!s_stm07_is($A1043,"W30028333",TEXT($B$1,"yyyy/mm/dd"),1),"")</f>
        <v>400901760.98000002</v>
      </c>
      <c r="K1043">
        <f>IFERROR([1]!s_stm07_cs($A1043,"W77130581",TEXT($B$1,"yyyy/mm/dd"),1),"")</f>
        <v>241151335.97999999</v>
      </c>
      <c r="L1043">
        <f>IFERROR([1]!s_stm07_cs($A1043,"W77745895",TEXT($B$1,"yyyy/mm/dd"),1),"")</f>
        <v>364419674.81999999</v>
      </c>
      <c r="M1043">
        <f>IFERROR([1]!S_FA_EPS_basic2($A1043,$B$1,"Cur=CNY"),"")</f>
        <v>0.83909999999999996</v>
      </c>
      <c r="N1043">
        <f>IFERROR([1]!s_fa_arturndays($A1043,TEXT($B$1,"yyyy/mm/dd")),"")</f>
        <v>196.85040000000001</v>
      </c>
      <c r="O1043" t="str">
        <f>IFERROR([1]!fa_apturndays($A1043,TEXT($B$1,"yyyy/mm/dd")),"")</f>
        <v>Fetch...</v>
      </c>
      <c r="P1043">
        <f>IFERROR([1]!s_fa_invturndays($A1043,TEXT($B$1,"yyyy/mm/dd")),"")</f>
        <v>308.48329999999999</v>
      </c>
    </row>
    <row r="1044" spans="1:16">
      <c r="A1044" t="s">
        <v>1057</v>
      </c>
      <c r="B1044">
        <f>IFERROR([1]!s_stm07_is($A1044,"W70156729",TEXT($B$1,"yyyy/mm/dd"),1),"")</f>
        <v>21470544472.389999</v>
      </c>
      <c r="C1044">
        <f>IFERROR([1]!s_stm07_is($A1044,"W75682424",TEXT($B$1,"yyyy/mm/dd"),1),"")</f>
        <v>18326617605.759998</v>
      </c>
      <c r="D1044">
        <f>IFERROR([1]!s_stm07_is($A1044,"W76031679",TEXT($B$1,"yyyy/mm/dd"),1),"")</f>
        <v>392021467.63</v>
      </c>
      <c r="E1044">
        <f>IFERROR([1]!s_stm07_is($A1044,"W70752487",TEXT($B$1,"yyyy/mm/dd"),1),"")</f>
        <v>944876870.38</v>
      </c>
      <c r="F1044">
        <f>IFERROR([1]!s_stm07_is_103($A1044,TEXT($B$1,"yyyy/mm/dd"),1),"")</f>
        <v>1104922535.6300001</v>
      </c>
      <c r="G1044">
        <f>IFERROR([1]!s_stm07_is_104($A1044,TEXT($B$1,"yyyy/mm/dd"),1),"")</f>
        <v>102737257.91</v>
      </c>
      <c r="H1044">
        <f>IFERROR([1]!s_stm07_is_105($A1044,TEXT($B$1,"yyyy/mm/dd"),1),"")</f>
        <v>34508131.729999997</v>
      </c>
      <c r="I1044">
        <f>IFERROR([1]!s_stm07_is($A1044,"W72946623",TEXT($B$1,"yyyy/mm/dd"),1),"")</f>
        <v>636014787.24000001</v>
      </c>
      <c r="J1044">
        <f>IFERROR([1]!s_stm07_is($A1044,"W30028333",TEXT($B$1,"yyyy/mm/dd"),1),"")</f>
        <v>513614435.39999998</v>
      </c>
      <c r="K1044">
        <f>IFERROR([1]!s_stm07_cs($A1044,"W77130581",TEXT($B$1,"yyyy/mm/dd"),1),"")</f>
        <v>2182146993.5100002</v>
      </c>
      <c r="L1044">
        <f>IFERROR([1]!s_stm07_cs($A1044,"W77745895",TEXT($B$1,"yyyy/mm/dd"),1),"")</f>
        <v>948785571.55999994</v>
      </c>
      <c r="M1044">
        <f>IFERROR([1]!S_FA_EPS_basic2($A1044,$B$1,"Cur=CNY"),"")</f>
        <v>0.59</v>
      </c>
      <c r="N1044">
        <f>IFERROR([1]!s_fa_arturndays($A1044,TEXT($B$1,"yyyy/mm/dd")),"")</f>
        <v>81.840500000000006</v>
      </c>
      <c r="O1044" t="str">
        <f>IFERROR([1]!fa_apturndays($A1044,TEXT($B$1,"yyyy/mm/dd")),"")</f>
        <v>Fetch...</v>
      </c>
      <c r="P1044">
        <f>IFERROR([1]!s_fa_invturndays($A1044,TEXT($B$1,"yyyy/mm/dd")),"")</f>
        <v>61.392600000000002</v>
      </c>
    </row>
    <row r="1045" spans="1:16">
      <c r="A1045" t="s">
        <v>1058</v>
      </c>
      <c r="B1045">
        <f>IFERROR([1]!s_stm07_is($A1045,"W70156729",TEXT($B$1,"yyyy/mm/dd"),1),"")</f>
        <v>55675210889.739998</v>
      </c>
      <c r="C1045">
        <f>IFERROR([1]!s_stm07_is($A1045,"W75682424",TEXT($B$1,"yyyy/mm/dd"),1),"")</f>
        <v>54208802720.849998</v>
      </c>
      <c r="D1045">
        <f>IFERROR([1]!s_stm07_is($A1045,"W76031679",TEXT($B$1,"yyyy/mm/dd"),1),"")</f>
        <v>92170531.760000005</v>
      </c>
      <c r="E1045">
        <f>IFERROR([1]!s_stm07_is($A1045,"W70752487",TEXT($B$1,"yyyy/mm/dd"),1),"")</f>
        <v>372833348.74000001</v>
      </c>
      <c r="F1045">
        <f>IFERROR([1]!s_stm07_is_103($A1045,TEXT($B$1,"yyyy/mm/dd"),1),"")</f>
        <v>295431995.39999998</v>
      </c>
      <c r="G1045">
        <f>IFERROR([1]!s_stm07_is_104($A1045,TEXT($B$1,"yyyy/mm/dd"),1),"")</f>
        <v>94031508.549999997</v>
      </c>
      <c r="H1045">
        <f>IFERROR([1]!s_stm07_is_105($A1045,TEXT($B$1,"yyyy/mm/dd"),1),"")</f>
        <v>44853645.670000002</v>
      </c>
      <c r="I1045">
        <f>IFERROR([1]!s_stm07_is($A1045,"W72946623",TEXT($B$1,"yyyy/mm/dd"),1),"")</f>
        <v>803614726.44000006</v>
      </c>
      <c r="J1045">
        <f>IFERROR([1]!s_stm07_is($A1045,"W30028333",TEXT($B$1,"yyyy/mm/dd"),1),"")</f>
        <v>640541452.88999999</v>
      </c>
      <c r="K1045">
        <f>IFERROR([1]!s_stm07_cs($A1045,"W77130581",TEXT($B$1,"yyyy/mm/dd"),1),"")</f>
        <v>-1922678517.5</v>
      </c>
      <c r="L1045">
        <f>IFERROR([1]!s_stm07_cs($A1045,"W77745895",TEXT($B$1,"yyyy/mm/dd"),1),"")</f>
        <v>431715225.30000001</v>
      </c>
      <c r="M1045">
        <f>IFERROR([1]!S_FA_EPS_basic2($A1045,$B$1,"Cur=CNY"),"")</f>
        <v>0.84</v>
      </c>
      <c r="N1045">
        <f>IFERROR([1]!s_fa_arturndays($A1045,TEXT($B$1,"yyyy/mm/dd")),"")</f>
        <v>16.085899999999999</v>
      </c>
      <c r="O1045" t="str">
        <f>IFERROR([1]!fa_apturndays($A1045,TEXT($B$1,"yyyy/mm/dd")),"")</f>
        <v>Fetch...</v>
      </c>
      <c r="P1045">
        <f>IFERROR([1]!s_fa_invturndays($A1045,TEXT($B$1,"yyyy/mm/dd")),"")</f>
        <v>47.326099999999997</v>
      </c>
    </row>
    <row r="1046" spans="1:16">
      <c r="A1046" t="s">
        <v>1059</v>
      </c>
      <c r="B1046">
        <f>IFERROR([1]!s_stm07_is($A1046,"W70156729",TEXT($B$1,"yyyy/mm/dd"),1),"")</f>
        <v>13051573759.84</v>
      </c>
      <c r="C1046">
        <f>IFERROR([1]!s_stm07_is($A1046,"W75682424",TEXT($B$1,"yyyy/mm/dd"),1),"")</f>
        <v>10593484078.09</v>
      </c>
      <c r="D1046">
        <f>IFERROR([1]!s_stm07_is($A1046,"W76031679",TEXT($B$1,"yyyy/mm/dd"),1),"")</f>
        <v>192664596.52000001</v>
      </c>
      <c r="E1046">
        <f>IFERROR([1]!s_stm07_is($A1046,"W70752487",TEXT($B$1,"yyyy/mm/dd"),1),"")</f>
        <v>503880160.85000002</v>
      </c>
      <c r="F1046">
        <f>IFERROR([1]!s_stm07_is_103($A1046,TEXT($B$1,"yyyy/mm/dd"),1),"")</f>
        <v>1090538892.4400001</v>
      </c>
      <c r="G1046">
        <f>IFERROR([1]!s_stm07_is_104($A1046,TEXT($B$1,"yyyy/mm/dd"),1),"")</f>
        <v>211151880.52000001</v>
      </c>
      <c r="H1046">
        <f>IFERROR([1]!s_stm07_is_105($A1046,TEXT($B$1,"yyyy/mm/dd"),1),"")</f>
        <v>28358364.949999999</v>
      </c>
      <c r="I1046">
        <f>IFERROR([1]!s_stm07_is($A1046,"W72946623",TEXT($B$1,"yyyy/mm/dd"),1),"")</f>
        <v>137669586.34</v>
      </c>
      <c r="J1046">
        <f>IFERROR([1]!s_stm07_is($A1046,"W30028333",TEXT($B$1,"yyyy/mm/dd"),1),"")</f>
        <v>398550840.02999997</v>
      </c>
      <c r="K1046">
        <f>IFERROR([1]!s_stm07_cs($A1046,"W77130581",TEXT($B$1,"yyyy/mm/dd"),1),"")</f>
        <v>1497727444.4100001</v>
      </c>
      <c r="L1046">
        <f>IFERROR([1]!s_stm07_cs($A1046,"W77745895",TEXT($B$1,"yyyy/mm/dd"),1),"")</f>
        <v>1631675413.6300001</v>
      </c>
      <c r="M1046">
        <f>IFERROR([1]!S_FA_EPS_basic2($A1046,$B$1,"Cur=CNY"),"")</f>
        <v>0.24</v>
      </c>
      <c r="N1046">
        <f>IFERROR([1]!s_fa_arturndays($A1046,TEXT($B$1,"yyyy/mm/dd")),"")</f>
        <v>83.183099999999996</v>
      </c>
      <c r="O1046" t="str">
        <f>IFERROR([1]!fa_apturndays($A1046,TEXT($B$1,"yyyy/mm/dd")),"")</f>
        <v>Fetch...</v>
      </c>
      <c r="P1046">
        <f>IFERROR([1]!s_fa_invturndays($A1046,TEXT($B$1,"yyyy/mm/dd")),"")</f>
        <v>132.21680000000001</v>
      </c>
    </row>
    <row r="1047" spans="1:16">
      <c r="A1047" t="s">
        <v>1060</v>
      </c>
      <c r="B1047">
        <f>IFERROR([1]!s_stm07_is($A1047,"W70156729",TEXT($B$1,"yyyy/mm/dd"),1),"")</f>
        <v>7486062467.6499996</v>
      </c>
      <c r="C1047">
        <f>IFERROR([1]!s_stm07_is($A1047,"W75682424",TEXT($B$1,"yyyy/mm/dd"),1),"")</f>
        <v>4929780627.7200003</v>
      </c>
      <c r="D1047">
        <f>IFERROR([1]!s_stm07_is($A1047,"W76031679",TEXT($B$1,"yyyy/mm/dd"),1),"")</f>
        <v>239984270.81999999</v>
      </c>
      <c r="E1047">
        <f>IFERROR([1]!s_stm07_is($A1047,"W70752487",TEXT($B$1,"yyyy/mm/dd"),1),"")</f>
        <v>321233896.88999999</v>
      </c>
      <c r="F1047">
        <f>IFERROR([1]!s_stm07_is_103($A1047,TEXT($B$1,"yyyy/mm/dd"),1),"")</f>
        <v>131690376.28</v>
      </c>
      <c r="G1047">
        <f>IFERROR([1]!s_stm07_is_104($A1047,TEXT($B$1,"yyyy/mm/dd"),1),"")</f>
        <v>206448239.94</v>
      </c>
      <c r="H1047">
        <f>IFERROR([1]!s_stm07_is_105($A1047,TEXT($B$1,"yyyy/mm/dd"),1),"")</f>
        <v>61144093.979999997</v>
      </c>
      <c r="I1047">
        <f>IFERROR([1]!s_stm07_is($A1047,"W72946623",TEXT($B$1,"yyyy/mm/dd"),1),"")</f>
        <v>1558313458.0899999</v>
      </c>
      <c r="J1047">
        <f>IFERROR([1]!s_stm07_is($A1047,"W30028333",TEXT($B$1,"yyyy/mm/dd"),1),"")</f>
        <v>1193215598.0599999</v>
      </c>
      <c r="K1047">
        <f>IFERROR([1]!s_stm07_cs($A1047,"W77130581",TEXT($B$1,"yyyy/mm/dd"),1),"")</f>
        <v>1910179414.9200001</v>
      </c>
      <c r="L1047">
        <f>IFERROR([1]!s_stm07_cs($A1047,"W77745895",TEXT($B$1,"yyyy/mm/dd"),1),"")</f>
        <v>1044238133.52</v>
      </c>
      <c r="M1047">
        <f>IFERROR([1]!S_FA_EPS_basic2($A1047,$B$1,"Cur=CNY"),"")</f>
        <v>0.93</v>
      </c>
      <c r="N1047">
        <f>IFERROR([1]!s_fa_arturndays($A1047,TEXT($B$1,"yyyy/mm/dd")),"")</f>
        <v>134.96789999999999</v>
      </c>
      <c r="O1047" t="str">
        <f>IFERROR([1]!fa_apturndays($A1047,TEXT($B$1,"yyyy/mm/dd")),"")</f>
        <v>Fetch...</v>
      </c>
      <c r="P1047">
        <f>IFERROR([1]!s_fa_invturndays($A1047,TEXT($B$1,"yyyy/mm/dd")),"")</f>
        <v>39.318100000000001</v>
      </c>
    </row>
    <row r="1048" spans="1:16">
      <c r="A1048" t="s">
        <v>1061</v>
      </c>
      <c r="B1048">
        <f>IFERROR([1]!s_stm07_is($A1048,"W70156729",TEXT($B$1,"yyyy/mm/dd"),1),"")</f>
        <v>9138845505.1800003</v>
      </c>
      <c r="C1048">
        <f>IFERROR([1]!s_stm07_is($A1048,"W75682424",TEXT($B$1,"yyyy/mm/dd"),1),"")</f>
        <v>7515470243.2799997</v>
      </c>
      <c r="D1048">
        <f>IFERROR([1]!s_stm07_is($A1048,"W76031679",TEXT($B$1,"yyyy/mm/dd"),1),"")</f>
        <v>98576845.969999999</v>
      </c>
      <c r="E1048">
        <f>IFERROR([1]!s_stm07_is($A1048,"W70752487",TEXT($B$1,"yyyy/mm/dd"),1),"")</f>
        <v>636741857.92999995</v>
      </c>
      <c r="F1048">
        <f>IFERROR([1]!s_stm07_is_103($A1048,TEXT($B$1,"yyyy/mm/dd"),1),"")</f>
        <v>174477286.55000001</v>
      </c>
      <c r="G1048">
        <f>IFERROR([1]!s_stm07_is_104($A1048,TEXT($B$1,"yyyy/mm/dd"),1),"")</f>
        <v>220286486.97999999</v>
      </c>
      <c r="H1048">
        <f>IFERROR([1]!s_stm07_is_105($A1048,TEXT($B$1,"yyyy/mm/dd"),1),"")</f>
        <v>65101679.240000002</v>
      </c>
      <c r="I1048">
        <f>IFERROR([1]!s_stm07_is($A1048,"W72946623",TEXT($B$1,"yyyy/mm/dd"),1),"")</f>
        <v>731416799.65999997</v>
      </c>
      <c r="J1048">
        <f>IFERROR([1]!s_stm07_is($A1048,"W30028333",TEXT($B$1,"yyyy/mm/dd"),1),"")</f>
        <v>387525797.18000001</v>
      </c>
      <c r="K1048">
        <f>IFERROR([1]!s_stm07_cs($A1048,"W77130581",TEXT($B$1,"yyyy/mm/dd"),1),"")</f>
        <v>1393542053.3499999</v>
      </c>
      <c r="L1048">
        <f>IFERROR([1]!s_stm07_cs($A1048,"W77745895",TEXT($B$1,"yyyy/mm/dd"),1),"")</f>
        <v>982799066.32000005</v>
      </c>
      <c r="M1048">
        <f>IFERROR([1]!S_FA_EPS_basic2($A1048,$B$1,"Cur=CNY"),"")</f>
        <v>0.40720000000000001</v>
      </c>
      <c r="N1048">
        <f>IFERROR([1]!s_fa_arturndays($A1048,TEXT($B$1,"yyyy/mm/dd")),"")</f>
        <v>98.882099999999994</v>
      </c>
      <c r="O1048" t="str">
        <f>IFERROR([1]!fa_apturndays($A1048,TEXT($B$1,"yyyy/mm/dd")),"")</f>
        <v>Fetch...</v>
      </c>
      <c r="P1048">
        <f>IFERROR([1]!s_fa_invturndays($A1048,TEXT($B$1,"yyyy/mm/dd")),"")</f>
        <v>155.4538</v>
      </c>
    </row>
    <row r="1049" spans="1:16">
      <c r="A1049" t="s">
        <v>1062</v>
      </c>
      <c r="B1049">
        <f>IFERROR([1]!s_stm07_is($A1049,"W70156729",TEXT($B$1,"yyyy/mm/dd"),1),"")</f>
        <v>5745556301.0799999</v>
      </c>
      <c r="C1049">
        <f>IFERROR([1]!s_stm07_is($A1049,"W75682424",TEXT($B$1,"yyyy/mm/dd"),1),"")</f>
        <v>4964147269.9799995</v>
      </c>
      <c r="D1049">
        <f>IFERROR([1]!s_stm07_is($A1049,"W76031679",TEXT($B$1,"yyyy/mm/dd"),1),"")</f>
        <v>39751238.710000001</v>
      </c>
      <c r="E1049">
        <f>IFERROR([1]!s_stm07_is($A1049,"W70752487",TEXT($B$1,"yyyy/mm/dd"),1),"")</f>
        <v>350101914.76999998</v>
      </c>
      <c r="F1049">
        <f>IFERROR([1]!s_stm07_is_103($A1049,TEXT($B$1,"yyyy/mm/dd"),1),"")</f>
        <v>55933459.799999997</v>
      </c>
      <c r="G1049">
        <f>IFERROR([1]!s_stm07_is_104($A1049,TEXT($B$1,"yyyy/mm/dd"),1),"")</f>
        <v>190061159.31</v>
      </c>
      <c r="H1049">
        <f>IFERROR([1]!s_stm07_is_105($A1049,TEXT($B$1,"yyyy/mm/dd"),1),"")</f>
        <v>7214149.8399999999</v>
      </c>
      <c r="I1049">
        <f>IFERROR([1]!s_stm07_is($A1049,"W72946623",TEXT($B$1,"yyyy/mm/dd"),1),"")</f>
        <v>96613947.420000002</v>
      </c>
      <c r="J1049">
        <f>IFERROR([1]!s_stm07_is($A1049,"W30028333",TEXT($B$1,"yyyy/mm/dd"),1),"")</f>
        <v>140375916.63</v>
      </c>
      <c r="K1049">
        <f>IFERROR([1]!s_stm07_cs($A1049,"W77130581",TEXT($B$1,"yyyy/mm/dd"),1),"")</f>
        <v>545847656.13</v>
      </c>
      <c r="L1049">
        <f>IFERROR([1]!s_stm07_cs($A1049,"W77745895",TEXT($B$1,"yyyy/mm/dd"),1),"")</f>
        <v>313701027.31</v>
      </c>
      <c r="M1049">
        <f>IFERROR([1]!S_FA_EPS_basic2($A1049,$B$1,"Cur=CNY"),"")</f>
        <v>8.43E-2</v>
      </c>
      <c r="N1049">
        <f>IFERROR([1]!s_fa_arturndays($A1049,TEXT($B$1,"yyyy/mm/dd")),"")</f>
        <v>51.4499</v>
      </c>
      <c r="O1049" t="str">
        <f>IFERROR([1]!fa_apturndays($A1049,TEXT($B$1,"yyyy/mm/dd")),"")</f>
        <v>Fetch...</v>
      </c>
      <c r="P1049">
        <f>IFERROR([1]!s_fa_invturndays($A1049,TEXT($B$1,"yyyy/mm/dd")),"")</f>
        <v>39.164499999999997</v>
      </c>
    </row>
    <row r="1050" spans="1:16">
      <c r="A1050" t="s">
        <v>1063</v>
      </c>
      <c r="B1050">
        <f>IFERROR([1]!s_stm07_is($A1050,"W70156729",TEXT($B$1,"yyyy/mm/dd"),1),"")</f>
        <v>19835899353.290001</v>
      </c>
      <c r="C1050">
        <f>IFERROR([1]!s_stm07_is($A1050,"W75682424",TEXT($B$1,"yyyy/mm/dd"),1),"")</f>
        <v>16547675340.76</v>
      </c>
      <c r="D1050">
        <f>IFERROR([1]!s_stm07_is($A1050,"W76031679",TEXT($B$1,"yyyy/mm/dd"),1),"")</f>
        <v>349668010.16000003</v>
      </c>
      <c r="E1050">
        <f>IFERROR([1]!s_stm07_is($A1050,"W70752487",TEXT($B$1,"yyyy/mm/dd"),1),"")</f>
        <v>906826645.50999999</v>
      </c>
      <c r="F1050">
        <f>IFERROR([1]!s_stm07_is_103($A1050,TEXT($B$1,"yyyy/mm/dd"),1),"")</f>
        <v>918116880.49000001</v>
      </c>
      <c r="G1050">
        <f>IFERROR([1]!s_stm07_is_104($A1050,TEXT($B$1,"yyyy/mm/dd"),1),"")</f>
        <v>67253148.329999998</v>
      </c>
      <c r="H1050">
        <f>IFERROR([1]!s_stm07_is_105($A1050,TEXT($B$1,"yyyy/mm/dd"),1),"")</f>
        <v>23100272.93</v>
      </c>
      <c r="I1050">
        <f>IFERROR([1]!s_stm07_is($A1050,"W72946623",TEXT($B$1,"yyyy/mm/dd"),1),"")</f>
        <v>1273831381.25</v>
      </c>
      <c r="J1050">
        <f>IFERROR([1]!s_stm07_is($A1050,"W30028333",TEXT($B$1,"yyyy/mm/dd"),1),"")</f>
        <v>835074923.64999998</v>
      </c>
      <c r="K1050">
        <f>IFERROR([1]!s_stm07_cs($A1050,"W77130581",TEXT($B$1,"yyyy/mm/dd"),1),"")</f>
        <v>1521564464.1900001</v>
      </c>
      <c r="L1050">
        <f>IFERROR([1]!s_stm07_cs($A1050,"W77745895",TEXT($B$1,"yyyy/mm/dd"),1),"")</f>
        <v>585233607.20000005</v>
      </c>
      <c r="M1050">
        <f>IFERROR([1]!S_FA_EPS_basic2($A1050,$B$1,"Cur=CNY"),"")</f>
        <v>0.69</v>
      </c>
      <c r="N1050">
        <f>IFERROR([1]!s_fa_arturndays($A1050,TEXT($B$1,"yyyy/mm/dd")),"")</f>
        <v>88.9636</v>
      </c>
      <c r="O1050" t="str">
        <f>IFERROR([1]!fa_apturndays($A1050,TEXT($B$1,"yyyy/mm/dd")),"")</f>
        <v>Fetch...</v>
      </c>
      <c r="P1050">
        <f>IFERROR([1]!s_fa_invturndays($A1050,TEXT($B$1,"yyyy/mm/dd")),"")</f>
        <v>51.664000000000001</v>
      </c>
    </row>
    <row r="1051" spans="1:16">
      <c r="A1051" t="s">
        <v>1064</v>
      </c>
      <c r="B1051">
        <f>IFERROR([1]!s_stm07_is($A1051,"W70156729",TEXT($B$1,"yyyy/mm/dd"),1),"")</f>
        <v>57799963168.110001</v>
      </c>
      <c r="C1051">
        <f>IFERROR([1]!s_stm07_is($A1051,"W75682424",TEXT($B$1,"yyyy/mm/dd"),1),"")</f>
        <v>48031816022.459999</v>
      </c>
      <c r="D1051">
        <f>IFERROR([1]!s_stm07_is($A1051,"W76031679",TEXT($B$1,"yyyy/mm/dd"),1),"")</f>
        <v>377963252.39999998</v>
      </c>
      <c r="E1051">
        <f>IFERROR([1]!s_stm07_is($A1051,"W70752487",TEXT($B$1,"yyyy/mm/dd"),1),"")</f>
        <v>2624829998.54</v>
      </c>
      <c r="F1051">
        <f>IFERROR([1]!s_stm07_is_103($A1051,TEXT($B$1,"yyyy/mm/dd"),1),"")</f>
        <v>3094123718.29</v>
      </c>
      <c r="G1051">
        <f>IFERROR([1]!s_stm07_is_104($A1051,TEXT($B$1,"yyyy/mm/dd"),1),"")</f>
        <v>155166659.68000001</v>
      </c>
      <c r="H1051">
        <f>IFERROR([1]!s_stm07_is_105($A1051,TEXT($B$1,"yyyy/mm/dd"),1),"")</f>
        <v>614974559.33000004</v>
      </c>
      <c r="I1051">
        <f>IFERROR([1]!s_stm07_is($A1051,"W72946623",TEXT($B$1,"yyyy/mm/dd"),1),"")</f>
        <v>3960514544.8699999</v>
      </c>
      <c r="J1051">
        <f>IFERROR([1]!s_stm07_is($A1051,"W30028333",TEXT($B$1,"yyyy/mm/dd"),1),"")</f>
        <v>1300885777.4400001</v>
      </c>
      <c r="K1051">
        <f>IFERROR([1]!s_stm07_cs($A1051,"W77130581",TEXT($B$1,"yyyy/mm/dd"),1),"")</f>
        <v>11571044052.73</v>
      </c>
      <c r="L1051">
        <f>IFERROR([1]!s_stm07_cs($A1051,"W77745895",TEXT($B$1,"yyyy/mm/dd"),1),"")</f>
        <v>1353356123.49</v>
      </c>
      <c r="M1051">
        <f>IFERROR([1]!S_FA_EPS_basic2($A1051,$B$1,"Cur=CNY"),"")</f>
        <v>0.57999999999999996</v>
      </c>
      <c r="N1051">
        <f>IFERROR([1]!s_fa_arturndays($A1051,TEXT($B$1,"yyyy/mm/dd")),"")</f>
        <v>83.740399999999994</v>
      </c>
      <c r="O1051" t="str">
        <f>IFERROR([1]!fa_apturndays($A1051,TEXT($B$1,"yyyy/mm/dd")),"")</f>
        <v>Fetch...</v>
      </c>
      <c r="P1051">
        <f>IFERROR([1]!s_fa_invturndays($A1051,TEXT($B$1,"yyyy/mm/dd")),"")</f>
        <v>138.42959999999999</v>
      </c>
    </row>
    <row r="1052" spans="1:16">
      <c r="A1052" t="s">
        <v>1065</v>
      </c>
      <c r="B1052">
        <f>IFERROR([1]!s_stm07_is($A1052,"W70156729",TEXT($B$1,"yyyy/mm/dd"),1),"")</f>
        <v>13750687615.35</v>
      </c>
      <c r="C1052">
        <f>IFERROR([1]!s_stm07_is($A1052,"W75682424",TEXT($B$1,"yyyy/mm/dd"),1),"")</f>
        <v>9798745650.5</v>
      </c>
      <c r="D1052">
        <f>IFERROR([1]!s_stm07_is($A1052,"W76031679",TEXT($B$1,"yyyy/mm/dd"),1),"")</f>
        <v>29975876.449999999</v>
      </c>
      <c r="E1052">
        <f>IFERROR([1]!s_stm07_is($A1052,"W70752487",TEXT($B$1,"yyyy/mm/dd"),1),"")</f>
        <v>358590102.19</v>
      </c>
      <c r="F1052">
        <f>IFERROR([1]!s_stm07_is_103($A1052,TEXT($B$1,"yyyy/mm/dd"),1),"")</f>
        <v>120999140.62</v>
      </c>
      <c r="G1052">
        <f>IFERROR([1]!s_stm07_is_104($A1052,TEXT($B$1,"yyyy/mm/dd"),1),"")</f>
        <v>416356354.30000001</v>
      </c>
      <c r="H1052">
        <f>IFERROR([1]!s_stm07_is_105($A1052,TEXT($B$1,"yyyy/mm/dd"),1),"")</f>
        <v>48598257.789999999</v>
      </c>
      <c r="I1052">
        <f>IFERROR([1]!s_stm07_is($A1052,"W72946623",TEXT($B$1,"yyyy/mm/dd"),1),"")</f>
        <v>4444752433.4700003</v>
      </c>
      <c r="J1052">
        <f>IFERROR([1]!s_stm07_is($A1052,"W30028333",TEXT($B$1,"yyyy/mm/dd"),1),"")</f>
        <v>2957182696.3299999</v>
      </c>
      <c r="K1052">
        <f>IFERROR([1]!s_stm07_cs($A1052,"W77130581",TEXT($B$1,"yyyy/mm/dd"),1),"")</f>
        <v>5109226672.3299999</v>
      </c>
      <c r="L1052">
        <f>IFERROR([1]!s_stm07_cs($A1052,"W77745895",TEXT($B$1,"yyyy/mm/dd"),1),"")</f>
        <v>3528501289.0900002</v>
      </c>
      <c r="M1052">
        <f>IFERROR([1]!S_FA_EPS_basic2($A1052,$B$1,"Cur=CNY"),"")</f>
        <v>1.06</v>
      </c>
      <c r="N1052">
        <f>IFERROR([1]!s_fa_arturndays($A1052,TEXT($B$1,"yyyy/mm/dd")),"")</f>
        <v>142.52350000000001</v>
      </c>
      <c r="O1052" t="str">
        <f>IFERROR([1]!fa_apturndays($A1052,TEXT($B$1,"yyyy/mm/dd")),"")</f>
        <v>Fetch...</v>
      </c>
      <c r="P1052">
        <f>IFERROR([1]!s_fa_invturndays($A1052,TEXT($B$1,"yyyy/mm/dd")),"")</f>
        <v>21.7775</v>
      </c>
    </row>
    <row r="1053" spans="1:16">
      <c r="A1053" t="s">
        <v>1066</v>
      </c>
      <c r="B1053">
        <f>IFERROR([1]!s_stm07_is($A1053,"W70156729",TEXT($B$1,"yyyy/mm/dd"),1),"")</f>
        <v>11870428125.1</v>
      </c>
      <c r="C1053">
        <f>IFERROR([1]!s_stm07_is($A1053,"W75682424",TEXT($B$1,"yyyy/mm/dd"),1),"")</f>
        <v>9259871334.1800003</v>
      </c>
      <c r="D1053">
        <f>IFERROR([1]!s_stm07_is($A1053,"W76031679",TEXT($B$1,"yyyy/mm/dd"),1),"")</f>
        <v>224399475.16</v>
      </c>
      <c r="E1053">
        <f>IFERROR([1]!s_stm07_is($A1053,"W70752487",TEXT($B$1,"yyyy/mm/dd"),1),"")</f>
        <v>453166302.73000002</v>
      </c>
      <c r="F1053">
        <f>IFERROR([1]!s_stm07_is_103($A1053,TEXT($B$1,"yyyy/mm/dd"),1),"")</f>
        <v>392870907.66000003</v>
      </c>
      <c r="G1053">
        <f>IFERROR([1]!s_stm07_is_104($A1053,TEXT($B$1,"yyyy/mm/dd"),1),"")</f>
        <v>41386676.240000002</v>
      </c>
      <c r="H1053">
        <f>IFERROR([1]!s_stm07_is_105($A1053,TEXT($B$1,"yyyy/mm/dd"),1),"")</f>
        <v>126366547.04000001</v>
      </c>
      <c r="I1053">
        <f>IFERROR([1]!s_stm07_is($A1053,"W72946623",TEXT($B$1,"yyyy/mm/dd"),1),"")</f>
        <v>1511305442.3099999</v>
      </c>
      <c r="J1053">
        <f>IFERROR([1]!s_stm07_is($A1053,"W30028333",TEXT($B$1,"yyyy/mm/dd"),1),"")</f>
        <v>1285953627.03</v>
      </c>
      <c r="K1053">
        <f>IFERROR([1]!s_stm07_cs($A1053,"W77130581",TEXT($B$1,"yyyy/mm/dd"),1),"")</f>
        <v>2216729166.5</v>
      </c>
      <c r="L1053">
        <f>IFERROR([1]!s_stm07_cs($A1053,"W77745895",TEXT($B$1,"yyyy/mm/dd"),1),"")</f>
        <v>961327882.51999998</v>
      </c>
      <c r="M1053">
        <f>IFERROR([1]!S_FA_EPS_basic2($A1053,$B$1,"Cur=CNY"),"")</f>
        <v>3.1880000000000002</v>
      </c>
      <c r="N1053">
        <f>IFERROR([1]!s_fa_arturndays($A1053,TEXT($B$1,"yyyy/mm/dd")),"")</f>
        <v>72.476900000000001</v>
      </c>
      <c r="O1053" t="str">
        <f>IFERROR([1]!fa_apturndays($A1053,TEXT($B$1,"yyyy/mm/dd")),"")</f>
        <v>Fetch...</v>
      </c>
      <c r="P1053">
        <f>IFERROR([1]!s_fa_invturndays($A1053,TEXT($B$1,"yyyy/mm/dd")),"")</f>
        <v>41.447000000000003</v>
      </c>
    </row>
    <row r="1054" spans="1:16">
      <c r="A1054" t="s">
        <v>1067</v>
      </c>
      <c r="B1054">
        <f>IFERROR([1]!s_stm07_is($A1054,"W70156729",TEXT($B$1,"yyyy/mm/dd"),1),"")</f>
        <v>66854854380.790001</v>
      </c>
      <c r="C1054">
        <f>IFERROR([1]!s_stm07_is($A1054,"W75682424",TEXT($B$1,"yyyy/mm/dd"),1),"")</f>
        <v>58526528234.269997</v>
      </c>
      <c r="D1054">
        <f>IFERROR([1]!s_stm07_is($A1054,"W76031679",TEXT($B$1,"yyyy/mm/dd"),1),"")</f>
        <v>1502052499.6900001</v>
      </c>
      <c r="E1054">
        <f>IFERROR([1]!s_stm07_is($A1054,"W70752487",TEXT($B$1,"yyyy/mm/dd"),1),"")</f>
        <v>1567925625.74</v>
      </c>
      <c r="F1054">
        <f>IFERROR([1]!s_stm07_is_103($A1054,TEXT($B$1,"yyyy/mm/dd"),1),"")</f>
        <v>1906968884.97</v>
      </c>
      <c r="G1054">
        <f>IFERROR([1]!s_stm07_is_104($A1054,TEXT($B$1,"yyyy/mm/dd"),1),"")</f>
        <v>368786605.10000002</v>
      </c>
      <c r="H1054">
        <f>IFERROR([1]!s_stm07_is_105($A1054,TEXT($B$1,"yyyy/mm/dd"),1),"")</f>
        <v>164449277.63999999</v>
      </c>
      <c r="I1054">
        <f>IFERROR([1]!s_stm07_is($A1054,"W72946623",TEXT($B$1,"yyyy/mm/dd"),1),"")</f>
        <v>3033466489.5900002</v>
      </c>
      <c r="J1054">
        <f>IFERROR([1]!s_stm07_is($A1054,"W30028333",TEXT($B$1,"yyyy/mm/dd"),1),"")</f>
        <v>2680269338.4299998</v>
      </c>
      <c r="K1054">
        <f>IFERROR([1]!s_stm07_cs($A1054,"W77130581",TEXT($B$1,"yyyy/mm/dd"),1),"")</f>
        <v>2807796079.3099999</v>
      </c>
      <c r="L1054">
        <f>IFERROR([1]!s_stm07_cs($A1054,"W77745895",TEXT($B$1,"yyyy/mm/dd"),1),"")</f>
        <v>2838150901.4699998</v>
      </c>
      <c r="M1054">
        <f>IFERROR([1]!S_FA_EPS_basic2($A1054,$B$1,"Cur=CNY"),"")</f>
        <v>1.1000000000000001</v>
      </c>
      <c r="N1054">
        <f>IFERROR([1]!s_fa_arturndays($A1054,TEXT($B$1,"yyyy/mm/dd")),"")</f>
        <v>92.048100000000005</v>
      </c>
      <c r="O1054" t="str">
        <f>IFERROR([1]!fa_apturndays($A1054,TEXT($B$1,"yyyy/mm/dd")),"")</f>
        <v>Fetch...</v>
      </c>
      <c r="P1054">
        <f>IFERROR([1]!s_fa_invturndays($A1054,TEXT($B$1,"yyyy/mm/dd")),"")</f>
        <v>67.376599999999996</v>
      </c>
    </row>
    <row r="1055" spans="1:16">
      <c r="A1055" t="s">
        <v>1068</v>
      </c>
      <c r="B1055">
        <f>IFERROR([1]!s_stm07_is($A1055,"W70156729",TEXT($B$1,"yyyy/mm/dd"),1),"")</f>
        <v>79074657048.600006</v>
      </c>
      <c r="C1055">
        <f>IFERROR([1]!s_stm07_is($A1055,"W75682424",TEXT($B$1,"yyyy/mm/dd"),1),"")</f>
        <v>65864937517.769997</v>
      </c>
      <c r="D1055">
        <f>IFERROR([1]!s_stm07_is($A1055,"W76031679",TEXT($B$1,"yyyy/mm/dd"),1),"")</f>
        <v>86401504.609999999</v>
      </c>
      <c r="E1055">
        <f>IFERROR([1]!s_stm07_is($A1055,"W70752487",TEXT($B$1,"yyyy/mm/dd"),1),"")</f>
        <v>2038669687.1700001</v>
      </c>
      <c r="F1055">
        <f>IFERROR([1]!s_stm07_is_103($A1055,TEXT($B$1,"yyyy/mm/dd"),1),"")</f>
        <v>650661644.37</v>
      </c>
      <c r="G1055">
        <f>IFERROR([1]!s_stm07_is_104($A1055,TEXT($B$1,"yyyy/mm/dd"),1),"")</f>
        <v>397326933.43000001</v>
      </c>
      <c r="H1055">
        <f>IFERROR([1]!s_stm07_is_105($A1055,TEXT($B$1,"yyyy/mm/dd"),1),"")</f>
        <v>107102598.77</v>
      </c>
      <c r="I1055">
        <f>IFERROR([1]!s_stm07_is($A1055,"W72946623",TEXT($B$1,"yyyy/mm/dd"),1),"")</f>
        <v>7359806009.8999996</v>
      </c>
      <c r="J1055">
        <f>IFERROR([1]!s_stm07_is($A1055,"W30028333",TEXT($B$1,"yyyy/mm/dd"),1),"")</f>
        <v>4933582739.46</v>
      </c>
      <c r="K1055">
        <f>IFERROR([1]!s_stm07_cs($A1055,"W77130581",TEXT($B$1,"yyyy/mm/dd"),1),"")</f>
        <v>8375244370.1400003</v>
      </c>
      <c r="L1055">
        <f>IFERROR([1]!s_stm07_cs($A1055,"W77745895",TEXT($B$1,"yyyy/mm/dd"),1),"")</f>
        <v>3032324772.0700002</v>
      </c>
      <c r="M1055">
        <f>IFERROR([1]!S_FA_EPS_basic2($A1055,$B$1,"Cur=CNY"),"")</f>
        <v>1.02</v>
      </c>
      <c r="N1055">
        <f>IFERROR([1]!s_fa_arturndays($A1055,TEXT($B$1,"yyyy/mm/dd")),"")</f>
        <v>0.16450000000000001</v>
      </c>
      <c r="O1055" t="str">
        <f>IFERROR([1]!fa_apturndays($A1055,TEXT($B$1,"yyyy/mm/dd")),"")</f>
        <v>Fetch...</v>
      </c>
      <c r="P1055">
        <f>IFERROR([1]!s_fa_invturndays($A1055,TEXT($B$1,"yyyy/mm/dd")),"")</f>
        <v>62.1633</v>
      </c>
    </row>
    <row r="1056" spans="1:16">
      <c r="A1056" t="s">
        <v>1069</v>
      </c>
      <c r="B1056">
        <f>IFERROR([1]!s_stm07_is($A1056,"W70156729",TEXT($B$1,"yyyy/mm/dd"),1),"")</f>
        <v>3410657446.7399998</v>
      </c>
      <c r="C1056">
        <f>IFERROR([1]!s_stm07_is($A1056,"W75682424",TEXT($B$1,"yyyy/mm/dd"),1),"")</f>
        <v>2598792962.52</v>
      </c>
      <c r="D1056">
        <f>IFERROR([1]!s_stm07_is($A1056,"W76031679",TEXT($B$1,"yyyy/mm/dd"),1),"")</f>
        <v>152537508.00999999</v>
      </c>
      <c r="E1056">
        <f>IFERROR([1]!s_stm07_is($A1056,"W70752487",TEXT($B$1,"yyyy/mm/dd"),1),"")</f>
        <v>346488638.70999998</v>
      </c>
      <c r="F1056">
        <f>IFERROR([1]!s_stm07_is_103($A1056,TEXT($B$1,"yyyy/mm/dd"),1),"")</f>
        <v>0</v>
      </c>
      <c r="G1056">
        <f>IFERROR([1]!s_stm07_is_104($A1056,TEXT($B$1,"yyyy/mm/dd"),1),"")</f>
        <v>21901233.109999999</v>
      </c>
      <c r="H1056">
        <f>IFERROR([1]!s_stm07_is_105($A1056,TEXT($B$1,"yyyy/mm/dd"),1),"")</f>
        <v>21931967.27</v>
      </c>
      <c r="I1056">
        <f>IFERROR([1]!s_stm07_is($A1056,"W72946623",TEXT($B$1,"yyyy/mm/dd"),1),"")</f>
        <v>228095174.83000001</v>
      </c>
      <c r="J1056">
        <f>IFERROR([1]!s_stm07_is($A1056,"W30028333",TEXT($B$1,"yyyy/mm/dd"),1),"")</f>
        <v>225480138.02000001</v>
      </c>
      <c r="K1056">
        <f>IFERROR([1]!s_stm07_cs($A1056,"W77130581",TEXT($B$1,"yyyy/mm/dd"),1),"")</f>
        <v>576081244.25</v>
      </c>
      <c r="L1056">
        <f>IFERROR([1]!s_stm07_cs($A1056,"W77745895",TEXT($B$1,"yyyy/mm/dd"),1),"")</f>
        <v>383596045.54000002</v>
      </c>
      <c r="M1056">
        <f>IFERROR([1]!S_FA_EPS_basic2($A1056,$B$1,"Cur=CNY"),"")</f>
        <v>0.1019</v>
      </c>
      <c r="N1056">
        <f>IFERROR([1]!s_fa_arturndays($A1056,TEXT($B$1,"yyyy/mm/dd")),"")</f>
        <v>7.7453000000000003</v>
      </c>
      <c r="O1056" t="str">
        <f>IFERROR([1]!fa_apturndays($A1056,TEXT($B$1,"yyyy/mm/dd")),"")</f>
        <v>Fetch...</v>
      </c>
      <c r="P1056">
        <f>IFERROR([1]!s_fa_invturndays($A1056,TEXT($B$1,"yyyy/mm/dd")),"")</f>
        <v>184.4735</v>
      </c>
    </row>
    <row r="1057" spans="1:16">
      <c r="A1057" t="s">
        <v>1070</v>
      </c>
      <c r="B1057">
        <f>IFERROR([1]!s_stm07_is($A1057,"W70156729",TEXT($B$1,"yyyy/mm/dd"),1),"")</f>
        <v>24059461625.68</v>
      </c>
      <c r="C1057">
        <f>IFERROR([1]!s_stm07_is($A1057,"W75682424",TEXT($B$1,"yyyy/mm/dd"),1),"")</f>
        <v>20252256128.200001</v>
      </c>
      <c r="D1057">
        <f>IFERROR([1]!s_stm07_is($A1057,"W76031679",TEXT($B$1,"yyyy/mm/dd"),1),"")</f>
        <v>52860842.200000003</v>
      </c>
      <c r="E1057">
        <f>IFERROR([1]!s_stm07_is($A1057,"W70752487",TEXT($B$1,"yyyy/mm/dd"),1),"")</f>
        <v>1480543574.75</v>
      </c>
      <c r="F1057">
        <f>IFERROR([1]!s_stm07_is_103($A1057,TEXT($B$1,"yyyy/mm/dd"),1),"")</f>
        <v>155833975.72</v>
      </c>
      <c r="G1057">
        <f>IFERROR([1]!s_stm07_is_104($A1057,TEXT($B$1,"yyyy/mm/dd"),1),"")</f>
        <v>61806596.450000003</v>
      </c>
      <c r="H1057">
        <f>IFERROR([1]!s_stm07_is_105($A1057,TEXT($B$1,"yyyy/mm/dd"),1),"")</f>
        <v>7322052.8499999996</v>
      </c>
      <c r="I1057">
        <f>IFERROR([1]!s_stm07_is($A1057,"W72946623",TEXT($B$1,"yyyy/mm/dd"),1),"")</f>
        <v>1398172735.1600001</v>
      </c>
      <c r="J1057">
        <f>IFERROR([1]!s_stm07_is($A1057,"W30028333",TEXT($B$1,"yyyy/mm/dd"),1),"")</f>
        <v>1035324120.59</v>
      </c>
      <c r="K1057">
        <f>IFERROR([1]!s_stm07_cs($A1057,"W77130581",TEXT($B$1,"yyyy/mm/dd"),1),"")</f>
        <v>3762869255.2600002</v>
      </c>
      <c r="L1057">
        <f>IFERROR([1]!s_stm07_cs($A1057,"W77745895",TEXT($B$1,"yyyy/mm/dd"),1),"")</f>
        <v>1237424702.6300001</v>
      </c>
      <c r="M1057">
        <f>IFERROR([1]!S_FA_EPS_basic2($A1057,$B$1,"Cur=CNY"),"")</f>
        <v>0.20419999999999999</v>
      </c>
      <c r="N1057">
        <f>IFERROR([1]!s_fa_arturndays($A1057,TEXT($B$1,"yyyy/mm/dd")),"")</f>
        <v>1.5814999999999999</v>
      </c>
      <c r="O1057" t="str">
        <f>IFERROR([1]!fa_apturndays($A1057,TEXT($B$1,"yyyy/mm/dd")),"")</f>
        <v>Fetch...</v>
      </c>
      <c r="P1057">
        <f>IFERROR([1]!s_fa_invturndays($A1057,TEXT($B$1,"yyyy/mm/dd")),"")</f>
        <v>34.978299999999997</v>
      </c>
    </row>
    <row r="1058" spans="1:16">
      <c r="A1058" t="s">
        <v>1071</v>
      </c>
      <c r="B1058">
        <f>IFERROR([1]!s_stm07_is($A1058,"W70156729",TEXT($B$1,"yyyy/mm/dd"),1),"")</f>
        <v>24918554533.91</v>
      </c>
      <c r="C1058">
        <f>IFERROR([1]!s_stm07_is($A1058,"W75682424",TEXT($B$1,"yyyy/mm/dd"),1),"")</f>
        <v>19661228267.02</v>
      </c>
      <c r="D1058">
        <f>IFERROR([1]!s_stm07_is($A1058,"W76031679",TEXT($B$1,"yyyy/mm/dd"),1),"")</f>
        <v>1975658667.9200001</v>
      </c>
      <c r="E1058">
        <f>IFERROR([1]!s_stm07_is($A1058,"W70752487",TEXT($B$1,"yyyy/mm/dd"),1),"")</f>
        <v>484389935.92000002</v>
      </c>
      <c r="F1058">
        <f>IFERROR([1]!s_stm07_is_103($A1058,TEXT($B$1,"yyyy/mm/dd"),1),"")</f>
        <v>2570098254.5</v>
      </c>
      <c r="G1058">
        <f>IFERROR([1]!s_stm07_is_104($A1058,TEXT($B$1,"yyyy/mm/dd"),1),"")</f>
        <v>327756479.19</v>
      </c>
      <c r="H1058">
        <f>IFERROR([1]!s_stm07_is_105($A1058,TEXT($B$1,"yyyy/mm/dd"),1),"")</f>
        <v>41920740.68</v>
      </c>
      <c r="I1058">
        <f>IFERROR([1]!s_stm07_is($A1058,"W72946623",TEXT($B$1,"yyyy/mm/dd"),1),"")</f>
        <v>462034851.89999998</v>
      </c>
      <c r="J1058">
        <f>IFERROR([1]!s_stm07_is($A1058,"W30028333",TEXT($B$1,"yyyy/mm/dd"),1),"")</f>
        <v>435834532.07999998</v>
      </c>
      <c r="K1058">
        <f>IFERROR([1]!s_stm07_cs($A1058,"W77130581",TEXT($B$1,"yyyy/mm/dd"),1),"")</f>
        <v>4772555832.3900003</v>
      </c>
      <c r="L1058">
        <f>IFERROR([1]!s_stm07_cs($A1058,"W77745895",TEXT($B$1,"yyyy/mm/dd"),1),"")</f>
        <v>1436554814.24</v>
      </c>
      <c r="M1058">
        <f>IFERROR([1]!S_FA_EPS_basic2($A1058,$B$1,"Cur=CNY"),"")</f>
        <v>0.36</v>
      </c>
      <c r="N1058">
        <f>IFERROR([1]!s_fa_arturndays($A1058,TEXT($B$1,"yyyy/mm/dd")),"")</f>
        <v>217.2208</v>
      </c>
      <c r="O1058" t="str">
        <f>IFERROR([1]!fa_apturndays($A1058,TEXT($B$1,"yyyy/mm/dd")),"")</f>
        <v>Fetch...</v>
      </c>
      <c r="P1058">
        <f>IFERROR([1]!s_fa_invturndays($A1058,TEXT($B$1,"yyyy/mm/dd")),"")</f>
        <v>182.22309999999999</v>
      </c>
    </row>
    <row r="1059" spans="1:16">
      <c r="A1059" t="s">
        <v>1072</v>
      </c>
      <c r="B1059">
        <f>IFERROR([1]!s_stm07_is($A1059,"W70156729",TEXT($B$1,"yyyy/mm/dd"),1),"")</f>
        <v>17389470200</v>
      </c>
      <c r="C1059">
        <f>IFERROR([1]!s_stm07_is($A1059,"W75682424",TEXT($B$1,"yyyy/mm/dd"),1),"")</f>
        <v>12537135100</v>
      </c>
      <c r="D1059">
        <f>IFERROR([1]!s_stm07_is($A1059,"W76031679",TEXT($B$1,"yyyy/mm/dd"),1),"")</f>
        <v>530655300</v>
      </c>
      <c r="E1059">
        <f>IFERROR([1]!s_stm07_is($A1059,"W70752487",TEXT($B$1,"yyyy/mm/dd"),1),"")</f>
        <v>1330305100</v>
      </c>
      <c r="F1059">
        <f>IFERROR([1]!s_stm07_is_103($A1059,TEXT($B$1,"yyyy/mm/dd"),1),"")</f>
        <v>390265400</v>
      </c>
      <c r="G1059">
        <f>IFERROR([1]!s_stm07_is_104($A1059,TEXT($B$1,"yyyy/mm/dd"),1),"")</f>
        <v>270295900</v>
      </c>
      <c r="H1059">
        <f>IFERROR([1]!s_stm07_is_105($A1059,TEXT($B$1,"yyyy/mm/dd"),1),"")</f>
        <v>69242600</v>
      </c>
      <c r="I1059">
        <f>IFERROR([1]!s_stm07_is($A1059,"W72946623",TEXT($B$1,"yyyy/mm/dd"),1),"")</f>
        <v>2691889500</v>
      </c>
      <c r="J1059">
        <f>IFERROR([1]!s_stm07_is($A1059,"W30028333",TEXT($B$1,"yyyy/mm/dd"),1),"")</f>
        <v>1308863400</v>
      </c>
      <c r="K1059">
        <f>IFERROR([1]!s_stm07_cs($A1059,"W77130581",TEXT($B$1,"yyyy/mm/dd"),1),"")</f>
        <v>1819109800</v>
      </c>
      <c r="L1059">
        <f>IFERROR([1]!s_stm07_cs($A1059,"W77745895",TEXT($B$1,"yyyy/mm/dd"),1),"")</f>
        <v>1580354100</v>
      </c>
      <c r="M1059">
        <f>IFERROR([1]!S_FA_EPS_basic2($A1059,$B$1,"Cur=CNY"),"")</f>
        <v>0.69599999999999995</v>
      </c>
      <c r="N1059">
        <f>IFERROR([1]!s_fa_arturndays($A1059,TEXT($B$1,"yyyy/mm/dd")),"")</f>
        <v>56.451099999999997</v>
      </c>
      <c r="O1059" t="str">
        <f>IFERROR([1]!fa_apturndays($A1059,TEXT($B$1,"yyyy/mm/dd")),"")</f>
        <v>Fetch...</v>
      </c>
      <c r="P1059">
        <f>IFERROR([1]!s_fa_invturndays($A1059,TEXT($B$1,"yyyy/mm/dd")),"")</f>
        <v>155.31970000000001</v>
      </c>
    </row>
    <row r="1060" spans="1:16">
      <c r="A1060" t="s">
        <v>1073</v>
      </c>
      <c r="B1060">
        <f>IFERROR([1]!s_stm07_is($A1060,"W70156729",TEXT($B$1,"yyyy/mm/dd"),1),"")</f>
        <v>83197999413</v>
      </c>
      <c r="C1060">
        <f>IFERROR([1]!s_stm07_is($A1060,"W75682424",TEXT($B$1,"yyyy/mm/dd"),1),"")</f>
        <v>70880986373.990005</v>
      </c>
      <c r="D1060">
        <f>IFERROR([1]!s_stm07_is($A1060,"W76031679",TEXT($B$1,"yyyy/mm/dd"),1),"")</f>
        <v>270503067.30000001</v>
      </c>
      <c r="E1060">
        <f>IFERROR([1]!s_stm07_is($A1060,"W70752487",TEXT($B$1,"yyyy/mm/dd"),1),"")</f>
        <v>2547656662.5900002</v>
      </c>
      <c r="F1060">
        <f>IFERROR([1]!s_stm07_is_103($A1060,TEXT($B$1,"yyyy/mm/dd"),1),"")</f>
        <v>1953273151.97</v>
      </c>
      <c r="G1060">
        <f>IFERROR([1]!s_stm07_is_104($A1060,TEXT($B$1,"yyyy/mm/dd"),1),"")</f>
        <v>2146856174.4100001</v>
      </c>
      <c r="H1060">
        <f>IFERROR([1]!s_stm07_is_105($A1060,TEXT($B$1,"yyyy/mm/dd"),1),"")</f>
        <v>496785990.61000001</v>
      </c>
      <c r="I1060">
        <f>IFERROR([1]!s_stm07_is($A1060,"W72946623",TEXT($B$1,"yyyy/mm/dd"),1),"")</f>
        <v>3075819789.3699999</v>
      </c>
      <c r="J1060">
        <f>IFERROR([1]!s_stm07_is($A1060,"W30028333",TEXT($B$1,"yyyy/mm/dd"),1),"")</f>
        <v>1525783433.2</v>
      </c>
      <c r="K1060">
        <f>IFERROR([1]!s_stm07_cs($A1060,"W77130581",TEXT($B$1,"yyyy/mm/dd"),1),"")</f>
        <v>1288344697.3699999</v>
      </c>
      <c r="L1060">
        <f>IFERROR([1]!s_stm07_cs($A1060,"W77745895",TEXT($B$1,"yyyy/mm/dd"),1),"")</f>
        <v>13089429429.67</v>
      </c>
      <c r="M1060">
        <f>IFERROR([1]!S_FA_EPS_basic2($A1060,$B$1,"Cur=CNY"),"")</f>
        <v>0.8</v>
      </c>
      <c r="N1060">
        <f>IFERROR([1]!s_fa_arturndays($A1060,TEXT($B$1,"yyyy/mm/dd")),"")</f>
        <v>230.60659999999999</v>
      </c>
      <c r="O1060" t="str">
        <f>IFERROR([1]!fa_apturndays($A1060,TEXT($B$1,"yyyy/mm/dd")),"")</f>
        <v>Fetch...</v>
      </c>
      <c r="P1060">
        <f>IFERROR([1]!s_fa_invturndays($A1060,TEXT($B$1,"yyyy/mm/dd")),"")</f>
        <v>221.2389</v>
      </c>
    </row>
    <row r="1061" spans="1:16">
      <c r="A1061" t="s">
        <v>1074</v>
      </c>
      <c r="B1061">
        <f>IFERROR([1]!s_stm07_is($A1061,"W70156729",TEXT($B$1,"yyyy/mm/dd"),1),"")</f>
        <v>18233415356.709999</v>
      </c>
      <c r="C1061">
        <f>IFERROR([1]!s_stm07_is($A1061,"W75682424",TEXT($B$1,"yyyy/mm/dd"),1),"")</f>
        <v>16473533815.860001</v>
      </c>
      <c r="D1061">
        <f>IFERROR([1]!s_stm07_is($A1061,"W76031679",TEXT($B$1,"yyyy/mm/dd"),1),"")</f>
        <v>37041864.469999999</v>
      </c>
      <c r="E1061">
        <f>IFERROR([1]!s_stm07_is($A1061,"W70752487",TEXT($B$1,"yyyy/mm/dd"),1),"")</f>
        <v>495563477.52999997</v>
      </c>
      <c r="F1061">
        <f>IFERROR([1]!s_stm07_is_103($A1061,TEXT($B$1,"yyyy/mm/dd"),1),"")</f>
        <v>82597847.310000002</v>
      </c>
      <c r="G1061">
        <f>IFERROR([1]!s_stm07_is_104($A1061,TEXT($B$1,"yyyy/mm/dd"),1),"")</f>
        <v>25207219.530000001</v>
      </c>
      <c r="H1061">
        <f>IFERROR([1]!s_stm07_is_105($A1061,TEXT($B$1,"yyyy/mm/dd"),1),"")</f>
        <v>123496003.44</v>
      </c>
      <c r="I1061">
        <f>IFERROR([1]!s_stm07_is($A1061,"W72946623",TEXT($B$1,"yyyy/mm/dd"),1),"")</f>
        <v>1222289176.96</v>
      </c>
      <c r="J1061">
        <f>IFERROR([1]!s_stm07_is($A1061,"W30028333",TEXT($B$1,"yyyy/mm/dd"),1),"")</f>
        <v>942267648.00999999</v>
      </c>
      <c r="K1061">
        <f>IFERROR([1]!s_stm07_cs($A1061,"W77130581",TEXT($B$1,"yyyy/mm/dd"),1),"")</f>
        <v>463621432.48000002</v>
      </c>
      <c r="L1061">
        <f>IFERROR([1]!s_stm07_cs($A1061,"W77745895",TEXT($B$1,"yyyy/mm/dd"),1),"")</f>
        <v>35482449.630000003</v>
      </c>
      <c r="M1061">
        <f>IFERROR([1]!S_FA_EPS_basic2($A1061,$B$1,"Cur=CNY"),"")</f>
        <v>0.40699999999999997</v>
      </c>
      <c r="N1061">
        <f>IFERROR([1]!s_fa_arturndays($A1061,TEXT($B$1,"yyyy/mm/dd")),"")</f>
        <v>20.4087</v>
      </c>
      <c r="O1061" t="str">
        <f>IFERROR([1]!fa_apturndays($A1061,TEXT($B$1,"yyyy/mm/dd")),"")</f>
        <v>Fetch...</v>
      </c>
      <c r="P1061">
        <f>IFERROR([1]!s_fa_invturndays($A1061,TEXT($B$1,"yyyy/mm/dd")),"")</f>
        <v>29.180499999999999</v>
      </c>
    </row>
    <row r="1062" spans="1:16">
      <c r="A1062" t="s">
        <v>1075</v>
      </c>
      <c r="B1062">
        <f>IFERROR([1]!s_stm07_is($A1062,"W70156729",TEXT($B$1,"yyyy/mm/dd"),1),"")</f>
        <v>7676596132.54</v>
      </c>
      <c r="C1062">
        <f>IFERROR([1]!s_stm07_is($A1062,"W75682424",TEXT($B$1,"yyyy/mm/dd"),1),"")</f>
        <v>6598132711.3999996</v>
      </c>
      <c r="D1062">
        <f>IFERROR([1]!s_stm07_is($A1062,"W76031679",TEXT($B$1,"yyyy/mm/dd"),1),"")</f>
        <v>29757760.300000001</v>
      </c>
      <c r="E1062">
        <f>IFERROR([1]!s_stm07_is($A1062,"W70752487",TEXT($B$1,"yyyy/mm/dd"),1),"")</f>
        <v>568813672.13</v>
      </c>
      <c r="F1062">
        <f>IFERROR([1]!s_stm07_is_103($A1062,TEXT($B$1,"yyyy/mm/dd"),1),"")</f>
        <v>41609849.390000001</v>
      </c>
      <c r="G1062">
        <f>IFERROR([1]!s_stm07_is_104($A1062,TEXT($B$1,"yyyy/mm/dd"),1),"")</f>
        <v>89727800.540000007</v>
      </c>
      <c r="H1062">
        <f>IFERROR([1]!s_stm07_is_105($A1062,TEXT($B$1,"yyyy/mm/dd"),1),"")</f>
        <v>25287278.140000001</v>
      </c>
      <c r="I1062">
        <f>IFERROR([1]!s_stm07_is($A1062,"W72946623",TEXT($B$1,"yyyy/mm/dd"),1),"")</f>
        <v>155082588.47999999</v>
      </c>
      <c r="J1062">
        <f>IFERROR([1]!s_stm07_is($A1062,"W30028333",TEXT($B$1,"yyyy/mm/dd"),1),"")</f>
        <v>220430402.33000001</v>
      </c>
      <c r="K1062">
        <f>IFERROR([1]!s_stm07_cs($A1062,"W77130581",TEXT($B$1,"yyyy/mm/dd"),1),"")</f>
        <v>500905746.27999997</v>
      </c>
      <c r="L1062">
        <f>IFERROR([1]!s_stm07_cs($A1062,"W77745895",TEXT($B$1,"yyyy/mm/dd"),1),"")</f>
        <v>1050100275.15</v>
      </c>
      <c r="M1062">
        <f>IFERROR([1]!S_FA_EPS_basic2($A1062,$B$1,"Cur=CNY"),"")</f>
        <v>0.31</v>
      </c>
      <c r="N1062">
        <f>IFERROR([1]!s_fa_arturndays($A1062,TEXT($B$1,"yyyy/mm/dd")),"")</f>
        <v>17.906700000000001</v>
      </c>
      <c r="O1062" t="str">
        <f>IFERROR([1]!fa_apturndays($A1062,TEXT($B$1,"yyyy/mm/dd")),"")</f>
        <v>Fetch...</v>
      </c>
      <c r="P1062">
        <f>IFERROR([1]!s_fa_invturndays($A1062,TEXT($B$1,"yyyy/mm/dd")),"")</f>
        <v>16.021100000000001</v>
      </c>
    </row>
    <row r="1063" spans="1:16">
      <c r="A1063" t="s">
        <v>1076</v>
      </c>
      <c r="B1063">
        <f>IFERROR([1]!s_stm07_is($A1063,"W70156729",TEXT($B$1,"yyyy/mm/dd"),1),"")</f>
        <v>8384697473.4099998</v>
      </c>
      <c r="C1063">
        <f>IFERROR([1]!s_stm07_is($A1063,"W75682424",TEXT($B$1,"yyyy/mm/dd"),1),"")</f>
        <v>6609305958.1400003</v>
      </c>
      <c r="D1063">
        <f>IFERROR([1]!s_stm07_is($A1063,"W76031679",TEXT($B$1,"yyyy/mm/dd"),1),"")</f>
        <v>155563275.44</v>
      </c>
      <c r="E1063">
        <f>IFERROR([1]!s_stm07_is($A1063,"W70752487",TEXT($B$1,"yyyy/mm/dd"),1),"")</f>
        <v>305285401.83999997</v>
      </c>
      <c r="F1063">
        <f>IFERROR([1]!s_stm07_is_103($A1063,TEXT($B$1,"yyyy/mm/dd"),1),"")</f>
        <v>14946201.07</v>
      </c>
      <c r="G1063">
        <f>IFERROR([1]!s_stm07_is_104($A1063,TEXT($B$1,"yyyy/mm/dd"),1),"")</f>
        <v>391238987.38999999</v>
      </c>
      <c r="H1063">
        <f>IFERROR([1]!s_stm07_is_105($A1063,TEXT($B$1,"yyyy/mm/dd"),1),"")</f>
        <v>8496905.3200000003</v>
      </c>
      <c r="I1063">
        <f>IFERROR([1]!s_stm07_is($A1063,"W72946623",TEXT($B$1,"yyyy/mm/dd"),1),"")</f>
        <v>318958583.95999998</v>
      </c>
      <c r="J1063">
        <f>IFERROR([1]!s_stm07_is($A1063,"W30028333",TEXT($B$1,"yyyy/mm/dd"),1),"")</f>
        <v>230085272.06</v>
      </c>
      <c r="K1063">
        <f>IFERROR([1]!s_stm07_cs($A1063,"W77130581",TEXT($B$1,"yyyy/mm/dd"),1),"")</f>
        <v>1687041124.8399999</v>
      </c>
      <c r="L1063">
        <f>IFERROR([1]!s_stm07_cs($A1063,"W77745895",TEXT($B$1,"yyyy/mm/dd"),1),"")</f>
        <v>1191437731.73</v>
      </c>
      <c r="M1063">
        <f>IFERROR([1]!S_FA_EPS_basic2($A1063,$B$1,"Cur=CNY"),"")</f>
        <v>0.16739999999999999</v>
      </c>
      <c r="N1063">
        <f>IFERROR([1]!s_fa_arturndays($A1063,TEXT($B$1,"yyyy/mm/dd")),"")</f>
        <v>78.465599999999995</v>
      </c>
      <c r="O1063" t="str">
        <f>IFERROR([1]!fa_apturndays($A1063,TEXT($B$1,"yyyy/mm/dd")),"")</f>
        <v>Fetch...</v>
      </c>
      <c r="P1063">
        <f>IFERROR([1]!s_fa_invturndays($A1063,TEXT($B$1,"yyyy/mm/dd")),"")</f>
        <v>54.27</v>
      </c>
    </row>
    <row r="1064" spans="1:16">
      <c r="A1064" t="s">
        <v>1077</v>
      </c>
      <c r="B1064">
        <f>IFERROR([1]!s_stm07_is($A1064,"W70156729",TEXT($B$1,"yyyy/mm/dd"),1),"")</f>
        <v>52468280576.720001</v>
      </c>
      <c r="C1064">
        <f>IFERROR([1]!s_stm07_is($A1064,"W75682424",TEXT($B$1,"yyyy/mm/dd"),1),"")</f>
        <v>49008442996.720001</v>
      </c>
      <c r="D1064">
        <f>IFERROR([1]!s_stm07_is($A1064,"W76031679",TEXT($B$1,"yyyy/mm/dd"),1),"")</f>
        <v>724522148.23000002</v>
      </c>
      <c r="E1064">
        <f>IFERROR([1]!s_stm07_is($A1064,"W70752487",TEXT($B$1,"yyyy/mm/dd"),1),"")</f>
        <v>465457096.69999999</v>
      </c>
      <c r="F1064">
        <f>IFERROR([1]!s_stm07_is_103($A1064,TEXT($B$1,"yyyy/mm/dd"),1),"")</f>
        <v>69305717.060000002</v>
      </c>
      <c r="G1064">
        <f>IFERROR([1]!s_stm07_is_104($A1064,TEXT($B$1,"yyyy/mm/dd"),1),"")</f>
        <v>27165852.32</v>
      </c>
      <c r="H1064">
        <f>IFERROR([1]!s_stm07_is_105($A1064,TEXT($B$1,"yyyy/mm/dd"),1),"")</f>
        <v>56090455.020000003</v>
      </c>
      <c r="I1064">
        <f>IFERROR([1]!s_stm07_is($A1064,"W72946623",TEXT($B$1,"yyyy/mm/dd"),1),"")</f>
        <v>2600142573.3400002</v>
      </c>
      <c r="J1064">
        <f>IFERROR([1]!s_stm07_is($A1064,"W30028333",TEXT($B$1,"yyyy/mm/dd"),1),"")</f>
        <v>1996593114.46</v>
      </c>
      <c r="K1064">
        <f>IFERROR([1]!s_stm07_cs($A1064,"W77130581",TEXT($B$1,"yyyy/mm/dd"),1),"")</f>
        <v>2005517512.0599999</v>
      </c>
      <c r="L1064">
        <f>IFERROR([1]!s_stm07_cs($A1064,"W77745895",TEXT($B$1,"yyyy/mm/dd"),1),"")</f>
        <v>68194378.170000002</v>
      </c>
      <c r="M1064">
        <f>IFERROR([1]!S_FA_EPS_basic2($A1064,$B$1,"Cur=CNY"),"")</f>
        <v>2.6461999999999999</v>
      </c>
      <c r="N1064">
        <f>IFERROR([1]!s_fa_arturndays($A1064,TEXT($B$1,"yyyy/mm/dd")),"")</f>
        <v>86.042100000000005</v>
      </c>
      <c r="O1064" t="str">
        <f>IFERROR([1]!fa_apturndays($A1064,TEXT($B$1,"yyyy/mm/dd")),"")</f>
        <v>Fetch...</v>
      </c>
      <c r="P1064">
        <f>IFERROR([1]!s_fa_invturndays($A1064,TEXT($B$1,"yyyy/mm/dd")),"")</f>
        <v>37.318800000000003</v>
      </c>
    </row>
    <row r="1065" spans="1:16">
      <c r="A1065" t="s">
        <v>1078</v>
      </c>
      <c r="B1065">
        <f>IFERROR([1]!s_stm07_is($A1065,"W70156729",TEXT($B$1,"yyyy/mm/dd"),1),"")</f>
        <v>4420103596.1700001</v>
      </c>
      <c r="C1065">
        <f>IFERROR([1]!s_stm07_is($A1065,"W75682424",TEXT($B$1,"yyyy/mm/dd"),1),"")</f>
        <v>3139374929.02</v>
      </c>
      <c r="D1065">
        <f>IFERROR([1]!s_stm07_is($A1065,"W76031679",TEXT($B$1,"yyyy/mm/dd"),1),"")</f>
        <v>152304900.19</v>
      </c>
      <c r="E1065">
        <f>IFERROR([1]!s_stm07_is($A1065,"W70752487",TEXT($B$1,"yyyy/mm/dd"),1),"")</f>
        <v>658727302.48000002</v>
      </c>
      <c r="F1065">
        <f>IFERROR([1]!s_stm07_is_103($A1065,TEXT($B$1,"yyyy/mm/dd"),1),"")</f>
        <v>1456310.68</v>
      </c>
      <c r="G1065">
        <f>IFERROR([1]!s_stm07_is_104($A1065,TEXT($B$1,"yyyy/mm/dd"),1),"")</f>
        <v>584618880.94000006</v>
      </c>
      <c r="H1065">
        <f>IFERROR([1]!s_stm07_is_105($A1065,TEXT($B$1,"yyyy/mm/dd"),1),"")</f>
        <v>85573323.560000002</v>
      </c>
      <c r="I1065">
        <f>IFERROR([1]!s_stm07_is($A1065,"W72946623",TEXT($B$1,"yyyy/mm/dd"),1),"")</f>
        <v>203216000.66999999</v>
      </c>
      <c r="J1065">
        <f>IFERROR([1]!s_stm07_is($A1065,"W30028333",TEXT($B$1,"yyyy/mm/dd"),1),"")</f>
        <v>218564398.53</v>
      </c>
      <c r="K1065">
        <f>IFERROR([1]!s_stm07_cs($A1065,"W77130581",TEXT($B$1,"yyyy/mm/dd"),1),"")</f>
        <v>110732369.68000001</v>
      </c>
      <c r="L1065">
        <f>IFERROR([1]!s_stm07_cs($A1065,"W77745895",TEXT($B$1,"yyyy/mm/dd"),1),"")</f>
        <v>521482584.11000001</v>
      </c>
      <c r="M1065">
        <f>IFERROR([1]!S_FA_EPS_basic2($A1065,$B$1,"Cur=CNY"),"")</f>
        <v>1.9099999999999999E-2</v>
      </c>
      <c r="N1065">
        <f>IFERROR([1]!s_fa_arturndays($A1065,TEXT($B$1,"yyyy/mm/dd")),"")</f>
        <v>87.296000000000006</v>
      </c>
      <c r="O1065" t="str">
        <f>IFERROR([1]!fa_apturndays($A1065,TEXT($B$1,"yyyy/mm/dd")),"")</f>
        <v>Fetch...</v>
      </c>
      <c r="P1065">
        <f>IFERROR([1]!s_fa_invturndays($A1065,TEXT($B$1,"yyyy/mm/dd")),"")</f>
        <v>1563.8575000000001</v>
      </c>
    </row>
    <row r="1066" spans="1:16">
      <c r="A1066" t="s">
        <v>1079</v>
      </c>
      <c r="B1066">
        <f>IFERROR([1]!s_stm07_is($A1066,"W70156729",TEXT($B$1,"yyyy/mm/dd"),1),"")</f>
        <v>3526530548.54</v>
      </c>
      <c r="C1066">
        <f>IFERROR([1]!s_stm07_is($A1066,"W75682424",TEXT($B$1,"yyyy/mm/dd"),1),"")</f>
        <v>3095186901.96</v>
      </c>
      <c r="D1066">
        <f>IFERROR([1]!s_stm07_is($A1066,"W76031679",TEXT($B$1,"yyyy/mm/dd"),1),"")</f>
        <v>77125649.549999997</v>
      </c>
      <c r="E1066">
        <f>IFERROR([1]!s_stm07_is($A1066,"W70752487",TEXT($B$1,"yyyy/mm/dd"),1),"")</f>
        <v>343030218.56999999</v>
      </c>
      <c r="F1066">
        <f>IFERROR([1]!s_stm07_is_103($A1066,TEXT($B$1,"yyyy/mm/dd"),1),"")</f>
        <v>65602390.350000001</v>
      </c>
      <c r="G1066">
        <f>IFERROR([1]!s_stm07_is_104($A1066,TEXT($B$1,"yyyy/mm/dd"),1),"")</f>
        <v>27590823.530000001</v>
      </c>
      <c r="H1066">
        <f>IFERROR([1]!s_stm07_is_105($A1066,TEXT($B$1,"yyyy/mm/dd"),1),"")</f>
        <v>110115264.3</v>
      </c>
      <c r="I1066">
        <f>IFERROR([1]!s_stm07_is($A1066,"W72946623",TEXT($B$1,"yyyy/mm/dd"),1),"")</f>
        <v>128395538.73999999</v>
      </c>
      <c r="J1066">
        <f>IFERROR([1]!s_stm07_is($A1066,"W30028333",TEXT($B$1,"yyyy/mm/dd"),1),"")</f>
        <v>93042230.069999993</v>
      </c>
      <c r="K1066">
        <f>IFERROR([1]!s_stm07_cs($A1066,"W77130581",TEXT($B$1,"yyyy/mm/dd"),1),"")</f>
        <v>-199651825.90000001</v>
      </c>
      <c r="L1066">
        <f>IFERROR([1]!s_stm07_cs($A1066,"W77745895",TEXT($B$1,"yyyy/mm/dd"),1),"")</f>
        <v>32574834.52</v>
      </c>
      <c r="M1066">
        <f>IFERROR([1]!S_FA_EPS_basic2($A1066,$B$1,"Cur=CNY"),"")</f>
        <v>0.02</v>
      </c>
      <c r="N1066">
        <f>IFERROR([1]!s_fa_arturndays($A1066,TEXT($B$1,"yyyy/mm/dd")),"")</f>
        <v>42.426299999999998</v>
      </c>
      <c r="O1066" t="str">
        <f>IFERROR([1]!fa_apturndays($A1066,TEXT($B$1,"yyyy/mm/dd")),"")</f>
        <v>Fetch...</v>
      </c>
      <c r="P1066">
        <f>IFERROR([1]!s_fa_invturndays($A1066,TEXT($B$1,"yyyy/mm/dd")),"")</f>
        <v>184.4357</v>
      </c>
    </row>
    <row r="1067" spans="1:16">
      <c r="A1067" t="s">
        <v>1080</v>
      </c>
      <c r="B1067">
        <f>IFERROR([1]!s_stm07_is($A1067,"W70156729",TEXT($B$1,"yyyy/mm/dd"),1),"")</f>
        <v>11954866460.58</v>
      </c>
      <c r="C1067">
        <f>IFERROR([1]!s_stm07_is($A1067,"W75682424",TEXT($B$1,"yyyy/mm/dd"),1),"")</f>
        <v>7035780902.8100004</v>
      </c>
      <c r="D1067">
        <f>IFERROR([1]!s_stm07_is($A1067,"W76031679",TEXT($B$1,"yyyy/mm/dd"),1),"")</f>
        <v>269954274.29000002</v>
      </c>
      <c r="E1067">
        <f>IFERROR([1]!s_stm07_is($A1067,"W70752487",TEXT($B$1,"yyyy/mm/dd"),1),"")</f>
        <v>1298394598.3299999</v>
      </c>
      <c r="F1067">
        <f>IFERROR([1]!s_stm07_is_103($A1067,TEXT($B$1,"yyyy/mm/dd"),1),"")</f>
        <v>317174445.22000003</v>
      </c>
      <c r="G1067">
        <f>IFERROR([1]!s_stm07_is_104($A1067,TEXT($B$1,"yyyy/mm/dd"),1),"")</f>
        <v>322959.87</v>
      </c>
      <c r="H1067">
        <f>IFERROR([1]!s_stm07_is_105($A1067,TEXT($B$1,"yyyy/mm/dd"),1),"")</f>
        <v>19757462.940000001</v>
      </c>
      <c r="I1067">
        <f>IFERROR([1]!s_stm07_is($A1067,"W72946623",TEXT($B$1,"yyyy/mm/dd"),1),"")</f>
        <v>4558228599.7299995</v>
      </c>
      <c r="J1067">
        <f>IFERROR([1]!s_stm07_is($A1067,"W30028333",TEXT($B$1,"yyyy/mm/dd"),1),"")</f>
        <v>2530516291.5300002</v>
      </c>
      <c r="K1067">
        <f>IFERROR([1]!s_stm07_cs($A1067,"W77130581",TEXT($B$1,"yyyy/mm/dd"),1),"")</f>
        <v>1768770111.6400001</v>
      </c>
      <c r="L1067">
        <f>IFERROR([1]!s_stm07_cs($A1067,"W77745895",TEXT($B$1,"yyyy/mm/dd"),1),"")</f>
        <v>154056467.56</v>
      </c>
      <c r="M1067">
        <f>IFERROR([1]!S_FA_EPS_basic2($A1067,$B$1,"Cur=CNY"),"")</f>
        <v>0.443</v>
      </c>
      <c r="N1067">
        <f>IFERROR([1]!s_fa_arturndays($A1067,TEXT($B$1,"yyyy/mm/dd")),"")</f>
        <v>154.00409999999999</v>
      </c>
      <c r="O1067" t="str">
        <f>IFERROR([1]!fa_apturndays($A1067,TEXT($B$1,"yyyy/mm/dd")),"")</f>
        <v>Fetch...</v>
      </c>
      <c r="P1067">
        <f>IFERROR([1]!s_fa_invturndays($A1067,TEXT($B$1,"yyyy/mm/dd")),"")</f>
        <v>65.359499999999997</v>
      </c>
    </row>
    <row r="1068" spans="1:16">
      <c r="A1068" t="s">
        <v>1081</v>
      </c>
      <c r="B1068">
        <f>IFERROR([1]!s_stm07_is($A1068,"W70156729",TEXT($B$1,"yyyy/mm/dd"),1),"")</f>
        <v>172054171890.91</v>
      </c>
      <c r="C1068">
        <f>IFERROR([1]!s_stm07_is($A1068,"W75682424",TEXT($B$1,"yyyy/mm/dd"),1),"")</f>
        <v>14892277570.91</v>
      </c>
      <c r="D1068">
        <f>IFERROR([1]!s_stm07_is($A1068,"W76031679",TEXT($B$1,"yyyy/mm/dd"),1),"")</f>
        <v>7253499600.6800003</v>
      </c>
      <c r="E1068">
        <f>IFERROR([1]!s_stm07_is($A1068,"W70752487",TEXT($B$1,"yyyy/mm/dd"),1),"")</f>
        <v>8320061659.6599998</v>
      </c>
      <c r="F1068">
        <f>IFERROR([1]!s_stm07_is_103($A1068,TEXT($B$1,"yyyy/mm/dd"),1),"")</f>
        <v>190112246.58000001</v>
      </c>
      <c r="G1068">
        <f>IFERROR([1]!s_stm07_is_104($A1068,TEXT($B$1,"yyyy/mm/dd"),1),"")</f>
        <v>28734948.289999999</v>
      </c>
      <c r="H1068">
        <f>IFERROR([1]!s_stm07_is_105($A1068,TEXT($B$1,"yyyy/mm/dd"),1),"")</f>
        <v>842988240.60000002</v>
      </c>
      <c r="I1068">
        <f>IFERROR([1]!s_stm07_is($A1068,"W72946623",TEXT($B$1,"yyyy/mm/dd"),1),"")</f>
        <v>114755261605.08</v>
      </c>
      <c r="J1068">
        <f>IFERROR([1]!s_stm07_is($A1068,"W30028333",TEXT($B$1,"yyyy/mm/dd"),1),"")</f>
        <v>82320067101.679993</v>
      </c>
      <c r="K1068">
        <f>IFERROR([1]!s_stm07_cs($A1068,"W77130581",TEXT($B$1,"yyyy/mm/dd"),1),"")</f>
        <v>61522204989.349998</v>
      </c>
      <c r="L1068">
        <f>IFERROR([1]!s_stm07_cs($A1068,"W77745895",TEXT($B$1,"yyyy/mm/dd"),1),"")</f>
        <v>3127594916.4099998</v>
      </c>
      <c r="M1068">
        <f>IFERROR([1]!S_FA_EPS_basic2($A1068,$B$1,"Cur=CNY"),"")</f>
        <v>65.66</v>
      </c>
      <c r="N1068">
        <f>IFERROR([1]!s_fa_arturndays($A1068,TEXT($B$1,"yyyy/mm/dd")),"")</f>
        <v>2.3E-2</v>
      </c>
      <c r="O1068">
        <f>IFERROR([1]!fa_apturndays($A1068,TEXT($B$1,"yyyy/mm/dd")),"")</f>
        <v>90.920282944314096</v>
      </c>
      <c r="P1068">
        <f>IFERROR([1]!s_fa_invturndays($A1068,TEXT($B$1,"yyyy/mm/dd")),"")</f>
        <v>1399.145</v>
      </c>
    </row>
    <row r="1069" spans="1:16">
      <c r="A1069" t="s">
        <v>1082</v>
      </c>
      <c r="B1069">
        <f>IFERROR([1]!s_stm07_is($A1069,"W70156729",TEXT($B$1,"yyyy/mm/dd"),1),"")</f>
        <v>8587145652.0799999</v>
      </c>
      <c r="C1069">
        <f>IFERROR([1]!s_stm07_is($A1069,"W75682424",TEXT($B$1,"yyyy/mm/dd"),1),"")</f>
        <v>3421513359.52</v>
      </c>
      <c r="D1069">
        <f>IFERROR([1]!s_stm07_is($A1069,"W76031679",TEXT($B$1,"yyyy/mm/dd"),1),"")</f>
        <v>1577067587.51</v>
      </c>
      <c r="E1069">
        <f>IFERROR([1]!s_stm07_is($A1069,"W70752487",TEXT($B$1,"yyyy/mm/dd"),1),"")</f>
        <v>1558912337.6199999</v>
      </c>
      <c r="F1069">
        <f>IFERROR([1]!s_stm07_is_103($A1069,TEXT($B$1,"yyyy/mm/dd"),1),"")</f>
        <v>1229124707.8599999</v>
      </c>
      <c r="G1069">
        <f>IFERROR([1]!s_stm07_is_104($A1069,TEXT($B$1,"yyyy/mm/dd"),1),"")</f>
        <v>233603535.28999999</v>
      </c>
      <c r="H1069">
        <f>IFERROR([1]!s_stm07_is_105($A1069,TEXT($B$1,"yyyy/mm/dd"),1),"")</f>
        <v>25828430.93</v>
      </c>
      <c r="I1069">
        <f>IFERROR([1]!s_stm07_is($A1069,"W72946623",TEXT($B$1,"yyyy/mm/dd"),1),"")</f>
        <v>443877072</v>
      </c>
      <c r="J1069">
        <f>IFERROR([1]!s_stm07_is($A1069,"W30028333",TEXT($B$1,"yyyy/mm/dd"),1),"")</f>
        <v>266399456.11000001</v>
      </c>
      <c r="K1069">
        <f>IFERROR([1]!s_stm07_cs($A1069,"W77130581",TEXT($B$1,"yyyy/mm/dd"),1),"")</f>
        <v>1230088568.8900001</v>
      </c>
      <c r="L1069">
        <f>IFERROR([1]!s_stm07_cs($A1069,"W77745895",TEXT($B$1,"yyyy/mm/dd"),1),"")</f>
        <v>1966048669.6500001</v>
      </c>
      <c r="M1069">
        <f>IFERROR([1]!S_FA_EPS_basic2($A1069,$B$1,"Cur=CNY"),"")</f>
        <v>0.18</v>
      </c>
      <c r="N1069">
        <f>IFERROR([1]!s_fa_arturndays($A1069,TEXT($B$1,"yyyy/mm/dd")),"")</f>
        <v>121.79859999999999</v>
      </c>
      <c r="O1069" t="str">
        <f>IFERROR([1]!fa_apturndays($A1069,TEXT($B$1,"yyyy/mm/dd")),"")</f>
        <v>Fetch...</v>
      </c>
      <c r="P1069">
        <f>IFERROR([1]!s_fa_invturndays($A1069,TEXT($B$1,"yyyy/mm/dd")),"")</f>
        <v>374.88279999999997</v>
      </c>
    </row>
    <row r="1070" spans="1:16">
      <c r="A1070" t="s">
        <v>1083</v>
      </c>
      <c r="B1070">
        <f>IFERROR([1]!s_stm07_is($A1070,"W70156729",TEXT($B$1,"yyyy/mm/dd"),1),"")</f>
        <v>52499857493.339996</v>
      </c>
      <c r="C1070">
        <f>IFERROR([1]!s_stm07_is($A1070,"W75682424",TEXT($B$1,"yyyy/mm/dd"),1),"")</f>
        <v>45215118845.400002</v>
      </c>
      <c r="D1070">
        <f>IFERROR([1]!s_stm07_is($A1070,"W76031679",TEXT($B$1,"yyyy/mm/dd"),1),"")</f>
        <v>1273833162.51</v>
      </c>
      <c r="E1070">
        <f>IFERROR([1]!s_stm07_is($A1070,"W70752487",TEXT($B$1,"yyyy/mm/dd"),1),"")</f>
        <v>846335181.36000001</v>
      </c>
      <c r="F1070">
        <f>IFERROR([1]!s_stm07_is_103($A1070,TEXT($B$1,"yyyy/mm/dd"),1),"")</f>
        <v>2079458442.74</v>
      </c>
      <c r="G1070">
        <f>IFERROR([1]!s_stm07_is_104($A1070,TEXT($B$1,"yyyy/mm/dd"),1),"")</f>
        <v>96525704.5</v>
      </c>
      <c r="H1070">
        <f>IFERROR([1]!s_stm07_is_105($A1070,TEXT($B$1,"yyyy/mm/dd"),1),"")</f>
        <v>212975367.78999999</v>
      </c>
      <c r="I1070">
        <f>IFERROR([1]!s_stm07_is($A1070,"W72946623",TEXT($B$1,"yyyy/mm/dd"),1),"")</f>
        <v>3402949828.9200001</v>
      </c>
      <c r="J1070">
        <f>IFERROR([1]!s_stm07_is($A1070,"W30028333",TEXT($B$1,"yyyy/mm/dd"),1),"")</f>
        <v>2902294275.4899998</v>
      </c>
      <c r="K1070">
        <f>IFERROR([1]!s_stm07_cs($A1070,"W77130581",TEXT($B$1,"yyyy/mm/dd"),1),"")</f>
        <v>4751329244.0799999</v>
      </c>
      <c r="L1070">
        <f>IFERROR([1]!s_stm07_cs($A1070,"W77745895",TEXT($B$1,"yyyy/mm/dd"),1),"")</f>
        <v>1624742297.1700001</v>
      </c>
      <c r="M1070">
        <f>IFERROR([1]!S_FA_EPS_basic2($A1070,$B$1,"Cur=CNY"),"")</f>
        <v>0.85699999999999998</v>
      </c>
      <c r="N1070">
        <f>IFERROR([1]!s_fa_arturndays($A1070,TEXT($B$1,"yyyy/mm/dd")),"")</f>
        <v>99.728499999999997</v>
      </c>
      <c r="O1070" t="str">
        <f>IFERROR([1]!fa_apturndays($A1070,TEXT($B$1,"yyyy/mm/dd")),"")</f>
        <v>Fetch...</v>
      </c>
      <c r="P1070">
        <f>IFERROR([1]!s_fa_invturndays($A1070,TEXT($B$1,"yyyy/mm/dd")),"")</f>
        <v>55.533299999999997</v>
      </c>
    </row>
    <row r="1071" spans="1:16">
      <c r="A1071" t="s">
        <v>1084</v>
      </c>
      <c r="B1071">
        <f>IFERROR([1]!s_stm07_is($A1071,"W70156729",TEXT($B$1,"yyyy/mm/dd"),1),"")</f>
        <v>27690199623.189999</v>
      </c>
      <c r="C1071">
        <f>IFERROR([1]!s_stm07_is($A1071,"W75682424",TEXT($B$1,"yyyy/mm/dd"),1),"")</f>
        <v>22503840783.259998</v>
      </c>
      <c r="D1071">
        <f>IFERROR([1]!s_stm07_is($A1071,"W76031679",TEXT($B$1,"yyyy/mm/dd"),1),"")</f>
        <v>623747281.33000004</v>
      </c>
      <c r="E1071">
        <f>IFERROR([1]!s_stm07_is($A1071,"W70752487",TEXT($B$1,"yyyy/mm/dd"),1),"")</f>
        <v>1261433368.53</v>
      </c>
      <c r="F1071">
        <f>IFERROR([1]!s_stm07_is_103($A1071,TEXT($B$1,"yyyy/mm/dd"),1),"")</f>
        <v>1730666607.72</v>
      </c>
      <c r="G1071">
        <f>IFERROR([1]!s_stm07_is_104($A1071,TEXT($B$1,"yyyy/mm/dd"),1),"")</f>
        <v>48337867.439999998</v>
      </c>
      <c r="H1071">
        <f>IFERROR([1]!s_stm07_is_105($A1071,TEXT($B$1,"yyyy/mm/dd"),1),"")</f>
        <v>48658085.829999998</v>
      </c>
      <c r="I1071">
        <f>IFERROR([1]!s_stm07_is($A1071,"W72946623",TEXT($B$1,"yyyy/mm/dd"),1),"")</f>
        <v>1510137220.45</v>
      </c>
      <c r="J1071">
        <f>IFERROR([1]!s_stm07_is($A1071,"W30028333",TEXT($B$1,"yyyy/mm/dd"),1),"")</f>
        <v>1366789129.0899999</v>
      </c>
      <c r="K1071">
        <f>IFERROR([1]!s_stm07_cs($A1071,"W77130581",TEXT($B$1,"yyyy/mm/dd"),1),"")</f>
        <v>1098472160.95</v>
      </c>
      <c r="L1071">
        <f>IFERROR([1]!s_stm07_cs($A1071,"W77745895",TEXT($B$1,"yyyy/mm/dd"),1),"")</f>
        <v>880606043.11000001</v>
      </c>
      <c r="M1071">
        <f>IFERROR([1]!S_FA_EPS_basic2($A1071,$B$1,"Cur=CNY"),"")</f>
        <v>0.59</v>
      </c>
      <c r="N1071">
        <f>IFERROR([1]!s_fa_arturndays($A1071,TEXT($B$1,"yyyy/mm/dd")),"")</f>
        <v>232.57320000000001</v>
      </c>
      <c r="O1071" t="str">
        <f>IFERROR([1]!fa_apturndays($A1071,TEXT($B$1,"yyyy/mm/dd")),"")</f>
        <v>Fetch...</v>
      </c>
      <c r="P1071">
        <f>IFERROR([1]!s_fa_invturndays($A1071,TEXT($B$1,"yyyy/mm/dd")),"")</f>
        <v>366.11410000000001</v>
      </c>
    </row>
    <row r="1072" spans="1:16">
      <c r="A1072" t="s">
        <v>1085</v>
      </c>
      <c r="B1072">
        <f>IFERROR([1]!s_stm07_is($A1072,"W70156729",TEXT($B$1,"yyyy/mm/dd"),1),"")</f>
        <v>4474018978.75</v>
      </c>
      <c r="C1072">
        <f>IFERROR([1]!s_stm07_is($A1072,"W75682424",TEXT($B$1,"yyyy/mm/dd"),1),"")</f>
        <v>2983735053.3299999</v>
      </c>
      <c r="D1072">
        <f>IFERROR([1]!s_stm07_is($A1072,"W76031679",TEXT($B$1,"yyyy/mm/dd"),1),"")</f>
        <v>107683043.93000001</v>
      </c>
      <c r="E1072">
        <f>IFERROR([1]!s_stm07_is($A1072,"W70752487",TEXT($B$1,"yyyy/mm/dd"),1),"")</f>
        <v>232409811.05000001</v>
      </c>
      <c r="F1072">
        <f>IFERROR([1]!s_stm07_is_103($A1072,TEXT($B$1,"yyyy/mm/dd"),1),"")</f>
        <v>174795365.97999999</v>
      </c>
      <c r="G1072">
        <f>IFERROR([1]!s_stm07_is_104($A1072,TEXT($B$1,"yyyy/mm/dd"),1),"")</f>
        <v>514193.21</v>
      </c>
      <c r="H1072">
        <f>IFERROR([1]!s_stm07_is_105($A1072,TEXT($B$1,"yyyy/mm/dd"),1),"")</f>
        <v>12852652.029999999</v>
      </c>
      <c r="I1072">
        <f>IFERROR([1]!s_stm07_is($A1072,"W72946623",TEXT($B$1,"yyyy/mm/dd"),1),"")</f>
        <v>830828068.78999996</v>
      </c>
      <c r="J1072">
        <f>IFERROR([1]!s_stm07_is($A1072,"W30028333",TEXT($B$1,"yyyy/mm/dd"),1),"")</f>
        <v>689626040.65999997</v>
      </c>
      <c r="K1072">
        <f>IFERROR([1]!s_stm07_cs($A1072,"W77130581",TEXT($B$1,"yyyy/mm/dd"),1),"")</f>
        <v>576924963.36000001</v>
      </c>
      <c r="L1072">
        <f>IFERROR([1]!s_stm07_cs($A1072,"W77745895",TEXT($B$1,"yyyy/mm/dd"),1),"")</f>
        <v>231864537.19</v>
      </c>
      <c r="M1072">
        <f>IFERROR([1]!S_FA_EPS_basic2($A1072,$B$1,"Cur=CNY"),"")</f>
        <v>1.04</v>
      </c>
      <c r="N1072">
        <f>IFERROR([1]!s_fa_arturndays($A1072,TEXT($B$1,"yyyy/mm/dd")),"")</f>
        <v>74.487899999999996</v>
      </c>
      <c r="O1072" t="str">
        <f>IFERROR([1]!fa_apturndays($A1072,TEXT($B$1,"yyyy/mm/dd")),"")</f>
        <v>Fetch...</v>
      </c>
      <c r="P1072">
        <f>IFERROR([1]!s_fa_invturndays($A1072,TEXT($B$1,"yyyy/mm/dd")),"")</f>
        <v>179.4348</v>
      </c>
    </row>
    <row r="1073" spans="1:16">
      <c r="A1073" t="s">
        <v>1086</v>
      </c>
      <c r="B1073">
        <f>IFERROR([1]!s_stm07_is($A1073,"W70156729",TEXT($B$1,"yyyy/mm/dd"),1),"")</f>
        <v>49553593201.18</v>
      </c>
      <c r="C1073">
        <f>IFERROR([1]!s_stm07_is($A1073,"W75682424",TEXT($B$1,"yyyy/mm/dd"),1),"")</f>
        <v>47011739389.970001</v>
      </c>
      <c r="D1073">
        <f>IFERROR([1]!s_stm07_is($A1073,"W76031679",TEXT($B$1,"yyyy/mm/dd"),1),"")</f>
        <v>94298969.409999996</v>
      </c>
      <c r="E1073">
        <f>IFERROR([1]!s_stm07_is($A1073,"W70752487",TEXT($B$1,"yyyy/mm/dd"),1),"")</f>
        <v>252940338.31999999</v>
      </c>
      <c r="F1073">
        <f>IFERROR([1]!s_stm07_is_103($A1073,TEXT($B$1,"yyyy/mm/dd"),1),"")</f>
        <v>311159912.24000001</v>
      </c>
      <c r="G1073">
        <f>IFERROR([1]!s_stm07_is_104($A1073,TEXT($B$1,"yyyy/mm/dd"),1),"")</f>
        <v>328987277.19</v>
      </c>
      <c r="H1073">
        <f>IFERROR([1]!s_stm07_is_105($A1073,TEXT($B$1,"yyyy/mm/dd"),1),"")</f>
        <v>10761704.08</v>
      </c>
      <c r="I1073">
        <f>IFERROR([1]!s_stm07_is($A1073,"W72946623",TEXT($B$1,"yyyy/mm/dd"),1),"")</f>
        <v>1101455327.6300001</v>
      </c>
      <c r="J1073">
        <f>IFERROR([1]!s_stm07_is($A1073,"W30028333",TEXT($B$1,"yyyy/mm/dd"),1),"")</f>
        <v>860092192.15999997</v>
      </c>
      <c r="K1073">
        <f>IFERROR([1]!s_stm07_cs($A1073,"W77130581",TEXT($B$1,"yyyy/mm/dd"),1),"")</f>
        <v>510154447.39999998</v>
      </c>
      <c r="L1073">
        <f>IFERROR([1]!s_stm07_cs($A1073,"W77745895",TEXT($B$1,"yyyy/mm/dd"),1),"")</f>
        <v>405384655.04000002</v>
      </c>
      <c r="M1073">
        <f>IFERROR([1]!S_FA_EPS_basic2($A1073,$B$1,"Cur=CNY"),"")</f>
        <v>0.79</v>
      </c>
      <c r="N1073">
        <f>IFERROR([1]!s_fa_arturndays($A1073,TEXT($B$1,"yyyy/mm/dd")),"")</f>
        <v>2.3292000000000002</v>
      </c>
      <c r="O1073" t="str">
        <f>IFERROR([1]!fa_apturndays($A1073,TEXT($B$1,"yyyy/mm/dd")),"")</f>
        <v>Fetch...</v>
      </c>
      <c r="P1073">
        <f>IFERROR([1]!s_fa_invturndays($A1073,TEXT($B$1,"yyyy/mm/dd")),"")</f>
        <v>86.242000000000004</v>
      </c>
    </row>
    <row r="1074" spans="1:16">
      <c r="A1074" t="s">
        <v>1087</v>
      </c>
      <c r="B1074">
        <f>IFERROR([1]!s_stm07_is($A1074,"W70156729",TEXT($B$1,"yyyy/mm/dd"),1),"")</f>
        <v>8236477437.8000002</v>
      </c>
      <c r="C1074">
        <f>IFERROR([1]!s_stm07_is($A1074,"W75682424",TEXT($B$1,"yyyy/mm/dd"),1),"")</f>
        <v>2729994133.7600002</v>
      </c>
      <c r="D1074">
        <f>IFERROR([1]!s_stm07_is($A1074,"W76031679",TEXT($B$1,"yyyy/mm/dd"),1),"")</f>
        <v>2971866428.3899999</v>
      </c>
      <c r="E1074">
        <f>IFERROR([1]!s_stm07_is($A1074,"W70752487",TEXT($B$1,"yyyy/mm/dd"),1),"")</f>
        <v>334234879.24000001</v>
      </c>
      <c r="F1074">
        <f>IFERROR([1]!s_stm07_is_103($A1074,TEXT($B$1,"yyyy/mm/dd"),1),"")</f>
        <v>685658984.75</v>
      </c>
      <c r="G1074">
        <f>IFERROR([1]!s_stm07_is_104($A1074,TEXT($B$1,"yyyy/mm/dd"),1),"")</f>
        <v>32495515.91</v>
      </c>
      <c r="H1074">
        <f>IFERROR([1]!s_stm07_is_105($A1074,TEXT($B$1,"yyyy/mm/dd"),1),"")</f>
        <v>58341243.020000003</v>
      </c>
      <c r="I1074">
        <f>IFERROR([1]!s_stm07_is($A1074,"W72946623",TEXT($B$1,"yyyy/mm/dd"),1),"")</f>
        <v>1345215745.9400001</v>
      </c>
      <c r="J1074">
        <f>IFERROR([1]!s_stm07_is($A1074,"W30028333",TEXT($B$1,"yyyy/mm/dd"),1),"")</f>
        <v>1104961925.73</v>
      </c>
      <c r="K1074">
        <f>IFERROR([1]!s_stm07_cs($A1074,"W77130581",TEXT($B$1,"yyyy/mm/dd"),1),"")</f>
        <v>1424751577.01</v>
      </c>
      <c r="L1074">
        <f>IFERROR([1]!s_stm07_cs($A1074,"W77745895",TEXT($B$1,"yyyy/mm/dd"),1),"")</f>
        <v>381263506.26999998</v>
      </c>
      <c r="M1074">
        <f>IFERROR([1]!S_FA_EPS_basic2($A1074,$B$1,"Cur=CNY"),"")</f>
        <v>0.74</v>
      </c>
      <c r="N1074">
        <f>IFERROR([1]!s_fa_arturndays($A1074,TEXT($B$1,"yyyy/mm/dd")),"")</f>
        <v>41.490400000000001</v>
      </c>
      <c r="O1074" t="str">
        <f>IFERROR([1]!fa_apturndays($A1074,TEXT($B$1,"yyyy/mm/dd")),"")</f>
        <v>Fetch...</v>
      </c>
      <c r="P1074">
        <f>IFERROR([1]!s_fa_invturndays($A1074,TEXT($B$1,"yyyy/mm/dd")),"")</f>
        <v>206.96789999999999</v>
      </c>
    </row>
    <row r="1075" spans="1:16">
      <c r="A1075" t="s">
        <v>1088</v>
      </c>
      <c r="B1075">
        <f>IFERROR([1]!s_stm07_is($A1075,"W70156729",TEXT($B$1,"yyyy/mm/dd"),1),"")</f>
        <v>5102229714.1899996</v>
      </c>
      <c r="C1075">
        <f>IFERROR([1]!s_stm07_is($A1075,"W75682424",TEXT($B$1,"yyyy/mm/dd"),1),"")</f>
        <v>2939760864.7399998</v>
      </c>
      <c r="D1075">
        <f>IFERROR([1]!s_stm07_is($A1075,"W76031679",TEXT($B$1,"yyyy/mm/dd"),1),"")</f>
        <v>546737575.02999997</v>
      </c>
      <c r="E1075">
        <f>IFERROR([1]!s_stm07_is($A1075,"W70752487",TEXT($B$1,"yyyy/mm/dd"),1),"")</f>
        <v>753425422.82000005</v>
      </c>
      <c r="F1075">
        <f>IFERROR([1]!s_stm07_is_103($A1075,TEXT($B$1,"yyyy/mm/dd"),1),"")</f>
        <v>725242278.21000004</v>
      </c>
      <c r="G1075">
        <f>IFERROR([1]!s_stm07_is_104($A1075,TEXT($B$1,"yyyy/mm/dd"),1),"")</f>
        <v>44854654.060000002</v>
      </c>
      <c r="H1075">
        <f>IFERROR([1]!s_stm07_is_105($A1075,TEXT($B$1,"yyyy/mm/dd"),1),"")</f>
        <v>26163513.300000001</v>
      </c>
      <c r="I1075">
        <f>IFERROR([1]!s_stm07_is($A1075,"W72946623",TEXT($B$1,"yyyy/mm/dd"),1),"")</f>
        <v>274124741.49000001</v>
      </c>
      <c r="J1075">
        <f>IFERROR([1]!s_stm07_is($A1075,"W30028333",TEXT($B$1,"yyyy/mm/dd"),1),"")</f>
        <v>-41413484.159999996</v>
      </c>
      <c r="K1075">
        <f>IFERROR([1]!s_stm07_cs($A1075,"W77130581",TEXT($B$1,"yyyy/mm/dd"),1),"")</f>
        <v>685444879.21000004</v>
      </c>
      <c r="L1075">
        <f>IFERROR([1]!s_stm07_cs($A1075,"W77745895",TEXT($B$1,"yyyy/mm/dd"),1),"")</f>
        <v>393656116.11000001</v>
      </c>
      <c r="M1075">
        <f>IFERROR([1]!S_FA_EPS_basic2($A1075,$B$1,"Cur=CNY"),"")</f>
        <v>-0.05</v>
      </c>
      <c r="N1075">
        <f>IFERROR([1]!s_fa_arturndays($A1075,TEXT($B$1,"yyyy/mm/dd")),"")</f>
        <v>94.6173</v>
      </c>
      <c r="O1075" t="str">
        <f>IFERROR([1]!fa_apturndays($A1075,TEXT($B$1,"yyyy/mm/dd")),"")</f>
        <v>Fetch...</v>
      </c>
      <c r="P1075">
        <f>IFERROR([1]!s_fa_invturndays($A1075,TEXT($B$1,"yyyy/mm/dd")),"")</f>
        <v>183.1129</v>
      </c>
    </row>
    <row r="1076" spans="1:16">
      <c r="A1076" t="s">
        <v>1089</v>
      </c>
      <c r="B1076">
        <f>IFERROR([1]!s_stm07_is($A1076,"W70156729",TEXT($B$1,"yyyy/mm/dd"),1),"")</f>
        <v>20472192649.150002</v>
      </c>
      <c r="C1076">
        <f>IFERROR([1]!s_stm07_is($A1076,"W75682424",TEXT($B$1,"yyyy/mm/dd"),1),"")</f>
        <v>13182615000.27</v>
      </c>
      <c r="D1076">
        <f>IFERROR([1]!s_stm07_is($A1076,"W76031679",TEXT($B$1,"yyyy/mm/dd"),1),"")</f>
        <v>416254980.94</v>
      </c>
      <c r="E1076">
        <f>IFERROR([1]!s_stm07_is($A1076,"W70752487",TEXT($B$1,"yyyy/mm/dd"),1),"")</f>
        <v>1489457640.1199999</v>
      </c>
      <c r="F1076">
        <f>IFERROR([1]!s_stm07_is_103($A1076,TEXT($B$1,"yyyy/mm/dd"),1),"")</f>
        <v>461702099.66000003</v>
      </c>
      <c r="G1076">
        <f>IFERROR([1]!s_stm07_is_104($A1076,TEXT($B$1,"yyyy/mm/dd"),1),"")</f>
        <v>271328476.26999998</v>
      </c>
      <c r="H1076">
        <f>IFERROR([1]!s_stm07_is_105($A1076,TEXT($B$1,"yyyy/mm/dd"),1),"")</f>
        <v>60054339.899999999</v>
      </c>
      <c r="I1076">
        <f>IFERROR([1]!s_stm07_is($A1076,"W72946623",TEXT($B$1,"yyyy/mm/dd"),1),"")</f>
        <v>3081949669.8600001</v>
      </c>
      <c r="J1076">
        <f>IFERROR([1]!s_stm07_is($A1076,"W30028333",TEXT($B$1,"yyyy/mm/dd"),1),"")</f>
        <v>1166433540.9300001</v>
      </c>
      <c r="K1076">
        <f>IFERROR([1]!s_stm07_cs($A1076,"W77130581",TEXT($B$1,"yyyy/mm/dd"),1),"")</f>
        <v>3355765384.8000002</v>
      </c>
      <c r="L1076">
        <f>IFERROR([1]!s_stm07_cs($A1076,"W77745895",TEXT($B$1,"yyyy/mm/dd"),1),"")</f>
        <v>1218488571.0799999</v>
      </c>
      <c r="M1076">
        <f>IFERROR([1]!S_FA_EPS_basic2($A1076,$B$1,"Cur=CNY"),"")</f>
        <v>0.59</v>
      </c>
      <c r="N1076">
        <f>IFERROR([1]!s_fa_arturndays($A1076,TEXT($B$1,"yyyy/mm/dd")),"")</f>
        <v>4.3540000000000001</v>
      </c>
      <c r="O1076" t="str">
        <f>IFERROR([1]!fa_apturndays($A1076,TEXT($B$1,"yyyy/mm/dd")),"")</f>
        <v>Fetch...</v>
      </c>
      <c r="P1076">
        <f>IFERROR([1]!s_fa_invturndays($A1076,TEXT($B$1,"yyyy/mm/dd")),"")</f>
        <v>19.482399999999998</v>
      </c>
    </row>
    <row r="1077" spans="1:16">
      <c r="A1077" t="s">
        <v>1090</v>
      </c>
      <c r="B1077">
        <f>IFERROR([1]!s_stm07_is($A1077,"W70156729",TEXT($B$1,"yyyy/mm/dd"),1),"")</f>
        <v>104287391583.12</v>
      </c>
      <c r="C1077">
        <f>IFERROR([1]!s_stm07_is($A1077,"W75682424",TEXT($B$1,"yyyy/mm/dd"),1),"")</f>
        <v>82949651366.169998</v>
      </c>
      <c r="D1077">
        <f>IFERROR([1]!s_stm07_is($A1077,"W76031679",TEXT($B$1,"yyyy/mm/dd"),1),"")</f>
        <v>167202418.53</v>
      </c>
      <c r="E1077">
        <f>IFERROR([1]!s_stm07_is($A1077,"W70752487",TEXT($B$1,"yyyy/mm/dd"),1),"")</f>
        <v>3614114140.1300001</v>
      </c>
      <c r="F1077">
        <f>IFERROR([1]!s_stm07_is_103($A1077,TEXT($B$1,"yyyy/mm/dd"),1),"")</f>
        <v>992891266.25999999</v>
      </c>
      <c r="G1077">
        <f>IFERROR([1]!s_stm07_is_104($A1077,TEXT($B$1,"yyyy/mm/dd"),1),"")</f>
        <v>1930825091.04</v>
      </c>
      <c r="H1077">
        <f>IFERROR([1]!s_stm07_is_105($A1077,TEXT($B$1,"yyyy/mm/dd"),1),"")</f>
        <v>153275094.44999999</v>
      </c>
      <c r="I1077">
        <f>IFERROR([1]!s_stm07_is($A1077,"W72946623",TEXT($B$1,"yyyy/mm/dd"),1),"")</f>
        <v>9088707970.4699993</v>
      </c>
      <c r="J1077">
        <f>IFERROR([1]!s_stm07_is($A1077,"W30028333",TEXT($B$1,"yyyy/mm/dd"),1),"")</f>
        <v>4739393120.7200003</v>
      </c>
      <c r="K1077">
        <f>IFERROR([1]!s_stm07_cs($A1077,"W77130581",TEXT($B$1,"yyyy/mm/dd"),1),"")</f>
        <v>21492754843.560001</v>
      </c>
      <c r="L1077">
        <f>IFERROR([1]!s_stm07_cs($A1077,"W77745895",TEXT($B$1,"yyyy/mm/dd"),1),"")</f>
        <v>12928502009.1</v>
      </c>
      <c r="M1077">
        <f>IFERROR([1]!S_FA_EPS_basic2($A1077,$B$1,"Cur=CNY"),"")</f>
        <v>0.94</v>
      </c>
      <c r="N1077">
        <f>IFERROR([1]!s_fa_arturndays($A1077,TEXT($B$1,"yyyy/mm/dd")),"")</f>
        <v>1.5013000000000001</v>
      </c>
      <c r="O1077" t="str">
        <f>IFERROR([1]!fa_apturndays($A1077,TEXT($B$1,"yyyy/mm/dd")),"")</f>
        <v>Fetch...</v>
      </c>
      <c r="P1077">
        <f>IFERROR([1]!s_fa_invturndays($A1077,TEXT($B$1,"yyyy/mm/dd")),"")</f>
        <v>29.781099999999999</v>
      </c>
    </row>
    <row r="1078" spans="1:16">
      <c r="A1078" t="s">
        <v>1091</v>
      </c>
      <c r="B1078">
        <f>IFERROR([1]!s_stm07_is($A1078,"W70156729",TEXT($B$1,"yyyy/mm/dd"),1),"")</f>
        <v>46264582688.139999</v>
      </c>
      <c r="C1078">
        <f>IFERROR([1]!s_stm07_is($A1078,"W75682424",TEXT($B$1,"yyyy/mm/dd"),1),"")</f>
        <v>37984398767.209999</v>
      </c>
      <c r="D1078">
        <f>IFERROR([1]!s_stm07_is($A1078,"W76031679",TEXT($B$1,"yyyy/mm/dd"),1),"")</f>
        <v>477376679.32999998</v>
      </c>
      <c r="E1078">
        <f>IFERROR([1]!s_stm07_is($A1078,"W70752487",TEXT($B$1,"yyyy/mm/dd"),1),"")</f>
        <v>1166838099.1500001</v>
      </c>
      <c r="F1078">
        <f>IFERROR([1]!s_stm07_is_103($A1078,TEXT($B$1,"yyyy/mm/dd"),1),"")</f>
        <v>1739666264.78</v>
      </c>
      <c r="G1078">
        <f>IFERROR([1]!s_stm07_is_104($A1078,TEXT($B$1,"yyyy/mm/dd"),1),"")</f>
        <v>297401441.16000003</v>
      </c>
      <c r="H1078">
        <f>IFERROR([1]!s_stm07_is_105($A1078,TEXT($B$1,"yyyy/mm/dd"),1),"")</f>
        <v>37944618.32</v>
      </c>
      <c r="I1078">
        <f>IFERROR([1]!s_stm07_is($A1078,"W72946623",TEXT($B$1,"yyyy/mm/dd"),1),"")</f>
        <v>4061357326.4000001</v>
      </c>
      <c r="J1078">
        <f>IFERROR([1]!s_stm07_is($A1078,"W30028333",TEXT($B$1,"yyyy/mm/dd"),1),"")</f>
        <v>2309374213.9699998</v>
      </c>
      <c r="K1078">
        <f>IFERROR([1]!s_stm07_cs($A1078,"W77130581",TEXT($B$1,"yyyy/mm/dd"),1),"")</f>
        <v>2970674635.1599998</v>
      </c>
      <c r="L1078">
        <f>IFERROR([1]!s_stm07_cs($A1078,"W77745895",TEXT($B$1,"yyyy/mm/dd"),1),"")</f>
        <v>1988793436.6400001</v>
      </c>
      <c r="M1078">
        <f>IFERROR([1]!S_FA_EPS_basic2($A1078,$B$1,"Cur=CNY"),"")</f>
        <v>1.4545999999999999</v>
      </c>
      <c r="N1078">
        <f>IFERROR([1]!s_fa_arturndays($A1078,TEXT($B$1,"yyyy/mm/dd")),"")</f>
        <v>49.584000000000003</v>
      </c>
      <c r="O1078" t="str">
        <f>IFERROR([1]!fa_apturndays($A1078,TEXT($B$1,"yyyy/mm/dd")),"")</f>
        <v>Fetch...</v>
      </c>
      <c r="P1078">
        <f>IFERROR([1]!s_fa_invturndays($A1078,TEXT($B$1,"yyyy/mm/dd")),"")</f>
        <v>108.9259</v>
      </c>
    </row>
    <row r="1079" spans="1:16">
      <c r="A1079" t="s">
        <v>1092</v>
      </c>
      <c r="B1079">
        <f>IFERROR([1]!s_stm07_is($A1079,"W70156729",TEXT($B$1,"yyyy/mm/dd"),1),"")</f>
        <v>5708191804.3800001</v>
      </c>
      <c r="C1079">
        <f>IFERROR([1]!s_stm07_is($A1079,"W75682424",TEXT($B$1,"yyyy/mm/dd"),1),"")</f>
        <v>4832311094.75</v>
      </c>
      <c r="D1079">
        <f>IFERROR([1]!s_stm07_is($A1079,"W76031679",TEXT($B$1,"yyyy/mm/dd"),1),"")</f>
        <v>245400362.56999999</v>
      </c>
      <c r="E1079">
        <f>IFERROR([1]!s_stm07_is($A1079,"W70752487",TEXT($B$1,"yyyy/mm/dd"),1),"")</f>
        <v>244009705</v>
      </c>
      <c r="F1079">
        <f>IFERROR([1]!s_stm07_is_103($A1079,TEXT($B$1,"yyyy/mm/dd"),1),"")</f>
        <v>116047350.67</v>
      </c>
      <c r="G1079">
        <f>IFERROR([1]!s_stm07_is_104($A1079,TEXT($B$1,"yyyy/mm/dd"),1),"")</f>
        <v>68961443.670000002</v>
      </c>
      <c r="H1079">
        <f>IFERROR([1]!s_stm07_is_105($A1079,TEXT($B$1,"yyyy/mm/dd"),1),"")</f>
        <v>8598507.8599999994</v>
      </c>
      <c r="I1079">
        <f>IFERROR([1]!s_stm07_is($A1079,"W72946623",TEXT($B$1,"yyyy/mm/dd"),1),"")</f>
        <v>234398477.12</v>
      </c>
      <c r="J1079">
        <f>IFERROR([1]!s_stm07_is($A1079,"W30028333",TEXT($B$1,"yyyy/mm/dd"),1),"")</f>
        <v>197016575.97999999</v>
      </c>
      <c r="K1079">
        <f>IFERROR([1]!s_stm07_cs($A1079,"W77130581",TEXT($B$1,"yyyy/mm/dd"),1),"")</f>
        <v>215732428.56999999</v>
      </c>
      <c r="L1079">
        <f>IFERROR([1]!s_stm07_cs($A1079,"W77745895",TEXT($B$1,"yyyy/mm/dd"),1),"")</f>
        <v>112141417.95999999</v>
      </c>
      <c r="M1079">
        <f>IFERROR([1]!S_FA_EPS_basic2($A1079,$B$1,"Cur=CNY"),"")</f>
        <v>0.107</v>
      </c>
      <c r="N1079">
        <f>IFERROR([1]!s_fa_arturndays($A1079,TEXT($B$1,"yyyy/mm/dd")),"")</f>
        <v>116.84520000000001</v>
      </c>
      <c r="O1079" t="str">
        <f>IFERROR([1]!fa_apturndays($A1079,TEXT($B$1,"yyyy/mm/dd")),"")</f>
        <v>Fetch...</v>
      </c>
      <c r="P1079">
        <f>IFERROR([1]!s_fa_invturndays($A1079,TEXT($B$1,"yyyy/mm/dd")),"")</f>
        <v>184.23750000000001</v>
      </c>
    </row>
    <row r="1080" spans="1:16">
      <c r="A1080" t="s">
        <v>1093</v>
      </c>
      <c r="B1080">
        <f>IFERROR([1]!s_stm07_is($A1080,"W70156729",TEXT($B$1,"yyyy/mm/dd"),1),"")</f>
        <v>5879894415.5299997</v>
      </c>
      <c r="C1080">
        <f>IFERROR([1]!s_stm07_is($A1080,"W75682424",TEXT($B$1,"yyyy/mm/dd"),1),"")</f>
        <v>4818061864.54</v>
      </c>
      <c r="D1080">
        <f>IFERROR([1]!s_stm07_is($A1080,"W76031679",TEXT($B$1,"yyyy/mm/dd"),1),"")</f>
        <v>101083438.59</v>
      </c>
      <c r="E1080">
        <f>IFERROR([1]!s_stm07_is($A1080,"W70752487",TEXT($B$1,"yyyy/mm/dd"),1),"")</f>
        <v>279044613.23000002</v>
      </c>
      <c r="F1080">
        <f>IFERROR([1]!s_stm07_is_103($A1080,TEXT($B$1,"yyyy/mm/dd"),1),"")</f>
        <v>343558226.01999998</v>
      </c>
      <c r="G1080">
        <f>IFERROR([1]!s_stm07_is_104($A1080,TEXT($B$1,"yyyy/mm/dd"),1),"")</f>
        <v>118466073.83</v>
      </c>
      <c r="H1080">
        <f>IFERROR([1]!s_stm07_is_105($A1080,TEXT($B$1,"yyyy/mm/dd"),1),"")</f>
        <v>7337551.3600000003</v>
      </c>
      <c r="I1080">
        <f>IFERROR([1]!s_stm07_is($A1080,"W72946623",TEXT($B$1,"yyyy/mm/dd"),1),"")</f>
        <v>200920289.72</v>
      </c>
      <c r="J1080">
        <f>IFERROR([1]!s_stm07_is($A1080,"W30028333",TEXT($B$1,"yyyy/mm/dd"),1),"")</f>
        <v>128668491.37</v>
      </c>
      <c r="K1080">
        <f>IFERROR([1]!s_stm07_cs($A1080,"W77130581",TEXT($B$1,"yyyy/mm/dd"),1),"")</f>
        <v>476051625.80000001</v>
      </c>
      <c r="L1080">
        <f>IFERROR([1]!s_stm07_cs($A1080,"W77745895",TEXT($B$1,"yyyy/mm/dd"),1),"")</f>
        <v>385799200.93000001</v>
      </c>
      <c r="M1080">
        <f>IFERROR([1]!S_FA_EPS_basic2($A1080,$B$1,"Cur=CNY"),"")</f>
        <v>0.13619999999999999</v>
      </c>
      <c r="N1080">
        <f>IFERROR([1]!s_fa_arturndays($A1080,TEXT($B$1,"yyyy/mm/dd")),"")</f>
        <v>83.898499999999999</v>
      </c>
      <c r="O1080" t="str">
        <f>IFERROR([1]!fa_apturndays($A1080,TEXT($B$1,"yyyy/mm/dd")),"")</f>
        <v>Fetch...</v>
      </c>
      <c r="P1080">
        <f>IFERROR([1]!s_fa_invturndays($A1080,TEXT($B$1,"yyyy/mm/dd")),"")</f>
        <v>192.17420000000001</v>
      </c>
    </row>
    <row r="1081" spans="1:16">
      <c r="A1081" t="s">
        <v>1094</v>
      </c>
      <c r="B1081">
        <f>IFERROR([1]!s_stm07_is($A1081,"W70156729",TEXT($B$1,"yyyy/mm/dd"),1),"")</f>
        <v>3903976997.2199998</v>
      </c>
      <c r="C1081">
        <f>IFERROR([1]!s_stm07_is($A1081,"W75682424",TEXT($B$1,"yyyy/mm/dd"),1),"")</f>
        <v>3164069222.6700001</v>
      </c>
      <c r="D1081">
        <f>IFERROR([1]!s_stm07_is($A1081,"W76031679",TEXT($B$1,"yyyy/mm/dd"),1),"")</f>
        <v>299618203.56999999</v>
      </c>
      <c r="E1081">
        <f>IFERROR([1]!s_stm07_is($A1081,"W70752487",TEXT($B$1,"yyyy/mm/dd"),1),"")</f>
        <v>238642305.38999999</v>
      </c>
      <c r="F1081">
        <f>IFERROR([1]!s_stm07_is_103($A1081,TEXT($B$1,"yyyy/mm/dd"),1),"")</f>
        <v>71276979.510000005</v>
      </c>
      <c r="G1081">
        <f>IFERROR([1]!s_stm07_is_104($A1081,TEXT($B$1,"yyyy/mm/dd"),1),"")</f>
        <v>9476962.5199999996</v>
      </c>
      <c r="H1081">
        <f>IFERROR([1]!s_stm07_is_105($A1081,TEXT($B$1,"yyyy/mm/dd"),1),"")</f>
        <v>7442157.04</v>
      </c>
      <c r="I1081">
        <f>IFERROR([1]!s_stm07_is($A1081,"W72946623",TEXT($B$1,"yyyy/mm/dd"),1),"")</f>
        <v>95095406.150000006</v>
      </c>
      <c r="J1081">
        <f>IFERROR([1]!s_stm07_is($A1081,"W30028333",TEXT($B$1,"yyyy/mm/dd"),1),"")</f>
        <v>30866333.140000001</v>
      </c>
      <c r="K1081">
        <f>IFERROR([1]!s_stm07_cs($A1081,"W77130581",TEXT($B$1,"yyyy/mm/dd"),1),"")</f>
        <v>150249671.63</v>
      </c>
      <c r="L1081">
        <f>IFERROR([1]!s_stm07_cs($A1081,"W77745895",TEXT($B$1,"yyyy/mm/dd"),1),"")</f>
        <v>66690712.450000003</v>
      </c>
      <c r="M1081">
        <f>IFERROR([1]!S_FA_EPS_basic2($A1081,$B$1,"Cur=CNY"),"")</f>
        <v>0.02</v>
      </c>
      <c r="N1081">
        <f>IFERROR([1]!s_fa_arturndays($A1081,TEXT($B$1,"yyyy/mm/dd")),"")</f>
        <v>207.49279999999999</v>
      </c>
      <c r="O1081" t="str">
        <f>IFERROR([1]!fa_apturndays($A1081,TEXT($B$1,"yyyy/mm/dd")),"")</f>
        <v>Fetch...</v>
      </c>
      <c r="P1081">
        <f>IFERROR([1]!s_fa_invturndays($A1081,TEXT($B$1,"yyyy/mm/dd")),"")</f>
        <v>3.0708000000000002</v>
      </c>
    </row>
    <row r="1082" spans="1:16">
      <c r="A1082" t="s">
        <v>1095</v>
      </c>
      <c r="B1082">
        <f>IFERROR([1]!s_stm07_is($A1082,"W70156729",TEXT($B$1,"yyyy/mm/dd"),1),"")</f>
        <v>3292900188.2800002</v>
      </c>
      <c r="C1082">
        <f>IFERROR([1]!s_stm07_is($A1082,"W75682424",TEXT($B$1,"yyyy/mm/dd"),1),"")</f>
        <v>940309997.03999996</v>
      </c>
      <c r="D1082">
        <f>IFERROR([1]!s_stm07_is($A1082,"W76031679",TEXT($B$1,"yyyy/mm/dd"),1),"")</f>
        <v>1117496356.5699999</v>
      </c>
      <c r="E1082">
        <f>IFERROR([1]!s_stm07_is($A1082,"W70752487",TEXT($B$1,"yyyy/mm/dd"),1),"")</f>
        <v>316492085.10000002</v>
      </c>
      <c r="F1082">
        <f>IFERROR([1]!s_stm07_is_103($A1082,TEXT($B$1,"yyyy/mm/dd"),1),"")</f>
        <v>607612625.53999996</v>
      </c>
      <c r="G1082">
        <f>IFERROR([1]!s_stm07_is_104($A1082,TEXT($B$1,"yyyy/mm/dd"),1),"")</f>
        <v>14240884.060000001</v>
      </c>
      <c r="H1082">
        <f>IFERROR([1]!s_stm07_is_105($A1082,TEXT($B$1,"yyyy/mm/dd"),1),"")</f>
        <v>18762673.5</v>
      </c>
      <c r="I1082">
        <f>IFERROR([1]!s_stm07_is($A1082,"W72946623",TEXT($B$1,"yyyy/mm/dd"),1),"")</f>
        <v>356566100.69</v>
      </c>
      <c r="J1082">
        <f>IFERROR([1]!s_stm07_is($A1082,"W30028333",TEXT($B$1,"yyyy/mm/dd"),1),"")</f>
        <v>303930817.76999998</v>
      </c>
      <c r="K1082">
        <f>IFERROR([1]!s_stm07_cs($A1082,"W77130581",TEXT($B$1,"yyyy/mm/dd"),1),"")</f>
        <v>610592171.75999999</v>
      </c>
      <c r="L1082">
        <f>IFERROR([1]!s_stm07_cs($A1082,"W77745895",TEXT($B$1,"yyyy/mm/dd"),1),"")</f>
        <v>521777876.87</v>
      </c>
      <c r="M1082">
        <f>IFERROR([1]!S_FA_EPS_basic2($A1082,$B$1,"Cur=CNY"),"")</f>
        <v>0.54</v>
      </c>
      <c r="N1082">
        <f>IFERROR([1]!s_fa_arturndays($A1082,TEXT($B$1,"yyyy/mm/dd")),"")</f>
        <v>54.163800000000002</v>
      </c>
      <c r="O1082" t="str">
        <f>IFERROR([1]!fa_apturndays($A1082,TEXT($B$1,"yyyy/mm/dd")),"")</f>
        <v>Fetch...</v>
      </c>
      <c r="P1082">
        <f>IFERROR([1]!s_fa_invturndays($A1082,TEXT($B$1,"yyyy/mm/dd")),"")</f>
        <v>190.0538</v>
      </c>
    </row>
    <row r="1083" spans="1:16">
      <c r="A1083" t="s">
        <v>1096</v>
      </c>
      <c r="B1083">
        <f>IFERROR([1]!s_stm07_is($A1083,"W70156729",TEXT($B$1,"yyyy/mm/dd"),1),"")</f>
        <v>4121473456.04</v>
      </c>
      <c r="C1083">
        <f>IFERROR([1]!s_stm07_is($A1083,"W75682424",TEXT($B$1,"yyyy/mm/dd"),1),"")</f>
        <v>1401091021.78</v>
      </c>
      <c r="D1083">
        <f>IFERROR([1]!s_stm07_is($A1083,"W76031679",TEXT($B$1,"yyyy/mm/dd"),1),"")</f>
        <v>1132586772.8800001</v>
      </c>
      <c r="E1083">
        <f>IFERROR([1]!s_stm07_is($A1083,"W70752487",TEXT($B$1,"yyyy/mm/dd"),1),"")</f>
        <v>361681190.81</v>
      </c>
      <c r="F1083">
        <f>IFERROR([1]!s_stm07_is_103($A1083,TEXT($B$1,"yyyy/mm/dd"),1),"")</f>
        <v>11257905.77</v>
      </c>
      <c r="G1083">
        <f>IFERROR([1]!s_stm07_is_104($A1083,TEXT($B$1,"yyyy/mm/dd"),1),"")</f>
        <v>0</v>
      </c>
      <c r="H1083">
        <f>IFERROR([1]!s_stm07_is_105($A1083,TEXT($B$1,"yyyy/mm/dd"),1),"")</f>
        <v>20809525.93</v>
      </c>
      <c r="I1083">
        <f>IFERROR([1]!s_stm07_is($A1083,"W72946623",TEXT($B$1,"yyyy/mm/dd"),1),"")</f>
        <v>568727067.34000003</v>
      </c>
      <c r="J1083">
        <f>IFERROR([1]!s_stm07_is($A1083,"W30028333",TEXT($B$1,"yyyy/mm/dd"),1),"")</f>
        <v>429781332.91000003</v>
      </c>
      <c r="K1083">
        <f>IFERROR([1]!s_stm07_cs($A1083,"W77130581",TEXT($B$1,"yyyy/mm/dd"),1),"")</f>
        <v>-293434849.81</v>
      </c>
      <c r="L1083">
        <f>IFERROR([1]!s_stm07_cs($A1083,"W77745895",TEXT($B$1,"yyyy/mm/dd"),1),"")</f>
        <v>64299575.960000001</v>
      </c>
      <c r="M1083">
        <f>IFERROR([1]!S_FA_EPS_basic2($A1083,$B$1,"Cur=CNY"),"")</f>
        <v>0.47</v>
      </c>
      <c r="N1083">
        <f>IFERROR([1]!s_fa_arturndays($A1083,TEXT($B$1,"yyyy/mm/dd")),"")</f>
        <v>0.34989999999999999</v>
      </c>
      <c r="O1083" t="str">
        <f>IFERROR([1]!fa_apturndays($A1083,TEXT($B$1,"yyyy/mm/dd")),"")</f>
        <v>Fetch...</v>
      </c>
      <c r="P1083">
        <f>IFERROR([1]!s_fa_invturndays($A1083,TEXT($B$1,"yyyy/mm/dd")),"")</f>
        <v>917.66510000000005</v>
      </c>
    </row>
    <row r="1084" spans="1:16">
      <c r="A1084" t="s">
        <v>1097</v>
      </c>
      <c r="B1084">
        <f>IFERROR([1]!s_stm07_is($A1084,"W70156729",TEXT($B$1,"yyyy/mm/dd"),1),"")</f>
        <v>3358038973.4099998</v>
      </c>
      <c r="C1084">
        <f>IFERROR([1]!s_stm07_is($A1084,"W75682424",TEXT($B$1,"yyyy/mm/dd"),1),"")</f>
        <v>2088613275.51</v>
      </c>
      <c r="D1084">
        <f>IFERROR([1]!s_stm07_is($A1084,"W76031679",TEXT($B$1,"yyyy/mm/dd"),1),"")</f>
        <v>76178408.239999995</v>
      </c>
      <c r="E1084">
        <f>IFERROR([1]!s_stm07_is($A1084,"W70752487",TEXT($B$1,"yyyy/mm/dd"),1),"")</f>
        <v>126712437.8</v>
      </c>
      <c r="F1084">
        <f>IFERROR([1]!s_stm07_is_103($A1084,TEXT($B$1,"yyyy/mm/dd"),1),"")</f>
        <v>216110201.12</v>
      </c>
      <c r="G1084">
        <f>IFERROR([1]!s_stm07_is_104($A1084,TEXT($B$1,"yyyy/mm/dd"),1),"")</f>
        <v>6085141.79</v>
      </c>
      <c r="H1084">
        <f>IFERROR([1]!s_stm07_is_105($A1084,TEXT($B$1,"yyyy/mm/dd"),1),"")</f>
        <v>10989854.949999999</v>
      </c>
      <c r="I1084">
        <f>IFERROR([1]!s_stm07_is($A1084,"W72946623",TEXT($B$1,"yyyy/mm/dd"),1),"")</f>
        <v>739895499.78999996</v>
      </c>
      <c r="J1084">
        <f>IFERROR([1]!s_stm07_is($A1084,"W30028333",TEXT($B$1,"yyyy/mm/dd"),1),"")</f>
        <v>628509528.07000005</v>
      </c>
      <c r="K1084">
        <f>IFERROR([1]!s_stm07_cs($A1084,"W77130581",TEXT($B$1,"yyyy/mm/dd"),1),"")</f>
        <v>394286521.52999997</v>
      </c>
      <c r="L1084">
        <f>IFERROR([1]!s_stm07_cs($A1084,"W77745895",TEXT($B$1,"yyyy/mm/dd"),1),"")</f>
        <v>37766451.310000002</v>
      </c>
      <c r="M1084">
        <f>IFERROR([1]!S_FA_EPS_basic2($A1084,$B$1,"Cur=CNY"),"")</f>
        <v>0.51</v>
      </c>
      <c r="N1084">
        <f>IFERROR([1]!s_fa_arturndays($A1084,TEXT($B$1,"yyyy/mm/dd")),"")</f>
        <v>466.68400000000003</v>
      </c>
      <c r="O1084" t="str">
        <f>IFERROR([1]!fa_apturndays($A1084,TEXT($B$1,"yyyy/mm/dd")),"")</f>
        <v>Fetch...</v>
      </c>
      <c r="P1084">
        <f>IFERROR([1]!s_fa_invturndays($A1084,TEXT($B$1,"yyyy/mm/dd")),"")</f>
        <v>443.24059999999997</v>
      </c>
    </row>
    <row r="1085" spans="1:16">
      <c r="A1085" t="s">
        <v>1098</v>
      </c>
      <c r="B1085">
        <f>IFERROR([1]!s_stm07_is($A1085,"W70156729",TEXT($B$1,"yyyy/mm/dd"),1),"")</f>
        <v>5326956051.6599998</v>
      </c>
      <c r="C1085">
        <f>IFERROR([1]!s_stm07_is($A1085,"W75682424",TEXT($B$1,"yyyy/mm/dd"),1),"")</f>
        <v>3615957939.3699999</v>
      </c>
      <c r="D1085">
        <f>IFERROR([1]!s_stm07_is($A1085,"W76031679",TEXT($B$1,"yyyy/mm/dd"),1),"")</f>
        <v>57326723.259999998</v>
      </c>
      <c r="E1085">
        <f>IFERROR([1]!s_stm07_is($A1085,"W70752487",TEXT($B$1,"yyyy/mm/dd"),1),"")</f>
        <v>178416074.27000001</v>
      </c>
      <c r="F1085">
        <f>IFERROR([1]!s_stm07_is_103($A1085,TEXT($B$1,"yyyy/mm/dd"),1),"")</f>
        <v>186767814.24000001</v>
      </c>
      <c r="G1085">
        <f>IFERROR([1]!s_stm07_is_104($A1085,TEXT($B$1,"yyyy/mm/dd"),1),"")</f>
        <v>4322029.76</v>
      </c>
      <c r="H1085">
        <f>IFERROR([1]!s_stm07_is_105($A1085,TEXT($B$1,"yyyy/mm/dd"),1),"")</f>
        <v>7406040.4800000004</v>
      </c>
      <c r="I1085">
        <f>IFERROR([1]!s_stm07_is($A1085,"W72946623",TEXT($B$1,"yyyy/mm/dd"),1),"")</f>
        <v>1375665144.9300001</v>
      </c>
      <c r="J1085">
        <f>IFERROR([1]!s_stm07_is($A1085,"W30028333",TEXT($B$1,"yyyy/mm/dd"),1),"")</f>
        <v>1192180340.23</v>
      </c>
      <c r="K1085">
        <f>IFERROR([1]!s_stm07_cs($A1085,"W77130581",TEXT($B$1,"yyyy/mm/dd"),1),"")</f>
        <v>1272639418.01</v>
      </c>
      <c r="L1085">
        <f>IFERROR([1]!s_stm07_cs($A1085,"W77745895",TEXT($B$1,"yyyy/mm/dd"),1),"")</f>
        <v>544569730.46000004</v>
      </c>
      <c r="M1085">
        <f>IFERROR([1]!S_FA_EPS_basic2($A1085,$B$1,"Cur=CNY"),"")</f>
        <v>5.3</v>
      </c>
      <c r="N1085">
        <f>IFERROR([1]!s_fa_arturndays($A1085,TEXT($B$1,"yyyy/mm/dd")),"")</f>
        <v>106.9011</v>
      </c>
      <c r="O1085" t="str">
        <f>IFERROR([1]!fa_apturndays($A1085,TEXT($B$1,"yyyy/mm/dd")),"")</f>
        <v>Fetch...</v>
      </c>
      <c r="P1085">
        <f>IFERROR([1]!s_fa_invturndays($A1085,TEXT($B$1,"yyyy/mm/dd")),"")</f>
        <v>87.993700000000004</v>
      </c>
    </row>
    <row r="1086" spans="1:16">
      <c r="A1086" t="s">
        <v>1099</v>
      </c>
      <c r="B1086">
        <f>IFERROR([1]!s_stm07_is($A1086,"W70156729",TEXT($B$1,"yyyy/mm/dd"),1),"")</f>
        <v>6218642450.8000002</v>
      </c>
      <c r="C1086">
        <f>IFERROR([1]!s_stm07_is($A1086,"W75682424",TEXT($B$1,"yyyy/mm/dd"),1),"")</f>
        <v>1308731493.5799999</v>
      </c>
      <c r="D1086">
        <f>IFERROR([1]!s_stm07_is($A1086,"W76031679",TEXT($B$1,"yyyy/mm/dd"),1),"")</f>
        <v>2110818556.0599999</v>
      </c>
      <c r="E1086">
        <f>IFERROR([1]!s_stm07_is($A1086,"W70752487",TEXT($B$1,"yyyy/mm/dd"),1),"")</f>
        <v>448010629.83999997</v>
      </c>
      <c r="F1086">
        <f>IFERROR([1]!s_stm07_is_103($A1086,TEXT($B$1,"yyyy/mm/dd"),1),"")</f>
        <v>385101963.67000002</v>
      </c>
      <c r="G1086">
        <f>IFERROR([1]!s_stm07_is_104($A1086,TEXT($B$1,"yyyy/mm/dd"),1),"")</f>
        <v>11447311.68</v>
      </c>
      <c r="H1086">
        <f>IFERROR([1]!s_stm07_is_105($A1086,TEXT($B$1,"yyyy/mm/dd"),1),"")</f>
        <v>66822023.200000003</v>
      </c>
      <c r="I1086">
        <f>IFERROR([1]!s_stm07_is($A1086,"W72946623",TEXT($B$1,"yyyy/mm/dd"),1),"")</f>
        <v>2162256551.3499999</v>
      </c>
      <c r="J1086">
        <f>IFERROR([1]!s_stm07_is($A1086,"W30028333",TEXT($B$1,"yyyy/mm/dd"),1),"")</f>
        <v>1777852640.46</v>
      </c>
      <c r="K1086">
        <f>IFERROR([1]!s_stm07_cs($A1086,"W77130581",TEXT($B$1,"yyyy/mm/dd"),1),"")</f>
        <v>1198294243.9000001</v>
      </c>
      <c r="L1086">
        <f>IFERROR([1]!s_stm07_cs($A1086,"W77745895",TEXT($B$1,"yyyy/mm/dd"),1),"")</f>
        <v>95858707.040000007</v>
      </c>
      <c r="M1086">
        <f>IFERROR([1]!S_FA_EPS_basic2($A1086,$B$1,"Cur=CNY"),"")</f>
        <v>1.93</v>
      </c>
      <c r="N1086">
        <f>IFERROR([1]!s_fa_arturndays($A1086,TEXT($B$1,"yyyy/mm/dd")),"")</f>
        <v>122.1789</v>
      </c>
      <c r="O1086" t="str">
        <f>IFERROR([1]!fa_apturndays($A1086,TEXT($B$1,"yyyy/mm/dd")),"")</f>
        <v>Fetch...</v>
      </c>
      <c r="P1086">
        <f>IFERROR([1]!s_fa_invturndays($A1086,TEXT($B$1,"yyyy/mm/dd")),"")</f>
        <v>120.8622</v>
      </c>
    </row>
    <row r="1087" spans="1:16">
      <c r="A1087" t="s">
        <v>1100</v>
      </c>
      <c r="B1087">
        <f>IFERROR([1]!s_stm07_is($A1087,"W70156729",TEXT($B$1,"yyyy/mm/dd"),1),"")</f>
        <v>5782928939.9200001</v>
      </c>
      <c r="C1087">
        <f>IFERROR([1]!s_stm07_is($A1087,"W75682424",TEXT($B$1,"yyyy/mm/dd"),1),"")</f>
        <v>1673330301.22</v>
      </c>
      <c r="D1087">
        <f>IFERROR([1]!s_stm07_is($A1087,"W76031679",TEXT($B$1,"yyyy/mm/dd"),1),"")</f>
        <v>425180123.98000002</v>
      </c>
      <c r="E1087">
        <f>IFERROR([1]!s_stm07_is($A1087,"W70752487",TEXT($B$1,"yyyy/mm/dd"),1),"")</f>
        <v>732807089.49000001</v>
      </c>
      <c r="F1087">
        <f>IFERROR([1]!s_stm07_is_103($A1087,TEXT($B$1,"yyyy/mm/dd"),1),"")</f>
        <v>2180002239.5300002</v>
      </c>
      <c r="G1087">
        <f>IFERROR([1]!s_stm07_is_104($A1087,TEXT($B$1,"yyyy/mm/dd"),1),"")</f>
        <v>12088463.609999999</v>
      </c>
      <c r="H1087">
        <f>IFERROR([1]!s_stm07_is_105($A1087,TEXT($B$1,"yyyy/mm/dd"),1),"")</f>
        <v>7924331.4699999997</v>
      </c>
      <c r="I1087">
        <f>IFERROR([1]!s_stm07_is($A1087,"W72946623",TEXT($B$1,"yyyy/mm/dd"),1),"")</f>
        <v>1303308172.26</v>
      </c>
      <c r="J1087">
        <f>IFERROR([1]!s_stm07_is($A1087,"W30028333",TEXT($B$1,"yyyy/mm/dd"),1),"")</f>
        <v>1231182835.03</v>
      </c>
      <c r="K1087">
        <f>IFERROR([1]!s_stm07_cs($A1087,"W77130581",TEXT($B$1,"yyyy/mm/dd"),1),"")</f>
        <v>1066754032.01</v>
      </c>
      <c r="L1087">
        <f>IFERROR([1]!s_stm07_cs($A1087,"W77745895",TEXT($B$1,"yyyy/mm/dd"),1),"")</f>
        <v>239292003.11000001</v>
      </c>
      <c r="M1087">
        <f>IFERROR([1]!S_FA_EPS_basic2($A1087,$B$1,"Cur=CNY"),"")</f>
        <v>0.65</v>
      </c>
      <c r="N1087">
        <f>IFERROR([1]!s_fa_arturndays($A1087,TEXT($B$1,"yyyy/mm/dd")),"")</f>
        <v>54.718699999999998</v>
      </c>
      <c r="O1087" t="str">
        <f>IFERROR([1]!fa_apturndays($A1087,TEXT($B$1,"yyyy/mm/dd")),"")</f>
        <v>Fetch...</v>
      </c>
      <c r="P1087">
        <f>IFERROR([1]!s_fa_invturndays($A1087,TEXT($B$1,"yyyy/mm/dd")),"")</f>
        <v>151.9821</v>
      </c>
    </row>
    <row r="1088" spans="1:16">
      <c r="A1088" t="s">
        <v>1101</v>
      </c>
      <c r="B1088">
        <f>IFERROR([1]!s_stm07_is($A1088,"W70156729",TEXT($B$1,"yyyy/mm/dd"),1),"")</f>
        <v>6473433792.4200001</v>
      </c>
      <c r="C1088">
        <f>IFERROR([1]!s_stm07_is($A1088,"W75682424",TEXT($B$1,"yyyy/mm/dd"),1),"")</f>
        <v>3022603371.0999999</v>
      </c>
      <c r="D1088">
        <f>IFERROR([1]!s_stm07_is($A1088,"W76031679",TEXT($B$1,"yyyy/mm/dd"),1),"")</f>
        <v>2022738198.1099999</v>
      </c>
      <c r="E1088">
        <f>IFERROR([1]!s_stm07_is($A1088,"W70752487",TEXT($B$1,"yyyy/mm/dd"),1),"")</f>
        <v>541660550.60000002</v>
      </c>
      <c r="F1088">
        <f>IFERROR([1]!s_stm07_is_103($A1088,TEXT($B$1,"yyyy/mm/dd"),1),"")</f>
        <v>262223538.31</v>
      </c>
      <c r="G1088">
        <f>IFERROR([1]!s_stm07_is_104($A1088,TEXT($B$1,"yyyy/mm/dd"),1),"")</f>
        <v>7793937.6799999997</v>
      </c>
      <c r="H1088">
        <f>IFERROR([1]!s_stm07_is_105($A1088,TEXT($B$1,"yyyy/mm/dd"),1),"")</f>
        <v>17473103.350000001</v>
      </c>
      <c r="I1088">
        <f>IFERROR([1]!s_stm07_is($A1088,"W72946623",TEXT($B$1,"yyyy/mm/dd"),1),"")</f>
        <v>645168572.32000005</v>
      </c>
      <c r="J1088">
        <f>IFERROR([1]!s_stm07_is($A1088,"W30028333",TEXT($B$1,"yyyy/mm/dd"),1),"")</f>
        <v>474363102.69</v>
      </c>
      <c r="K1088">
        <f>IFERROR([1]!s_stm07_cs($A1088,"W77130581",TEXT($B$1,"yyyy/mm/dd"),1),"")</f>
        <v>942609399.49000001</v>
      </c>
      <c r="L1088">
        <f>IFERROR([1]!s_stm07_cs($A1088,"W77745895",TEXT($B$1,"yyyy/mm/dd"),1),"")</f>
        <v>147258629.21000001</v>
      </c>
      <c r="M1088">
        <f>IFERROR([1]!S_FA_EPS_basic2($A1088,$B$1,"Cur=CNY"),"")</f>
        <v>0.19</v>
      </c>
      <c r="N1088">
        <f>IFERROR([1]!s_fa_arturndays($A1088,TEXT($B$1,"yyyy/mm/dd")),"")</f>
        <v>59.436300000000003</v>
      </c>
      <c r="O1088" t="str">
        <f>IFERROR([1]!fa_apturndays($A1088,TEXT($B$1,"yyyy/mm/dd")),"")</f>
        <v>Fetch...</v>
      </c>
      <c r="P1088">
        <f>IFERROR([1]!s_fa_invturndays($A1088,TEXT($B$1,"yyyy/mm/dd")),"")</f>
        <v>148.62520000000001</v>
      </c>
    </row>
    <row r="1089" spans="1:16">
      <c r="A1089" t="s">
        <v>1102</v>
      </c>
      <c r="B1089">
        <f>IFERROR([1]!s_stm07_is($A1089,"W70156729",TEXT($B$1,"yyyy/mm/dd"),1),"")</f>
        <v>38824661281.349998</v>
      </c>
      <c r="C1089">
        <f>IFERROR([1]!s_stm07_is($A1089,"W75682424",TEXT($B$1,"yyyy/mm/dd"),1),"")</f>
        <v>35112344601.830002</v>
      </c>
      <c r="D1089">
        <f>IFERROR([1]!s_stm07_is($A1089,"W76031679",TEXT($B$1,"yyyy/mm/dd"),1),"")</f>
        <v>22752664.5</v>
      </c>
      <c r="E1089">
        <f>IFERROR([1]!s_stm07_is($A1089,"W70752487",TEXT($B$1,"yyyy/mm/dd"),1),"")</f>
        <v>758447142.21000004</v>
      </c>
      <c r="F1089">
        <f>IFERROR([1]!s_stm07_is_103($A1089,TEXT($B$1,"yyyy/mm/dd"),1),"")</f>
        <v>249043804.65000001</v>
      </c>
      <c r="G1089">
        <f>IFERROR([1]!s_stm07_is_104($A1089,TEXT($B$1,"yyyy/mm/dd"),1),"")</f>
        <v>309229536.55000001</v>
      </c>
      <c r="H1089">
        <f>IFERROR([1]!s_stm07_is_105($A1089,TEXT($B$1,"yyyy/mm/dd"),1),"")</f>
        <v>35369725.229999997</v>
      </c>
      <c r="I1089">
        <f>IFERROR([1]!s_stm07_is($A1089,"W72946623",TEXT($B$1,"yyyy/mm/dd"),1),"")</f>
        <v>2621826714.1100001</v>
      </c>
      <c r="J1089">
        <f>IFERROR([1]!s_stm07_is($A1089,"W30028333",TEXT($B$1,"yyyy/mm/dd"),1),"")</f>
        <v>1697551616.71</v>
      </c>
      <c r="K1089">
        <f>IFERROR([1]!s_stm07_cs($A1089,"W77130581",TEXT($B$1,"yyyy/mm/dd"),1),"")</f>
        <v>3756990651.6399999</v>
      </c>
      <c r="L1089">
        <f>IFERROR([1]!s_stm07_cs($A1089,"W77745895",TEXT($B$1,"yyyy/mm/dd"),1),"")</f>
        <v>7730751286.2299995</v>
      </c>
      <c r="M1089">
        <f>IFERROR([1]!S_FA_EPS_basic2($A1089,$B$1,"Cur=CNY"),"")</f>
        <v>0.24</v>
      </c>
      <c r="N1089">
        <f>IFERROR([1]!s_fa_arturndays($A1089,TEXT($B$1,"yyyy/mm/dd")),"")</f>
        <v>20.723400000000002</v>
      </c>
      <c r="O1089" t="str">
        <f>IFERROR([1]!fa_apturndays($A1089,TEXT($B$1,"yyyy/mm/dd")),"")</f>
        <v>Fetch...</v>
      </c>
      <c r="P1089">
        <f>IFERROR([1]!s_fa_invturndays($A1089,TEXT($B$1,"yyyy/mm/dd")),"")</f>
        <v>9.1562000000000001</v>
      </c>
    </row>
    <row r="1090" spans="1:16">
      <c r="A1090" t="s">
        <v>1103</v>
      </c>
      <c r="B1090">
        <f>IFERROR([1]!s_stm07_is($A1090,"W70156729",TEXT($B$1,"yyyy/mm/dd"),1),"")</f>
        <v>24673670269.16</v>
      </c>
      <c r="C1090">
        <f>IFERROR([1]!s_stm07_is($A1090,"W75682424",TEXT($B$1,"yyyy/mm/dd"),1),"")</f>
        <v>23257268433.52</v>
      </c>
      <c r="D1090">
        <f>IFERROR([1]!s_stm07_is($A1090,"W76031679",TEXT($B$1,"yyyy/mm/dd"),1),"")</f>
        <v>96850223.230000004</v>
      </c>
      <c r="E1090">
        <f>IFERROR([1]!s_stm07_is($A1090,"W70752487",TEXT($B$1,"yyyy/mm/dd"),1),"")</f>
        <v>218800283.93000001</v>
      </c>
      <c r="F1090">
        <f>IFERROR([1]!s_stm07_is_103($A1090,TEXT($B$1,"yyyy/mm/dd"),1),"")</f>
        <v>121152281.88</v>
      </c>
      <c r="G1090">
        <f>IFERROR([1]!s_stm07_is_104($A1090,TEXT($B$1,"yyyy/mm/dd"),1),"")</f>
        <v>81137401.879999995</v>
      </c>
      <c r="H1090">
        <f>IFERROR([1]!s_stm07_is_105($A1090,TEXT($B$1,"yyyy/mm/dd"),1),"")</f>
        <v>13476594.800000001</v>
      </c>
      <c r="I1090">
        <f>IFERROR([1]!s_stm07_is($A1090,"W72946623",TEXT($B$1,"yyyy/mm/dd"),1),"")</f>
        <v>806125138.82000005</v>
      </c>
      <c r="J1090">
        <f>IFERROR([1]!s_stm07_is($A1090,"W30028333",TEXT($B$1,"yyyy/mm/dd"),1),"")</f>
        <v>599143119.38999999</v>
      </c>
      <c r="K1090">
        <f>IFERROR([1]!s_stm07_cs($A1090,"W77130581",TEXT($B$1,"yyyy/mm/dd"),1),"")</f>
        <v>2475082817.3299999</v>
      </c>
      <c r="L1090">
        <f>IFERROR([1]!s_stm07_cs($A1090,"W77745895",TEXT($B$1,"yyyy/mm/dd"),1),"")</f>
        <v>165485402.56</v>
      </c>
      <c r="M1090">
        <f>IFERROR([1]!S_FA_EPS_basic2($A1090,$B$1,"Cur=CNY"),"")</f>
        <v>0.28000000000000003</v>
      </c>
      <c r="N1090">
        <f>IFERROR([1]!s_fa_arturndays($A1090,TEXT($B$1,"yyyy/mm/dd")),"")</f>
        <v>65.900300000000001</v>
      </c>
      <c r="O1090" t="str">
        <f>IFERROR([1]!fa_apturndays($A1090,TEXT($B$1,"yyyy/mm/dd")),"")</f>
        <v>Fetch...</v>
      </c>
      <c r="P1090">
        <f>IFERROR([1]!s_fa_invturndays($A1090,TEXT($B$1,"yyyy/mm/dd")),"")</f>
        <v>27.275600000000001</v>
      </c>
    </row>
    <row r="1091" spans="1:16">
      <c r="A1091" t="s">
        <v>1104</v>
      </c>
      <c r="B1091">
        <f>IFERROR([1]!s_stm07_is($A1091,"W70156729",TEXT($B$1,"yyyy/mm/dd"),1),"")</f>
        <v>35425723476.940002</v>
      </c>
      <c r="C1091">
        <f>IFERROR([1]!s_stm07_is($A1091,"W75682424",TEXT($B$1,"yyyy/mm/dd"),1),"")</f>
        <v>27887116324.380001</v>
      </c>
      <c r="D1091">
        <f>IFERROR([1]!s_stm07_is($A1091,"W76031679",TEXT($B$1,"yyyy/mm/dd"),1),"")</f>
        <v>13599593.890000001</v>
      </c>
      <c r="E1091">
        <f>IFERROR([1]!s_stm07_is($A1091,"W70752487",TEXT($B$1,"yyyy/mm/dd"),1),"")</f>
        <v>1360878685.3900001</v>
      </c>
      <c r="F1091">
        <f>IFERROR([1]!s_stm07_is_103($A1091,TEXT($B$1,"yyyy/mm/dd"),1),"")</f>
        <v>83037193.530000001</v>
      </c>
      <c r="G1091">
        <f>IFERROR([1]!s_stm07_is_104($A1091,TEXT($B$1,"yyyy/mm/dd"),1),"")</f>
        <v>1162560306.95</v>
      </c>
      <c r="H1091">
        <f>IFERROR([1]!s_stm07_is_105($A1091,TEXT($B$1,"yyyy/mm/dd"),1),"")</f>
        <v>12440491.99</v>
      </c>
      <c r="I1091">
        <f>IFERROR([1]!s_stm07_is($A1091,"W72946623",TEXT($B$1,"yyyy/mm/dd"),1),"")</f>
        <v>4888626956.2700005</v>
      </c>
      <c r="J1091">
        <f>IFERROR([1]!s_stm07_is($A1091,"W30028333",TEXT($B$1,"yyyy/mm/dd"),1),"")</f>
        <v>3529539444.5900002</v>
      </c>
      <c r="K1091">
        <f>IFERROR([1]!s_stm07_cs($A1091,"W77130581",TEXT($B$1,"yyyy/mm/dd"),1),"")</f>
        <v>10597801414.200001</v>
      </c>
      <c r="L1091">
        <f>IFERROR([1]!s_stm07_cs($A1091,"W77745895",TEXT($B$1,"yyyy/mm/dd"),1),"")</f>
        <v>4549901578.3900003</v>
      </c>
      <c r="M1091">
        <f>IFERROR([1]!S_FA_EPS_basic2($A1091,$B$1,"Cur=CNY"),"")</f>
        <v>0.5</v>
      </c>
      <c r="N1091">
        <f>IFERROR([1]!s_fa_arturndays($A1091,TEXT($B$1,"yyyy/mm/dd")),"")</f>
        <v>47.410200000000003</v>
      </c>
      <c r="O1091" t="str">
        <f>IFERROR([1]!fa_apturndays($A1091,TEXT($B$1,"yyyy/mm/dd")),"")</f>
        <v>Fetch...</v>
      </c>
      <c r="P1091">
        <f>IFERROR([1]!s_fa_invturndays($A1091,TEXT($B$1,"yyyy/mm/dd")),"")</f>
        <v>24.402000000000001</v>
      </c>
    </row>
    <row r="1092" spans="1:16">
      <c r="A1092" t="s">
        <v>1105</v>
      </c>
      <c r="B1092">
        <f>IFERROR([1]!s_stm07_is($A1092,"W70156729",TEXT($B$1,"yyyy/mm/dd"),1),"")</f>
        <v>15453535256.18</v>
      </c>
      <c r="C1092">
        <f>IFERROR([1]!s_stm07_is($A1092,"W75682424",TEXT($B$1,"yyyy/mm/dd"),1),"")</f>
        <v>11533332040.780001</v>
      </c>
      <c r="D1092">
        <f>IFERROR([1]!s_stm07_is($A1092,"W76031679",TEXT($B$1,"yyyy/mm/dd"),1),"")</f>
        <v>711181012.97000003</v>
      </c>
      <c r="E1092">
        <f>IFERROR([1]!s_stm07_is($A1092,"W70752487",TEXT($B$1,"yyyy/mm/dd"),1),"")</f>
        <v>1281472369.5799999</v>
      </c>
      <c r="F1092">
        <f>IFERROR([1]!s_stm07_is_103($A1092,TEXT($B$1,"yyyy/mm/dd"),1),"")</f>
        <v>660749425.12</v>
      </c>
      <c r="G1092">
        <f>IFERROR([1]!s_stm07_is_104($A1092,TEXT($B$1,"yyyy/mm/dd"),1),"")</f>
        <v>190770782.19999999</v>
      </c>
      <c r="H1092">
        <f>IFERROR([1]!s_stm07_is_105($A1092,TEXT($B$1,"yyyy/mm/dd"),1),"")</f>
        <v>93614583.700000003</v>
      </c>
      <c r="I1092">
        <f>IFERROR([1]!s_stm07_is($A1092,"W72946623",TEXT($B$1,"yyyy/mm/dd"),1),"")</f>
        <v>1351682873.4100001</v>
      </c>
      <c r="J1092">
        <f>IFERROR([1]!s_stm07_is($A1092,"W30028333",TEXT($B$1,"yyyy/mm/dd"),1),"")</f>
        <v>1126155430.9300001</v>
      </c>
      <c r="K1092">
        <f>IFERROR([1]!s_stm07_cs($A1092,"W77130581",TEXT($B$1,"yyyy/mm/dd"),1),"")</f>
        <v>1783337243.4200001</v>
      </c>
      <c r="L1092">
        <f>IFERROR([1]!s_stm07_cs($A1092,"W77745895",TEXT($B$1,"yyyy/mm/dd"),1),"")</f>
        <v>848856888.42999995</v>
      </c>
      <c r="M1092">
        <f>IFERROR([1]!S_FA_EPS_basic2($A1092,$B$1,"Cur=CNY"),"")</f>
        <v>0.72330000000000005</v>
      </c>
      <c r="N1092">
        <f>IFERROR([1]!s_fa_arturndays($A1092,TEXT($B$1,"yyyy/mm/dd")),"")</f>
        <v>122.44070000000001</v>
      </c>
      <c r="O1092" t="str">
        <f>IFERROR([1]!fa_apturndays($A1092,TEXT($B$1,"yyyy/mm/dd")),"")</f>
        <v>Fetch...</v>
      </c>
      <c r="P1092">
        <f>IFERROR([1]!s_fa_invturndays($A1092,TEXT($B$1,"yyyy/mm/dd")),"")</f>
        <v>116.84520000000001</v>
      </c>
    </row>
    <row r="1093" spans="1:16">
      <c r="A1093" t="s">
        <v>1106</v>
      </c>
      <c r="B1093">
        <f>IFERROR([1]!s_stm07_is($A1093,"W70156729",TEXT($B$1,"yyyy/mm/dd"),1),"")</f>
        <v>29242405598.110001</v>
      </c>
      <c r="C1093">
        <f>IFERROR([1]!s_stm07_is($A1093,"W75682424",TEXT($B$1,"yyyy/mm/dd"),1),"")</f>
        <v>21755021496.259998</v>
      </c>
      <c r="D1093">
        <f>IFERROR([1]!s_stm07_is($A1093,"W76031679",TEXT($B$1,"yyyy/mm/dd"),1),"")</f>
        <v>964164481.94000006</v>
      </c>
      <c r="E1093">
        <f>IFERROR([1]!s_stm07_is($A1093,"W70752487",TEXT($B$1,"yyyy/mm/dd"),1),"")</f>
        <v>2768217380.1999998</v>
      </c>
      <c r="F1093">
        <f>IFERROR([1]!s_stm07_is_103($A1093,TEXT($B$1,"yyyy/mm/dd"),1),"")</f>
        <v>2277107698.1100001</v>
      </c>
      <c r="G1093">
        <f>IFERROR([1]!s_stm07_is_104($A1093,TEXT($B$1,"yyyy/mm/dd"),1),"")</f>
        <v>23613625.239999998</v>
      </c>
      <c r="H1093">
        <f>IFERROR([1]!s_stm07_is_105($A1093,TEXT($B$1,"yyyy/mm/dd"),1),"")</f>
        <v>114056269.56999999</v>
      </c>
      <c r="I1093">
        <f>IFERROR([1]!s_stm07_is($A1093,"W72946623",TEXT($B$1,"yyyy/mm/dd"),1),"")</f>
        <v>4678073498.46</v>
      </c>
      <c r="J1093">
        <f>IFERROR([1]!s_stm07_is($A1093,"W30028333",TEXT($B$1,"yyyy/mm/dd"),1),"")</f>
        <v>2446903931.1100001</v>
      </c>
      <c r="K1093">
        <f>IFERROR([1]!s_stm07_cs($A1093,"W77130581",TEXT($B$1,"yyyy/mm/dd"),1),"")</f>
        <v>-490179159.42000002</v>
      </c>
      <c r="L1093">
        <f>IFERROR([1]!s_stm07_cs($A1093,"W77745895",TEXT($B$1,"yyyy/mm/dd"),1),"")</f>
        <v>546374750.23000002</v>
      </c>
      <c r="M1093">
        <f>IFERROR([1]!S_FA_EPS_basic2($A1093,$B$1,"Cur=CNY"),"")</f>
        <v>0.59099999999999997</v>
      </c>
      <c r="N1093">
        <f>IFERROR([1]!s_fa_arturndays($A1093,TEXT($B$1,"yyyy/mm/dd")),"")</f>
        <v>137.96279999999999</v>
      </c>
      <c r="O1093" t="str">
        <f>IFERROR([1]!fa_apturndays($A1093,TEXT($B$1,"yyyy/mm/dd")),"")</f>
        <v>Fetch...</v>
      </c>
      <c r="P1093">
        <f>IFERROR([1]!s_fa_invturndays($A1093,TEXT($B$1,"yyyy/mm/dd")),"")</f>
        <v>123.3764</v>
      </c>
    </row>
    <row r="1094" spans="1:16">
      <c r="A1094" t="s">
        <v>1107</v>
      </c>
      <c r="B1094">
        <f>IFERROR([1]!s_stm07_is($A1094,"W70156729",TEXT($B$1,"yyyy/mm/dd"),1),"")</f>
        <v>27163433200</v>
      </c>
      <c r="C1094">
        <f>IFERROR([1]!s_stm07_is($A1094,"W75682424",TEXT($B$1,"yyyy/mm/dd"),1),"")</f>
        <v>23401540100</v>
      </c>
      <c r="D1094">
        <f>IFERROR([1]!s_stm07_is($A1094,"W76031679",TEXT($B$1,"yyyy/mm/dd"),1),"")</f>
        <v>41944800</v>
      </c>
      <c r="E1094">
        <f>IFERROR([1]!s_stm07_is($A1094,"W70752487",TEXT($B$1,"yyyy/mm/dd"),1),"")</f>
        <v>383649500</v>
      </c>
      <c r="F1094">
        <f>IFERROR([1]!s_stm07_is_103($A1094,TEXT($B$1,"yyyy/mm/dd"),1),"")</f>
        <v>1190690900</v>
      </c>
      <c r="G1094">
        <f>IFERROR([1]!s_stm07_is_104($A1094,TEXT($B$1,"yyyy/mm/dd"),1),"")</f>
        <v>22137000</v>
      </c>
      <c r="H1094">
        <f>IFERROR([1]!s_stm07_is_105($A1094,TEXT($B$1,"yyyy/mm/dd"),1),"")</f>
        <v>116415700</v>
      </c>
      <c r="I1094">
        <f>IFERROR([1]!s_stm07_is($A1094,"W72946623",TEXT($B$1,"yyyy/mm/dd"),1),"")</f>
        <v>2526179300</v>
      </c>
      <c r="J1094">
        <f>IFERROR([1]!s_stm07_is($A1094,"W30028333",TEXT($B$1,"yyyy/mm/dd"),1),"")</f>
        <v>2084436100</v>
      </c>
      <c r="K1094">
        <f>IFERROR([1]!s_stm07_cs($A1094,"W77130581",TEXT($B$1,"yyyy/mm/dd"),1),"")</f>
        <v>3593731100</v>
      </c>
      <c r="L1094">
        <f>IFERROR([1]!s_stm07_cs($A1094,"W77745895",TEXT($B$1,"yyyy/mm/dd"),1),"")</f>
        <v>1087700900</v>
      </c>
      <c r="M1094">
        <f>IFERROR([1]!S_FA_EPS_basic2($A1094,$B$1,"Cur=CNY"),"")</f>
        <v>0.47</v>
      </c>
      <c r="N1094">
        <f>IFERROR([1]!s_fa_arturndays($A1094,TEXT($B$1,"yyyy/mm/dd")),"")</f>
        <v>99.717500000000001</v>
      </c>
      <c r="O1094" t="str">
        <f>IFERROR([1]!fa_apturndays($A1094,TEXT($B$1,"yyyy/mm/dd")),"")</f>
        <v>Fetch...</v>
      </c>
      <c r="P1094">
        <f>IFERROR([1]!s_fa_invturndays($A1094,TEXT($B$1,"yyyy/mm/dd")),"")</f>
        <v>52.218600000000002</v>
      </c>
    </row>
    <row r="1095" spans="1:16">
      <c r="A1095" t="s">
        <v>1108</v>
      </c>
      <c r="B1095">
        <f>IFERROR([1]!s_stm07_is($A1095,"W70156729",TEXT($B$1,"yyyy/mm/dd"),1),"")</f>
        <v>38871348331.230003</v>
      </c>
      <c r="C1095">
        <f>IFERROR([1]!s_stm07_is($A1095,"W75682424",TEXT($B$1,"yyyy/mm/dd"),1),"")</f>
        <v>33372064524.59</v>
      </c>
      <c r="D1095">
        <f>IFERROR([1]!s_stm07_is($A1095,"W76031679",TEXT($B$1,"yyyy/mm/dd"),1),"")</f>
        <v>287757148.97000003</v>
      </c>
      <c r="E1095">
        <f>IFERROR([1]!s_stm07_is($A1095,"W70752487",TEXT($B$1,"yyyy/mm/dd"),1),"")</f>
        <v>1115342254.21</v>
      </c>
      <c r="F1095">
        <f>IFERROR([1]!s_stm07_is_103($A1095,TEXT($B$1,"yyyy/mm/dd"),1),"")</f>
        <v>2085525811.3499999</v>
      </c>
      <c r="G1095">
        <f>IFERROR([1]!s_stm07_is_104($A1095,TEXT($B$1,"yyyy/mm/dd"),1),"")</f>
        <v>436617821.93000001</v>
      </c>
      <c r="H1095">
        <f>IFERROR([1]!s_stm07_is_105($A1095,TEXT($B$1,"yyyy/mm/dd"),1),"")</f>
        <v>136211046.55000001</v>
      </c>
      <c r="I1095">
        <f>IFERROR([1]!s_stm07_is($A1095,"W72946623",TEXT($B$1,"yyyy/mm/dd"),1),"")</f>
        <v>1738293696.95</v>
      </c>
      <c r="J1095">
        <f>IFERROR([1]!s_stm07_is($A1095,"W30028333",TEXT($B$1,"yyyy/mm/dd"),1),"")</f>
        <v>1565238036.45</v>
      </c>
      <c r="K1095">
        <f>IFERROR([1]!s_stm07_cs($A1095,"W77130581",TEXT($B$1,"yyyy/mm/dd"),1),"")</f>
        <v>4652212168.1999998</v>
      </c>
      <c r="L1095">
        <f>IFERROR([1]!s_stm07_cs($A1095,"W77745895",TEXT($B$1,"yyyy/mm/dd"),1),"")</f>
        <v>6298299227.3299999</v>
      </c>
      <c r="M1095">
        <f>IFERROR([1]!S_FA_EPS_basic2($A1095,$B$1,"Cur=CNY"),"")</f>
        <v>0.87</v>
      </c>
      <c r="N1095">
        <f>IFERROR([1]!s_fa_arturndays($A1095,TEXT($B$1,"yyyy/mm/dd")),"")</f>
        <v>54.956000000000003</v>
      </c>
      <c r="O1095" t="str">
        <f>IFERROR([1]!fa_apturndays($A1095,TEXT($B$1,"yyyy/mm/dd")),"")</f>
        <v>Fetch...</v>
      </c>
      <c r="P1095">
        <f>IFERROR([1]!s_fa_invturndays($A1095,TEXT($B$1,"yyyy/mm/dd")),"")</f>
        <v>41.010199999999998</v>
      </c>
    </row>
    <row r="1096" spans="1:16">
      <c r="A1096" t="s">
        <v>1109</v>
      </c>
      <c r="B1096">
        <f>IFERROR([1]!s_stm07_is($A1096,"W70156729",TEXT($B$1,"yyyy/mm/dd"),1),"")</f>
        <v>82532050796</v>
      </c>
      <c r="C1096">
        <f>IFERROR([1]!s_stm07_is($A1096,"W75682424",TEXT($B$1,"yyyy/mm/dd"),1),"")</f>
        <v>62589049730</v>
      </c>
      <c r="D1096">
        <f>IFERROR([1]!s_stm07_is($A1096,"W76031679",TEXT($B$1,"yyyy/mm/dd"),1),"")</f>
        <v>3500998769</v>
      </c>
      <c r="E1096">
        <f>IFERROR([1]!s_stm07_is($A1096,"W70752487",TEXT($B$1,"yyyy/mm/dd"),1),"")</f>
        <v>6000090919</v>
      </c>
      <c r="F1096">
        <f>IFERROR([1]!s_stm07_is_103($A1096,TEXT($B$1,"yyyy/mm/dd"),1),"")</f>
        <v>847445108</v>
      </c>
      <c r="G1096">
        <f>IFERROR([1]!s_stm07_is_104($A1096,TEXT($B$1,"yyyy/mm/dd"),1),"")</f>
        <v>650683070</v>
      </c>
      <c r="H1096">
        <f>IFERROR([1]!s_stm07_is_105($A1096,TEXT($B$1,"yyyy/mm/dd"),1),"")</f>
        <v>1916570898</v>
      </c>
      <c r="I1096">
        <f>IFERROR([1]!s_stm07_is($A1096,"W72946623",TEXT($B$1,"yyyy/mm/dd"),1),"")</f>
        <v>10419956581</v>
      </c>
      <c r="J1096">
        <f>IFERROR([1]!s_stm07_is($A1096,"W30028333",TEXT($B$1,"yyyy/mm/dd"),1),"")</f>
        <v>8113068470</v>
      </c>
      <c r="K1096">
        <f>IFERROR([1]!s_stm07_cs($A1096,"W77130581",TEXT($B$1,"yyyy/mm/dd"),1),"")</f>
        <v>16643907685</v>
      </c>
      <c r="L1096">
        <f>IFERROR([1]!s_stm07_cs($A1096,"W77745895",TEXT($B$1,"yyyy/mm/dd"),1),"")</f>
        <v>9636323135</v>
      </c>
      <c r="M1096">
        <f>IFERROR([1]!S_FA_EPS_basic2($A1096,$B$1,"Cur=CNY"),"")</f>
        <v>1.54</v>
      </c>
      <c r="N1096">
        <f>IFERROR([1]!s_fa_arturndays($A1096,TEXT($B$1,"yyyy/mm/dd")),"")</f>
        <v>14.6027</v>
      </c>
      <c r="O1096" t="str">
        <f>IFERROR([1]!fa_apturndays($A1096,TEXT($B$1,"yyyy/mm/dd")),"")</f>
        <v>Fetch...</v>
      </c>
      <c r="P1096">
        <f>IFERROR([1]!s_fa_invturndays($A1096,TEXT($B$1,"yyyy/mm/dd")),"")</f>
        <v>45.167099999999998</v>
      </c>
    </row>
    <row r="1097" spans="1:16">
      <c r="A1097" t="s">
        <v>1110</v>
      </c>
      <c r="B1097">
        <f>IFERROR([1]!s_stm07_is($A1097,"W70156729",TEXT($B$1,"yyyy/mm/dd"),1),"")</f>
        <v>4520492253.4300003</v>
      </c>
      <c r="C1097">
        <f>IFERROR([1]!s_stm07_is($A1097,"W75682424",TEXT($B$1,"yyyy/mm/dd"),1),"")</f>
        <v>4477965577.1599998</v>
      </c>
      <c r="D1097">
        <f>IFERROR([1]!s_stm07_is($A1097,"W76031679",TEXT($B$1,"yyyy/mm/dd"),1),"")</f>
        <v>41942489.560000002</v>
      </c>
      <c r="E1097">
        <f>IFERROR([1]!s_stm07_is($A1097,"W70752487",TEXT($B$1,"yyyy/mm/dd"),1),"")</f>
        <v>301830886.39999998</v>
      </c>
      <c r="F1097">
        <f>IFERROR([1]!s_stm07_is_103($A1097,TEXT($B$1,"yyyy/mm/dd"),1),"")</f>
        <v>133952271.19</v>
      </c>
      <c r="G1097">
        <f>IFERROR([1]!s_stm07_is_104($A1097,TEXT($B$1,"yyyy/mm/dd"),1),"")</f>
        <v>80663032.019999996</v>
      </c>
      <c r="H1097">
        <f>IFERROR([1]!s_stm07_is_105($A1097,TEXT($B$1,"yyyy/mm/dd"),1),"")</f>
        <v>16247455.48</v>
      </c>
      <c r="I1097">
        <f>IFERROR([1]!s_stm07_is($A1097,"W72946623",TEXT($B$1,"yyyy/mm/dd"),1),"")</f>
        <v>-667706643.30999994</v>
      </c>
      <c r="J1097">
        <f>IFERROR([1]!s_stm07_is($A1097,"W30028333",TEXT($B$1,"yyyy/mm/dd"),1),"")</f>
        <v>-584756440.63</v>
      </c>
      <c r="K1097">
        <f>IFERROR([1]!s_stm07_cs($A1097,"W77130581",TEXT($B$1,"yyyy/mm/dd"),1),"")</f>
        <v>299204429.68000001</v>
      </c>
      <c r="L1097">
        <f>IFERROR([1]!s_stm07_cs($A1097,"W77745895",TEXT($B$1,"yyyy/mm/dd"),1),"")</f>
        <v>79668270.890000001</v>
      </c>
      <c r="M1097">
        <f>IFERROR([1]!S_FA_EPS_basic2($A1097,$B$1,"Cur=CNY"),"")</f>
        <v>-0.41610000000000003</v>
      </c>
      <c r="N1097">
        <f>IFERROR([1]!s_fa_arturndays($A1097,TEXT($B$1,"yyyy/mm/dd")),"")</f>
        <v>20.049900000000001</v>
      </c>
      <c r="O1097" t="str">
        <f>IFERROR([1]!fa_apturndays($A1097,TEXT($B$1,"yyyy/mm/dd")),"")</f>
        <v>Fetch...</v>
      </c>
      <c r="P1097">
        <f>IFERROR([1]!s_fa_invturndays($A1097,TEXT($B$1,"yyyy/mm/dd")),"")</f>
        <v>66.714799999999997</v>
      </c>
    </row>
    <row r="1098" spans="1:16">
      <c r="A1098" t="s">
        <v>1111</v>
      </c>
      <c r="B1098">
        <f>IFERROR([1]!s_stm07_is($A1098,"W70156729",TEXT($B$1,"yyyy/mm/dd"),1),"")</f>
        <v>9736089608.7099991</v>
      </c>
      <c r="C1098">
        <f>IFERROR([1]!s_stm07_is($A1098,"W75682424",TEXT($B$1,"yyyy/mm/dd"),1),"")</f>
        <v>7287764218.3100004</v>
      </c>
      <c r="D1098">
        <f>IFERROR([1]!s_stm07_is($A1098,"W76031679",TEXT($B$1,"yyyy/mm/dd"),1),"")</f>
        <v>894025276.16999996</v>
      </c>
      <c r="E1098">
        <f>IFERROR([1]!s_stm07_is($A1098,"W70752487",TEXT($B$1,"yyyy/mm/dd"),1),"")</f>
        <v>406460151.81999999</v>
      </c>
      <c r="F1098">
        <f>IFERROR([1]!s_stm07_is_103($A1098,TEXT($B$1,"yyyy/mm/dd"),1),"")</f>
        <v>442028622.50999999</v>
      </c>
      <c r="G1098">
        <f>IFERROR([1]!s_stm07_is_104($A1098,TEXT($B$1,"yyyy/mm/dd"),1),"")</f>
        <v>41405973.640000001</v>
      </c>
      <c r="H1098">
        <f>IFERROR([1]!s_stm07_is_105($A1098,TEXT($B$1,"yyyy/mm/dd"),1),"")</f>
        <v>18444852.59</v>
      </c>
      <c r="I1098">
        <f>IFERROR([1]!s_stm07_is($A1098,"W72946623",TEXT($B$1,"yyyy/mm/dd"),1),"")</f>
        <v>591120527.04999995</v>
      </c>
      <c r="J1098">
        <f>IFERROR([1]!s_stm07_is($A1098,"W30028333",TEXT($B$1,"yyyy/mm/dd"),1),"")</f>
        <v>526335669.82999998</v>
      </c>
      <c r="K1098">
        <f>IFERROR([1]!s_stm07_cs($A1098,"W77130581",TEXT($B$1,"yyyy/mm/dd"),1),"")</f>
        <v>700636920.39999998</v>
      </c>
      <c r="L1098">
        <f>IFERROR([1]!s_stm07_cs($A1098,"W77745895",TEXT($B$1,"yyyy/mm/dd"),1),"")</f>
        <v>381549258.52999997</v>
      </c>
      <c r="M1098">
        <f>IFERROR([1]!S_FA_EPS_basic2($A1098,$B$1,"Cur=CNY"),"")</f>
        <v>0.87</v>
      </c>
      <c r="N1098">
        <f>IFERROR([1]!s_fa_arturndays($A1098,TEXT($B$1,"yyyy/mm/dd")),"")</f>
        <v>70.100300000000004</v>
      </c>
      <c r="O1098" t="str">
        <f>IFERROR([1]!fa_apturndays($A1098,TEXT($B$1,"yyyy/mm/dd")),"")</f>
        <v>Fetch...</v>
      </c>
      <c r="P1098">
        <f>IFERROR([1]!s_fa_invturndays($A1098,TEXT($B$1,"yyyy/mm/dd")),"")</f>
        <v>161.40600000000001</v>
      </c>
    </row>
    <row r="1099" spans="1:16">
      <c r="A1099" t="s">
        <v>1112</v>
      </c>
      <c r="B1099">
        <f>IFERROR([1]!s_stm07_is($A1099,"W70156729",TEXT($B$1,"yyyy/mm/dd"),1),"")</f>
        <v>9181696358</v>
      </c>
      <c r="C1099">
        <f>IFERROR([1]!s_stm07_is($A1099,"W75682424",TEXT($B$1,"yyyy/mm/dd"),1),"")</f>
        <v>4625997075</v>
      </c>
      <c r="D1099">
        <f>IFERROR([1]!s_stm07_is($A1099,"W76031679",TEXT($B$1,"yyyy/mm/dd"),1),"")</f>
        <v>2442599746</v>
      </c>
      <c r="E1099">
        <f>IFERROR([1]!s_stm07_is($A1099,"W70752487",TEXT($B$1,"yyyy/mm/dd"),1),"")</f>
        <v>1074665618</v>
      </c>
      <c r="F1099">
        <f>IFERROR([1]!s_stm07_is_103($A1099,TEXT($B$1,"yyyy/mm/dd"),1),"")</f>
        <v>2285525008</v>
      </c>
      <c r="G1099">
        <f>IFERROR([1]!s_stm07_is_104($A1099,TEXT($B$1,"yyyy/mm/dd"),1),"")</f>
        <v>176601751</v>
      </c>
      <c r="H1099">
        <f>IFERROR([1]!s_stm07_is_105($A1099,TEXT($B$1,"yyyy/mm/dd"),1),"")</f>
        <v>42902472</v>
      </c>
      <c r="I1099">
        <f>IFERROR([1]!s_stm07_is($A1099,"W72946623",TEXT($B$1,"yyyy/mm/dd"),1),"")</f>
        <v>-1369021478</v>
      </c>
      <c r="J1099">
        <f>IFERROR([1]!s_stm07_is($A1099,"W30028333",TEXT($B$1,"yyyy/mm/dd"),1),"")</f>
        <v>-1389222622</v>
      </c>
      <c r="K1099">
        <f>IFERROR([1]!s_stm07_cs($A1099,"W77130581",TEXT($B$1,"yyyy/mm/dd"),1),"")</f>
        <v>812386051</v>
      </c>
      <c r="L1099">
        <f>IFERROR([1]!s_stm07_cs($A1099,"W77745895",TEXT($B$1,"yyyy/mm/dd"),1),"")</f>
        <v>1337284099</v>
      </c>
      <c r="M1099">
        <f>IFERROR([1]!S_FA_EPS_basic2($A1099,$B$1,"Cur=CNY"),"")</f>
        <v>-0.41</v>
      </c>
      <c r="N1099">
        <f>IFERROR([1]!s_fa_arturndays($A1099,TEXT($B$1,"yyyy/mm/dd")),"")</f>
        <v>92.175299999999993</v>
      </c>
      <c r="O1099" t="str">
        <f>IFERROR([1]!fa_apturndays($A1099,TEXT($B$1,"yyyy/mm/dd")),"")</f>
        <v>Fetch...</v>
      </c>
      <c r="P1099">
        <f>IFERROR([1]!s_fa_invturndays($A1099,TEXT($B$1,"yyyy/mm/dd")),"")</f>
        <v>101.7409</v>
      </c>
    </row>
    <row r="1100" spans="1:16">
      <c r="A1100" t="s">
        <v>1113</v>
      </c>
      <c r="B1100">
        <f>IFERROR([1]!s_stm07_is($A1100,"W70156729",TEXT($B$1,"yyyy/mm/dd"),1),"")</f>
        <v>23068419436.77</v>
      </c>
      <c r="C1100">
        <f>IFERROR([1]!s_stm07_is($A1100,"W75682424",TEXT($B$1,"yyyy/mm/dd"),1),"")</f>
        <v>20034508066.380001</v>
      </c>
      <c r="D1100">
        <f>IFERROR([1]!s_stm07_is($A1100,"W76031679",TEXT($B$1,"yyyy/mm/dd"),1),"")</f>
        <v>57896859.390000001</v>
      </c>
      <c r="E1100">
        <f>IFERROR([1]!s_stm07_is($A1100,"W70752487",TEXT($B$1,"yyyy/mm/dd"),1),"")</f>
        <v>417196239.22000003</v>
      </c>
      <c r="F1100">
        <f>IFERROR([1]!s_stm07_is_103($A1100,TEXT($B$1,"yyyy/mm/dd"),1),"")</f>
        <v>280837188.02999997</v>
      </c>
      <c r="G1100">
        <f>IFERROR([1]!s_stm07_is_104($A1100,TEXT($B$1,"yyyy/mm/dd"),1),"")</f>
        <v>321541325.27999997</v>
      </c>
      <c r="H1100">
        <f>IFERROR([1]!s_stm07_is_105($A1100,TEXT($B$1,"yyyy/mm/dd"),1),"")</f>
        <v>5574587.29</v>
      </c>
      <c r="I1100">
        <f>IFERROR([1]!s_stm07_is($A1100,"W72946623",TEXT($B$1,"yyyy/mm/dd"),1),"")</f>
        <v>1783735334</v>
      </c>
      <c r="J1100">
        <f>IFERROR([1]!s_stm07_is($A1100,"W30028333",TEXT($B$1,"yyyy/mm/dd"),1),"")</f>
        <v>1617293286.1400001</v>
      </c>
      <c r="K1100">
        <f>IFERROR([1]!s_stm07_cs($A1100,"W77130581",TEXT($B$1,"yyyy/mm/dd"),1),"")</f>
        <v>1179993235.24</v>
      </c>
      <c r="L1100">
        <f>IFERROR([1]!s_stm07_cs($A1100,"W77745895",TEXT($B$1,"yyyy/mm/dd"),1),"")</f>
        <v>530982390.52999997</v>
      </c>
      <c r="M1100">
        <f>IFERROR([1]!S_FA_EPS_basic2($A1100,$B$1,"Cur=CNY"),"")</f>
        <v>0.4</v>
      </c>
      <c r="N1100">
        <f>IFERROR([1]!s_fa_arturndays($A1100,TEXT($B$1,"yyyy/mm/dd")),"")</f>
        <v>35.466200000000001</v>
      </c>
      <c r="O1100" t="str">
        <f>IFERROR([1]!fa_apturndays($A1100,TEXT($B$1,"yyyy/mm/dd")),"")</f>
        <v>Fetch...</v>
      </c>
      <c r="P1100">
        <f>IFERROR([1]!s_fa_invturndays($A1100,TEXT($B$1,"yyyy/mm/dd")),"")</f>
        <v>49.391500000000001</v>
      </c>
    </row>
    <row r="1101" spans="1:16">
      <c r="A1101" t="s">
        <v>1114</v>
      </c>
      <c r="B1101">
        <f>IFERROR([1]!s_stm07_is($A1101,"W70156729",TEXT($B$1,"yyyy/mm/dd"),1),"")</f>
        <v>14624617638.18</v>
      </c>
      <c r="C1101">
        <f>IFERROR([1]!s_stm07_is($A1101,"W75682424",TEXT($B$1,"yyyy/mm/dd"),1),"")</f>
        <v>12913659026.27</v>
      </c>
      <c r="D1101">
        <f>IFERROR([1]!s_stm07_is($A1101,"W76031679",TEXT($B$1,"yyyy/mm/dd"),1),"")</f>
        <v>402171215.25999999</v>
      </c>
      <c r="E1101">
        <f>IFERROR([1]!s_stm07_is($A1101,"W70752487",TEXT($B$1,"yyyy/mm/dd"),1),"")</f>
        <v>590078904.98000002</v>
      </c>
      <c r="F1101">
        <f>IFERROR([1]!s_stm07_is_103($A1101,TEXT($B$1,"yyyy/mm/dd"),1),"")</f>
        <v>508876814.79000002</v>
      </c>
      <c r="G1101">
        <f>IFERROR([1]!s_stm07_is_104($A1101,TEXT($B$1,"yyyy/mm/dd"),1),"")</f>
        <v>49755914.600000001</v>
      </c>
      <c r="H1101">
        <f>IFERROR([1]!s_stm07_is_105($A1101,TEXT($B$1,"yyyy/mm/dd"),1),"")</f>
        <v>32508446.629999999</v>
      </c>
      <c r="I1101">
        <f>IFERROR([1]!s_stm07_is($A1101,"W72946623",TEXT($B$1,"yyyy/mm/dd"),1),"")</f>
        <v>264352214.93000001</v>
      </c>
      <c r="J1101">
        <f>IFERROR([1]!s_stm07_is($A1101,"W30028333",TEXT($B$1,"yyyy/mm/dd"),1),"")</f>
        <v>146855324.19</v>
      </c>
      <c r="K1101">
        <f>IFERROR([1]!s_stm07_cs($A1101,"W77130581",TEXT($B$1,"yyyy/mm/dd"),1),"")</f>
        <v>901816255.49000001</v>
      </c>
      <c r="L1101">
        <f>IFERROR([1]!s_stm07_cs($A1101,"W77745895",TEXT($B$1,"yyyy/mm/dd"),1),"")</f>
        <v>973047095.47000003</v>
      </c>
      <c r="M1101">
        <f>IFERROR([1]!S_FA_EPS_basic2($A1101,$B$1,"Cur=CNY"),"")</f>
        <v>0.10879999999999999</v>
      </c>
      <c r="N1101">
        <f>IFERROR([1]!s_fa_arturndays($A1101,TEXT($B$1,"yyyy/mm/dd")),"")</f>
        <v>34.844900000000003</v>
      </c>
      <c r="O1101" t="str">
        <f>IFERROR([1]!fa_apturndays($A1101,TEXT($B$1,"yyyy/mm/dd")),"")</f>
        <v>Fetch...</v>
      </c>
      <c r="P1101">
        <f>IFERROR([1]!s_fa_invturndays($A1101,TEXT($B$1,"yyyy/mm/dd")),"")</f>
        <v>76.0167</v>
      </c>
    </row>
    <row r="1102" spans="1:16">
      <c r="A1102" t="s">
        <v>1115</v>
      </c>
      <c r="B1102">
        <f>IFERROR([1]!s_stm07_is($A1102,"W70156729",TEXT($B$1,"yyyy/mm/dd"),1),"")</f>
        <v>23895349837</v>
      </c>
      <c r="C1102">
        <f>IFERROR([1]!s_stm07_is($A1102,"W75682424",TEXT($B$1,"yyyy/mm/dd"),1),"")</f>
        <v>19771967394</v>
      </c>
      <c r="D1102">
        <f>IFERROR([1]!s_stm07_is($A1102,"W76031679",TEXT($B$1,"yyyy/mm/dd"),1),"")</f>
        <v>2855536780</v>
      </c>
      <c r="E1102">
        <f>IFERROR([1]!s_stm07_is($A1102,"W70752487",TEXT($B$1,"yyyy/mm/dd"),1),"")</f>
        <v>810217746</v>
      </c>
      <c r="F1102">
        <f>IFERROR([1]!s_stm07_is_103($A1102,TEXT($B$1,"yyyy/mm/dd"),1),"")</f>
        <v>137335655</v>
      </c>
      <c r="G1102">
        <f>IFERROR([1]!s_stm07_is_104($A1102,TEXT($B$1,"yyyy/mm/dd"),1),"")</f>
        <v>188850421</v>
      </c>
      <c r="H1102">
        <f>IFERROR([1]!s_stm07_is_105($A1102,TEXT($B$1,"yyyy/mm/dd"),1),"")</f>
        <v>58105707</v>
      </c>
      <c r="I1102">
        <f>IFERROR([1]!s_stm07_is($A1102,"W72946623",TEXT($B$1,"yyyy/mm/dd"),1),"")</f>
        <v>-196287973</v>
      </c>
      <c r="J1102">
        <f>IFERROR([1]!s_stm07_is($A1102,"W30028333",TEXT($B$1,"yyyy/mm/dd"),1),"")</f>
        <v>-149213522</v>
      </c>
      <c r="K1102">
        <f>IFERROR([1]!s_stm07_cs($A1102,"W77130581",TEXT($B$1,"yyyy/mm/dd"),1),"")</f>
        <v>612090552</v>
      </c>
      <c r="L1102">
        <f>IFERROR([1]!s_stm07_cs($A1102,"W77745895",TEXT($B$1,"yyyy/mm/dd"),1),"")</f>
        <v>496405729</v>
      </c>
      <c r="M1102">
        <f>IFERROR([1]!S_FA_EPS_basic2($A1102,$B$1,"Cur=CNY"),"")</f>
        <v>-0.11</v>
      </c>
      <c r="N1102">
        <f>IFERROR([1]!s_fa_arturndays($A1102,TEXT($B$1,"yyyy/mm/dd")),"")</f>
        <v>28.858899999999998</v>
      </c>
      <c r="O1102" t="str">
        <f>IFERROR([1]!fa_apturndays($A1102,TEXT($B$1,"yyyy/mm/dd")),"")</f>
        <v>Fetch...</v>
      </c>
      <c r="P1102">
        <f>IFERROR([1]!s_fa_invturndays($A1102,TEXT($B$1,"yyyy/mm/dd")),"")</f>
        <v>58.657699999999998</v>
      </c>
    </row>
    <row r="1103" spans="1:16">
      <c r="A1103" t="s">
        <v>1116</v>
      </c>
      <c r="B1103">
        <f>IFERROR([1]!s_stm07_is($A1103,"W70156729",TEXT($B$1,"yyyy/mm/dd"),1),"")</f>
        <v>5229190487.4099998</v>
      </c>
      <c r="C1103">
        <f>IFERROR([1]!s_stm07_is($A1103,"W75682424",TEXT($B$1,"yyyy/mm/dd"),1),"")</f>
        <v>3422172351.7199998</v>
      </c>
      <c r="D1103">
        <f>IFERROR([1]!s_stm07_is($A1103,"W76031679",TEXT($B$1,"yyyy/mm/dd"),1),"")</f>
        <v>63805602.640000001</v>
      </c>
      <c r="E1103">
        <f>IFERROR([1]!s_stm07_is($A1103,"W70752487",TEXT($B$1,"yyyy/mm/dd"),1),"")</f>
        <v>464250138.31999999</v>
      </c>
      <c r="F1103">
        <f>IFERROR([1]!s_stm07_is_103($A1103,TEXT($B$1,"yyyy/mm/dd"),1),"")</f>
        <v>94695651.870000005</v>
      </c>
      <c r="G1103">
        <f>IFERROR([1]!s_stm07_is_104($A1103,TEXT($B$1,"yyyy/mm/dd"),1),"")</f>
        <v>364679.05</v>
      </c>
      <c r="H1103">
        <f>IFERROR([1]!s_stm07_is_105($A1103,TEXT($B$1,"yyyy/mm/dd"),1),"")</f>
        <v>19221913.649999999</v>
      </c>
      <c r="I1103">
        <f>IFERROR([1]!s_stm07_is($A1103,"W72946623",TEXT($B$1,"yyyy/mm/dd"),1),"")</f>
        <v>1171039425.48</v>
      </c>
      <c r="J1103">
        <f>IFERROR([1]!s_stm07_is($A1103,"W30028333",TEXT($B$1,"yyyy/mm/dd"),1),"")</f>
        <v>1166182575</v>
      </c>
      <c r="K1103">
        <f>IFERROR([1]!s_stm07_cs($A1103,"W77130581",TEXT($B$1,"yyyy/mm/dd"),1),"")</f>
        <v>1240486450.4000001</v>
      </c>
      <c r="L1103">
        <f>IFERROR([1]!s_stm07_cs($A1103,"W77745895",TEXT($B$1,"yyyy/mm/dd"),1),"")</f>
        <v>172361172.44</v>
      </c>
      <c r="M1103">
        <f>IFERROR([1]!S_FA_EPS_basic2($A1103,$B$1,"Cur=CNY"),"")</f>
        <v>0.65600000000000003</v>
      </c>
      <c r="N1103">
        <f>IFERROR([1]!s_fa_arturndays($A1103,TEXT($B$1,"yyyy/mm/dd")),"")</f>
        <v>0</v>
      </c>
      <c r="O1103" t="str">
        <f>IFERROR([1]!fa_apturndays($A1103,TEXT($B$1,"yyyy/mm/dd")),"")</f>
        <v>Fetch...</v>
      </c>
      <c r="P1103">
        <f>IFERROR([1]!s_fa_invturndays($A1103,TEXT($B$1,"yyyy/mm/dd")),"")</f>
        <v>25.903600000000001</v>
      </c>
    </row>
    <row r="1104" spans="1:16">
      <c r="A1104" t="s">
        <v>1117</v>
      </c>
      <c r="B1104">
        <f>IFERROR([1]!s_stm07_is($A1104,"W70156729",TEXT($B$1,"yyyy/mm/dd"),1),"")</f>
        <v>32473493664</v>
      </c>
      <c r="C1104">
        <f>IFERROR([1]!s_stm07_is($A1104,"W75682424",TEXT($B$1,"yyyy/mm/dd"),1),"")</f>
        <v>18885149805</v>
      </c>
      <c r="D1104">
        <f>IFERROR([1]!s_stm07_is($A1104,"W76031679",TEXT($B$1,"yyyy/mm/dd"),1),"")</f>
        <v>4483945021</v>
      </c>
      <c r="E1104">
        <f>IFERROR([1]!s_stm07_is($A1104,"W70752487",TEXT($B$1,"yyyy/mm/dd"),1),"")</f>
        <v>1463706116</v>
      </c>
      <c r="F1104">
        <f>IFERROR([1]!s_stm07_is_103($A1104,TEXT($B$1,"yyyy/mm/dd"),1),"")</f>
        <v>121846041</v>
      </c>
      <c r="G1104">
        <f>IFERROR([1]!s_stm07_is_104($A1104,TEXT($B$1,"yyyy/mm/dd"),1),"")</f>
        <v>11645392</v>
      </c>
      <c r="H1104">
        <f>IFERROR([1]!s_stm07_is_105($A1104,TEXT($B$1,"yyyy/mm/dd"),1),"")</f>
        <v>423517234</v>
      </c>
      <c r="I1104">
        <f>IFERROR([1]!s_stm07_is($A1104,"W72946623",TEXT($B$1,"yyyy/mm/dd"),1),"")</f>
        <v>6291056459</v>
      </c>
      <c r="J1104">
        <f>IFERROR([1]!s_stm07_is($A1104,"W30028333",TEXT($B$1,"yyyy/mm/dd"),1),"")</f>
        <v>4588101137</v>
      </c>
      <c r="K1104">
        <f>IFERROR([1]!s_stm07_cs($A1104,"W77130581",TEXT($B$1,"yyyy/mm/dd"),1),"")</f>
        <v>4592509302</v>
      </c>
      <c r="L1104">
        <f>IFERROR([1]!s_stm07_cs($A1104,"W77745895",TEXT($B$1,"yyyy/mm/dd"),1),"")</f>
        <v>2253224472</v>
      </c>
      <c r="M1104">
        <f>IFERROR([1]!S_FA_EPS_basic2($A1104,$B$1,"Cur=CNY"),"")</f>
        <v>3.363</v>
      </c>
      <c r="N1104">
        <f>IFERROR([1]!s_fa_arturndays($A1104,TEXT($B$1,"yyyy/mm/dd")),"")</f>
        <v>1.2716000000000001</v>
      </c>
      <c r="O1104" t="str">
        <f>IFERROR([1]!fa_apturndays($A1104,TEXT($B$1,"yyyy/mm/dd")),"")</f>
        <v>Fetch...</v>
      </c>
      <c r="P1104">
        <f>IFERROR([1]!s_fa_invturndays($A1104,TEXT($B$1,"yyyy/mm/dd")),"")</f>
        <v>64.937399999999997</v>
      </c>
    </row>
    <row r="1105" spans="1:16">
      <c r="A1105" t="s">
        <v>1118</v>
      </c>
      <c r="B1105">
        <f>IFERROR([1]!s_stm07_is($A1105,"W70156729",TEXT($B$1,"yyyy/mm/dd"),1),"")</f>
        <v>4939258449.3800001</v>
      </c>
      <c r="C1105">
        <f>IFERROR([1]!s_stm07_is($A1105,"W75682424",TEXT($B$1,"yyyy/mm/dd"),1),"")</f>
        <v>3697515710.5900002</v>
      </c>
      <c r="D1105">
        <f>IFERROR([1]!s_stm07_is($A1105,"W76031679",TEXT($B$1,"yyyy/mm/dd"),1),"")</f>
        <v>102311577.09999999</v>
      </c>
      <c r="E1105">
        <f>IFERROR([1]!s_stm07_is($A1105,"W70752487",TEXT($B$1,"yyyy/mm/dd"),1),"")</f>
        <v>323082682.25</v>
      </c>
      <c r="F1105">
        <f>IFERROR([1]!s_stm07_is_103($A1105,TEXT($B$1,"yyyy/mm/dd"),1),"")</f>
        <v>248441901.84</v>
      </c>
      <c r="G1105">
        <f>IFERROR([1]!s_stm07_is_104($A1105,TEXT($B$1,"yyyy/mm/dd"),1),"")</f>
        <v>24931516.77</v>
      </c>
      <c r="H1105">
        <f>IFERROR([1]!s_stm07_is_105($A1105,TEXT($B$1,"yyyy/mm/dd"),1),"")</f>
        <v>16330701.619999999</v>
      </c>
      <c r="I1105">
        <f>IFERROR([1]!s_stm07_is($A1105,"W72946623",TEXT($B$1,"yyyy/mm/dd"),1),"")</f>
        <v>535917785.13</v>
      </c>
      <c r="J1105">
        <f>IFERROR([1]!s_stm07_is($A1105,"W30028333",TEXT($B$1,"yyyy/mm/dd"),1),"")</f>
        <v>472197764.55000001</v>
      </c>
      <c r="K1105">
        <f>IFERROR([1]!s_stm07_cs($A1105,"W77130581",TEXT($B$1,"yyyy/mm/dd"),1),"")</f>
        <v>605789790.75999999</v>
      </c>
      <c r="L1105">
        <f>IFERROR([1]!s_stm07_cs($A1105,"W77745895",TEXT($B$1,"yyyy/mm/dd"),1),"")</f>
        <v>1681281782.97</v>
      </c>
      <c r="M1105">
        <f>IFERROR([1]!S_FA_EPS_basic2($A1105,$B$1,"Cur=CNY"),"")</f>
        <v>0.11</v>
      </c>
      <c r="N1105">
        <f>IFERROR([1]!s_fa_arturndays($A1105,TEXT($B$1,"yyyy/mm/dd")),"")</f>
        <v>96.061499999999995</v>
      </c>
      <c r="O1105" t="str">
        <f>IFERROR([1]!fa_apturndays($A1105,TEXT($B$1,"yyyy/mm/dd")),"")</f>
        <v>Fetch...</v>
      </c>
      <c r="P1105">
        <f>IFERROR([1]!s_fa_invturndays($A1105,TEXT($B$1,"yyyy/mm/dd")),"")</f>
        <v>83.647000000000006</v>
      </c>
    </row>
    <row r="1106" spans="1:16">
      <c r="A1106" t="s">
        <v>1119</v>
      </c>
      <c r="B1106">
        <f>IFERROR([1]!s_stm07_is($A1106,"W70156729",TEXT($B$1,"yyyy/mm/dd"),1),"")</f>
        <v>6348037751.54</v>
      </c>
      <c r="C1106">
        <f>IFERROR([1]!s_stm07_is($A1106,"W75682424",TEXT($B$1,"yyyy/mm/dd"),1),"")</f>
        <v>5283883299.3000002</v>
      </c>
      <c r="D1106">
        <f>IFERROR([1]!s_stm07_is($A1106,"W76031679",TEXT($B$1,"yyyy/mm/dd"),1),"")</f>
        <v>272404817.02999997</v>
      </c>
      <c r="E1106">
        <f>IFERROR([1]!s_stm07_is($A1106,"W70752487",TEXT($B$1,"yyyy/mm/dd"),1),"")</f>
        <v>276742385.37</v>
      </c>
      <c r="F1106">
        <f>IFERROR([1]!s_stm07_is_103($A1106,TEXT($B$1,"yyyy/mm/dd"),1),"")</f>
        <v>332918080.42000002</v>
      </c>
      <c r="G1106">
        <f>IFERROR([1]!s_stm07_is_104($A1106,TEXT($B$1,"yyyy/mm/dd"),1),"")</f>
        <v>8329708.54</v>
      </c>
      <c r="H1106">
        <f>IFERROR([1]!s_stm07_is_105($A1106,TEXT($B$1,"yyyy/mm/dd"),1),"")</f>
        <v>76893580.030000001</v>
      </c>
      <c r="I1106">
        <f>IFERROR([1]!s_stm07_is($A1106,"W72946623",TEXT($B$1,"yyyy/mm/dd"),1),"")</f>
        <v>238538018.96000001</v>
      </c>
      <c r="J1106">
        <f>IFERROR([1]!s_stm07_is($A1106,"W30028333",TEXT($B$1,"yyyy/mm/dd"),1),"")</f>
        <v>193726899.02000001</v>
      </c>
      <c r="K1106">
        <f>IFERROR([1]!s_stm07_cs($A1106,"W77130581",TEXT($B$1,"yyyy/mm/dd"),1),"")</f>
        <v>588724965.52999997</v>
      </c>
      <c r="L1106">
        <f>IFERROR([1]!s_stm07_cs($A1106,"W77745895",TEXT($B$1,"yyyy/mm/dd"),1),"")</f>
        <v>183081267.25999999</v>
      </c>
      <c r="M1106">
        <f>IFERROR([1]!S_FA_EPS_basic2($A1106,$B$1,"Cur=CNY"),"")</f>
        <v>0.14199999999999999</v>
      </c>
      <c r="N1106">
        <f>IFERROR([1]!s_fa_arturndays($A1106,TEXT($B$1,"yyyy/mm/dd")),"")</f>
        <v>49.184399999999997</v>
      </c>
      <c r="O1106" t="str">
        <f>IFERROR([1]!fa_apturndays($A1106,TEXT($B$1,"yyyy/mm/dd")),"")</f>
        <v>Fetch...</v>
      </c>
      <c r="P1106">
        <f>IFERROR([1]!s_fa_invturndays($A1106,TEXT($B$1,"yyyy/mm/dd")),"")</f>
        <v>104.10039999999999</v>
      </c>
    </row>
    <row r="1107" spans="1:16">
      <c r="A1107" t="s">
        <v>1120</v>
      </c>
      <c r="B1107">
        <f>IFERROR([1]!s_stm07_is($A1107,"W70156729",TEXT($B$1,"yyyy/mm/dd"),1),"")</f>
        <v>180506720291.82999</v>
      </c>
      <c r="C1107">
        <f>IFERROR([1]!s_stm07_is($A1107,"W75682424",TEXT($B$1,"yyyy/mm/dd"),1),"")</f>
        <v>172588536482.04999</v>
      </c>
      <c r="D1107">
        <f>IFERROR([1]!s_stm07_is($A1107,"W76031679",TEXT($B$1,"yyyy/mm/dd"),1),"")</f>
        <v>2375470824.5999999</v>
      </c>
      <c r="E1107">
        <f>IFERROR([1]!s_stm07_is($A1107,"W70752487",TEXT($B$1,"yyyy/mm/dd"),1),"")</f>
        <v>6037076094.6800003</v>
      </c>
      <c r="F1107">
        <f>IFERROR([1]!s_stm07_is_103($A1107,TEXT($B$1,"yyyy/mm/dd"),1),"")</f>
        <v>852661640.90999997</v>
      </c>
      <c r="G1107">
        <f>IFERROR([1]!s_stm07_is_104($A1107,TEXT($B$1,"yyyy/mm/dd"),1),"")</f>
        <v>8455005651.5100002</v>
      </c>
      <c r="H1107">
        <f>IFERROR([1]!s_stm07_is_105($A1107,TEXT($B$1,"yyyy/mm/dd"),1),"")</f>
        <v>222951992.66</v>
      </c>
      <c r="I1107">
        <f>IFERROR([1]!s_stm07_is($A1107,"W72946623",TEXT($B$1,"yyyy/mm/dd"),1),"")</f>
        <v>-29753627039.169998</v>
      </c>
      <c r="J1107">
        <f>IFERROR([1]!s_stm07_is($A1107,"W30028333",TEXT($B$1,"yyyy/mm/dd"),1),"")</f>
        <v>-26212737206.470001</v>
      </c>
      <c r="K1107">
        <f>IFERROR([1]!s_stm07_cs($A1107,"W77130581",TEXT($B$1,"yyyy/mm/dd"),1),"")</f>
        <v>3155537944.3800001</v>
      </c>
      <c r="L1107">
        <f>IFERROR([1]!s_stm07_cs($A1107,"W77745895",TEXT($B$1,"yyyy/mm/dd"),1),"")</f>
        <v>129937397.93000001</v>
      </c>
      <c r="M1107">
        <f>IFERROR([1]!S_FA_EPS_basic2($A1107,$B$1,"Cur=CNY"),"")</f>
        <v>-1.87</v>
      </c>
      <c r="N1107">
        <f>IFERROR([1]!s_fa_arturndays($A1107,TEXT($B$1,"yyyy/mm/dd")),"")</f>
        <v>134.73560000000001</v>
      </c>
      <c r="O1107" t="str">
        <f>IFERROR([1]!fa_apturndays($A1107,TEXT($B$1,"yyyy/mm/dd")),"")</f>
        <v>Fetch...</v>
      </c>
      <c r="P1107">
        <f>IFERROR([1]!s_fa_invturndays($A1107,TEXT($B$1,"yyyy/mm/dd")),"")</f>
        <v>1345.2915</v>
      </c>
    </row>
    <row r="1108" spans="1:16">
      <c r="A1108" t="s">
        <v>1121</v>
      </c>
      <c r="B1108">
        <f>IFERROR([1]!s_stm07_is($A1108,"W70156729",TEXT($B$1,"yyyy/mm/dd"),1),"")</f>
        <v>52823382917.629997</v>
      </c>
      <c r="C1108">
        <f>IFERROR([1]!s_stm07_is($A1108,"W75682424",TEXT($B$1,"yyyy/mm/dd"),1),"")</f>
        <v>48020176065.360001</v>
      </c>
      <c r="D1108">
        <f>IFERROR([1]!s_stm07_is($A1108,"W76031679",TEXT($B$1,"yyyy/mm/dd"),1),"")</f>
        <v>957411010.63</v>
      </c>
      <c r="E1108">
        <f>IFERROR([1]!s_stm07_is($A1108,"W70752487",TEXT($B$1,"yyyy/mm/dd"),1),"")</f>
        <v>480716121.29000002</v>
      </c>
      <c r="F1108">
        <f>IFERROR([1]!s_stm07_is_103($A1108,TEXT($B$1,"yyyy/mm/dd"),1),"")</f>
        <v>18238914.129999999</v>
      </c>
      <c r="G1108">
        <f>IFERROR([1]!s_stm07_is_104($A1108,TEXT($B$1,"yyyy/mm/dd"),1),"")</f>
        <v>195493696.53</v>
      </c>
      <c r="H1108">
        <f>IFERROR([1]!s_stm07_is_105($A1108,TEXT($B$1,"yyyy/mm/dd"),1),"")</f>
        <v>74457865.549999997</v>
      </c>
      <c r="I1108">
        <f>IFERROR([1]!s_stm07_is($A1108,"W72946623",TEXT($B$1,"yyyy/mm/dd"),1),"")</f>
        <v>3015270634.6500001</v>
      </c>
      <c r="J1108">
        <f>IFERROR([1]!s_stm07_is($A1108,"W30028333",TEXT($B$1,"yyyy/mm/dd"),1),"")</f>
        <v>1754963856.3800001</v>
      </c>
      <c r="K1108">
        <f>IFERROR([1]!s_stm07_cs($A1108,"W77130581",TEXT($B$1,"yyyy/mm/dd"),1),"")</f>
        <v>5962470282.1800003</v>
      </c>
      <c r="L1108">
        <f>IFERROR([1]!s_stm07_cs($A1108,"W77745895",TEXT($B$1,"yyyy/mm/dd"),1),"")</f>
        <v>171306954.06999999</v>
      </c>
      <c r="M1108">
        <f>IFERROR([1]!S_FA_EPS_basic2($A1108,$B$1,"Cur=CNY"),"")</f>
        <v>3.3548</v>
      </c>
      <c r="N1108">
        <f>IFERROR([1]!s_fa_arturndays($A1108,TEXT($B$1,"yyyy/mm/dd")),"")</f>
        <v>1.6315</v>
      </c>
      <c r="O1108" t="str">
        <f>IFERROR([1]!fa_apturndays($A1108,TEXT($B$1,"yyyy/mm/dd")),"")</f>
        <v>Fetch...</v>
      </c>
      <c r="P1108">
        <f>IFERROR([1]!s_fa_invturndays($A1108,TEXT($B$1,"yyyy/mm/dd")),"")</f>
        <v>76.455799999999996</v>
      </c>
    </row>
    <row r="1109" spans="1:16">
      <c r="A1109" t="s">
        <v>1122</v>
      </c>
      <c r="B1109">
        <f>IFERROR([1]!s_stm07_is($A1109,"W70156729",TEXT($B$1,"yyyy/mm/dd"),1),"")</f>
        <v>7820695925.9799995</v>
      </c>
      <c r="C1109">
        <f>IFERROR([1]!s_stm07_is($A1109,"W75682424",TEXT($B$1,"yyyy/mm/dd"),1),"")</f>
        <v>6512044797.4399996</v>
      </c>
      <c r="D1109">
        <f>IFERROR([1]!s_stm07_is($A1109,"W76031679",TEXT($B$1,"yyyy/mm/dd"),1),"")</f>
        <v>193923035.97</v>
      </c>
      <c r="E1109">
        <f>IFERROR([1]!s_stm07_is($A1109,"W70752487",TEXT($B$1,"yyyy/mm/dd"),1),"")</f>
        <v>154403310.88</v>
      </c>
      <c r="F1109">
        <f>IFERROR([1]!s_stm07_is_103($A1109,TEXT($B$1,"yyyy/mm/dd"),1),"")</f>
        <v>298167536.36000001</v>
      </c>
      <c r="G1109">
        <f>IFERROR([1]!s_stm07_is_104($A1109,TEXT($B$1,"yyyy/mm/dd"),1),"")</f>
        <v>30394487.100000001</v>
      </c>
      <c r="H1109">
        <f>IFERROR([1]!s_stm07_is_105($A1109,TEXT($B$1,"yyyy/mm/dd"),1),"")</f>
        <v>124175449.90000001</v>
      </c>
      <c r="I1109">
        <f>IFERROR([1]!s_stm07_is($A1109,"W72946623",TEXT($B$1,"yyyy/mm/dd"),1),"")</f>
        <v>945345315.74000001</v>
      </c>
      <c r="J1109">
        <f>IFERROR([1]!s_stm07_is($A1109,"W30028333",TEXT($B$1,"yyyy/mm/dd"),1),"")</f>
        <v>862638791.74000001</v>
      </c>
      <c r="K1109">
        <f>IFERROR([1]!s_stm07_cs($A1109,"W77130581",TEXT($B$1,"yyyy/mm/dd"),1),"")</f>
        <v>1131845307.77</v>
      </c>
      <c r="L1109">
        <f>IFERROR([1]!s_stm07_cs($A1109,"W77745895",TEXT($B$1,"yyyy/mm/dd"),1),"")</f>
        <v>2622145408</v>
      </c>
      <c r="M1109">
        <f>IFERROR([1]!S_FA_EPS_basic2($A1109,$B$1,"Cur=CNY"),"")</f>
        <v>0.746</v>
      </c>
      <c r="N1109">
        <f>IFERROR([1]!s_fa_arturndays($A1109,TEXT($B$1,"yyyy/mm/dd")),"")</f>
        <v>11.721299999999999</v>
      </c>
      <c r="O1109" t="str">
        <f>IFERROR([1]!fa_apturndays($A1109,TEXT($B$1,"yyyy/mm/dd")),"")</f>
        <v>Fetch...</v>
      </c>
      <c r="P1109">
        <f>IFERROR([1]!s_fa_invturndays($A1109,TEXT($B$1,"yyyy/mm/dd")),"")</f>
        <v>18.5624</v>
      </c>
    </row>
    <row r="1110" spans="1:16">
      <c r="A1110" t="s">
        <v>1123</v>
      </c>
      <c r="B1110">
        <f>IFERROR([1]!s_stm07_is($A1110,"W70156729",TEXT($B$1,"yyyy/mm/dd"),1),"")</f>
        <v>20498194996.639999</v>
      </c>
      <c r="C1110">
        <f>IFERROR([1]!s_stm07_is($A1110,"W75682424",TEXT($B$1,"yyyy/mm/dd"),1),"")</f>
        <v>17611585582.959999</v>
      </c>
      <c r="D1110">
        <f>IFERROR([1]!s_stm07_is($A1110,"W76031679",TEXT($B$1,"yyyy/mm/dd"),1),"")</f>
        <v>320680883.58999997</v>
      </c>
      <c r="E1110">
        <f>IFERROR([1]!s_stm07_is($A1110,"W70752487",TEXT($B$1,"yyyy/mm/dd"),1),"")</f>
        <v>981639094.82000005</v>
      </c>
      <c r="F1110">
        <f>IFERROR([1]!s_stm07_is_103($A1110,TEXT($B$1,"yyyy/mm/dd"),1),"")</f>
        <v>1013841305.11</v>
      </c>
      <c r="G1110">
        <f>IFERROR([1]!s_stm07_is_104($A1110,TEXT($B$1,"yyyy/mm/dd"),1),"")</f>
        <v>127147952.09</v>
      </c>
      <c r="H1110">
        <f>IFERROR([1]!s_stm07_is_105($A1110,TEXT($B$1,"yyyy/mm/dd"),1),"")</f>
        <v>44519549.25</v>
      </c>
      <c r="I1110">
        <f>IFERROR([1]!s_stm07_is($A1110,"W72946623",TEXT($B$1,"yyyy/mm/dd"),1),"")</f>
        <v>126827083.45</v>
      </c>
      <c r="J1110">
        <f>IFERROR([1]!s_stm07_is($A1110,"W30028333",TEXT($B$1,"yyyy/mm/dd"),1),"")</f>
        <v>71820885.049999997</v>
      </c>
      <c r="K1110">
        <f>IFERROR([1]!s_stm07_cs($A1110,"W77130581",TEXT($B$1,"yyyy/mm/dd"),1),"")</f>
        <v>1178593896.0899999</v>
      </c>
      <c r="L1110">
        <f>IFERROR([1]!s_stm07_cs($A1110,"W77745895",TEXT($B$1,"yyyy/mm/dd"),1),"")</f>
        <v>1145337623.8800001</v>
      </c>
      <c r="M1110">
        <f>IFERROR([1]!S_FA_EPS_basic2($A1110,$B$1,"Cur=CNY"),"")</f>
        <v>7.0000000000000007E-2</v>
      </c>
      <c r="N1110">
        <f>IFERROR([1]!s_fa_arturndays($A1110,TEXT($B$1,"yyyy/mm/dd")),"")</f>
        <v>47.982100000000003</v>
      </c>
      <c r="O1110" t="str">
        <f>IFERROR([1]!fa_apturndays($A1110,TEXT($B$1,"yyyy/mm/dd")),"")</f>
        <v>Fetch...</v>
      </c>
      <c r="P1110">
        <f>IFERROR([1]!s_fa_invturndays($A1110,TEXT($B$1,"yyyy/mm/dd")),"")</f>
        <v>116.2753</v>
      </c>
    </row>
    <row r="1111" spans="1:16">
      <c r="A1111" t="s">
        <v>1124</v>
      </c>
      <c r="B1111">
        <f>IFERROR([1]!s_stm07_is($A1111,"W70156729",TEXT($B$1,"yyyy/mm/dd"),1),"")</f>
        <v>2594213641.3400002</v>
      </c>
      <c r="C1111">
        <f>IFERROR([1]!s_stm07_is($A1111,"W75682424",TEXT($B$1,"yyyy/mm/dd"),1),"")</f>
        <v>0</v>
      </c>
      <c r="D1111">
        <f>IFERROR([1]!s_stm07_is($A1111,"W76031679",TEXT($B$1,"yyyy/mm/dd"),1),"")</f>
        <v>0</v>
      </c>
      <c r="E1111">
        <f>IFERROR([1]!s_stm07_is($A1111,"W70752487",TEXT($B$1,"yyyy/mm/dd"),1),"")</f>
        <v>1716520888.6800001</v>
      </c>
      <c r="F1111">
        <f>IFERROR([1]!s_stm07_is_103($A1111,TEXT($B$1,"yyyy/mm/dd"),1),"")</f>
        <v>0</v>
      </c>
      <c r="G1111">
        <f>IFERROR([1]!s_stm07_is_104($A1111,TEXT($B$1,"yyyy/mm/dd"),1),"")</f>
        <v>0</v>
      </c>
      <c r="H1111">
        <f>IFERROR([1]!s_stm07_is_105($A1111,TEXT($B$1,"yyyy/mm/dd"),1),"")</f>
        <v>0</v>
      </c>
      <c r="I1111">
        <f>IFERROR([1]!s_stm07_is($A1111,"W72946623",TEXT($B$1,"yyyy/mm/dd"),1),"")</f>
        <v>839034813.14999998</v>
      </c>
      <c r="J1111">
        <f>IFERROR([1]!s_stm07_is($A1111,"W30028333",TEXT($B$1,"yyyy/mm/dd"),1),"")</f>
        <v>635692994.05999994</v>
      </c>
      <c r="K1111">
        <f>IFERROR([1]!s_stm07_cs($A1111,"W77130581",TEXT($B$1,"yyyy/mm/dd"),1),"")</f>
        <v>4370068168.3000002</v>
      </c>
      <c r="L1111">
        <f>IFERROR([1]!s_stm07_cs($A1111,"W77745895",TEXT($B$1,"yyyy/mm/dd"),1),"")</f>
        <v>105466031.92</v>
      </c>
      <c r="M1111">
        <f>IFERROR([1]!S_FA_EPS_basic2($A1111,$B$1,"Cur=CNY"),"")</f>
        <v>0.6</v>
      </c>
      <c r="N1111">
        <f>IFERROR([1]!s_fa_arturndays($A1111,TEXT($B$1,"yyyy/mm/dd")),"")</f>
        <v>0</v>
      </c>
      <c r="O1111" t="str">
        <f>IFERROR([1]!fa_apturndays($A1111,TEXT($B$1,"yyyy/mm/dd")),"")</f>
        <v>Fetch...</v>
      </c>
      <c r="P1111">
        <f>IFERROR([1]!s_fa_invturndays($A1111,TEXT($B$1,"yyyy/mm/dd")),"")</f>
        <v>0</v>
      </c>
    </row>
    <row r="1112" spans="1:16">
      <c r="A1112" t="s">
        <v>1125</v>
      </c>
      <c r="B1112">
        <f>IFERROR([1]!s_stm07_is($A1112,"W70156729",TEXT($B$1,"yyyy/mm/dd"),1),"")</f>
        <v>46437125052.860001</v>
      </c>
      <c r="C1112">
        <f>IFERROR([1]!s_stm07_is($A1112,"W75682424",TEXT($B$1,"yyyy/mm/dd"),1),"")</f>
        <v>42557901141.269997</v>
      </c>
      <c r="D1112">
        <f>IFERROR([1]!s_stm07_is($A1112,"W76031679",TEXT($B$1,"yyyy/mm/dd"),1),"")</f>
        <v>607717356.88999999</v>
      </c>
      <c r="E1112">
        <f>IFERROR([1]!s_stm07_is($A1112,"W70752487",TEXT($B$1,"yyyy/mm/dd"),1),"")</f>
        <v>1567358649.3900001</v>
      </c>
      <c r="F1112">
        <f>IFERROR([1]!s_stm07_is_103($A1112,TEXT($B$1,"yyyy/mm/dd"),1),"")</f>
        <v>1213253635.24</v>
      </c>
      <c r="G1112">
        <f>IFERROR([1]!s_stm07_is_104($A1112,TEXT($B$1,"yyyy/mm/dd"),1),"")</f>
        <v>327269663.77999997</v>
      </c>
      <c r="H1112">
        <f>IFERROR([1]!s_stm07_is_105($A1112,TEXT($B$1,"yyyy/mm/dd"),1),"")</f>
        <v>9872176.9600000009</v>
      </c>
      <c r="I1112">
        <f>IFERROR([1]!s_stm07_is($A1112,"W72946623",TEXT($B$1,"yyyy/mm/dd"),1),"")</f>
        <v>808476986.12</v>
      </c>
      <c r="J1112">
        <f>IFERROR([1]!s_stm07_is($A1112,"W30028333",TEXT($B$1,"yyyy/mm/dd"),1),"")</f>
        <v>554712522.32000005</v>
      </c>
      <c r="K1112">
        <f>IFERROR([1]!s_stm07_cs($A1112,"W77130581",TEXT($B$1,"yyyy/mm/dd"),1),"")</f>
        <v>1784409696.0899999</v>
      </c>
      <c r="L1112">
        <f>IFERROR([1]!s_stm07_cs($A1112,"W77745895",TEXT($B$1,"yyyy/mm/dd"),1),"")</f>
        <v>3287602314.5100002</v>
      </c>
      <c r="M1112">
        <f>IFERROR([1]!S_FA_EPS_basic2($A1112,$B$1,"Cur=CNY"),"")</f>
        <v>0.26</v>
      </c>
      <c r="N1112">
        <f>IFERROR([1]!s_fa_arturndays($A1112,TEXT($B$1,"yyyy/mm/dd")),"")</f>
        <v>14.974500000000001</v>
      </c>
      <c r="O1112" t="str">
        <f>IFERROR([1]!fa_apturndays($A1112,TEXT($B$1,"yyyy/mm/dd")),"")</f>
        <v>Fetch...</v>
      </c>
      <c r="P1112">
        <f>IFERROR([1]!s_fa_invturndays($A1112,TEXT($B$1,"yyyy/mm/dd")),"")</f>
        <v>46.5351</v>
      </c>
    </row>
    <row r="1113" spans="1:16">
      <c r="A1113" t="s">
        <v>1126</v>
      </c>
      <c r="B1113">
        <f>IFERROR([1]!s_stm07_is($A1113,"W70156729",TEXT($B$1,"yyyy/mm/dd"),1),"")</f>
        <v>6976349235.5200005</v>
      </c>
      <c r="C1113">
        <f>IFERROR([1]!s_stm07_is($A1113,"W75682424",TEXT($B$1,"yyyy/mm/dd"),1),"")</f>
        <v>5548587993.79</v>
      </c>
      <c r="D1113">
        <f>IFERROR([1]!s_stm07_is($A1113,"W76031679",TEXT($B$1,"yyyy/mm/dd"),1),"")</f>
        <v>62745072.729999997</v>
      </c>
      <c r="E1113">
        <f>IFERROR([1]!s_stm07_is($A1113,"W70752487",TEXT($B$1,"yyyy/mm/dd"),1),"")</f>
        <v>846195424.05999994</v>
      </c>
      <c r="F1113">
        <f>IFERROR([1]!s_stm07_is_103($A1113,TEXT($B$1,"yyyy/mm/dd"),1),"")</f>
        <v>300488924.72000003</v>
      </c>
      <c r="G1113">
        <f>IFERROR([1]!s_stm07_is_104($A1113,TEXT($B$1,"yyyy/mm/dd"),1),"")</f>
        <v>41392039.340000004</v>
      </c>
      <c r="H1113">
        <f>IFERROR([1]!s_stm07_is_105($A1113,TEXT($B$1,"yyyy/mm/dd"),1),"")</f>
        <v>33730173.649999999</v>
      </c>
      <c r="I1113">
        <f>IFERROR([1]!s_stm07_is($A1113,"W72946623",TEXT($B$1,"yyyy/mm/dd"),1),"")</f>
        <v>84884879.920000002</v>
      </c>
      <c r="J1113">
        <f>IFERROR([1]!s_stm07_is($A1113,"W30028333",TEXT($B$1,"yyyy/mm/dd"),1),"")</f>
        <v>71627252.049999997</v>
      </c>
      <c r="K1113">
        <f>IFERROR([1]!s_stm07_cs($A1113,"W77130581",TEXT($B$1,"yyyy/mm/dd"),1),"")</f>
        <v>202469506.71000001</v>
      </c>
      <c r="L1113">
        <f>IFERROR([1]!s_stm07_cs($A1113,"W77745895",TEXT($B$1,"yyyy/mm/dd"),1),"")</f>
        <v>89937684.180000007</v>
      </c>
      <c r="M1113">
        <f>IFERROR([1]!S_FA_EPS_basic2($A1113,$B$1,"Cur=CNY"),"")</f>
        <v>7.0000000000000007E-2</v>
      </c>
      <c r="N1113">
        <f>IFERROR([1]!s_fa_arturndays($A1113,TEXT($B$1,"yyyy/mm/dd")),"")</f>
        <v>156.0806</v>
      </c>
      <c r="O1113" t="str">
        <f>IFERROR([1]!fa_apturndays($A1113,TEXT($B$1,"yyyy/mm/dd")),"")</f>
        <v>Fetch...</v>
      </c>
      <c r="P1113">
        <f>IFERROR([1]!s_fa_invturndays($A1113,TEXT($B$1,"yyyy/mm/dd")),"")</f>
        <v>343.28219999999999</v>
      </c>
    </row>
    <row r="1114" spans="1:16">
      <c r="A1114" t="s">
        <v>1127</v>
      </c>
      <c r="B1114">
        <f>IFERROR([1]!s_stm07_is($A1114,"W70156729",TEXT($B$1,"yyyy/mm/dd"),1),"")</f>
        <v>3081253892.6599998</v>
      </c>
      <c r="C1114">
        <f>IFERROR([1]!s_stm07_is($A1114,"W75682424",TEXT($B$1,"yyyy/mm/dd"),1),"")</f>
        <v>1561691620.5899999</v>
      </c>
      <c r="D1114">
        <f>IFERROR([1]!s_stm07_is($A1114,"W76031679",TEXT($B$1,"yyyy/mm/dd"),1),"")</f>
        <v>268648704.73000002</v>
      </c>
      <c r="E1114">
        <f>IFERROR([1]!s_stm07_is($A1114,"W70752487",TEXT($B$1,"yyyy/mm/dd"),1),"")</f>
        <v>378272760.50999999</v>
      </c>
      <c r="F1114">
        <f>IFERROR([1]!s_stm07_is_103($A1114,TEXT($B$1,"yyyy/mm/dd"),1),"")</f>
        <v>327212453.88</v>
      </c>
      <c r="G1114">
        <f>IFERROR([1]!s_stm07_is_104($A1114,TEXT($B$1,"yyyy/mm/dd"),1),"")</f>
        <v>12141364.939999999</v>
      </c>
      <c r="H1114">
        <f>IFERROR([1]!s_stm07_is_105($A1114,TEXT($B$1,"yyyy/mm/dd"),1),"")</f>
        <v>12679642.029999999</v>
      </c>
      <c r="I1114">
        <f>IFERROR([1]!s_stm07_is($A1114,"W72946623",TEXT($B$1,"yyyy/mm/dd"),1),"")</f>
        <v>610519259.08000004</v>
      </c>
      <c r="J1114">
        <f>IFERROR([1]!s_stm07_is($A1114,"W30028333",TEXT($B$1,"yyyy/mm/dd"),1),"")</f>
        <v>572603097.78999996</v>
      </c>
      <c r="K1114">
        <f>IFERROR([1]!s_stm07_cs($A1114,"W77130581",TEXT($B$1,"yyyy/mm/dd"),1),"")</f>
        <v>619727151.92999995</v>
      </c>
      <c r="L1114">
        <f>IFERROR([1]!s_stm07_cs($A1114,"W77745895",TEXT($B$1,"yyyy/mm/dd"),1),"")</f>
        <v>181295681.97</v>
      </c>
      <c r="M1114">
        <f>IFERROR([1]!S_FA_EPS_basic2($A1114,$B$1,"Cur=CNY"),"")</f>
        <v>0.45</v>
      </c>
      <c r="N1114">
        <f>IFERROR([1]!s_fa_arturndays($A1114,TEXT($B$1,"yyyy/mm/dd")),"")</f>
        <v>89.115499999999997</v>
      </c>
      <c r="O1114" t="str">
        <f>IFERROR([1]!fa_apturndays($A1114,TEXT($B$1,"yyyy/mm/dd")),"")</f>
        <v>Fetch...</v>
      </c>
      <c r="P1114">
        <f>IFERROR([1]!s_fa_invturndays($A1114,TEXT($B$1,"yyyy/mm/dd")),"")</f>
        <v>23.807200000000002</v>
      </c>
    </row>
    <row r="1115" spans="1:16">
      <c r="A1115" t="s">
        <v>1128</v>
      </c>
      <c r="B1115">
        <f>IFERROR([1]!s_stm07_is($A1115,"W70156729",TEXT($B$1,"yyyy/mm/dd"),1),"")</f>
        <v>6113376273.9899998</v>
      </c>
      <c r="C1115">
        <f>IFERROR([1]!s_stm07_is($A1115,"W75682424",TEXT($B$1,"yyyy/mm/dd"),1),"")</f>
        <v>5168184727.8699999</v>
      </c>
      <c r="D1115">
        <f>IFERROR([1]!s_stm07_is($A1115,"W76031679",TEXT($B$1,"yyyy/mm/dd"),1),"")</f>
        <v>195835418.77000001</v>
      </c>
      <c r="E1115">
        <f>IFERROR([1]!s_stm07_is($A1115,"W70752487",TEXT($B$1,"yyyy/mm/dd"),1),"")</f>
        <v>475022813.07999998</v>
      </c>
      <c r="F1115">
        <f>IFERROR([1]!s_stm07_is_103($A1115,TEXT($B$1,"yyyy/mm/dd"),1),"")</f>
        <v>1351064.84</v>
      </c>
      <c r="G1115">
        <f>IFERROR([1]!s_stm07_is_104($A1115,TEXT($B$1,"yyyy/mm/dd"),1),"")</f>
        <v>202146750.86000001</v>
      </c>
      <c r="H1115">
        <f>IFERROR([1]!s_stm07_is_105($A1115,TEXT($B$1,"yyyy/mm/dd"),1),"")</f>
        <v>60495414.170000002</v>
      </c>
      <c r="I1115">
        <f>IFERROR([1]!s_stm07_is($A1115,"W72946623",TEXT($B$1,"yyyy/mm/dd"),1),"")</f>
        <v>590571817.54999995</v>
      </c>
      <c r="J1115">
        <f>IFERROR([1]!s_stm07_is($A1115,"W30028333",TEXT($B$1,"yyyy/mm/dd"),1),"")</f>
        <v>415171077.81999999</v>
      </c>
      <c r="K1115">
        <f>IFERROR([1]!s_stm07_cs($A1115,"W77130581",TEXT($B$1,"yyyy/mm/dd"),1),"")</f>
        <v>1087349496.01</v>
      </c>
      <c r="L1115">
        <f>IFERROR([1]!s_stm07_cs($A1115,"W77745895",TEXT($B$1,"yyyy/mm/dd"),1),"")</f>
        <v>732864839.13</v>
      </c>
      <c r="M1115">
        <f>IFERROR([1]!S_FA_EPS_basic2($A1115,$B$1,"Cur=CNY"),"")</f>
        <v>0.1406</v>
      </c>
      <c r="N1115">
        <f>IFERROR([1]!s_fa_arturndays($A1115,TEXT($B$1,"yyyy/mm/dd")),"")</f>
        <v>35.083599999999997</v>
      </c>
      <c r="O1115" t="str">
        <f>IFERROR([1]!fa_apturndays($A1115,TEXT($B$1,"yyyy/mm/dd")),"")</f>
        <v>Fetch...</v>
      </c>
      <c r="P1115">
        <f>IFERROR([1]!s_fa_invturndays($A1115,TEXT($B$1,"yyyy/mm/dd")),"")</f>
        <v>18.847999999999999</v>
      </c>
    </row>
    <row r="1116" spans="1:16">
      <c r="A1116" t="s">
        <v>1129</v>
      </c>
      <c r="B1116">
        <f>IFERROR([1]!s_stm07_is($A1116,"W70156729",TEXT($B$1,"yyyy/mm/dd"),1),"")</f>
        <v>7489442721.0699997</v>
      </c>
      <c r="C1116">
        <f>IFERROR([1]!s_stm07_is($A1116,"W75682424",TEXT($B$1,"yyyy/mm/dd"),1),"")</f>
        <v>5443036254.0699997</v>
      </c>
      <c r="D1116">
        <f>IFERROR([1]!s_stm07_is($A1116,"W76031679",TEXT($B$1,"yyyy/mm/dd"),1),"")</f>
        <v>665563219.13999999</v>
      </c>
      <c r="E1116">
        <f>IFERROR([1]!s_stm07_is($A1116,"W70752487",TEXT($B$1,"yyyy/mm/dd"),1),"")</f>
        <v>820822822.55999994</v>
      </c>
      <c r="F1116">
        <f>IFERROR([1]!s_stm07_is_103($A1116,TEXT($B$1,"yyyy/mm/dd"),1),"")</f>
        <v>171708866.00999999</v>
      </c>
      <c r="G1116">
        <f>IFERROR([1]!s_stm07_is_104($A1116,TEXT($B$1,"yyyy/mm/dd"),1),"")</f>
        <v>40290104.090000004</v>
      </c>
      <c r="H1116">
        <f>IFERROR([1]!s_stm07_is_105($A1116,TEXT($B$1,"yyyy/mm/dd"),1),"")</f>
        <v>158362496.55000001</v>
      </c>
      <c r="I1116">
        <f>IFERROR([1]!s_stm07_is($A1116,"W72946623",TEXT($B$1,"yyyy/mm/dd"),1),"")</f>
        <v>844998008.48000002</v>
      </c>
      <c r="J1116">
        <f>IFERROR([1]!s_stm07_is($A1116,"W30028333",TEXT($B$1,"yyyy/mm/dd"),1),"")</f>
        <v>617459101.75999999</v>
      </c>
      <c r="K1116">
        <f>IFERROR([1]!s_stm07_cs($A1116,"W77130581",TEXT($B$1,"yyyy/mm/dd"),1),"")</f>
        <v>1732726734.1300001</v>
      </c>
      <c r="L1116">
        <f>IFERROR([1]!s_stm07_cs($A1116,"W77745895",TEXT($B$1,"yyyy/mm/dd"),1),"")</f>
        <v>1079351180.0999999</v>
      </c>
      <c r="M1116">
        <f>IFERROR([1]!S_FA_EPS_basic2($A1116,$B$1,"Cur=CNY"),"")</f>
        <v>0.1837</v>
      </c>
      <c r="N1116">
        <f>IFERROR([1]!s_fa_arturndays($A1116,TEXT($B$1,"yyyy/mm/dd")),"")</f>
        <v>94.587500000000006</v>
      </c>
      <c r="O1116" t="str">
        <f>IFERROR([1]!fa_apturndays($A1116,TEXT($B$1,"yyyy/mm/dd")),"")</f>
        <v>Fetch...</v>
      </c>
      <c r="P1116">
        <f>IFERROR([1]!s_fa_invturndays($A1116,TEXT($B$1,"yyyy/mm/dd")),"")</f>
        <v>157.36330000000001</v>
      </c>
    </row>
    <row r="1117" spans="1:16">
      <c r="A1117" t="s">
        <v>1130</v>
      </c>
      <c r="B1117">
        <f>IFERROR([1]!s_stm07_is($A1117,"W70156729",TEXT($B$1,"yyyy/mm/dd"),1),"")</f>
        <v>5964911229.6700001</v>
      </c>
      <c r="C1117">
        <f>IFERROR([1]!s_stm07_is($A1117,"W75682424",TEXT($B$1,"yyyy/mm/dd"),1),"")</f>
        <v>4050310570.1700001</v>
      </c>
      <c r="D1117">
        <f>IFERROR([1]!s_stm07_is($A1117,"W76031679",TEXT($B$1,"yyyy/mm/dd"),1),"")</f>
        <v>83244734.200000003</v>
      </c>
      <c r="E1117">
        <f>IFERROR([1]!s_stm07_is($A1117,"W70752487",TEXT($B$1,"yyyy/mm/dd"),1),"")</f>
        <v>147462282.36000001</v>
      </c>
      <c r="F1117">
        <f>IFERROR([1]!s_stm07_is_103($A1117,TEXT($B$1,"yyyy/mm/dd"),1),"")</f>
        <v>0</v>
      </c>
      <c r="G1117">
        <f>IFERROR([1]!s_stm07_is_104($A1117,TEXT($B$1,"yyyy/mm/dd"),1),"")</f>
        <v>325305725.89999998</v>
      </c>
      <c r="H1117">
        <f>IFERROR([1]!s_stm07_is_105($A1117,TEXT($B$1,"yyyy/mm/dd"),1),"")</f>
        <v>38402028.950000003</v>
      </c>
      <c r="I1117">
        <f>IFERROR([1]!s_stm07_is($A1117,"W72946623",TEXT($B$1,"yyyy/mm/dd"),1),"")</f>
        <v>1400182971.78</v>
      </c>
      <c r="J1117">
        <f>IFERROR([1]!s_stm07_is($A1117,"W30028333",TEXT($B$1,"yyyy/mm/dd"),1),"")</f>
        <v>1073513488.46</v>
      </c>
      <c r="K1117">
        <f>IFERROR([1]!s_stm07_cs($A1117,"W77130581",TEXT($B$1,"yyyy/mm/dd"),1),"")</f>
        <v>-1886822112.46</v>
      </c>
      <c r="L1117">
        <f>IFERROR([1]!s_stm07_cs($A1117,"W77745895",TEXT($B$1,"yyyy/mm/dd"),1),"")</f>
        <v>14036555.310000001</v>
      </c>
      <c r="M1117">
        <f>IFERROR([1]!S_FA_EPS_basic2($A1117,$B$1,"Cur=CNY"),"")</f>
        <v>0.96460000000000001</v>
      </c>
      <c r="N1117">
        <f>IFERROR([1]!s_fa_arturndays($A1117,TEXT($B$1,"yyyy/mm/dd")),"")</f>
        <v>16.694600000000001</v>
      </c>
      <c r="O1117" t="str">
        <f>IFERROR([1]!fa_apturndays($A1117,TEXT($B$1,"yyyy/mm/dd")),"")</f>
        <v>Fetch...</v>
      </c>
      <c r="P1117">
        <f>IFERROR([1]!s_fa_invturndays($A1117,TEXT($B$1,"yyyy/mm/dd")),"")</f>
        <v>2007.8081</v>
      </c>
    </row>
    <row r="1118" spans="1:16">
      <c r="A1118" t="s">
        <v>1131</v>
      </c>
      <c r="B1118">
        <f>IFERROR([1]!s_stm07_is($A1118,"W70156729",TEXT($B$1,"yyyy/mm/dd"),1),"")</f>
        <v>1818456501.3299999</v>
      </c>
      <c r="C1118">
        <f>IFERROR([1]!s_stm07_is($A1118,"W75682424",TEXT($B$1,"yyyy/mm/dd"),1),"")</f>
        <v>1494431057.4000001</v>
      </c>
      <c r="D1118">
        <f>IFERROR([1]!s_stm07_is($A1118,"W76031679",TEXT($B$1,"yyyy/mm/dd"),1),"")</f>
        <v>26363712.539999999</v>
      </c>
      <c r="E1118">
        <f>IFERROR([1]!s_stm07_is($A1118,"W70752487",TEXT($B$1,"yyyy/mm/dd"),1),"")</f>
        <v>232130663.09</v>
      </c>
      <c r="F1118">
        <f>IFERROR([1]!s_stm07_is_103($A1118,TEXT($B$1,"yyyy/mm/dd"),1),"")</f>
        <v>83217670.120000005</v>
      </c>
      <c r="G1118">
        <f>IFERROR([1]!s_stm07_is_104($A1118,TEXT($B$1,"yyyy/mm/dd"),1),"")</f>
        <v>375260.89</v>
      </c>
      <c r="H1118">
        <f>IFERROR([1]!s_stm07_is_105($A1118,TEXT($B$1,"yyyy/mm/dd"),1),"")</f>
        <v>84271685.159999996</v>
      </c>
      <c r="I1118">
        <f>IFERROR([1]!s_stm07_is($A1118,"W72946623",TEXT($B$1,"yyyy/mm/dd"),1),"")</f>
        <v>55026393.909999996</v>
      </c>
      <c r="J1118">
        <f>IFERROR([1]!s_stm07_is($A1118,"W30028333",TEXT($B$1,"yyyy/mm/dd"),1),"")</f>
        <v>21500538.07</v>
      </c>
      <c r="K1118">
        <f>IFERROR([1]!s_stm07_cs($A1118,"W77130581",TEXT($B$1,"yyyy/mm/dd"),1),"")</f>
        <v>-210293903.71000001</v>
      </c>
      <c r="L1118">
        <f>IFERROR([1]!s_stm07_cs($A1118,"W77745895",TEXT($B$1,"yyyy/mm/dd"),1),"")</f>
        <v>21829817.329999998</v>
      </c>
      <c r="M1118">
        <f>IFERROR([1]!S_FA_EPS_basic2($A1118,$B$1,"Cur=CNY"),"")</f>
        <v>2.7E-2</v>
      </c>
      <c r="N1118">
        <f>IFERROR([1]!s_fa_arturndays($A1118,TEXT($B$1,"yyyy/mm/dd")),"")</f>
        <v>101.03279999999999</v>
      </c>
      <c r="O1118" t="str">
        <f>IFERROR([1]!fa_apturndays($A1118,TEXT($B$1,"yyyy/mm/dd")),"")</f>
        <v>Fetch...</v>
      </c>
      <c r="P1118">
        <f>IFERROR([1]!s_fa_invturndays($A1118,TEXT($B$1,"yyyy/mm/dd")),"")</f>
        <v>5.36</v>
      </c>
    </row>
    <row r="1119" spans="1:16">
      <c r="A1119" t="s">
        <v>1132</v>
      </c>
      <c r="B1119">
        <f>IFERROR([1]!s_stm07_is($A1119,"W70156729",TEXT($B$1,"yyyy/mm/dd"),1),"")</f>
        <v>1851821799.6500001</v>
      </c>
      <c r="C1119">
        <f>IFERROR([1]!s_stm07_is($A1119,"W75682424",TEXT($B$1,"yyyy/mm/dd"),1),"")</f>
        <v>1486589390.4100001</v>
      </c>
      <c r="D1119">
        <f>IFERROR([1]!s_stm07_is($A1119,"W76031679",TEXT($B$1,"yyyy/mm/dd"),1),"")</f>
        <v>30934824.960000001</v>
      </c>
      <c r="E1119">
        <f>IFERROR([1]!s_stm07_is($A1119,"W70752487",TEXT($B$1,"yyyy/mm/dd"),1),"")</f>
        <v>328948849.55000001</v>
      </c>
      <c r="F1119">
        <f>IFERROR([1]!s_stm07_is_103($A1119,TEXT($B$1,"yyyy/mm/dd"),1),"")</f>
        <v>227035496.40000001</v>
      </c>
      <c r="G1119">
        <f>IFERROR([1]!s_stm07_is_104($A1119,TEXT($B$1,"yyyy/mm/dd"),1),"")</f>
        <v>57680732.439999998</v>
      </c>
      <c r="H1119">
        <f>IFERROR([1]!s_stm07_is_105($A1119,TEXT($B$1,"yyyy/mm/dd"),1),"")</f>
        <v>33244177.960000001</v>
      </c>
      <c r="I1119">
        <f>IFERROR([1]!s_stm07_is($A1119,"W72946623",TEXT($B$1,"yyyy/mm/dd"),1),"")</f>
        <v>-232004106.59</v>
      </c>
      <c r="J1119">
        <f>IFERROR([1]!s_stm07_is($A1119,"W30028333",TEXT($B$1,"yyyy/mm/dd"),1),"")</f>
        <v>-126596479.84</v>
      </c>
      <c r="K1119">
        <f>IFERROR([1]!s_stm07_cs($A1119,"W77130581",TEXT($B$1,"yyyy/mm/dd"),1),"")</f>
        <v>-4130756268.0999999</v>
      </c>
      <c r="L1119">
        <f>IFERROR([1]!s_stm07_cs($A1119,"W77745895",TEXT($B$1,"yyyy/mm/dd"),1),"")</f>
        <v>290811054.18000001</v>
      </c>
      <c r="M1119">
        <f>IFERROR([1]!S_FA_EPS_basic2($A1119,$B$1,"Cur=CNY"),"")</f>
        <v>-0.13900000000000001</v>
      </c>
      <c r="N1119">
        <f>IFERROR([1]!s_fa_arturndays($A1119,TEXT($B$1,"yyyy/mm/dd")),"")</f>
        <v>59.991999999999997</v>
      </c>
      <c r="O1119" t="str">
        <f>IFERROR([1]!fa_apturndays($A1119,TEXT($B$1,"yyyy/mm/dd")),"")</f>
        <v>Fetch...</v>
      </c>
      <c r="P1119">
        <f>IFERROR([1]!s_fa_invturndays($A1119,TEXT($B$1,"yyyy/mm/dd")),"")</f>
        <v>717.70330000000001</v>
      </c>
    </row>
    <row r="1120" spans="1:16">
      <c r="A1120" t="s">
        <v>1133</v>
      </c>
      <c r="B1120">
        <f>IFERROR([1]!s_stm07_is($A1120,"W70156729",TEXT($B$1,"yyyy/mm/dd"),1),"")</f>
        <v>28029356985.68</v>
      </c>
      <c r="C1120">
        <f>IFERROR([1]!s_stm07_is($A1120,"W75682424",TEXT($B$1,"yyyy/mm/dd"),1),"")</f>
        <v>21705995726.459999</v>
      </c>
      <c r="D1120">
        <f>IFERROR([1]!s_stm07_is($A1120,"W76031679",TEXT($B$1,"yyyy/mm/dd"),1),"")</f>
        <v>7370825.4699999997</v>
      </c>
      <c r="E1120">
        <f>IFERROR([1]!s_stm07_is($A1120,"W70752487",TEXT($B$1,"yyyy/mm/dd"),1),"")</f>
        <v>1035167437.48</v>
      </c>
      <c r="F1120">
        <f>IFERROR([1]!s_stm07_is_103($A1120,TEXT($B$1,"yyyy/mm/dd"),1),"")</f>
        <v>23327404.66</v>
      </c>
      <c r="G1120">
        <f>IFERROR([1]!s_stm07_is_104($A1120,TEXT($B$1,"yyyy/mm/dd"),1),"")</f>
        <v>1041463566.15</v>
      </c>
      <c r="H1120">
        <f>IFERROR([1]!s_stm07_is_105($A1120,TEXT($B$1,"yyyy/mm/dd"),1),"")</f>
        <v>116627558.66</v>
      </c>
      <c r="I1120">
        <f>IFERROR([1]!s_stm07_is($A1120,"W72946623",TEXT($B$1,"yyyy/mm/dd"),1),"")</f>
        <v>5982290569.0299997</v>
      </c>
      <c r="J1120">
        <f>IFERROR([1]!s_stm07_is($A1120,"W30028333",TEXT($B$1,"yyyy/mm/dd"),1),"")</f>
        <v>4013390354.7600002</v>
      </c>
      <c r="K1120">
        <f>IFERROR([1]!s_stm07_cs($A1120,"W77130581",TEXT($B$1,"yyyy/mm/dd"),1),"")</f>
        <v>8696194340.5</v>
      </c>
      <c r="L1120">
        <f>IFERROR([1]!s_stm07_cs($A1120,"W77745895",TEXT($B$1,"yyyy/mm/dd"),1),"")</f>
        <v>5064590180.3100004</v>
      </c>
      <c r="M1120">
        <f>IFERROR([1]!S_FA_EPS_basic2($A1120,$B$1,"Cur=CNY"),"")</f>
        <v>0.80500000000000005</v>
      </c>
      <c r="N1120">
        <f>IFERROR([1]!s_fa_arturndays($A1120,TEXT($B$1,"yyyy/mm/dd")),"")</f>
        <v>127.5962</v>
      </c>
      <c r="O1120" t="str">
        <f>IFERROR([1]!fa_apturndays($A1120,TEXT($B$1,"yyyy/mm/dd")),"")</f>
        <v>Fetch...</v>
      </c>
      <c r="P1120">
        <f>IFERROR([1]!s_fa_invturndays($A1120,TEXT($B$1,"yyyy/mm/dd")),"")</f>
        <v>18.6004</v>
      </c>
    </row>
    <row r="1121" spans="1:16">
      <c r="A1121" t="s">
        <v>1134</v>
      </c>
      <c r="B1121">
        <f>IFERROR([1]!s_stm07_is($A1121,"W70156729",TEXT($B$1,"yyyy/mm/dd"),1),"")</f>
        <v>1569317057.95</v>
      </c>
      <c r="C1121">
        <f>IFERROR([1]!s_stm07_is($A1121,"W75682424",TEXT($B$1,"yyyy/mm/dd"),1),"")</f>
        <v>844589508.12</v>
      </c>
      <c r="D1121">
        <f>IFERROR([1]!s_stm07_is($A1121,"W76031679",TEXT($B$1,"yyyy/mm/dd"),1),"")</f>
        <v>44232852.670000002</v>
      </c>
      <c r="E1121">
        <f>IFERROR([1]!s_stm07_is($A1121,"W70752487",TEXT($B$1,"yyyy/mm/dd"),1),"")</f>
        <v>638145468.27999997</v>
      </c>
      <c r="F1121">
        <f>IFERROR([1]!s_stm07_is_103($A1121,TEXT($B$1,"yyyy/mm/dd"),1),"")</f>
        <v>8951162.6899999995</v>
      </c>
      <c r="G1121">
        <f>IFERROR([1]!s_stm07_is_104($A1121,TEXT($B$1,"yyyy/mm/dd"),1),"")</f>
        <v>135475389.08000001</v>
      </c>
      <c r="H1121">
        <f>IFERROR([1]!s_stm07_is_105($A1121,TEXT($B$1,"yyyy/mm/dd"),1),"")</f>
        <v>4210890.29</v>
      </c>
      <c r="I1121">
        <f>IFERROR([1]!s_stm07_is($A1121,"W72946623",TEXT($B$1,"yyyy/mm/dd"),1),"")</f>
        <v>-2420871135.1799998</v>
      </c>
      <c r="J1121">
        <f>IFERROR([1]!s_stm07_is($A1121,"W30028333",TEXT($B$1,"yyyy/mm/dd"),1),"")</f>
        <v>-1921967251.03</v>
      </c>
      <c r="K1121">
        <f>IFERROR([1]!s_stm07_cs($A1121,"W77130581",TEXT($B$1,"yyyy/mm/dd"),1),"")</f>
        <v>726069398.25999999</v>
      </c>
      <c r="L1121">
        <f>IFERROR([1]!s_stm07_cs($A1121,"W77745895",TEXT($B$1,"yyyy/mm/dd"),1),"")</f>
        <v>5882338448.5299997</v>
      </c>
      <c r="M1121">
        <f>IFERROR([1]!S_FA_EPS_basic2($A1121,$B$1,"Cur=CNY"),"")</f>
        <v>-1.206</v>
      </c>
      <c r="N1121">
        <f>IFERROR([1]!s_fa_arturndays($A1121,TEXT($B$1,"yyyy/mm/dd")),"")</f>
        <v>41.917000000000002</v>
      </c>
      <c r="O1121" t="str">
        <f>IFERROR([1]!fa_apturndays($A1121,TEXT($B$1,"yyyy/mm/dd")),"")</f>
        <v>Fetch...</v>
      </c>
      <c r="P1121">
        <f>IFERROR([1]!s_fa_invturndays($A1121,TEXT($B$1,"yyyy/mm/dd")),"")</f>
        <v>312.22899999999998</v>
      </c>
    </row>
    <row r="1122" spans="1:16">
      <c r="A1122" t="s">
        <v>1135</v>
      </c>
      <c r="B1122">
        <f>IFERROR([1]!s_stm07_is($A1122,"W70156729",TEXT($B$1,"yyyy/mm/dd"),1),"")</f>
        <v>1454948326.0699999</v>
      </c>
      <c r="C1122">
        <f>IFERROR([1]!s_stm07_is($A1122,"W75682424",TEXT($B$1,"yyyy/mm/dd"),1),"")</f>
        <v>438799035.94</v>
      </c>
      <c r="D1122">
        <f>IFERROR([1]!s_stm07_is($A1122,"W76031679",TEXT($B$1,"yyyy/mm/dd"),1),"")</f>
        <v>305122976.63</v>
      </c>
      <c r="E1122">
        <f>IFERROR([1]!s_stm07_is($A1122,"W70752487",TEXT($B$1,"yyyy/mm/dd"),1),"")</f>
        <v>349746080.92000002</v>
      </c>
      <c r="F1122">
        <f>IFERROR([1]!s_stm07_is_103($A1122,TEXT($B$1,"yyyy/mm/dd"),1),"")</f>
        <v>149007786.78</v>
      </c>
      <c r="G1122">
        <f>IFERROR([1]!s_stm07_is_104($A1122,TEXT($B$1,"yyyy/mm/dd"),1),"")</f>
        <v>0</v>
      </c>
      <c r="H1122">
        <f>IFERROR([1]!s_stm07_is_105($A1122,TEXT($B$1,"yyyy/mm/dd"),1),"")</f>
        <v>17899942.719999999</v>
      </c>
      <c r="I1122">
        <f>IFERROR([1]!s_stm07_is($A1122,"W72946623",TEXT($B$1,"yyyy/mm/dd"),1),"")</f>
        <v>174445253.69999999</v>
      </c>
      <c r="J1122">
        <f>IFERROR([1]!s_stm07_is($A1122,"W30028333",TEXT($B$1,"yyyy/mm/dd"),1),"")</f>
        <v>113831246.40000001</v>
      </c>
      <c r="K1122">
        <f>IFERROR([1]!s_stm07_cs($A1122,"W77130581",TEXT($B$1,"yyyy/mm/dd"),1),"")</f>
        <v>313633110.58999997</v>
      </c>
      <c r="L1122">
        <f>IFERROR([1]!s_stm07_cs($A1122,"W77745895",TEXT($B$1,"yyyy/mm/dd"),1),"")</f>
        <v>49561837.939999998</v>
      </c>
      <c r="M1122">
        <f>IFERROR([1]!S_FA_EPS_basic2($A1122,$B$1,"Cur=CNY"),"")</f>
        <v>0.25</v>
      </c>
      <c r="N1122">
        <f>IFERROR([1]!s_fa_arturndays($A1122,TEXT($B$1,"yyyy/mm/dd")),"")</f>
        <v>150.31319999999999</v>
      </c>
      <c r="O1122" t="str">
        <f>IFERROR([1]!fa_apturndays($A1122,TEXT($B$1,"yyyy/mm/dd")),"")</f>
        <v>Fetch...</v>
      </c>
      <c r="P1122">
        <f>IFERROR([1]!s_fa_invturndays($A1122,TEXT($B$1,"yyyy/mm/dd")),"")</f>
        <v>189.69329999999999</v>
      </c>
    </row>
    <row r="1123" spans="1:16">
      <c r="A1123" t="s">
        <v>1136</v>
      </c>
      <c r="B1123">
        <f>IFERROR([1]!s_stm07_is($A1123,"W70156729",TEXT($B$1,"yyyy/mm/dd"),1),"")</f>
        <v>14456690982.889999</v>
      </c>
      <c r="C1123">
        <f>IFERROR([1]!s_stm07_is($A1123,"W75682424",TEXT($B$1,"yyyy/mm/dd"),1),"")</f>
        <v>11937523757.190001</v>
      </c>
      <c r="D1123">
        <f>IFERROR([1]!s_stm07_is($A1123,"W76031679",TEXT($B$1,"yyyy/mm/dd"),1),"")</f>
        <v>251975816.08000001</v>
      </c>
      <c r="E1123">
        <f>IFERROR([1]!s_stm07_is($A1123,"W70752487",TEXT($B$1,"yyyy/mm/dd"),1),"")</f>
        <v>265955628.19</v>
      </c>
      <c r="F1123">
        <f>IFERROR([1]!s_stm07_is_103($A1123,TEXT($B$1,"yyyy/mm/dd"),1),"")</f>
        <v>3558099.4</v>
      </c>
      <c r="G1123">
        <f>IFERROR([1]!s_stm07_is_104($A1123,TEXT($B$1,"yyyy/mm/dd"),1),"")</f>
        <v>899733948.38999999</v>
      </c>
      <c r="H1123">
        <f>IFERROR([1]!s_stm07_is_105($A1123,TEXT($B$1,"yyyy/mm/dd"),1),"")</f>
        <v>34238020.609999999</v>
      </c>
      <c r="I1123">
        <f>IFERROR([1]!s_stm07_is($A1123,"W72946623",TEXT($B$1,"yyyy/mm/dd"),1),"")</f>
        <v>651476767.63999999</v>
      </c>
      <c r="J1123">
        <f>IFERROR([1]!s_stm07_is($A1123,"W30028333",TEXT($B$1,"yyyy/mm/dd"),1),"")</f>
        <v>289297930.88</v>
      </c>
      <c r="K1123">
        <f>IFERROR([1]!s_stm07_cs($A1123,"W77130581",TEXT($B$1,"yyyy/mm/dd"),1),"")</f>
        <v>2123913809.8599999</v>
      </c>
      <c r="L1123">
        <f>IFERROR([1]!s_stm07_cs($A1123,"W77745895",TEXT($B$1,"yyyy/mm/dd"),1),"")</f>
        <v>55261762.539999999</v>
      </c>
      <c r="M1123">
        <f>IFERROR([1]!S_FA_EPS_basic2($A1123,$B$1,"Cur=CNY"),"")</f>
        <v>0.12</v>
      </c>
      <c r="N1123">
        <f>IFERROR([1]!s_fa_arturndays($A1123,TEXT($B$1,"yyyy/mm/dd")),"")</f>
        <v>40.860300000000002</v>
      </c>
      <c r="O1123" t="str">
        <f>IFERROR([1]!fa_apturndays($A1123,TEXT($B$1,"yyyy/mm/dd")),"")</f>
        <v>Fetch...</v>
      </c>
      <c r="P1123">
        <f>IFERROR([1]!s_fa_invturndays($A1123,TEXT($B$1,"yyyy/mm/dd")),"")</f>
        <v>1376.673</v>
      </c>
    </row>
    <row r="1124" spans="1:16">
      <c r="A1124" t="s">
        <v>1137</v>
      </c>
      <c r="B1124">
        <f>IFERROR([1]!s_stm07_is($A1124,"W70156729",TEXT($B$1,"yyyy/mm/dd"),1),"")</f>
        <v>1814230770.3599999</v>
      </c>
      <c r="C1124">
        <f>IFERROR([1]!s_stm07_is($A1124,"W75682424",TEXT($B$1,"yyyy/mm/dd"),1),"")</f>
        <v>1498750629.02</v>
      </c>
      <c r="D1124">
        <f>IFERROR([1]!s_stm07_is($A1124,"W76031679",TEXT($B$1,"yyyy/mm/dd"),1),"")</f>
        <v>20705637.420000002</v>
      </c>
      <c r="E1124">
        <f>IFERROR([1]!s_stm07_is($A1124,"W70752487",TEXT($B$1,"yyyy/mm/dd"),1),"")</f>
        <v>202542473.30000001</v>
      </c>
      <c r="F1124">
        <f>IFERROR([1]!s_stm07_is_103($A1124,TEXT($B$1,"yyyy/mm/dd"),1),"")</f>
        <v>122114974.25</v>
      </c>
      <c r="G1124">
        <f>IFERROR([1]!s_stm07_is_104($A1124,TEXT($B$1,"yyyy/mm/dd"),1),"")</f>
        <v>22202710.780000001</v>
      </c>
      <c r="H1124">
        <f>IFERROR([1]!s_stm07_is_105($A1124,TEXT($B$1,"yyyy/mm/dd"),1),"")</f>
        <v>15124906.890000001</v>
      </c>
      <c r="I1124">
        <f>IFERROR([1]!s_stm07_is($A1124,"W72946623",TEXT($B$1,"yyyy/mm/dd"),1),"")</f>
        <v>65423589.039999999</v>
      </c>
      <c r="J1124">
        <f>IFERROR([1]!s_stm07_is($A1124,"W30028333",TEXT($B$1,"yyyy/mm/dd"),1),"")</f>
        <v>55030776.710000001</v>
      </c>
      <c r="K1124">
        <f>IFERROR([1]!s_stm07_cs($A1124,"W77130581",TEXT($B$1,"yyyy/mm/dd"),1),"")</f>
        <v>114376908.08</v>
      </c>
      <c r="L1124">
        <f>IFERROR([1]!s_stm07_cs($A1124,"W77745895",TEXT($B$1,"yyyy/mm/dd"),1),"")</f>
        <v>54746387.460000001</v>
      </c>
      <c r="M1124">
        <f>IFERROR([1]!S_FA_EPS_basic2($A1124,$B$1,"Cur=CNY"),"")</f>
        <v>2.1999999999999999E-2</v>
      </c>
      <c r="N1124">
        <f>IFERROR([1]!s_fa_arturndays($A1124,TEXT($B$1,"yyyy/mm/dd")),"")</f>
        <v>107.91370000000001</v>
      </c>
      <c r="O1124" t="str">
        <f>IFERROR([1]!fa_apturndays($A1124,TEXT($B$1,"yyyy/mm/dd")),"")</f>
        <v>Fetch...</v>
      </c>
      <c r="P1124">
        <f>IFERROR([1]!s_fa_invturndays($A1124,TEXT($B$1,"yyyy/mm/dd")),"")</f>
        <v>118.3588</v>
      </c>
    </row>
    <row r="1125" spans="1:16">
      <c r="A1125" t="s">
        <v>1138</v>
      </c>
      <c r="B1125">
        <f>IFERROR([1]!s_stm07_is($A1125,"W70156729",TEXT($B$1,"yyyy/mm/dd"),1),"")</f>
        <v>3069788731.8499999</v>
      </c>
      <c r="C1125">
        <f>IFERROR([1]!s_stm07_is($A1125,"W75682424",TEXT($B$1,"yyyy/mm/dd"),1),"")</f>
        <v>2610835651.04</v>
      </c>
      <c r="D1125">
        <f>IFERROR([1]!s_stm07_is($A1125,"W76031679",TEXT($B$1,"yyyy/mm/dd"),1),"")</f>
        <v>37489222.130000003</v>
      </c>
      <c r="E1125">
        <f>IFERROR([1]!s_stm07_is($A1125,"W70752487",TEXT($B$1,"yyyy/mm/dd"),1),"")</f>
        <v>358043283.83999997</v>
      </c>
      <c r="F1125">
        <f>IFERROR([1]!s_stm07_is_103($A1125,TEXT($B$1,"yyyy/mm/dd"),1),"")</f>
        <v>66215192.960000001</v>
      </c>
      <c r="G1125">
        <f>IFERROR([1]!s_stm07_is_104($A1125,TEXT($B$1,"yyyy/mm/dd"),1),"")</f>
        <v>16214769.5</v>
      </c>
      <c r="H1125">
        <f>IFERROR([1]!s_stm07_is_105($A1125,TEXT($B$1,"yyyy/mm/dd"),1),"")</f>
        <v>2071458.54</v>
      </c>
      <c r="I1125">
        <f>IFERROR([1]!s_stm07_is($A1125,"W72946623",TEXT($B$1,"yyyy/mm/dd"),1),"")</f>
        <v>67267223.980000004</v>
      </c>
      <c r="J1125">
        <f>IFERROR([1]!s_stm07_is($A1125,"W30028333",TEXT($B$1,"yyyy/mm/dd"),1),"")</f>
        <v>52960064.390000001</v>
      </c>
      <c r="K1125">
        <f>IFERROR([1]!s_stm07_cs($A1125,"W77130581",TEXT($B$1,"yyyy/mm/dd"),1),"")</f>
        <v>109916090</v>
      </c>
      <c r="L1125">
        <f>IFERROR([1]!s_stm07_cs($A1125,"W77745895",TEXT($B$1,"yyyy/mm/dd"),1),"")</f>
        <v>86945519.799999997</v>
      </c>
      <c r="M1125">
        <f>IFERROR([1]!S_FA_EPS_basic2($A1125,$B$1,"Cur=CNY"),"")</f>
        <v>1.8800000000000001E-2</v>
      </c>
      <c r="N1125">
        <f>IFERROR([1]!s_fa_arturndays($A1125,TEXT($B$1,"yyyy/mm/dd")),"")</f>
        <v>66.591399999999993</v>
      </c>
      <c r="O1125" t="str">
        <f>IFERROR([1]!fa_apturndays($A1125,TEXT($B$1,"yyyy/mm/dd")),"")</f>
        <v>Fetch...</v>
      </c>
      <c r="P1125">
        <f>IFERROR([1]!s_fa_invturndays($A1125,TEXT($B$1,"yyyy/mm/dd")),"")</f>
        <v>124.1337</v>
      </c>
    </row>
    <row r="1126" spans="1:16">
      <c r="A1126" t="s">
        <v>1139</v>
      </c>
      <c r="B1126">
        <f>IFERROR([1]!s_stm07_is($A1126,"W70156729",TEXT($B$1,"yyyy/mm/dd"),1),"")</f>
        <v>36373297352.629997</v>
      </c>
      <c r="C1126">
        <f>IFERROR([1]!s_stm07_is($A1126,"W75682424",TEXT($B$1,"yyyy/mm/dd"),1),"")</f>
        <v>31521714572.720001</v>
      </c>
      <c r="D1126">
        <f>IFERROR([1]!s_stm07_is($A1126,"W76031679",TEXT($B$1,"yyyy/mm/dd"),1),"")</f>
        <v>2550139438.1799998</v>
      </c>
      <c r="E1126">
        <f>IFERROR([1]!s_stm07_is($A1126,"W70752487",TEXT($B$1,"yyyy/mm/dd"),1),"")</f>
        <v>2210625463.1599998</v>
      </c>
      <c r="F1126">
        <f>IFERROR([1]!s_stm07_is_103($A1126,TEXT($B$1,"yyyy/mm/dd"),1),"")</f>
        <v>43498295.299999997</v>
      </c>
      <c r="G1126">
        <f>IFERROR([1]!s_stm07_is_104($A1126,TEXT($B$1,"yyyy/mm/dd"),1),"")</f>
        <v>1700359571.8199999</v>
      </c>
      <c r="H1126">
        <f>IFERROR([1]!s_stm07_is_105($A1126,TEXT($B$1,"yyyy/mm/dd"),1),"")</f>
        <v>74287897.859999999</v>
      </c>
      <c r="I1126">
        <f>IFERROR([1]!s_stm07_is($A1126,"W72946623",TEXT($B$1,"yyyy/mm/dd"),1),"")</f>
        <v>-5666388892.9899998</v>
      </c>
      <c r="J1126">
        <f>IFERROR([1]!s_stm07_is($A1126,"W30028333",TEXT($B$1,"yyyy/mm/dd"),1),"")</f>
        <v>-4896659848.3199997</v>
      </c>
      <c r="K1126">
        <f>IFERROR([1]!s_stm07_cs($A1126,"W77130581",TEXT($B$1,"yyyy/mm/dd"),1),"")</f>
        <v>2450520175.1100001</v>
      </c>
      <c r="L1126">
        <f>IFERROR([1]!s_stm07_cs($A1126,"W77745895",TEXT($B$1,"yyyy/mm/dd"),1),"")</f>
        <v>847101978.41999996</v>
      </c>
      <c r="M1126">
        <f>IFERROR([1]!S_FA_EPS_basic2($A1126,$B$1,"Cur=CNY"),"")</f>
        <v>-1.2649999999999999</v>
      </c>
      <c r="N1126">
        <f>IFERROR([1]!s_fa_arturndays($A1126,TEXT($B$1,"yyyy/mm/dd")),"")</f>
        <v>22.1785</v>
      </c>
      <c r="O1126" t="str">
        <f>IFERROR([1]!fa_apturndays($A1126,TEXT($B$1,"yyyy/mm/dd")),"")</f>
        <v>Fetch...</v>
      </c>
      <c r="P1126">
        <f>IFERROR([1]!s_fa_invturndays($A1126,TEXT($B$1,"yyyy/mm/dd")),"")</f>
        <v>410.86509999999998</v>
      </c>
    </row>
    <row r="1127" spans="1:16">
      <c r="A1127" t="s">
        <v>1140</v>
      </c>
      <c r="B1127">
        <f>IFERROR([1]!s_stm07_is($A1127,"W70156729",TEXT($B$1,"yyyy/mm/dd"),1),"")</f>
        <v>4584450760.7600002</v>
      </c>
      <c r="C1127">
        <f>IFERROR([1]!s_stm07_is($A1127,"W75682424",TEXT($B$1,"yyyy/mm/dd"),1),"")</f>
        <v>3472683638.2600002</v>
      </c>
      <c r="D1127">
        <f>IFERROR([1]!s_stm07_is($A1127,"W76031679",TEXT($B$1,"yyyy/mm/dd"),1),"")</f>
        <v>302875987.98000002</v>
      </c>
      <c r="E1127">
        <f>IFERROR([1]!s_stm07_is($A1127,"W70752487",TEXT($B$1,"yyyy/mm/dd"),1),"")</f>
        <v>552855679.14999998</v>
      </c>
      <c r="F1127">
        <f>IFERROR([1]!s_stm07_is_103($A1127,TEXT($B$1,"yyyy/mm/dd"),1),"")</f>
        <v>2764771.45</v>
      </c>
      <c r="G1127">
        <f>IFERROR([1]!s_stm07_is_104($A1127,TEXT($B$1,"yyyy/mm/dd"),1),"")</f>
        <v>1597369187.1199999</v>
      </c>
      <c r="H1127">
        <f>IFERROR([1]!s_stm07_is_105($A1127,TEXT($B$1,"yyyy/mm/dd"),1),"")</f>
        <v>24781287.75</v>
      </c>
      <c r="I1127">
        <f>IFERROR([1]!s_stm07_is($A1127,"W72946623",TEXT($B$1,"yyyy/mm/dd"),1),"")</f>
        <v>-8449847516.9200001</v>
      </c>
      <c r="J1127">
        <f>IFERROR([1]!s_stm07_is($A1127,"W30028333",TEXT($B$1,"yyyy/mm/dd"),1),"")</f>
        <v>-7875341444.4799995</v>
      </c>
      <c r="K1127">
        <f>IFERROR([1]!s_stm07_cs($A1127,"W77130581",TEXT($B$1,"yyyy/mm/dd"),1),"")</f>
        <v>510705400.54000002</v>
      </c>
      <c r="L1127">
        <f>IFERROR([1]!s_stm07_cs($A1127,"W77745895",TEXT($B$1,"yyyy/mm/dd"),1),"")</f>
        <v>33425212.82</v>
      </c>
      <c r="M1127">
        <f>IFERROR([1]!S_FA_EPS_basic2($A1127,$B$1,"Cur=CNY"),"")</f>
        <v>-2.76</v>
      </c>
      <c r="N1127">
        <f>IFERROR([1]!s_fa_arturndays($A1127,TEXT($B$1,"yyyy/mm/dd")),"")</f>
        <v>182.88040000000001</v>
      </c>
      <c r="O1127" t="str">
        <f>IFERROR([1]!fa_apturndays($A1127,TEXT($B$1,"yyyy/mm/dd")),"")</f>
        <v>Fetch...</v>
      </c>
      <c r="P1127">
        <f>IFERROR([1]!s_fa_invturndays($A1127,TEXT($B$1,"yyyy/mm/dd")),"")</f>
        <v>3532.8753999999999</v>
      </c>
    </row>
    <row r="1128" spans="1:16">
      <c r="A1128" t="s">
        <v>1141</v>
      </c>
      <c r="B1128">
        <f>IFERROR([1]!s_stm07_is($A1128,"W70156729",TEXT($B$1,"yyyy/mm/dd"),1),"")</f>
        <v>45787435563</v>
      </c>
      <c r="C1128">
        <f>IFERROR([1]!s_stm07_is($A1128,"W75682424",TEXT($B$1,"yyyy/mm/dd"),1),"")</f>
        <v>28722452918</v>
      </c>
      <c r="D1128">
        <f>IFERROR([1]!s_stm07_is($A1128,"W76031679",TEXT($B$1,"yyyy/mm/dd"),1),"")</f>
        <v>1327765447</v>
      </c>
      <c r="E1128">
        <f>IFERROR([1]!s_stm07_is($A1128,"W70752487",TEXT($B$1,"yyyy/mm/dd"),1),"")</f>
        <v>3403051533</v>
      </c>
      <c r="F1128">
        <f>IFERROR([1]!s_stm07_is_103($A1128,TEXT($B$1,"yyyy/mm/dd"),1),"")</f>
        <v>1913082175</v>
      </c>
      <c r="G1128">
        <f>IFERROR([1]!s_stm07_is_104($A1128,TEXT($B$1,"yyyy/mm/dd"),1),"")</f>
        <v>321414072</v>
      </c>
      <c r="H1128">
        <f>IFERROR([1]!s_stm07_is_105($A1128,TEXT($B$1,"yyyy/mm/dd"),1),"")</f>
        <v>868835353</v>
      </c>
      <c r="I1128">
        <f>IFERROR([1]!s_stm07_is($A1128,"W72946623",TEXT($B$1,"yyyy/mm/dd"),1),"")</f>
        <v>11161682700</v>
      </c>
      <c r="J1128">
        <f>IFERROR([1]!s_stm07_is($A1128,"W30028333",TEXT($B$1,"yyyy/mm/dd"),1),"")</f>
        <v>9312304150</v>
      </c>
      <c r="K1128">
        <f>IFERROR([1]!s_stm07_cs($A1128,"W77130581",TEXT($B$1,"yyyy/mm/dd"),1),"")</f>
        <v>12055090552</v>
      </c>
      <c r="L1128">
        <f>IFERROR([1]!s_stm07_cs($A1128,"W77745895",TEXT($B$1,"yyyy/mm/dd"),1),"")</f>
        <v>6164082209</v>
      </c>
      <c r="M1128">
        <f>IFERROR([1]!S_FA_EPS_basic2($A1128,$B$1,"Cur=CNY"),"")</f>
        <v>3.57</v>
      </c>
      <c r="N1128">
        <f>IFERROR([1]!s_fa_arturndays($A1128,TEXT($B$1,"yyyy/mm/dd")),"")</f>
        <v>65.395099999999999</v>
      </c>
      <c r="O1128" t="str">
        <f>IFERROR([1]!fa_apturndays($A1128,TEXT($B$1,"yyyy/mm/dd")),"")</f>
        <v>Fetch...</v>
      </c>
      <c r="P1128">
        <f>IFERROR([1]!s_fa_invturndays($A1128,TEXT($B$1,"yyyy/mm/dd")),"")</f>
        <v>80.026700000000005</v>
      </c>
    </row>
    <row r="1129" spans="1:16">
      <c r="A1129" t="s">
        <v>1142</v>
      </c>
      <c r="B1129">
        <f>IFERROR([1]!s_stm07_is($A1129,"W70156729",TEXT($B$1,"yyyy/mm/dd"),1),"")</f>
        <v>24129392598.98</v>
      </c>
      <c r="C1129">
        <f>IFERROR([1]!s_stm07_is($A1129,"W75682424",TEXT($B$1,"yyyy/mm/dd"),1),"")</f>
        <v>22063728408.360001</v>
      </c>
      <c r="D1129">
        <f>IFERROR([1]!s_stm07_is($A1129,"W76031679",TEXT($B$1,"yyyy/mm/dd"),1),"")</f>
        <v>730275275.09000003</v>
      </c>
      <c r="E1129">
        <f>IFERROR([1]!s_stm07_is($A1129,"W70752487",TEXT($B$1,"yyyy/mm/dd"),1),"")</f>
        <v>463899629.37</v>
      </c>
      <c r="F1129">
        <f>IFERROR([1]!s_stm07_is_103($A1129,TEXT($B$1,"yyyy/mm/dd"),1),"")</f>
        <v>131069689.92</v>
      </c>
      <c r="G1129">
        <f>IFERROR([1]!s_stm07_is_104($A1129,TEXT($B$1,"yyyy/mm/dd"),1),"")</f>
        <v>9084180.2899999991</v>
      </c>
      <c r="H1129">
        <f>IFERROR([1]!s_stm07_is_105($A1129,TEXT($B$1,"yyyy/mm/dd"),1),"")</f>
        <v>88649099.739999995</v>
      </c>
      <c r="I1129">
        <f>IFERROR([1]!s_stm07_is($A1129,"W72946623",TEXT($B$1,"yyyy/mm/dd"),1),"")</f>
        <v>951070137.99000001</v>
      </c>
      <c r="J1129">
        <f>IFERROR([1]!s_stm07_is($A1129,"W30028333",TEXT($B$1,"yyyy/mm/dd"),1),"")</f>
        <v>652305627.39999998</v>
      </c>
      <c r="K1129">
        <f>IFERROR([1]!s_stm07_cs($A1129,"W77130581",TEXT($B$1,"yyyy/mm/dd"),1),"")</f>
        <v>1044284332.91</v>
      </c>
      <c r="L1129">
        <f>IFERROR([1]!s_stm07_cs($A1129,"W77745895",TEXT($B$1,"yyyy/mm/dd"),1),"")</f>
        <v>89914953.129999995</v>
      </c>
      <c r="M1129">
        <f>IFERROR([1]!S_FA_EPS_basic2($A1129,$B$1,"Cur=CNY"),"")</f>
        <v>0.28649999999999998</v>
      </c>
      <c r="N1129">
        <f>IFERROR([1]!s_fa_arturndays($A1129,TEXT($B$1,"yyyy/mm/dd")),"")</f>
        <v>14.869300000000001</v>
      </c>
      <c r="O1129" t="str">
        <f>IFERROR([1]!fa_apturndays($A1129,TEXT($B$1,"yyyy/mm/dd")),"")</f>
        <v>Fetch...</v>
      </c>
      <c r="P1129">
        <f>IFERROR([1]!s_fa_invturndays($A1129,TEXT($B$1,"yyyy/mm/dd")),"")</f>
        <v>0.55810000000000004</v>
      </c>
    </row>
    <row r="1130" spans="1:16">
      <c r="A1130" t="s">
        <v>1143</v>
      </c>
      <c r="B1130">
        <f>IFERROR([1]!s_stm07_is($A1130,"W70156729",TEXT($B$1,"yyyy/mm/dd"),1),"")</f>
        <v>18166652964.490002</v>
      </c>
      <c r="C1130">
        <f>IFERROR([1]!s_stm07_is($A1130,"W75682424",TEXT($B$1,"yyyy/mm/dd"),1),"")</f>
        <v>11615238351.879999</v>
      </c>
      <c r="D1130">
        <f>IFERROR([1]!s_stm07_is($A1130,"W76031679",TEXT($B$1,"yyyy/mm/dd"),1),"")</f>
        <v>266635571.03</v>
      </c>
      <c r="E1130">
        <f>IFERROR([1]!s_stm07_is($A1130,"W70752487",TEXT($B$1,"yyyy/mm/dd"),1),"")</f>
        <v>565380833.5</v>
      </c>
      <c r="F1130">
        <f>IFERROR([1]!s_stm07_is_103($A1130,TEXT($B$1,"yyyy/mm/dd"),1),"")</f>
        <v>0</v>
      </c>
      <c r="G1130">
        <f>IFERROR([1]!s_stm07_is_104($A1130,TEXT($B$1,"yyyy/mm/dd"),1),"")</f>
        <v>1429411828.5999999</v>
      </c>
      <c r="H1130">
        <f>IFERROR([1]!s_stm07_is_105($A1130,TEXT($B$1,"yyyy/mm/dd"),1),"")</f>
        <v>41254652.850000001</v>
      </c>
      <c r="I1130">
        <f>IFERROR([1]!s_stm07_is($A1130,"W72946623",TEXT($B$1,"yyyy/mm/dd"),1),"")</f>
        <v>2296630215.8400002</v>
      </c>
      <c r="J1130">
        <f>IFERROR([1]!s_stm07_is($A1130,"W30028333",TEXT($B$1,"yyyy/mm/dd"),1),"")</f>
        <v>1225783396.9200001</v>
      </c>
      <c r="K1130">
        <f>IFERROR([1]!s_stm07_cs($A1130,"W77130581",TEXT($B$1,"yyyy/mm/dd"),1),"")</f>
        <v>10458921644.719999</v>
      </c>
      <c r="L1130">
        <f>IFERROR([1]!s_stm07_cs($A1130,"W77745895",TEXT($B$1,"yyyy/mm/dd"),1),"")</f>
        <v>1292816173.52</v>
      </c>
      <c r="M1130">
        <f>IFERROR([1]!S_FA_EPS_basic2($A1130,$B$1,"Cur=CNY"),"")</f>
        <v>0.24340000000000001</v>
      </c>
      <c r="N1130">
        <f>IFERROR([1]!s_fa_arturndays($A1130,TEXT($B$1,"yyyy/mm/dd")),"")</f>
        <v>13.8896</v>
      </c>
      <c r="O1130" t="str">
        <f>IFERROR([1]!fa_apturndays($A1130,TEXT($B$1,"yyyy/mm/dd")),"")</f>
        <v>Fetch...</v>
      </c>
      <c r="P1130">
        <f>IFERROR([1]!s_fa_invturndays($A1130,TEXT($B$1,"yyyy/mm/dd")),"")</f>
        <v>1766.4376999999999</v>
      </c>
    </row>
    <row r="1131" spans="1:16">
      <c r="A1131" t="s">
        <v>1144</v>
      </c>
      <c r="B1131">
        <f>IFERROR([1]!s_stm07_is($A1131,"W70156729",TEXT($B$1,"yyyy/mm/dd"),1),"")</f>
        <v>15964064818.530001</v>
      </c>
      <c r="C1131">
        <f>IFERROR([1]!s_stm07_is($A1131,"W75682424",TEXT($B$1,"yyyy/mm/dd"),1),"")</f>
        <v>11815835067.99</v>
      </c>
      <c r="D1131">
        <f>IFERROR([1]!s_stm07_is($A1131,"W76031679",TEXT($B$1,"yyyy/mm/dd"),1),"")</f>
        <v>2372245450.3800001</v>
      </c>
      <c r="E1131">
        <f>IFERROR([1]!s_stm07_is($A1131,"W70752487",TEXT($B$1,"yyyy/mm/dd"),1),"")</f>
        <v>853652771.11000001</v>
      </c>
      <c r="F1131">
        <f>IFERROR([1]!s_stm07_is_103($A1131,TEXT($B$1,"yyyy/mm/dd"),1),"")</f>
        <v>145006061.91999999</v>
      </c>
      <c r="G1131">
        <f>IFERROR([1]!s_stm07_is_104($A1131,TEXT($B$1,"yyyy/mm/dd"),1),"")</f>
        <v>42554725.950000003</v>
      </c>
      <c r="H1131">
        <f>IFERROR([1]!s_stm07_is_105($A1131,TEXT($B$1,"yyyy/mm/dd"),1),"")</f>
        <v>24349671.190000001</v>
      </c>
      <c r="I1131">
        <f>IFERROR([1]!s_stm07_is($A1131,"W72946623",TEXT($B$1,"yyyy/mm/dd"),1),"")</f>
        <v>572738622.08000004</v>
      </c>
      <c r="J1131">
        <f>IFERROR([1]!s_stm07_is($A1131,"W30028333",TEXT($B$1,"yyyy/mm/dd"),1),"")</f>
        <v>361597035.74000001</v>
      </c>
      <c r="K1131">
        <f>IFERROR([1]!s_stm07_cs($A1131,"W77130581",TEXT($B$1,"yyyy/mm/dd"),1),"")</f>
        <v>439656043.12</v>
      </c>
      <c r="L1131">
        <f>IFERROR([1]!s_stm07_cs($A1131,"W77745895",TEXT($B$1,"yyyy/mm/dd"),1),"")</f>
        <v>150946595.5</v>
      </c>
      <c r="M1131">
        <f>IFERROR([1]!S_FA_EPS_basic2($A1131,$B$1,"Cur=CNY"),"")</f>
        <v>0.14000000000000001</v>
      </c>
      <c r="N1131">
        <f>IFERROR([1]!s_fa_arturndays($A1131,TEXT($B$1,"yyyy/mm/dd")),"")</f>
        <v>98.651799999999994</v>
      </c>
      <c r="O1131" t="str">
        <f>IFERROR([1]!fa_apturndays($A1131,TEXT($B$1,"yyyy/mm/dd")),"")</f>
        <v>Fetch...</v>
      </c>
      <c r="P1131">
        <f>IFERROR([1]!s_fa_invturndays($A1131,TEXT($B$1,"yyyy/mm/dd")),"")</f>
        <v>60.203699999999998</v>
      </c>
    </row>
    <row r="1132" spans="1:16">
      <c r="A1132" t="s">
        <v>1145</v>
      </c>
      <c r="B1132">
        <f>IFERROR([1]!s_stm07_is($A1132,"W70156729",TEXT($B$1,"yyyy/mm/dd"),1),"")</f>
        <v>30681707450.41</v>
      </c>
      <c r="C1132">
        <f>IFERROR([1]!s_stm07_is($A1132,"W75682424",TEXT($B$1,"yyyy/mm/dd"),1),"")</f>
        <v>28333385135.330002</v>
      </c>
      <c r="D1132">
        <f>IFERROR([1]!s_stm07_is($A1132,"W76031679",TEXT($B$1,"yyyy/mm/dd"),1),"")</f>
        <v>61545745.07</v>
      </c>
      <c r="E1132">
        <f>IFERROR([1]!s_stm07_is($A1132,"W70752487",TEXT($B$1,"yyyy/mm/dd"),1),"")</f>
        <v>594561087.07000005</v>
      </c>
      <c r="F1132">
        <f>IFERROR([1]!s_stm07_is_103($A1132,TEXT($B$1,"yyyy/mm/dd"),1),"")</f>
        <v>761118664.79999995</v>
      </c>
      <c r="G1132">
        <f>IFERROR([1]!s_stm07_is_104($A1132,TEXT($B$1,"yyyy/mm/dd"),1),"")</f>
        <v>125127177.09</v>
      </c>
      <c r="H1132">
        <f>IFERROR([1]!s_stm07_is_105($A1132,TEXT($B$1,"yyyy/mm/dd"),1),"")</f>
        <v>69173282.620000005</v>
      </c>
      <c r="I1132">
        <f>IFERROR([1]!s_stm07_is($A1132,"W72946623",TEXT($B$1,"yyyy/mm/dd"),1),"")</f>
        <v>889260257.83000004</v>
      </c>
      <c r="J1132">
        <f>IFERROR([1]!s_stm07_is($A1132,"W30028333",TEXT($B$1,"yyyy/mm/dd"),1),"")</f>
        <v>448111998.98000002</v>
      </c>
      <c r="K1132">
        <f>IFERROR([1]!s_stm07_cs($A1132,"W77130581",TEXT($B$1,"yyyy/mm/dd"),1),"")</f>
        <v>437878769.81999999</v>
      </c>
      <c r="L1132">
        <f>IFERROR([1]!s_stm07_cs($A1132,"W77745895",TEXT($B$1,"yyyy/mm/dd"),1),"")</f>
        <v>378946443.19</v>
      </c>
      <c r="M1132">
        <f>IFERROR([1]!S_FA_EPS_basic2($A1132,$B$1,"Cur=CNY"),"")</f>
        <v>0.21</v>
      </c>
      <c r="N1132">
        <f>IFERROR([1]!s_fa_arturndays($A1132,TEXT($B$1,"yyyy/mm/dd")),"")</f>
        <v>72.517799999999994</v>
      </c>
      <c r="O1132" t="str">
        <f>IFERROR([1]!fa_apturndays($A1132,TEXT($B$1,"yyyy/mm/dd")),"")</f>
        <v>Fetch...</v>
      </c>
      <c r="P1132">
        <f>IFERROR([1]!s_fa_invturndays($A1132,TEXT($B$1,"yyyy/mm/dd")),"")</f>
        <v>129.84200000000001</v>
      </c>
    </row>
    <row r="1133" spans="1:16">
      <c r="A1133" t="s">
        <v>1146</v>
      </c>
      <c r="B1133">
        <f>IFERROR([1]!s_stm07_is($A1133,"W70156729",TEXT($B$1,"yyyy/mm/dd"),1),"")</f>
        <v>14934605535.389999</v>
      </c>
      <c r="C1133">
        <f>IFERROR([1]!s_stm07_is($A1133,"W75682424",TEXT($B$1,"yyyy/mm/dd"),1),"")</f>
        <v>11964793695.799999</v>
      </c>
      <c r="D1133">
        <f>IFERROR([1]!s_stm07_is($A1133,"W76031679",TEXT($B$1,"yyyy/mm/dd"),1),"")</f>
        <v>304369573.85000002</v>
      </c>
      <c r="E1133">
        <f>IFERROR([1]!s_stm07_is($A1133,"W70752487",TEXT($B$1,"yyyy/mm/dd"),1),"")</f>
        <v>689640657.46000004</v>
      </c>
      <c r="F1133">
        <f>IFERROR([1]!s_stm07_is_103($A1133,TEXT($B$1,"yyyy/mm/dd"),1),"")</f>
        <v>565402566.08000004</v>
      </c>
      <c r="G1133">
        <f>IFERROR([1]!s_stm07_is_104($A1133,TEXT($B$1,"yyyy/mm/dd"),1),"")</f>
        <v>486351232.29000002</v>
      </c>
      <c r="H1133">
        <f>IFERROR([1]!s_stm07_is_105($A1133,TEXT($B$1,"yyyy/mm/dd"),1),"")</f>
        <v>42495085.280000001</v>
      </c>
      <c r="I1133">
        <f>IFERROR([1]!s_stm07_is($A1133,"W72946623",TEXT($B$1,"yyyy/mm/dd"),1),"")</f>
        <v>360227607.81</v>
      </c>
      <c r="J1133">
        <f>IFERROR([1]!s_stm07_is($A1133,"W30028333",TEXT($B$1,"yyyy/mm/dd"),1),"")</f>
        <v>275469968.49000001</v>
      </c>
      <c r="K1133">
        <f>IFERROR([1]!s_stm07_cs($A1133,"W77130581",TEXT($B$1,"yyyy/mm/dd"),1),"")</f>
        <v>1308997218.3</v>
      </c>
      <c r="L1133">
        <f>IFERROR([1]!s_stm07_cs($A1133,"W77745895",TEXT($B$1,"yyyy/mm/dd"),1),"")</f>
        <v>1407288631.7</v>
      </c>
      <c r="M1133">
        <f>IFERROR([1]!S_FA_EPS_basic2($A1133,$B$1,"Cur=CNY"),"")</f>
        <v>0.09</v>
      </c>
      <c r="N1133">
        <f>IFERROR([1]!s_fa_arturndays($A1133,TEXT($B$1,"yyyy/mm/dd")),"")</f>
        <v>65.412899999999993</v>
      </c>
      <c r="O1133" t="str">
        <f>IFERROR([1]!fa_apturndays($A1133,TEXT($B$1,"yyyy/mm/dd")),"")</f>
        <v>Fetch...</v>
      </c>
      <c r="P1133">
        <f>IFERROR([1]!s_fa_invturndays($A1133,TEXT($B$1,"yyyy/mm/dd")),"")</f>
        <v>54.981999999999999</v>
      </c>
    </row>
    <row r="1134" spans="1:16">
      <c r="A1134" t="s">
        <v>1147</v>
      </c>
      <c r="B1134">
        <f>IFERROR([1]!s_stm07_is($A1134,"W70156729",TEXT($B$1,"yyyy/mm/dd"),1),"")</f>
        <v>1667654821.96</v>
      </c>
      <c r="C1134">
        <f>IFERROR([1]!s_stm07_is($A1134,"W75682424",TEXT($B$1,"yyyy/mm/dd"),1),"")</f>
        <v>822236521.92999995</v>
      </c>
      <c r="D1134">
        <f>IFERROR([1]!s_stm07_is($A1134,"W76031679",TEXT($B$1,"yyyy/mm/dd"),1),"")</f>
        <v>19716675.98</v>
      </c>
      <c r="E1134">
        <f>IFERROR([1]!s_stm07_is($A1134,"W70752487",TEXT($B$1,"yyyy/mm/dd"),1),"")</f>
        <v>213493543.69</v>
      </c>
      <c r="F1134">
        <f>IFERROR([1]!s_stm07_is_103($A1134,TEXT($B$1,"yyyy/mm/dd"),1),"")</f>
        <v>36524188.859999999</v>
      </c>
      <c r="G1134">
        <f>IFERROR([1]!s_stm07_is_104($A1134,TEXT($B$1,"yyyy/mm/dd"),1),"")</f>
        <v>471342247.63999999</v>
      </c>
      <c r="H1134">
        <f>IFERROR([1]!s_stm07_is_105($A1134,TEXT($B$1,"yyyy/mm/dd"),1),"")</f>
        <v>6583206.6799999997</v>
      </c>
      <c r="I1134">
        <f>IFERROR([1]!s_stm07_is($A1134,"W72946623",TEXT($B$1,"yyyy/mm/dd"),1),"")</f>
        <v>4922344191.4200001</v>
      </c>
      <c r="J1134">
        <f>IFERROR([1]!s_stm07_is($A1134,"W30028333",TEXT($B$1,"yyyy/mm/dd"),1),"")</f>
        <v>4754148319.5</v>
      </c>
      <c r="K1134">
        <f>IFERROR([1]!s_stm07_cs($A1134,"W77130581",TEXT($B$1,"yyyy/mm/dd"),1),"")</f>
        <v>762890300.36000001</v>
      </c>
      <c r="L1134">
        <f>IFERROR([1]!s_stm07_cs($A1134,"W77745895",TEXT($B$1,"yyyy/mm/dd"),1),"")</f>
        <v>1187274039.54</v>
      </c>
      <c r="M1134">
        <f>IFERROR([1]!S_FA_EPS_basic2($A1134,$B$1,"Cur=CNY"),"")</f>
        <v>0.97529999999999994</v>
      </c>
      <c r="N1134">
        <f>IFERROR([1]!s_fa_arturndays($A1134,TEXT($B$1,"yyyy/mm/dd")),"")</f>
        <v>170.245</v>
      </c>
      <c r="O1134" t="str">
        <f>IFERROR([1]!fa_apturndays($A1134,TEXT($B$1,"yyyy/mm/dd")),"")</f>
        <v>Fetch...</v>
      </c>
      <c r="P1134">
        <f>IFERROR([1]!s_fa_invturndays($A1134,TEXT($B$1,"yyyy/mm/dd")),"")</f>
        <v>44.814</v>
      </c>
    </row>
    <row r="1135" spans="1:16">
      <c r="A1135" t="s">
        <v>1148</v>
      </c>
      <c r="B1135">
        <f>IFERROR([1]!s_stm07_is($A1135,"W70156729",TEXT($B$1,"yyyy/mm/dd"),1),"")</f>
        <v>10557337769.459999</v>
      </c>
      <c r="C1135">
        <f>IFERROR([1]!s_stm07_is($A1135,"W75682424",TEXT($B$1,"yyyy/mm/dd"),1),"")</f>
        <v>7595579976.4099998</v>
      </c>
      <c r="D1135">
        <f>IFERROR([1]!s_stm07_is($A1135,"W76031679",TEXT($B$1,"yyyy/mm/dd"),1),"")</f>
        <v>137987409.18000001</v>
      </c>
      <c r="E1135">
        <f>IFERROR([1]!s_stm07_is($A1135,"W70752487",TEXT($B$1,"yyyy/mm/dd"),1),"")</f>
        <v>296745779.43000001</v>
      </c>
      <c r="F1135">
        <f>IFERROR([1]!s_stm07_is_103($A1135,TEXT($B$1,"yyyy/mm/dd"),1),"")</f>
        <v>0</v>
      </c>
      <c r="G1135">
        <f>IFERROR([1]!s_stm07_is_104($A1135,TEXT($B$1,"yyyy/mm/dd"),1),"")</f>
        <v>728116562.03999996</v>
      </c>
      <c r="H1135">
        <f>IFERROR([1]!s_stm07_is_105($A1135,TEXT($B$1,"yyyy/mm/dd"),1),"")</f>
        <v>137243647.84</v>
      </c>
      <c r="I1135">
        <f>IFERROR([1]!s_stm07_is($A1135,"W72946623",TEXT($B$1,"yyyy/mm/dd"),1),"")</f>
        <v>1325722660.95</v>
      </c>
      <c r="J1135">
        <f>IFERROR([1]!s_stm07_is($A1135,"W30028333",TEXT($B$1,"yyyy/mm/dd"),1),"")</f>
        <v>118637140.44</v>
      </c>
      <c r="K1135">
        <f>IFERROR([1]!s_stm07_cs($A1135,"W77130581",TEXT($B$1,"yyyy/mm/dd"),1),"")</f>
        <v>-1183202706.8299999</v>
      </c>
      <c r="L1135">
        <f>IFERROR([1]!s_stm07_cs($A1135,"W77745895",TEXT($B$1,"yyyy/mm/dd"),1),"")</f>
        <v>26848616.510000002</v>
      </c>
      <c r="M1135">
        <f>IFERROR([1]!S_FA_EPS_basic2($A1135,$B$1,"Cur=CNY"),"")</f>
        <v>0.02</v>
      </c>
      <c r="N1135">
        <f>IFERROR([1]!s_fa_arturndays($A1135,TEXT($B$1,"yyyy/mm/dd")),"")</f>
        <v>11.192299999999999</v>
      </c>
      <c r="O1135" t="str">
        <f>IFERROR([1]!fa_apturndays($A1135,TEXT($B$1,"yyyy/mm/dd")),"")</f>
        <v>Fetch...</v>
      </c>
      <c r="P1135">
        <f>IFERROR([1]!s_fa_invturndays($A1135,TEXT($B$1,"yyyy/mm/dd")),"")</f>
        <v>1229.5082</v>
      </c>
    </row>
    <row r="1136" spans="1:16">
      <c r="A1136" t="s">
        <v>1149</v>
      </c>
      <c r="B1136">
        <f>IFERROR([1]!s_stm07_is($A1136,"W70156729",TEXT($B$1,"yyyy/mm/dd"),1),"")</f>
        <v>6360758555.1099997</v>
      </c>
      <c r="C1136">
        <f>IFERROR([1]!s_stm07_is($A1136,"W75682424",TEXT($B$1,"yyyy/mm/dd"),1),"")</f>
        <v>3786309609.5</v>
      </c>
      <c r="D1136">
        <f>IFERROR([1]!s_stm07_is($A1136,"W76031679",TEXT($B$1,"yyyy/mm/dd"),1),"")</f>
        <v>561029088.30999994</v>
      </c>
      <c r="E1136">
        <f>IFERROR([1]!s_stm07_is($A1136,"W70752487",TEXT($B$1,"yyyy/mm/dd"),1),"")</f>
        <v>1253490311.9400001</v>
      </c>
      <c r="F1136">
        <f>IFERROR([1]!s_stm07_is_103($A1136,TEXT($B$1,"yyyy/mm/dd"),1),"")</f>
        <v>230730757.22999999</v>
      </c>
      <c r="G1136">
        <f>IFERROR([1]!s_stm07_is_104($A1136,TEXT($B$1,"yyyy/mm/dd"),1),"")</f>
        <v>55019224.689999998</v>
      </c>
      <c r="H1136">
        <f>IFERROR([1]!s_stm07_is_105($A1136,TEXT($B$1,"yyyy/mm/dd"),1),"")</f>
        <v>105689315.22</v>
      </c>
      <c r="I1136">
        <f>IFERROR([1]!s_stm07_is($A1136,"W72946623",TEXT($B$1,"yyyy/mm/dd"),1),"")</f>
        <v>-673941424.09000003</v>
      </c>
      <c r="J1136">
        <f>IFERROR([1]!s_stm07_is($A1136,"W30028333",TEXT($B$1,"yyyy/mm/dd"),1),"")</f>
        <v>-841699238.77999997</v>
      </c>
      <c r="K1136">
        <f>IFERROR([1]!s_stm07_cs($A1136,"W77130581",TEXT($B$1,"yyyy/mm/dd"),1),"")</f>
        <v>732310946.80999994</v>
      </c>
      <c r="L1136">
        <f>IFERROR([1]!s_stm07_cs($A1136,"W77745895",TEXT($B$1,"yyyy/mm/dd"),1),"")</f>
        <v>350744996.63</v>
      </c>
      <c r="M1136">
        <f>IFERROR([1]!S_FA_EPS_basic2($A1136,$B$1,"Cur=CNY"),"")</f>
        <v>-0.63</v>
      </c>
      <c r="N1136">
        <f>IFERROR([1]!s_fa_arturndays($A1136,TEXT($B$1,"yyyy/mm/dd")),"")</f>
        <v>72.398200000000003</v>
      </c>
      <c r="O1136" t="str">
        <f>IFERROR([1]!fa_apturndays($A1136,TEXT($B$1,"yyyy/mm/dd")),"")</f>
        <v>Fetch...</v>
      </c>
      <c r="P1136">
        <f>IFERROR([1]!s_fa_invturndays($A1136,TEXT($B$1,"yyyy/mm/dd")),"")</f>
        <v>73.291399999999996</v>
      </c>
    </row>
    <row r="1137" spans="1:16">
      <c r="A1137" t="s">
        <v>1150</v>
      </c>
      <c r="B1137">
        <f>IFERROR([1]!s_stm07_is($A1137,"W70156729",TEXT($B$1,"yyyy/mm/dd"),1),"")</f>
        <v>20547052116.16</v>
      </c>
      <c r="C1137">
        <f>IFERROR([1]!s_stm07_is($A1137,"W75682424",TEXT($B$1,"yyyy/mm/dd"),1),"")</f>
        <v>18479056455.349998</v>
      </c>
      <c r="D1137">
        <f>IFERROR([1]!s_stm07_is($A1137,"W76031679",TEXT($B$1,"yyyy/mm/dd"),1),"")</f>
        <v>84060693.299999997</v>
      </c>
      <c r="E1137">
        <f>IFERROR([1]!s_stm07_is($A1137,"W70752487",TEXT($B$1,"yyyy/mm/dd"),1),"")</f>
        <v>782675938.57000005</v>
      </c>
      <c r="F1137">
        <f>IFERROR([1]!s_stm07_is_103($A1137,TEXT($B$1,"yyyy/mm/dd"),1),"")</f>
        <v>903313371.82000005</v>
      </c>
      <c r="G1137">
        <f>IFERROR([1]!s_stm07_is_104($A1137,TEXT($B$1,"yyyy/mm/dd"),1),"")</f>
        <v>0</v>
      </c>
      <c r="H1137">
        <f>IFERROR([1]!s_stm07_is_105($A1137,TEXT($B$1,"yyyy/mm/dd"),1),"")</f>
        <v>0</v>
      </c>
      <c r="I1137">
        <f>IFERROR([1]!s_stm07_is($A1137,"W72946623",TEXT($B$1,"yyyy/mm/dd"),1),"")</f>
        <v>1183209602.99</v>
      </c>
      <c r="J1137">
        <f>IFERROR([1]!s_stm07_is($A1137,"W30028333",TEXT($B$1,"yyyy/mm/dd"),1),"")</f>
        <v>1008262651.35</v>
      </c>
      <c r="K1137">
        <f>IFERROR([1]!s_stm07_cs($A1137,"W77130581",TEXT($B$1,"yyyy/mm/dd"),1),"")</f>
        <v>-322225535.25999999</v>
      </c>
      <c r="L1137">
        <f>IFERROR([1]!s_stm07_cs($A1137,"W77745895",TEXT($B$1,"yyyy/mm/dd"),1),"")</f>
        <v>285181763.82999998</v>
      </c>
      <c r="M1137">
        <f>IFERROR([1]!S_FA_EPS_basic2($A1137,$B$1,"Cur=CNY"),"")</f>
        <v>0.71330000000000005</v>
      </c>
      <c r="N1137">
        <f>IFERROR([1]!s_fa_arturndays($A1137,TEXT($B$1,"yyyy/mm/dd")),"")</f>
        <v>23.387</v>
      </c>
      <c r="O1137" t="str">
        <f>IFERROR([1]!fa_apturndays($A1137,TEXT($B$1,"yyyy/mm/dd")),"")</f>
        <v>Fetch...</v>
      </c>
      <c r="P1137">
        <f>IFERROR([1]!s_fa_invturndays($A1137,TEXT($B$1,"yyyy/mm/dd")),"")</f>
        <v>189.374</v>
      </c>
    </row>
    <row r="1138" spans="1:16">
      <c r="A1138" t="s">
        <v>1151</v>
      </c>
      <c r="B1138">
        <f>IFERROR([1]!s_stm07_is($A1138,"W70156729",TEXT($B$1,"yyyy/mm/dd"),1),"")</f>
        <v>24546774098.41</v>
      </c>
      <c r="C1138">
        <f>IFERROR([1]!s_stm07_is($A1138,"W75682424",TEXT($B$1,"yyyy/mm/dd"),1),"")</f>
        <v>21423583631.880001</v>
      </c>
      <c r="D1138">
        <f>IFERROR([1]!s_stm07_is($A1138,"W76031679",TEXT($B$1,"yyyy/mm/dd"),1),"")</f>
        <v>952430314.10000002</v>
      </c>
      <c r="E1138">
        <f>IFERROR([1]!s_stm07_is($A1138,"W70752487",TEXT($B$1,"yyyy/mm/dd"),1),"")</f>
        <v>531614729.69</v>
      </c>
      <c r="F1138">
        <f>IFERROR([1]!s_stm07_is_103($A1138,TEXT($B$1,"yyyy/mm/dd"),1),"")</f>
        <v>916410125.92999995</v>
      </c>
      <c r="G1138">
        <f>IFERROR([1]!s_stm07_is_104($A1138,TEXT($B$1,"yyyy/mm/dd"),1),"")</f>
        <v>146772755.63999999</v>
      </c>
      <c r="H1138">
        <f>IFERROR([1]!s_stm07_is_105($A1138,TEXT($B$1,"yyyy/mm/dd"),1),"")</f>
        <v>147294356.75999999</v>
      </c>
      <c r="I1138">
        <f>IFERROR([1]!s_stm07_is($A1138,"W72946623",TEXT($B$1,"yyyy/mm/dd"),1),"")</f>
        <v>536123241.02999997</v>
      </c>
      <c r="J1138">
        <f>IFERROR([1]!s_stm07_is($A1138,"W30028333",TEXT($B$1,"yyyy/mm/dd"),1),"")</f>
        <v>468335968.18000001</v>
      </c>
      <c r="K1138">
        <f>IFERROR([1]!s_stm07_cs($A1138,"W77130581",TEXT($B$1,"yyyy/mm/dd"),1),"")</f>
        <v>1663628959.76</v>
      </c>
      <c r="L1138">
        <f>IFERROR([1]!s_stm07_cs($A1138,"W77745895",TEXT($B$1,"yyyy/mm/dd"),1),"")</f>
        <v>331711005.19999999</v>
      </c>
      <c r="M1138">
        <f>IFERROR([1]!S_FA_EPS_basic2($A1138,$B$1,"Cur=CNY"),"")</f>
        <v>0.65</v>
      </c>
      <c r="N1138">
        <f>IFERROR([1]!s_fa_arturndays($A1138,TEXT($B$1,"yyyy/mm/dd")),"")</f>
        <v>68.655100000000004</v>
      </c>
      <c r="O1138" t="str">
        <f>IFERROR([1]!fa_apturndays($A1138,TEXT($B$1,"yyyy/mm/dd")),"")</f>
        <v>Fetch...</v>
      </c>
      <c r="P1138">
        <f>IFERROR([1]!s_fa_invturndays($A1138,TEXT($B$1,"yyyy/mm/dd")),"")</f>
        <v>46.06</v>
      </c>
    </row>
    <row r="1139" spans="1:16">
      <c r="A1139" t="s">
        <v>1152</v>
      </c>
      <c r="B1139">
        <f>IFERROR([1]!s_stm07_is($A1139,"W70156729",TEXT($B$1,"yyyy/mm/dd"),1),"")</f>
        <v>75563186000</v>
      </c>
      <c r="C1139">
        <f>IFERROR([1]!s_stm07_is($A1139,"W75682424",TEXT($B$1,"yyyy/mm/dd"),1),"")</f>
        <v>63584794000</v>
      </c>
      <c r="D1139">
        <f>IFERROR([1]!s_stm07_is($A1139,"W76031679",TEXT($B$1,"yyyy/mm/dd"),1),"")</f>
        <v>224370000</v>
      </c>
      <c r="E1139">
        <f>IFERROR([1]!s_stm07_is($A1139,"W70752487",TEXT($B$1,"yyyy/mm/dd"),1),"")</f>
        <v>1475882000</v>
      </c>
      <c r="F1139">
        <f>IFERROR([1]!s_stm07_is_103($A1139,TEXT($B$1,"yyyy/mm/dd"),1),"")</f>
        <v>214793000</v>
      </c>
      <c r="G1139">
        <f>IFERROR([1]!s_stm07_is_104($A1139,TEXT($B$1,"yyyy/mm/dd"),1),"")</f>
        <v>16326000</v>
      </c>
      <c r="H1139">
        <f>IFERROR([1]!s_stm07_is_105($A1139,TEXT($B$1,"yyyy/mm/dd"),1),"")</f>
        <v>205267000</v>
      </c>
      <c r="I1139">
        <f>IFERROR([1]!s_stm07_is($A1139,"W72946623",TEXT($B$1,"yyyy/mm/dd"),1),"")</f>
        <v>-1488866000</v>
      </c>
      <c r="J1139">
        <f>IFERROR([1]!s_stm07_is($A1139,"W30028333",TEXT($B$1,"yyyy/mm/dd"),1),"")</f>
        <v>-1432595000</v>
      </c>
      <c r="K1139">
        <f>IFERROR([1]!s_stm07_cs($A1139,"W77130581",TEXT($B$1,"yyyy/mm/dd"),1),"")</f>
        <v>1993330000</v>
      </c>
      <c r="L1139">
        <f>IFERROR([1]!s_stm07_cs($A1139,"W77745895",TEXT($B$1,"yyyy/mm/dd"),1),"")</f>
        <v>3168558000</v>
      </c>
      <c r="M1139">
        <f>IFERROR([1]!S_FA_EPS_basic2($A1139,$B$1,"Cur=CNY"),"")</f>
        <v>-0.13600000000000001</v>
      </c>
      <c r="N1139">
        <f>IFERROR([1]!s_fa_arturndays($A1139,TEXT($B$1,"yyyy/mm/dd")),"")</f>
        <v>3.5411000000000001</v>
      </c>
      <c r="O1139" t="str">
        <f>IFERROR([1]!fa_apturndays($A1139,TEXT($B$1,"yyyy/mm/dd")),"")</f>
        <v>Fetch...</v>
      </c>
      <c r="P1139">
        <f>IFERROR([1]!s_fa_invturndays($A1139,TEXT($B$1,"yyyy/mm/dd")),"")</f>
        <v>34.8048</v>
      </c>
    </row>
    <row r="1140" spans="1:16">
      <c r="A1140" t="s">
        <v>1153</v>
      </c>
      <c r="B1140">
        <f>IFERROR([1]!s_stm07_is($A1140,"W70156729",TEXT($B$1,"yyyy/mm/dd"),1),"")</f>
        <v>302346783918.29999</v>
      </c>
      <c r="C1140">
        <f>IFERROR([1]!s_stm07_is($A1140,"W75682424",TEXT($B$1,"yyyy/mm/dd"),1),"")</f>
        <v>221738754173.10999</v>
      </c>
      <c r="D1140">
        <f>IFERROR([1]!s_stm07_is($A1140,"W76031679",TEXT($B$1,"yyyy/mm/dd"),1),"")</f>
        <v>33877814770.040001</v>
      </c>
      <c r="E1140">
        <f>IFERROR([1]!s_stm07_is($A1140,"W70752487",TEXT($B$1,"yyyy/mm/dd"),1),"")</f>
        <v>13762454428.58</v>
      </c>
      <c r="F1140">
        <f>IFERROR([1]!s_stm07_is_103($A1140,TEXT($B$1,"yyyy/mm/dd"),1),"")</f>
        <v>10095934065.450001</v>
      </c>
      <c r="G1140">
        <f>IFERROR([1]!s_stm07_is_104($A1140,TEXT($B$1,"yyyy/mm/dd"),1),"")</f>
        <v>2679484195.3499999</v>
      </c>
      <c r="H1140">
        <f>IFERROR([1]!s_stm07_is_105($A1140,TEXT($B$1,"yyyy/mm/dd"),1),"")</f>
        <v>1719937738.8599999</v>
      </c>
      <c r="I1140">
        <f>IFERROR([1]!s_stm07_is($A1140,"W72946623",TEXT($B$1,"yyyy/mm/dd"),1),"")</f>
        <v>23478743800.220001</v>
      </c>
      <c r="J1140">
        <f>IFERROR([1]!s_stm07_is($A1140,"W30028333",TEXT($B$1,"yyyy/mm/dd"),1),"")</f>
        <v>19552798222.849998</v>
      </c>
      <c r="K1140">
        <f>IFERROR([1]!s_stm07_cs($A1140,"W77130581",TEXT($B$1,"yyyy/mm/dd"),1),"")</f>
        <v>26002941969.919998</v>
      </c>
      <c r="L1140">
        <f>IFERROR([1]!s_stm07_cs($A1140,"W77745895",TEXT($B$1,"yyyy/mm/dd"),1),"")</f>
        <v>8851563940.8899994</v>
      </c>
      <c r="M1140">
        <f>IFERROR([1]!S_FA_EPS_basic2($A1140,$B$1,"Cur=CNY"),"")</f>
        <v>2.12</v>
      </c>
      <c r="N1140">
        <f>IFERROR([1]!s_fa_arturndays($A1140,TEXT($B$1,"yyyy/mm/dd")),"")</f>
        <v>31.873899999999999</v>
      </c>
      <c r="O1140" t="str">
        <f>IFERROR([1]!fa_apturndays($A1140,TEXT($B$1,"yyyy/mm/dd")),"")</f>
        <v>Fetch...</v>
      </c>
      <c r="P1140">
        <f>IFERROR([1]!s_fa_invturndays($A1140,TEXT($B$1,"yyyy/mm/dd")),"")</f>
        <v>74.591300000000004</v>
      </c>
    </row>
    <row r="1141" spans="1:16">
      <c r="A1141" t="s">
        <v>1154</v>
      </c>
      <c r="B1141">
        <f>IFERROR([1]!s_stm07_is($A1141,"W70156729",TEXT($B$1,"yyyy/mm/dd"),1),"")</f>
        <v>61182688684.660004</v>
      </c>
      <c r="C1141">
        <f>IFERROR([1]!s_stm07_is($A1141,"W75682424",TEXT($B$1,"yyyy/mm/dd"),1),"")</f>
        <v>49986617682.07</v>
      </c>
      <c r="D1141">
        <f>IFERROR([1]!s_stm07_is($A1141,"W76031679",TEXT($B$1,"yyyy/mm/dd"),1),"")</f>
        <v>814535500.24000001</v>
      </c>
      <c r="E1141">
        <f>IFERROR([1]!s_stm07_is($A1141,"W70752487",TEXT($B$1,"yyyy/mm/dd"),1),"")</f>
        <v>3359426110.8000002</v>
      </c>
      <c r="F1141">
        <f>IFERROR([1]!s_stm07_is_103($A1141,TEXT($B$1,"yyyy/mm/dd"),1),"")</f>
        <v>3288978341.2600002</v>
      </c>
      <c r="G1141">
        <f>IFERROR([1]!s_stm07_is_104($A1141,TEXT($B$1,"yyyy/mm/dd"),1),"")</f>
        <v>1144520508.77</v>
      </c>
      <c r="H1141">
        <f>IFERROR([1]!s_stm07_is_105($A1141,TEXT($B$1,"yyyy/mm/dd"),1),"")</f>
        <v>107619852.84999999</v>
      </c>
      <c r="I1141">
        <f>IFERROR([1]!s_stm07_is($A1141,"W72946623",TEXT($B$1,"yyyy/mm/dd"),1),"")</f>
        <v>2185222277.5</v>
      </c>
      <c r="J1141">
        <f>IFERROR([1]!s_stm07_is($A1141,"W30028333",TEXT($B$1,"yyyy/mm/dd"),1),"")</f>
        <v>1335819941.9100001</v>
      </c>
      <c r="K1141">
        <f>IFERROR([1]!s_stm07_cs($A1141,"W77130581",TEXT($B$1,"yyyy/mm/dd"),1),"")</f>
        <v>5398030186.8599997</v>
      </c>
      <c r="L1141">
        <f>IFERROR([1]!s_stm07_cs($A1141,"W77745895",TEXT($B$1,"yyyy/mm/dd"),1),"")</f>
        <v>4308139529.54</v>
      </c>
      <c r="M1141">
        <f>IFERROR([1]!S_FA_EPS_basic2($A1141,$B$1,"Cur=CNY"),"")</f>
        <v>0.95</v>
      </c>
      <c r="N1141">
        <f>IFERROR([1]!s_fa_arturndays($A1141,TEXT($B$1,"yyyy/mm/dd")),"")</f>
        <v>51.485900000000001</v>
      </c>
      <c r="O1141" t="str">
        <f>IFERROR([1]!fa_apturndays($A1141,TEXT($B$1,"yyyy/mm/dd")),"")</f>
        <v>Fetch...</v>
      </c>
      <c r="P1141">
        <f>IFERROR([1]!s_fa_invturndays($A1141,TEXT($B$1,"yyyy/mm/dd")),"")</f>
        <v>76.413700000000006</v>
      </c>
    </row>
    <row r="1142" spans="1:16">
      <c r="A1142" t="s">
        <v>1155</v>
      </c>
      <c r="B1142">
        <f>IFERROR([1]!s_stm07_is($A1142,"W70156729",TEXT($B$1,"yyyy/mm/dd"),1),"")</f>
        <v>596462522203.06995</v>
      </c>
      <c r="C1142">
        <f>IFERROR([1]!s_stm07_is($A1142,"W75682424",TEXT($B$1,"yyyy/mm/dd"),1),"")</f>
        <v>582770762392.05005</v>
      </c>
      <c r="D1142">
        <f>IFERROR([1]!s_stm07_is($A1142,"W76031679",TEXT($B$1,"yyyy/mm/dd"),1),"")</f>
        <v>2649181349.46</v>
      </c>
      <c r="E1142">
        <f>IFERROR([1]!s_stm07_is($A1142,"W70752487",TEXT($B$1,"yyyy/mm/dd"),1),"")</f>
        <v>3703765272.9000001</v>
      </c>
      <c r="F1142">
        <f>IFERROR([1]!s_stm07_is_103($A1142,TEXT($B$1,"yyyy/mm/dd"),1),"")</f>
        <v>1434383788.1400001</v>
      </c>
      <c r="G1142">
        <f>IFERROR([1]!s_stm07_is_104($A1142,TEXT($B$1,"yyyy/mm/dd"),1),"")</f>
        <v>1507170381.28</v>
      </c>
      <c r="H1142">
        <f>IFERROR([1]!s_stm07_is_105($A1142,TEXT($B$1,"yyyy/mm/dd"),1),"")</f>
        <v>272244338.80000001</v>
      </c>
      <c r="I1142">
        <f>IFERROR([1]!s_stm07_is($A1142,"W72946623",TEXT($B$1,"yyyy/mm/dd"),1),"")</f>
        <v>7007270180.79</v>
      </c>
      <c r="J1142">
        <f>IFERROR([1]!s_stm07_is($A1142,"W30028333",TEXT($B$1,"yyyy/mm/dd"),1),"")</f>
        <v>3623261943.2600002</v>
      </c>
      <c r="K1142">
        <f>IFERROR([1]!s_stm07_cs($A1142,"W77130581",TEXT($B$1,"yyyy/mm/dd"),1),"")</f>
        <v>-7547822461.75</v>
      </c>
      <c r="L1142">
        <f>IFERROR([1]!s_stm07_cs($A1142,"W77745895",TEXT($B$1,"yyyy/mm/dd"),1),"")</f>
        <v>2404909509.5300002</v>
      </c>
      <c r="M1142">
        <f>IFERROR([1]!S_FA_EPS_basic2($A1142,$B$1,"Cur=CNY"),"")</f>
        <v>0.69</v>
      </c>
      <c r="N1142">
        <f>IFERROR([1]!s_fa_arturndays($A1142,TEXT($B$1,"yyyy/mm/dd")),"")</f>
        <v>11.493399999999999</v>
      </c>
      <c r="O1142" t="str">
        <f>IFERROR([1]!fa_apturndays($A1142,TEXT($B$1,"yyyy/mm/dd")),"")</f>
        <v>Fetch...</v>
      </c>
      <c r="P1142">
        <f>IFERROR([1]!s_fa_invturndays($A1142,TEXT($B$1,"yyyy/mm/dd")),"")</f>
        <v>25.942599999999999</v>
      </c>
    </row>
    <row r="1143" spans="1:16">
      <c r="A1143" t="s">
        <v>1156</v>
      </c>
      <c r="B1143">
        <f>IFERROR([1]!s_stm07_is($A1143,"W70156729",TEXT($B$1,"yyyy/mm/dd"),1),"")</f>
        <v>11293298979.360001</v>
      </c>
      <c r="C1143">
        <f>IFERROR([1]!s_stm07_is($A1143,"W75682424",TEXT($B$1,"yyyy/mm/dd"),1),"")</f>
        <v>9456109833.4500008</v>
      </c>
      <c r="D1143">
        <f>IFERROR([1]!s_stm07_is($A1143,"W76031679",TEXT($B$1,"yyyy/mm/dd"),1),"")</f>
        <v>20502151.890000001</v>
      </c>
      <c r="E1143">
        <f>IFERROR([1]!s_stm07_is($A1143,"W70752487",TEXT($B$1,"yyyy/mm/dd"),1),"")</f>
        <v>687438971.15999997</v>
      </c>
      <c r="F1143">
        <f>IFERROR([1]!s_stm07_is_103($A1143,TEXT($B$1,"yyyy/mm/dd"),1),"")</f>
        <v>448669778.93000001</v>
      </c>
      <c r="G1143">
        <f>IFERROR([1]!s_stm07_is_104($A1143,TEXT($B$1,"yyyy/mm/dd"),1),"")</f>
        <v>402922974.68000001</v>
      </c>
      <c r="H1143">
        <f>IFERROR([1]!s_stm07_is_105($A1143,TEXT($B$1,"yyyy/mm/dd"),1),"")</f>
        <v>166373090.19999999</v>
      </c>
      <c r="I1143">
        <f>IFERROR([1]!s_stm07_is($A1143,"W72946623",TEXT($B$1,"yyyy/mm/dd"),1),"")</f>
        <v>441466091.95999998</v>
      </c>
      <c r="J1143">
        <f>IFERROR([1]!s_stm07_is($A1143,"W30028333",TEXT($B$1,"yyyy/mm/dd"),1),"")</f>
        <v>374238081.74000001</v>
      </c>
      <c r="K1143">
        <f>IFERROR([1]!s_stm07_cs($A1143,"W77130581",TEXT($B$1,"yyyy/mm/dd"),1),"")</f>
        <v>4193512092.1399999</v>
      </c>
      <c r="L1143">
        <f>IFERROR([1]!s_stm07_cs($A1143,"W77745895",TEXT($B$1,"yyyy/mm/dd"),1),"")</f>
        <v>3341631323.1500001</v>
      </c>
      <c r="M1143">
        <f>IFERROR([1]!S_FA_EPS_basic2($A1143,$B$1,"Cur=CNY"),"")</f>
        <v>0.104</v>
      </c>
      <c r="N1143">
        <f>IFERROR([1]!s_fa_arturndays($A1143,TEXT($B$1,"yyyy/mm/dd")),"")</f>
        <v>58.918799999999997</v>
      </c>
      <c r="O1143" t="str">
        <f>IFERROR([1]!fa_apturndays($A1143,TEXT($B$1,"yyyy/mm/dd")),"")</f>
        <v>Fetch...</v>
      </c>
      <c r="P1143">
        <f>IFERROR([1]!s_fa_invturndays($A1143,TEXT($B$1,"yyyy/mm/dd")),"")</f>
        <v>45.959400000000002</v>
      </c>
    </row>
    <row r="1144" spans="1:16">
      <c r="A1144" t="s">
        <v>1157</v>
      </c>
      <c r="B1144">
        <f>IFERROR([1]!s_stm07_is($A1144,"W70156729",TEXT($B$1,"yyyy/mm/dd"),1),"")</f>
        <v>117811419060.73</v>
      </c>
      <c r="C1144">
        <f>IFERROR([1]!s_stm07_is($A1144,"W75682424",TEXT($B$1,"yyyy/mm/dd"),1),"")</f>
        <v>109815619964.14</v>
      </c>
      <c r="D1144">
        <f>IFERROR([1]!s_stm07_is($A1144,"W76031679",TEXT($B$1,"yyyy/mm/dd"),1),"")</f>
        <v>1842972286.8499999</v>
      </c>
      <c r="E1144">
        <f>IFERROR([1]!s_stm07_is($A1144,"W70752487",TEXT($B$1,"yyyy/mm/dd"),1),"")</f>
        <v>1107290027.3900001</v>
      </c>
      <c r="F1144">
        <f>IFERROR([1]!s_stm07_is_103($A1144,TEXT($B$1,"yyyy/mm/dd"),1),"")</f>
        <v>411916941.25</v>
      </c>
      <c r="G1144">
        <f>IFERROR([1]!s_stm07_is_104($A1144,TEXT($B$1,"yyyy/mm/dd"),1),"")</f>
        <v>193118457.81</v>
      </c>
      <c r="H1144">
        <f>IFERROR([1]!s_stm07_is_105($A1144,TEXT($B$1,"yyyy/mm/dd"),1),"")</f>
        <v>220981707.09999999</v>
      </c>
      <c r="I1144">
        <f>IFERROR([1]!s_stm07_is($A1144,"W72946623",TEXT($B$1,"yyyy/mm/dd"),1),"")</f>
        <v>4451134507.3999996</v>
      </c>
      <c r="J1144">
        <f>IFERROR([1]!s_stm07_is($A1144,"W30028333",TEXT($B$1,"yyyy/mm/dd"),1),"")</f>
        <v>1355624122.8800001</v>
      </c>
      <c r="K1144">
        <f>IFERROR([1]!s_stm07_cs($A1144,"W77130581",TEXT($B$1,"yyyy/mm/dd"),1),"")</f>
        <v>-702412112.26999998</v>
      </c>
      <c r="L1144">
        <f>IFERROR([1]!s_stm07_cs($A1144,"W77745895",TEXT($B$1,"yyyy/mm/dd"),1),"")</f>
        <v>498401287.25999999</v>
      </c>
      <c r="M1144">
        <f>IFERROR([1]!S_FA_EPS_basic2($A1144,$B$1,"Cur=CNY"),"")</f>
        <v>1.04</v>
      </c>
      <c r="N1144">
        <f>IFERROR([1]!s_fa_arturndays($A1144,TEXT($B$1,"yyyy/mm/dd")),"")</f>
        <v>29.774999999999999</v>
      </c>
      <c r="O1144" t="str">
        <f>IFERROR([1]!fa_apturndays($A1144,TEXT($B$1,"yyyy/mm/dd")),"")</f>
        <v>Fetch...</v>
      </c>
      <c r="P1144">
        <f>IFERROR([1]!s_fa_invturndays($A1144,TEXT($B$1,"yyyy/mm/dd")),"")</f>
        <v>43.111199999999997</v>
      </c>
    </row>
    <row r="1145" spans="1:16">
      <c r="A1145" t="s">
        <v>1158</v>
      </c>
      <c r="B1145">
        <f>IFERROR([1]!s_stm07_is($A1145,"W70156729",TEXT($B$1,"yyyy/mm/dd"),1),"")</f>
        <v>12791680229.52</v>
      </c>
      <c r="C1145">
        <f>IFERROR([1]!s_stm07_is($A1145,"W75682424",TEXT($B$1,"yyyy/mm/dd"),1),"")</f>
        <v>9232942145.8099995</v>
      </c>
      <c r="D1145">
        <f>IFERROR([1]!s_stm07_is($A1145,"W76031679",TEXT($B$1,"yyyy/mm/dd"),1),"")</f>
        <v>0</v>
      </c>
      <c r="E1145">
        <f>IFERROR([1]!s_stm07_is($A1145,"W70752487",TEXT($B$1,"yyyy/mm/dd"),1),"")</f>
        <v>1624665803.54</v>
      </c>
      <c r="F1145">
        <f>IFERROR([1]!s_stm07_is_103($A1145,TEXT($B$1,"yyyy/mm/dd"),1),"")</f>
        <v>97348849.700000003</v>
      </c>
      <c r="G1145">
        <f>IFERROR([1]!s_stm07_is_104($A1145,TEXT($B$1,"yyyy/mm/dd"),1),"")</f>
        <v>152894143.88999999</v>
      </c>
      <c r="H1145">
        <f>IFERROR([1]!s_stm07_is_105($A1145,TEXT($B$1,"yyyy/mm/dd"),1),"")</f>
        <v>89258455.930000007</v>
      </c>
      <c r="I1145">
        <f>IFERROR([1]!s_stm07_is($A1145,"W72946623",TEXT($B$1,"yyyy/mm/dd"),1),"")</f>
        <v>2053766832.1700001</v>
      </c>
      <c r="J1145">
        <f>IFERROR([1]!s_stm07_is($A1145,"W30028333",TEXT($B$1,"yyyy/mm/dd"),1),"")</f>
        <v>980698081.38</v>
      </c>
      <c r="K1145">
        <f>IFERROR([1]!s_stm07_cs($A1145,"W77130581",TEXT($B$1,"yyyy/mm/dd"),1),"")</f>
        <v>2508207322.75</v>
      </c>
      <c r="L1145">
        <f>IFERROR([1]!s_stm07_cs($A1145,"W77745895",TEXT($B$1,"yyyy/mm/dd"),1),"")</f>
        <v>1325071994.74</v>
      </c>
      <c r="M1145">
        <f>IFERROR([1]!S_FA_EPS_basic2($A1145,$B$1,"Cur=CNY"),"")</f>
        <v>0.34</v>
      </c>
      <c r="N1145">
        <f>IFERROR([1]!s_fa_arturndays($A1145,TEXT($B$1,"yyyy/mm/dd")),"")</f>
        <v>45.262500000000003</v>
      </c>
      <c r="O1145" t="str">
        <f>IFERROR([1]!fa_apturndays($A1145,TEXT($B$1,"yyyy/mm/dd")),"")</f>
        <v>Fetch...</v>
      </c>
      <c r="P1145">
        <f>IFERROR([1]!s_fa_invturndays($A1145,TEXT($B$1,"yyyy/mm/dd")),"")</f>
        <v>2.0874000000000001</v>
      </c>
    </row>
    <row r="1146" spans="1:16">
      <c r="A1146" t="s">
        <v>1159</v>
      </c>
      <c r="B1146">
        <f>IFERROR([1]!s_stm07_is($A1146,"W70156729",TEXT($B$1,"yyyy/mm/dd"),1),"")</f>
        <v>12037690710</v>
      </c>
      <c r="C1146">
        <f>IFERROR([1]!s_stm07_is($A1146,"W75682424",TEXT($B$1,"yyyy/mm/dd"),1),"")</f>
        <v>9376117009</v>
      </c>
      <c r="D1146">
        <f>IFERROR([1]!s_stm07_is($A1146,"W76031679",TEXT($B$1,"yyyy/mm/dd"),1),"")</f>
        <v>565844650</v>
      </c>
      <c r="E1146">
        <f>IFERROR([1]!s_stm07_is($A1146,"W70752487",TEXT($B$1,"yyyy/mm/dd"),1),"")</f>
        <v>823395266</v>
      </c>
      <c r="F1146">
        <f>IFERROR([1]!s_stm07_is_103($A1146,TEXT($B$1,"yyyy/mm/dd"),1),"")</f>
        <v>1186148659</v>
      </c>
      <c r="G1146">
        <f>IFERROR([1]!s_stm07_is_104($A1146,TEXT($B$1,"yyyy/mm/dd"),1),"")</f>
        <v>29092733</v>
      </c>
      <c r="H1146">
        <f>IFERROR([1]!s_stm07_is_105($A1146,TEXT($B$1,"yyyy/mm/dd"),1),"")</f>
        <v>13815147</v>
      </c>
      <c r="I1146">
        <f>IFERROR([1]!s_stm07_is($A1146,"W72946623",TEXT($B$1,"yyyy/mm/dd"),1),"")</f>
        <v>-341418971</v>
      </c>
      <c r="J1146">
        <f>IFERROR([1]!s_stm07_is($A1146,"W30028333",TEXT($B$1,"yyyy/mm/dd"),1),"")</f>
        <v>-358153298</v>
      </c>
      <c r="K1146">
        <f>IFERROR([1]!s_stm07_cs($A1146,"W77130581",TEXT($B$1,"yyyy/mm/dd"),1),"")</f>
        <v>451345628</v>
      </c>
      <c r="L1146">
        <f>IFERROR([1]!s_stm07_cs($A1146,"W77745895",TEXT($B$1,"yyyy/mm/dd"),1),"")</f>
        <v>222731073</v>
      </c>
      <c r="M1146">
        <f>IFERROR([1]!S_FA_EPS_basic2($A1146,$B$1,"Cur=CNY"),"")</f>
        <v>-0.31</v>
      </c>
      <c r="N1146">
        <f>IFERROR([1]!s_fa_arturndays($A1146,TEXT($B$1,"yyyy/mm/dd")),"")</f>
        <v>54.220999999999997</v>
      </c>
      <c r="O1146" t="str">
        <f>IFERROR([1]!fa_apturndays($A1146,TEXT($B$1,"yyyy/mm/dd")),"")</f>
        <v>Fetch...</v>
      </c>
      <c r="P1146">
        <f>IFERROR([1]!s_fa_invturndays($A1146,TEXT($B$1,"yyyy/mm/dd")),"")</f>
        <v>172.18289999999999</v>
      </c>
    </row>
    <row r="1147" spans="1:16">
      <c r="A1147" t="s">
        <v>1160</v>
      </c>
      <c r="B1147">
        <f>IFERROR([1]!s_stm07_is($A1147,"W70156729",TEXT($B$1,"yyyy/mm/dd"),1),"")</f>
        <v>11060024199.459999</v>
      </c>
      <c r="C1147">
        <f>IFERROR([1]!s_stm07_is($A1147,"W75682424",TEXT($B$1,"yyyy/mm/dd"),1),"")</f>
        <v>7733242024.5500002</v>
      </c>
      <c r="D1147">
        <f>IFERROR([1]!s_stm07_is($A1147,"W76031679",TEXT($B$1,"yyyy/mm/dd"),1),"")</f>
        <v>181184754.03</v>
      </c>
      <c r="E1147">
        <f>IFERROR([1]!s_stm07_is($A1147,"W70752487",TEXT($B$1,"yyyy/mm/dd"),1),"")</f>
        <v>486213350.77999997</v>
      </c>
      <c r="F1147">
        <f>IFERROR([1]!s_stm07_is_103($A1147,TEXT($B$1,"yyyy/mm/dd"),1),"")</f>
        <v>491873190.51999998</v>
      </c>
      <c r="G1147">
        <f>IFERROR([1]!s_stm07_is_104($A1147,TEXT($B$1,"yyyy/mm/dd"),1),"")</f>
        <v>47204509.460000001</v>
      </c>
      <c r="H1147">
        <f>IFERROR([1]!s_stm07_is_105($A1147,TEXT($B$1,"yyyy/mm/dd"),1),"")</f>
        <v>162136502.81</v>
      </c>
      <c r="I1147">
        <f>IFERROR([1]!s_stm07_is($A1147,"W72946623",TEXT($B$1,"yyyy/mm/dd"),1),"")</f>
        <v>1720331435.1400001</v>
      </c>
      <c r="J1147">
        <f>IFERROR([1]!s_stm07_is($A1147,"W30028333",TEXT($B$1,"yyyy/mm/dd"),1),"")</f>
        <v>1455068881.4200001</v>
      </c>
      <c r="K1147">
        <f>IFERROR([1]!s_stm07_cs($A1147,"W77130581",TEXT($B$1,"yyyy/mm/dd"),1),"")</f>
        <v>352909958.68000001</v>
      </c>
      <c r="L1147">
        <f>IFERROR([1]!s_stm07_cs($A1147,"W77745895",TEXT($B$1,"yyyy/mm/dd"),1),"")</f>
        <v>252220975.16</v>
      </c>
      <c r="M1147">
        <f>IFERROR([1]!S_FA_EPS_basic2($A1147,$B$1,"Cur=CNY"),"")</f>
        <v>0.6341</v>
      </c>
      <c r="N1147">
        <f>IFERROR([1]!s_fa_arturndays($A1147,TEXT($B$1,"yyyy/mm/dd")),"")</f>
        <v>348.22980000000001</v>
      </c>
      <c r="O1147" t="str">
        <f>IFERROR([1]!fa_apturndays($A1147,TEXT($B$1,"yyyy/mm/dd")),"")</f>
        <v>Fetch...</v>
      </c>
      <c r="P1147">
        <f>IFERROR([1]!s_fa_invturndays($A1147,TEXT($B$1,"yyyy/mm/dd")),"")</f>
        <v>59.242699999999999</v>
      </c>
    </row>
    <row r="1148" spans="1:16">
      <c r="A1148" t="s">
        <v>1161</v>
      </c>
      <c r="B1148">
        <f>IFERROR([1]!s_stm07_is($A1148,"W70156729",TEXT($B$1,"yyyy/mm/dd"),1),"")</f>
        <v>16658322009.290001</v>
      </c>
      <c r="C1148">
        <f>IFERROR([1]!s_stm07_is($A1148,"W75682424",TEXT($B$1,"yyyy/mm/dd"),1),"")</f>
        <v>13794595980.66</v>
      </c>
      <c r="D1148">
        <f>IFERROR([1]!s_stm07_is($A1148,"W76031679",TEXT($B$1,"yyyy/mm/dd"),1),"")</f>
        <v>165651762.25</v>
      </c>
      <c r="E1148">
        <f>IFERROR([1]!s_stm07_is($A1148,"W70752487",TEXT($B$1,"yyyy/mm/dd"),1),"")</f>
        <v>160163880.09</v>
      </c>
      <c r="F1148">
        <f>IFERROR([1]!s_stm07_is_103($A1148,TEXT($B$1,"yyyy/mm/dd"),1),"")</f>
        <v>4796347.9400000004</v>
      </c>
      <c r="G1148">
        <f>IFERROR([1]!s_stm07_is_104($A1148,TEXT($B$1,"yyyy/mm/dd"),1),"")</f>
        <v>581451167.69000006</v>
      </c>
      <c r="H1148">
        <f>IFERROR([1]!s_stm07_is_105($A1148,TEXT($B$1,"yyyy/mm/dd"),1),"")</f>
        <v>4475530.3</v>
      </c>
      <c r="I1148">
        <f>IFERROR([1]!s_stm07_is($A1148,"W72946623",TEXT($B$1,"yyyy/mm/dd"),1),"")</f>
        <v>1335593975.0899999</v>
      </c>
      <c r="J1148">
        <f>IFERROR([1]!s_stm07_is($A1148,"W30028333",TEXT($B$1,"yyyy/mm/dd"),1),"")</f>
        <v>199969867.03999999</v>
      </c>
      <c r="K1148">
        <f>IFERROR([1]!s_stm07_cs($A1148,"W77130581",TEXT($B$1,"yyyy/mm/dd"),1),"")</f>
        <v>3953989201.3099999</v>
      </c>
      <c r="L1148">
        <f>IFERROR([1]!s_stm07_cs($A1148,"W77745895",TEXT($B$1,"yyyy/mm/dd"),1),"")</f>
        <v>3072097977.8099999</v>
      </c>
      <c r="M1148">
        <f>IFERROR([1]!S_FA_EPS_basic2($A1148,$B$1,"Cur=CNY"),"")</f>
        <v>0.03</v>
      </c>
      <c r="N1148">
        <f>IFERROR([1]!s_fa_arturndays($A1148,TEXT($B$1,"yyyy/mm/dd")),"")</f>
        <v>24.538499999999999</v>
      </c>
      <c r="O1148" t="str">
        <f>IFERROR([1]!fa_apturndays($A1148,TEXT($B$1,"yyyy/mm/dd")),"")</f>
        <v>Fetch...</v>
      </c>
      <c r="P1148">
        <f>IFERROR([1]!s_fa_invturndays($A1148,TEXT($B$1,"yyyy/mm/dd")),"")</f>
        <v>24.643999999999998</v>
      </c>
    </row>
    <row r="1149" spans="1:16">
      <c r="A1149" t="s">
        <v>1162</v>
      </c>
      <c r="B1149">
        <f>IFERROR([1]!s_stm07_is($A1149,"W70156729",TEXT($B$1,"yyyy/mm/dd"),1),"")</f>
        <v>10127986054.09</v>
      </c>
      <c r="C1149">
        <f>IFERROR([1]!s_stm07_is($A1149,"W75682424",TEXT($B$1,"yyyy/mm/dd"),1),"")</f>
        <v>9180223663.0300007</v>
      </c>
      <c r="D1149">
        <f>IFERROR([1]!s_stm07_is($A1149,"W76031679",TEXT($B$1,"yyyy/mm/dd"),1),"")</f>
        <v>254923778.38</v>
      </c>
      <c r="E1149">
        <f>IFERROR([1]!s_stm07_is($A1149,"W70752487",TEXT($B$1,"yyyy/mm/dd"),1),"")</f>
        <v>288405243.91000003</v>
      </c>
      <c r="F1149">
        <f>IFERROR([1]!s_stm07_is_103($A1149,TEXT($B$1,"yyyy/mm/dd"),1),"")</f>
        <v>279592660.62</v>
      </c>
      <c r="G1149">
        <f>IFERROR([1]!s_stm07_is_104($A1149,TEXT($B$1,"yyyy/mm/dd"),1),"")</f>
        <v>11718378.75</v>
      </c>
      <c r="H1149">
        <f>IFERROR([1]!s_stm07_is_105($A1149,TEXT($B$1,"yyyy/mm/dd"),1),"")</f>
        <v>72834860.650000006</v>
      </c>
      <c r="I1149">
        <f>IFERROR([1]!s_stm07_is($A1149,"W72946623",TEXT($B$1,"yyyy/mm/dd"),1),"")</f>
        <v>186297851.28999999</v>
      </c>
      <c r="J1149">
        <f>IFERROR([1]!s_stm07_is($A1149,"W30028333",TEXT($B$1,"yyyy/mm/dd"),1),"")</f>
        <v>173859926.80000001</v>
      </c>
      <c r="K1149">
        <f>IFERROR([1]!s_stm07_cs($A1149,"W77130581",TEXT($B$1,"yyyy/mm/dd"),1),"")</f>
        <v>-512059360.06999999</v>
      </c>
      <c r="L1149">
        <f>IFERROR([1]!s_stm07_cs($A1149,"W77745895",TEXT($B$1,"yyyy/mm/dd"),1),"")</f>
        <v>168769095.86000001</v>
      </c>
      <c r="M1149">
        <f>IFERROR([1]!S_FA_EPS_basic2($A1149,$B$1,"Cur=CNY"),"")</f>
        <v>8.2100000000000006E-2</v>
      </c>
      <c r="N1149">
        <f>IFERROR([1]!s_fa_arturndays($A1149,TEXT($B$1,"yyyy/mm/dd")),"")</f>
        <v>157.41149999999999</v>
      </c>
      <c r="O1149" t="str">
        <f>IFERROR([1]!fa_apturndays($A1149,TEXT($B$1,"yyyy/mm/dd")),"")</f>
        <v>Fetch...</v>
      </c>
      <c r="P1149">
        <f>IFERROR([1]!s_fa_invturndays($A1149,TEXT($B$1,"yyyy/mm/dd")),"")</f>
        <v>129.47309999999999</v>
      </c>
    </row>
    <row r="1150" spans="1:16">
      <c r="A1150" t="s">
        <v>1163</v>
      </c>
      <c r="B1150">
        <f>IFERROR([1]!s_stm07_is($A1150,"W70156729",TEXT($B$1,"yyyy/mm/dd"),1),"")</f>
        <v>14698153983.290001</v>
      </c>
      <c r="C1150">
        <f>IFERROR([1]!s_stm07_is($A1150,"W75682424",TEXT($B$1,"yyyy/mm/dd"),1),"")</f>
        <v>10495627561.530001</v>
      </c>
      <c r="D1150">
        <f>IFERROR([1]!s_stm07_is($A1150,"W76031679",TEXT($B$1,"yyyy/mm/dd"),1),"")</f>
        <v>2389738350.7600002</v>
      </c>
      <c r="E1150">
        <f>IFERROR([1]!s_stm07_is($A1150,"W70752487",TEXT($B$1,"yyyy/mm/dd"),1),"")</f>
        <v>785074857.19000006</v>
      </c>
      <c r="F1150">
        <f>IFERROR([1]!s_stm07_is_103($A1150,TEXT($B$1,"yyyy/mm/dd"),1),"")</f>
        <v>12087023.859999999</v>
      </c>
      <c r="G1150">
        <f>IFERROR([1]!s_stm07_is_104($A1150,TEXT($B$1,"yyyy/mm/dd"),1),"")</f>
        <v>147224745.18000001</v>
      </c>
      <c r="H1150">
        <f>IFERROR([1]!s_stm07_is_105($A1150,TEXT($B$1,"yyyy/mm/dd"),1),"")</f>
        <v>140947514.84999999</v>
      </c>
      <c r="I1150">
        <f>IFERROR([1]!s_stm07_is($A1150,"W72946623",TEXT($B$1,"yyyy/mm/dd"),1),"")</f>
        <v>1149812833.5699999</v>
      </c>
      <c r="J1150">
        <f>IFERROR([1]!s_stm07_is($A1150,"W30028333",TEXT($B$1,"yyyy/mm/dd"),1),"")</f>
        <v>1045449435.21</v>
      </c>
      <c r="K1150">
        <f>IFERROR([1]!s_stm07_cs($A1150,"W77130581",TEXT($B$1,"yyyy/mm/dd"),1),"")</f>
        <v>1807524970.6500001</v>
      </c>
      <c r="L1150">
        <f>IFERROR([1]!s_stm07_cs($A1150,"W77745895",TEXT($B$1,"yyyy/mm/dd"),1),"")</f>
        <v>139813021.02000001</v>
      </c>
      <c r="M1150">
        <f>IFERROR([1]!S_FA_EPS_basic2($A1150,$B$1,"Cur=CNY"),"")</f>
        <v>2.38</v>
      </c>
      <c r="N1150">
        <f>IFERROR([1]!s_fa_arturndays($A1150,TEXT($B$1,"yyyy/mm/dd")),"")</f>
        <v>8.3224999999999998</v>
      </c>
      <c r="O1150" t="str">
        <f>IFERROR([1]!fa_apturndays($A1150,TEXT($B$1,"yyyy/mm/dd")),"")</f>
        <v>Fetch...</v>
      </c>
      <c r="P1150">
        <f>IFERROR([1]!s_fa_invturndays($A1150,TEXT($B$1,"yyyy/mm/dd")),"")</f>
        <v>56.5167</v>
      </c>
    </row>
    <row r="1151" spans="1:16">
      <c r="A1151" t="s">
        <v>1164</v>
      </c>
      <c r="B1151">
        <f>IFERROR([1]!s_stm07_is($A1151,"W70156729",TEXT($B$1,"yyyy/mm/dd"),1),"")</f>
        <v>26510979601.630001</v>
      </c>
      <c r="C1151">
        <f>IFERROR([1]!s_stm07_is($A1151,"W75682424",TEXT($B$1,"yyyy/mm/dd"),1),"")</f>
        <v>23485362601.779999</v>
      </c>
      <c r="D1151">
        <f>IFERROR([1]!s_stm07_is($A1151,"W76031679",TEXT($B$1,"yyyy/mm/dd"),1),"")</f>
        <v>329926283.75999999</v>
      </c>
      <c r="E1151">
        <f>IFERROR([1]!s_stm07_is($A1151,"W70752487",TEXT($B$1,"yyyy/mm/dd"),1),"")</f>
        <v>490267312.56</v>
      </c>
      <c r="F1151">
        <f>IFERROR([1]!s_stm07_is_103($A1151,TEXT($B$1,"yyyy/mm/dd"),1),"")</f>
        <v>57348109.07</v>
      </c>
      <c r="G1151">
        <f>IFERROR([1]!s_stm07_is_104($A1151,TEXT($B$1,"yyyy/mm/dd"),1),"")</f>
        <v>75618400.629999995</v>
      </c>
      <c r="H1151">
        <f>IFERROR([1]!s_stm07_is_105($A1151,TEXT($B$1,"yyyy/mm/dd"),1),"")</f>
        <v>56892374.079999998</v>
      </c>
      <c r="I1151">
        <f>IFERROR([1]!s_stm07_is($A1151,"W72946623",TEXT($B$1,"yyyy/mm/dd"),1),"")</f>
        <v>1223820841.9400001</v>
      </c>
      <c r="J1151">
        <f>IFERROR([1]!s_stm07_is($A1151,"W30028333",TEXT($B$1,"yyyy/mm/dd"),1),"")</f>
        <v>951225734.54999995</v>
      </c>
      <c r="K1151">
        <f>IFERROR([1]!s_stm07_cs($A1151,"W77130581",TEXT($B$1,"yyyy/mm/dd"),1),"")</f>
        <v>1287693122.0699999</v>
      </c>
      <c r="L1151">
        <f>IFERROR([1]!s_stm07_cs($A1151,"W77745895",TEXT($B$1,"yyyy/mm/dd"),1),"")</f>
        <v>603019290.99000001</v>
      </c>
      <c r="M1151">
        <f>IFERROR([1]!S_FA_EPS_basic2($A1151,$B$1,"Cur=CNY"),"")</f>
        <v>0.44469999999999998</v>
      </c>
      <c r="N1151">
        <f>IFERROR([1]!s_fa_arturndays($A1151,TEXT($B$1,"yyyy/mm/dd")),"")</f>
        <v>15.946300000000001</v>
      </c>
      <c r="O1151" t="str">
        <f>IFERROR([1]!fa_apturndays($A1151,TEXT($B$1,"yyyy/mm/dd")),"")</f>
        <v>Fetch...</v>
      </c>
      <c r="P1151">
        <f>IFERROR([1]!s_fa_invturndays($A1151,TEXT($B$1,"yyyy/mm/dd")),"")</f>
        <v>135.00839999999999</v>
      </c>
    </row>
    <row r="1152" spans="1:16">
      <c r="A1152" t="s">
        <v>1165</v>
      </c>
      <c r="B1152">
        <f>IFERROR([1]!s_stm07_is($A1152,"W70156729",TEXT($B$1,"yyyy/mm/dd"),1),"")</f>
        <v>9901861758.7399998</v>
      </c>
      <c r="C1152">
        <f>IFERROR([1]!s_stm07_is($A1152,"W75682424",TEXT($B$1,"yyyy/mm/dd"),1),"")</f>
        <v>8609851830.6700001</v>
      </c>
      <c r="D1152">
        <f>IFERROR([1]!s_stm07_is($A1152,"W76031679",TEXT($B$1,"yyyy/mm/dd"),1),"")</f>
        <v>563541369.48000002</v>
      </c>
      <c r="E1152">
        <f>IFERROR([1]!s_stm07_is($A1152,"W70752487",TEXT($B$1,"yyyy/mm/dd"),1),"")</f>
        <v>497055872.97000003</v>
      </c>
      <c r="F1152">
        <f>IFERROR([1]!s_stm07_is_103($A1152,TEXT($B$1,"yyyy/mm/dd"),1),"")</f>
        <v>294037224.45999998</v>
      </c>
      <c r="G1152">
        <f>IFERROR([1]!s_stm07_is_104($A1152,TEXT($B$1,"yyyy/mm/dd"),1),"")</f>
        <v>620762954.41999996</v>
      </c>
      <c r="H1152">
        <f>IFERROR([1]!s_stm07_is_105($A1152,TEXT($B$1,"yyyy/mm/dd"),1),"")</f>
        <v>43075851.390000001</v>
      </c>
      <c r="I1152">
        <f>IFERROR([1]!s_stm07_is($A1152,"W72946623",TEXT($B$1,"yyyy/mm/dd"),1),"")</f>
        <v>403345758.11000001</v>
      </c>
      <c r="J1152">
        <f>IFERROR([1]!s_stm07_is($A1152,"W30028333",TEXT($B$1,"yyyy/mm/dd"),1),"")</f>
        <v>736554408.15999997</v>
      </c>
      <c r="K1152">
        <f>IFERROR([1]!s_stm07_cs($A1152,"W77130581",TEXT($B$1,"yyyy/mm/dd"),1),"")</f>
        <v>337635427.08999997</v>
      </c>
      <c r="L1152">
        <f>IFERROR([1]!s_stm07_cs($A1152,"W77745895",TEXT($B$1,"yyyy/mm/dd"),1),"")</f>
        <v>340871943.43000001</v>
      </c>
      <c r="M1152">
        <f>IFERROR([1]!S_FA_EPS_basic2($A1152,$B$1,"Cur=CNY"),"")</f>
        <v>0.48380000000000001</v>
      </c>
      <c r="N1152">
        <f>IFERROR([1]!s_fa_arturndays($A1152,TEXT($B$1,"yyyy/mm/dd")),"")</f>
        <v>61.525799999999997</v>
      </c>
      <c r="O1152" t="str">
        <f>IFERROR([1]!fa_apturndays($A1152,TEXT($B$1,"yyyy/mm/dd")),"")</f>
        <v>Fetch...</v>
      </c>
      <c r="P1152">
        <f>IFERROR([1]!s_fa_invturndays($A1152,TEXT($B$1,"yyyy/mm/dd")),"")</f>
        <v>58.173400000000001</v>
      </c>
    </row>
    <row r="1153" spans="1:16">
      <c r="A1153" t="s">
        <v>1166</v>
      </c>
      <c r="B1153">
        <f>IFERROR([1]!s_stm07_is($A1153,"W70156729",TEXT($B$1,"yyyy/mm/dd"),1),"")</f>
        <v>6178202627.54</v>
      </c>
      <c r="C1153">
        <f>IFERROR([1]!s_stm07_is($A1153,"W75682424",TEXT($B$1,"yyyy/mm/dd"),1),"")</f>
        <v>6817371800.3000002</v>
      </c>
      <c r="D1153">
        <f>IFERROR([1]!s_stm07_is($A1153,"W76031679",TEXT($B$1,"yyyy/mm/dd"),1),"")</f>
        <v>49582263.590000004</v>
      </c>
      <c r="E1153">
        <f>IFERROR([1]!s_stm07_is($A1153,"W70752487",TEXT($B$1,"yyyy/mm/dd"),1),"")</f>
        <v>271866930.47000003</v>
      </c>
      <c r="F1153">
        <f>IFERROR([1]!s_stm07_is_103($A1153,TEXT($B$1,"yyyy/mm/dd"),1),"")</f>
        <v>87539245.650000006</v>
      </c>
      <c r="G1153">
        <f>IFERROR([1]!s_stm07_is_104($A1153,TEXT($B$1,"yyyy/mm/dd"),1),"")</f>
        <v>249630410.06</v>
      </c>
      <c r="H1153">
        <f>IFERROR([1]!s_stm07_is_105($A1153,TEXT($B$1,"yyyy/mm/dd"),1),"")</f>
        <v>16312386.27</v>
      </c>
      <c r="I1153">
        <f>IFERROR([1]!s_stm07_is($A1153,"W72946623",TEXT($B$1,"yyyy/mm/dd"),1),"")</f>
        <v>85530377.760000005</v>
      </c>
      <c r="J1153">
        <f>IFERROR([1]!s_stm07_is($A1153,"W30028333",TEXT($B$1,"yyyy/mm/dd"),1),"")</f>
        <v>83134628.400000006</v>
      </c>
      <c r="K1153">
        <f>IFERROR([1]!s_stm07_cs($A1153,"W77130581",TEXT($B$1,"yyyy/mm/dd"),1),"")</f>
        <v>-1791640821.4200001</v>
      </c>
      <c r="L1153">
        <f>IFERROR([1]!s_stm07_cs($A1153,"W77745895",TEXT($B$1,"yyyy/mm/dd"),1),"")</f>
        <v>74491531.469999999</v>
      </c>
      <c r="M1153">
        <f>IFERROR([1]!S_FA_EPS_basic2($A1153,$B$1,"Cur=CNY"),"")</f>
        <v>3.2399999999999998E-2</v>
      </c>
      <c r="N1153">
        <f>IFERROR([1]!s_fa_arturndays($A1153,TEXT($B$1,"yyyy/mm/dd")),"")</f>
        <v>3.0886999999999998</v>
      </c>
      <c r="O1153" t="str">
        <f>IFERROR([1]!fa_apturndays($A1153,TEXT($B$1,"yyyy/mm/dd")),"")</f>
        <v>Fetch...</v>
      </c>
      <c r="P1153">
        <f>IFERROR([1]!s_fa_invturndays($A1153,TEXT($B$1,"yyyy/mm/dd")),"")</f>
        <v>19.782499999999999</v>
      </c>
    </row>
    <row r="1154" spans="1:16">
      <c r="A1154" t="s">
        <v>1167</v>
      </c>
      <c r="B1154">
        <f>IFERROR([1]!s_stm07_is($A1154,"W70156729",TEXT($B$1,"yyyy/mm/dd"),1),"")</f>
        <v>183998900513.66</v>
      </c>
      <c r="C1154">
        <f>IFERROR([1]!s_stm07_is($A1154,"W75682424",TEXT($B$1,"yyyy/mm/dd"),1),"")</f>
        <v>161360756641.35001</v>
      </c>
      <c r="D1154">
        <f>IFERROR([1]!s_stm07_is($A1154,"W76031679",TEXT($B$1,"yyyy/mm/dd"),1),"")</f>
        <v>854987866.53999996</v>
      </c>
      <c r="E1154">
        <f>IFERROR([1]!s_stm07_is($A1154,"W70752487",TEXT($B$1,"yyyy/mm/dd"),1),"")</f>
        <v>8602230755.8600006</v>
      </c>
      <c r="F1154">
        <f>IFERROR([1]!s_stm07_is_103($A1154,TEXT($B$1,"yyyy/mm/dd"),1),"")</f>
        <v>6509296485.3100004</v>
      </c>
      <c r="G1154">
        <f>IFERROR([1]!s_stm07_is_104($A1154,TEXT($B$1,"yyyy/mm/dd"),1),"")</f>
        <v>791864402.88</v>
      </c>
      <c r="H1154">
        <f>IFERROR([1]!s_stm07_is_105($A1154,TEXT($B$1,"yyyy/mm/dd"),1),"")</f>
        <v>480087603.01999998</v>
      </c>
      <c r="I1154">
        <f>IFERROR([1]!s_stm07_is($A1154,"W72946623",TEXT($B$1,"yyyy/mm/dd"),1),"")</f>
        <v>9531194927.9599991</v>
      </c>
      <c r="J1154">
        <f>IFERROR([1]!s_stm07_is($A1154,"W30028333",TEXT($B$1,"yyyy/mm/dd"),1),"")</f>
        <v>7207268139.6099997</v>
      </c>
      <c r="K1154">
        <f>IFERROR([1]!s_stm07_cs($A1154,"W77130581",TEXT($B$1,"yyyy/mm/dd"),1),"")</f>
        <v>9523102797.4699993</v>
      </c>
      <c r="L1154">
        <f>IFERROR([1]!s_stm07_cs($A1154,"W77745895",TEXT($B$1,"yyyy/mm/dd"),1),"")</f>
        <v>4752057698.5900002</v>
      </c>
      <c r="M1154">
        <f>IFERROR([1]!S_FA_EPS_basic2($A1154,$B$1,"Cur=CNY"),"")</f>
        <v>2.286</v>
      </c>
      <c r="N1154">
        <f>IFERROR([1]!s_fa_arturndays($A1154,TEXT($B$1,"yyyy/mm/dd")),"")</f>
        <v>92.430899999999994</v>
      </c>
      <c r="O1154" t="str">
        <f>IFERROR([1]!fa_apturndays($A1154,TEXT($B$1,"yyyy/mm/dd")),"")</f>
        <v>Fetch...</v>
      </c>
      <c r="P1154">
        <f>IFERROR([1]!s_fa_invturndays($A1154,TEXT($B$1,"yyyy/mm/dd")),"")</f>
        <v>47.293700000000001</v>
      </c>
    </row>
    <row r="1155" spans="1:16">
      <c r="A1155" t="s">
        <v>1168</v>
      </c>
      <c r="B1155">
        <f>IFERROR([1]!s_stm07_is($A1155,"W70156729",TEXT($B$1,"yyyy/mm/dd"),1),"")</f>
        <v>8064414800.5500002</v>
      </c>
      <c r="C1155">
        <f>IFERROR([1]!s_stm07_is($A1155,"W75682424",TEXT($B$1,"yyyy/mm/dd"),1),"")</f>
        <v>7165561613.4799995</v>
      </c>
      <c r="D1155">
        <f>IFERROR([1]!s_stm07_is($A1155,"W76031679",TEXT($B$1,"yyyy/mm/dd"),1),"")</f>
        <v>1618144.46</v>
      </c>
      <c r="E1155">
        <f>IFERROR([1]!s_stm07_is($A1155,"W70752487",TEXT($B$1,"yyyy/mm/dd"),1),"")</f>
        <v>112193771.2</v>
      </c>
      <c r="F1155">
        <f>IFERROR([1]!s_stm07_is_103($A1155,TEXT($B$1,"yyyy/mm/dd"),1),"")</f>
        <v>0</v>
      </c>
      <c r="G1155">
        <f>IFERROR([1]!s_stm07_is_104($A1155,TEXT($B$1,"yyyy/mm/dd"),1),"")</f>
        <v>412817189.07999998</v>
      </c>
      <c r="H1155">
        <f>IFERROR([1]!s_stm07_is_105($A1155,TEXT($B$1,"yyyy/mm/dd"),1),"")</f>
        <v>6868188.4500000002</v>
      </c>
      <c r="I1155">
        <f>IFERROR([1]!s_stm07_is($A1155,"W72946623",TEXT($B$1,"yyyy/mm/dd"),1),"")</f>
        <v>163168046.65000001</v>
      </c>
      <c r="J1155">
        <f>IFERROR([1]!s_stm07_is($A1155,"W30028333",TEXT($B$1,"yyyy/mm/dd"),1),"")</f>
        <v>81571425.5</v>
      </c>
      <c r="K1155">
        <f>IFERROR([1]!s_stm07_cs($A1155,"W77130581",TEXT($B$1,"yyyy/mm/dd"),1),"")</f>
        <v>3215974427.02</v>
      </c>
      <c r="L1155">
        <f>IFERROR([1]!s_stm07_cs($A1155,"W77745895",TEXT($B$1,"yyyy/mm/dd"),1),"")</f>
        <v>5227730446.0500002</v>
      </c>
      <c r="M1155">
        <f>IFERROR([1]!S_FA_EPS_basic2($A1155,$B$1,"Cur=CNY"),"")</f>
        <v>3.0499999999999999E-2</v>
      </c>
      <c r="N1155">
        <f>IFERROR([1]!s_fa_arturndays($A1155,TEXT($B$1,"yyyy/mm/dd")),"")</f>
        <v>65.349999999999994</v>
      </c>
      <c r="O1155" t="str">
        <f>IFERROR([1]!fa_apturndays($A1155,TEXT($B$1,"yyyy/mm/dd")),"")</f>
        <v>Fetch...</v>
      </c>
      <c r="P1155">
        <f>IFERROR([1]!s_fa_invturndays($A1155,TEXT($B$1,"yyyy/mm/dd")),"")</f>
        <v>28.1356</v>
      </c>
    </row>
    <row r="1156" spans="1:16">
      <c r="A1156" t="s">
        <v>1169</v>
      </c>
      <c r="B1156">
        <f>IFERROR([1]!s_stm07_is($A1156,"W70156729",TEXT($B$1,"yyyy/mm/dd"),1),"")</f>
        <v>5856171286.1000004</v>
      </c>
      <c r="C1156">
        <f>IFERROR([1]!s_stm07_is($A1156,"W75682424",TEXT($B$1,"yyyy/mm/dd"),1),"")</f>
        <v>5533272820.6499996</v>
      </c>
      <c r="D1156">
        <f>IFERROR([1]!s_stm07_is($A1156,"W76031679",TEXT($B$1,"yyyy/mm/dd"),1),"")</f>
        <v>11418416.1</v>
      </c>
      <c r="E1156">
        <f>IFERROR([1]!s_stm07_is($A1156,"W70752487",TEXT($B$1,"yyyy/mm/dd"),1),"")</f>
        <v>141504138.93000001</v>
      </c>
      <c r="F1156">
        <f>IFERROR([1]!s_stm07_is_103($A1156,TEXT($B$1,"yyyy/mm/dd"),1),"")</f>
        <v>109293734.58</v>
      </c>
      <c r="G1156">
        <f>IFERROR([1]!s_stm07_is_104($A1156,TEXT($B$1,"yyyy/mm/dd"),1),"")</f>
        <v>5925043.2300000004</v>
      </c>
      <c r="H1156">
        <f>IFERROR([1]!s_stm07_is_105($A1156,TEXT($B$1,"yyyy/mm/dd"),1),"")</f>
        <v>12871662.109999999</v>
      </c>
      <c r="I1156">
        <f>IFERROR([1]!s_stm07_is($A1156,"W72946623",TEXT($B$1,"yyyy/mm/dd"),1),"")</f>
        <v>101384460.17</v>
      </c>
      <c r="J1156">
        <f>IFERROR([1]!s_stm07_is($A1156,"W30028333",TEXT($B$1,"yyyy/mm/dd"),1),"")</f>
        <v>88383890.959999993</v>
      </c>
      <c r="K1156">
        <f>IFERROR([1]!s_stm07_cs($A1156,"W77130581",TEXT($B$1,"yyyy/mm/dd"),1),"")</f>
        <v>764723470.12</v>
      </c>
      <c r="L1156">
        <f>IFERROR([1]!s_stm07_cs($A1156,"W77745895",TEXT($B$1,"yyyy/mm/dd"),1),"")</f>
        <v>1265611782.3299999</v>
      </c>
      <c r="M1156">
        <f>IFERROR([1]!S_FA_EPS_basic2($A1156,$B$1,"Cur=CNY"),"")</f>
        <v>7.6700000000000004E-2</v>
      </c>
      <c r="N1156">
        <f>IFERROR([1]!s_fa_arturndays($A1156,TEXT($B$1,"yyyy/mm/dd")),"")</f>
        <v>6.3395999999999999</v>
      </c>
      <c r="O1156" t="str">
        <f>IFERROR([1]!fa_apturndays($A1156,TEXT($B$1,"yyyy/mm/dd")),"")</f>
        <v>Fetch...</v>
      </c>
      <c r="P1156">
        <f>IFERROR([1]!s_fa_invturndays($A1156,TEXT($B$1,"yyyy/mm/dd")),"")</f>
        <v>32.471299999999999</v>
      </c>
    </row>
    <row r="1157" spans="1:16">
      <c r="A1157" t="s">
        <v>1170</v>
      </c>
      <c r="B1157">
        <f>IFERROR([1]!s_stm07_is($A1157,"W70156729",TEXT($B$1,"yyyy/mm/dd"),1),"")</f>
        <v>4219503334.9200001</v>
      </c>
      <c r="C1157">
        <f>IFERROR([1]!s_stm07_is($A1157,"W75682424",TEXT($B$1,"yyyy/mm/dd"),1),"")</f>
        <v>1461281212.99</v>
      </c>
      <c r="D1157">
        <f>IFERROR([1]!s_stm07_is($A1157,"W76031679",TEXT($B$1,"yyyy/mm/dd"),1),"")</f>
        <v>1301440368.0699999</v>
      </c>
      <c r="E1157">
        <f>IFERROR([1]!s_stm07_is($A1157,"W70752487",TEXT($B$1,"yyyy/mm/dd"),1),"")</f>
        <v>224664098.43000001</v>
      </c>
      <c r="F1157">
        <f>IFERROR([1]!s_stm07_is_103($A1157,TEXT($B$1,"yyyy/mm/dd"),1),"")</f>
        <v>152785224.47</v>
      </c>
      <c r="G1157">
        <f>IFERROR([1]!s_stm07_is_104($A1157,TEXT($B$1,"yyyy/mm/dd"),1),"")</f>
        <v>1812400.69</v>
      </c>
      <c r="H1157">
        <f>IFERROR([1]!s_stm07_is_105($A1157,TEXT($B$1,"yyyy/mm/dd"),1),"")</f>
        <v>75725693.340000004</v>
      </c>
      <c r="I1157">
        <f>IFERROR([1]!s_stm07_is($A1157,"W72946623",TEXT($B$1,"yyyy/mm/dd"),1),"")</f>
        <v>1212717936.78</v>
      </c>
      <c r="J1157">
        <f>IFERROR([1]!s_stm07_is($A1157,"W30028333",TEXT($B$1,"yyyy/mm/dd"),1),"")</f>
        <v>906685963.55999994</v>
      </c>
      <c r="K1157">
        <f>IFERROR([1]!s_stm07_cs($A1157,"W77130581",TEXT($B$1,"yyyy/mm/dd"),1),"")</f>
        <v>970867419.63</v>
      </c>
      <c r="L1157">
        <f>IFERROR([1]!s_stm07_cs($A1157,"W77745895",TEXT($B$1,"yyyy/mm/dd"),1),"")</f>
        <v>280573244.26999998</v>
      </c>
      <c r="M1157">
        <f>IFERROR([1]!S_FA_EPS_basic2($A1157,$B$1,"Cur=CNY"),"")</f>
        <v>1.43</v>
      </c>
      <c r="N1157">
        <f>IFERROR([1]!s_fa_arturndays($A1157,TEXT($B$1,"yyyy/mm/dd")),"")</f>
        <v>36.068899999999999</v>
      </c>
      <c r="O1157" t="str">
        <f>IFERROR([1]!fa_apturndays($A1157,TEXT($B$1,"yyyy/mm/dd")),"")</f>
        <v>Fetch...</v>
      </c>
      <c r="P1157">
        <f>IFERROR([1]!s_fa_invturndays($A1157,TEXT($B$1,"yyyy/mm/dd")),"")</f>
        <v>112.7149</v>
      </c>
    </row>
    <row r="1158" spans="1:16">
      <c r="A1158" t="s">
        <v>1171</v>
      </c>
      <c r="B1158">
        <f>IFERROR([1]!s_stm07_is($A1158,"W70156729",TEXT($B$1,"yyyy/mm/dd"),1),"")</f>
        <v>1541119931.1199999</v>
      </c>
      <c r="C1158">
        <f>IFERROR([1]!s_stm07_is($A1158,"W75682424",TEXT($B$1,"yyyy/mm/dd"),1),"")</f>
        <v>1473596069.73</v>
      </c>
      <c r="D1158">
        <f>IFERROR([1]!s_stm07_is($A1158,"W76031679",TEXT($B$1,"yyyy/mm/dd"),1),"")</f>
        <v>18705175.870000001</v>
      </c>
      <c r="E1158">
        <f>IFERROR([1]!s_stm07_is($A1158,"W70752487",TEXT($B$1,"yyyy/mm/dd"),1),"")</f>
        <v>68965999.709999993</v>
      </c>
      <c r="F1158">
        <f>IFERROR([1]!s_stm07_is_103($A1158,TEXT($B$1,"yyyy/mm/dd"),1),"")</f>
        <v>0</v>
      </c>
      <c r="G1158">
        <f>IFERROR([1]!s_stm07_is_104($A1158,TEXT($B$1,"yyyy/mm/dd"),1),"")</f>
        <v>24633184.809999999</v>
      </c>
      <c r="H1158">
        <f>IFERROR([1]!s_stm07_is_105($A1158,TEXT($B$1,"yyyy/mm/dd"),1),"")</f>
        <v>96872481.439999998</v>
      </c>
      <c r="I1158">
        <f>IFERROR([1]!s_stm07_is($A1158,"W72946623",TEXT($B$1,"yyyy/mm/dd"),1),"")</f>
        <v>99894763.040000007</v>
      </c>
      <c r="J1158">
        <f>IFERROR([1]!s_stm07_is($A1158,"W30028333",TEXT($B$1,"yyyy/mm/dd"),1),"")</f>
        <v>102853470.79000001</v>
      </c>
      <c r="K1158">
        <f>IFERROR([1]!s_stm07_cs($A1158,"W77130581",TEXT($B$1,"yyyy/mm/dd"),1),"")</f>
        <v>-217348223.16999999</v>
      </c>
      <c r="L1158">
        <f>IFERROR([1]!s_stm07_cs($A1158,"W77745895",TEXT($B$1,"yyyy/mm/dd"),1),"")</f>
        <v>441909856.00999999</v>
      </c>
      <c r="M1158">
        <f>IFERROR([1]!S_FA_EPS_basic2($A1158,$B$1,"Cur=CNY"),"")</f>
        <v>3.5499999999999997E-2</v>
      </c>
      <c r="N1158">
        <f>IFERROR([1]!s_fa_arturndays($A1158,TEXT($B$1,"yyyy/mm/dd")),"")</f>
        <v>10.1494</v>
      </c>
      <c r="O1158" t="str">
        <f>IFERROR([1]!fa_apturndays($A1158,TEXT($B$1,"yyyy/mm/dd")),"")</f>
        <v>Fetch...</v>
      </c>
      <c r="P1158">
        <f>IFERROR([1]!s_fa_invturndays($A1158,TEXT($B$1,"yyyy/mm/dd")),"")</f>
        <v>44.176699999999997</v>
      </c>
    </row>
    <row r="1159" spans="1:16">
      <c r="A1159" t="s">
        <v>1172</v>
      </c>
      <c r="B1159">
        <f>IFERROR([1]!s_stm07_is($A1159,"W70156729",TEXT($B$1,"yyyy/mm/dd"),1),"")</f>
        <v>13810831633.879999</v>
      </c>
      <c r="C1159">
        <f>IFERROR([1]!s_stm07_is($A1159,"W75682424",TEXT($B$1,"yyyy/mm/dd"),1),"")</f>
        <v>8510758318.3599997</v>
      </c>
      <c r="D1159">
        <f>IFERROR([1]!s_stm07_is($A1159,"W76031679",TEXT($B$1,"yyyy/mm/dd"),1),"")</f>
        <v>1006244220.64</v>
      </c>
      <c r="E1159">
        <f>IFERROR([1]!s_stm07_is($A1159,"W70752487",TEXT($B$1,"yyyy/mm/dd"),1),"")</f>
        <v>2269526438.96</v>
      </c>
      <c r="F1159">
        <f>IFERROR([1]!s_stm07_is_103($A1159,TEXT($B$1,"yyyy/mm/dd"),1),"")</f>
        <v>26893893.34</v>
      </c>
      <c r="G1159">
        <f>IFERROR([1]!s_stm07_is_104($A1159,TEXT($B$1,"yyyy/mm/dd"),1),"")</f>
        <v>374952857.38999999</v>
      </c>
      <c r="H1159">
        <f>IFERROR([1]!s_stm07_is_105($A1159,TEXT($B$1,"yyyy/mm/dd"),1),"")</f>
        <v>97892978.459999993</v>
      </c>
      <c r="I1159">
        <f>IFERROR([1]!s_stm07_is($A1159,"W72946623",TEXT($B$1,"yyyy/mm/dd"),1),"")</f>
        <v>1467295095.7</v>
      </c>
      <c r="J1159">
        <f>IFERROR([1]!s_stm07_is($A1159,"W30028333",TEXT($B$1,"yyyy/mm/dd"),1),"")</f>
        <v>925460840.07000005</v>
      </c>
      <c r="K1159">
        <f>IFERROR([1]!s_stm07_cs($A1159,"W77130581",TEXT($B$1,"yyyy/mm/dd"),1),"")</f>
        <v>3301352168.1900001</v>
      </c>
      <c r="L1159">
        <f>IFERROR([1]!s_stm07_cs($A1159,"W77745895",TEXT($B$1,"yyyy/mm/dd"),1),"")</f>
        <v>1845048287.71</v>
      </c>
      <c r="M1159">
        <f>IFERROR([1]!S_FA_EPS_basic2($A1159,$B$1,"Cur=CNY"),"")</f>
        <v>0.87</v>
      </c>
      <c r="N1159">
        <f>IFERROR([1]!s_fa_arturndays($A1159,TEXT($B$1,"yyyy/mm/dd")),"")</f>
        <v>36.652000000000001</v>
      </c>
      <c r="O1159" t="str">
        <f>IFERROR([1]!fa_apturndays($A1159,TEXT($B$1,"yyyy/mm/dd")),"")</f>
        <v>Fetch...</v>
      </c>
      <c r="P1159">
        <f>IFERROR([1]!s_fa_invturndays($A1159,TEXT($B$1,"yyyy/mm/dd")),"")</f>
        <v>1.9724999999999999</v>
      </c>
    </row>
    <row r="1160" spans="1:16">
      <c r="A1160" t="s">
        <v>1173</v>
      </c>
      <c r="B1160">
        <f>IFERROR([1]!s_stm07_is($A1160,"W70156729",TEXT($B$1,"yyyy/mm/dd"),1),"")</f>
        <v>7081780024.2200003</v>
      </c>
      <c r="C1160">
        <f>IFERROR([1]!s_stm07_is($A1160,"W75682424",TEXT($B$1,"yyyy/mm/dd"),1),"")</f>
        <v>4727419217.4399996</v>
      </c>
      <c r="D1160">
        <f>IFERROR([1]!s_stm07_is($A1160,"W76031679",TEXT($B$1,"yyyy/mm/dd"),1),"")</f>
        <v>612404199.33000004</v>
      </c>
      <c r="E1160">
        <f>IFERROR([1]!s_stm07_is($A1160,"W70752487",TEXT($B$1,"yyyy/mm/dd"),1),"")</f>
        <v>831438281.61000001</v>
      </c>
      <c r="F1160">
        <f>IFERROR([1]!s_stm07_is_103($A1160,TEXT($B$1,"yyyy/mm/dd"),1),"")</f>
        <v>19932352.850000001</v>
      </c>
      <c r="G1160">
        <f>IFERROR([1]!s_stm07_is_104($A1160,TEXT($B$1,"yyyy/mm/dd"),1),"")</f>
        <v>2632873.1800000002</v>
      </c>
      <c r="H1160">
        <f>IFERROR([1]!s_stm07_is_105($A1160,TEXT($B$1,"yyyy/mm/dd"),1),"")</f>
        <v>133343653.64</v>
      </c>
      <c r="I1160">
        <f>IFERROR([1]!s_stm07_is($A1160,"W72946623",TEXT($B$1,"yyyy/mm/dd"),1),"")</f>
        <v>1022566066.47</v>
      </c>
      <c r="J1160">
        <f>IFERROR([1]!s_stm07_is($A1160,"W30028333",TEXT($B$1,"yyyy/mm/dd"),1),"")</f>
        <v>1013952836.3</v>
      </c>
      <c r="K1160">
        <f>IFERROR([1]!s_stm07_cs($A1160,"W77130581",TEXT($B$1,"yyyy/mm/dd"),1),"")</f>
        <v>619867391.38</v>
      </c>
      <c r="L1160">
        <f>IFERROR([1]!s_stm07_cs($A1160,"W77745895",TEXT($B$1,"yyyy/mm/dd"),1),"")</f>
        <v>155006743.44999999</v>
      </c>
      <c r="M1160">
        <f>IFERROR([1]!S_FA_EPS_basic2($A1160,$B$1,"Cur=CNY"),"")</f>
        <v>0.84</v>
      </c>
      <c r="N1160">
        <f>IFERROR([1]!s_fa_arturndays($A1160,TEXT($B$1,"yyyy/mm/dd")),"")</f>
        <v>69.909700000000001</v>
      </c>
      <c r="O1160" t="str">
        <f>IFERROR([1]!fa_apturndays($A1160,TEXT($B$1,"yyyy/mm/dd")),"")</f>
        <v>Fetch...</v>
      </c>
      <c r="P1160">
        <f>IFERROR([1]!s_fa_invturndays($A1160,TEXT($B$1,"yyyy/mm/dd")),"")</f>
        <v>86.066699999999997</v>
      </c>
    </row>
    <row r="1161" spans="1:16">
      <c r="A1161" t="s">
        <v>1174</v>
      </c>
      <c r="B1161">
        <f>IFERROR([1]!s_stm07_is($A1161,"W70156729",TEXT($B$1,"yyyy/mm/dd"),1),"")</f>
        <v>44655784258.860001</v>
      </c>
      <c r="C1161">
        <f>IFERROR([1]!s_stm07_is($A1161,"W75682424",TEXT($B$1,"yyyy/mm/dd"),1),"")</f>
        <v>38539810359.510002</v>
      </c>
      <c r="D1161">
        <f>IFERROR([1]!s_stm07_is($A1161,"W76031679",TEXT($B$1,"yyyy/mm/dd"),1),"")</f>
        <v>10774716.17</v>
      </c>
      <c r="E1161">
        <f>IFERROR([1]!s_stm07_is($A1161,"W70752487",TEXT($B$1,"yyyy/mm/dd"),1),"")</f>
        <v>1073403912.91</v>
      </c>
      <c r="F1161">
        <f>IFERROR([1]!s_stm07_is_103($A1161,TEXT($B$1,"yyyy/mm/dd"),1),"")</f>
        <v>1096579361.5699999</v>
      </c>
      <c r="G1161">
        <f>IFERROR([1]!s_stm07_is_104($A1161,TEXT($B$1,"yyyy/mm/dd"),1),"")</f>
        <v>3353281.71</v>
      </c>
      <c r="H1161">
        <f>IFERROR([1]!s_stm07_is_105($A1161,TEXT($B$1,"yyyy/mm/dd"),1),"")</f>
        <v>74278523.079999998</v>
      </c>
      <c r="I1161">
        <f>IFERROR([1]!s_stm07_is($A1161,"W72946623",TEXT($B$1,"yyyy/mm/dd"),1),"")</f>
        <v>4019096254.71</v>
      </c>
      <c r="J1161">
        <f>IFERROR([1]!s_stm07_is($A1161,"W30028333",TEXT($B$1,"yyyy/mm/dd"),1),"")</f>
        <v>3517760109.7600002</v>
      </c>
      <c r="K1161">
        <f>IFERROR([1]!s_stm07_cs($A1161,"W77130581",TEXT($B$1,"yyyy/mm/dd"),1),"")</f>
        <v>-2285855538.3499999</v>
      </c>
      <c r="L1161">
        <f>IFERROR([1]!s_stm07_cs($A1161,"W77745895",TEXT($B$1,"yyyy/mm/dd"),1),"")</f>
        <v>3879906618.5799999</v>
      </c>
      <c r="M1161">
        <f>IFERROR([1]!S_FA_EPS_basic2($A1161,$B$1,"Cur=CNY"),"")</f>
        <v>1.26</v>
      </c>
      <c r="N1161">
        <f>IFERROR([1]!s_fa_arturndays($A1161,TEXT($B$1,"yyyy/mm/dd")),"")</f>
        <v>197.78049999999999</v>
      </c>
      <c r="O1161" t="str">
        <f>IFERROR([1]!fa_apturndays($A1161,TEXT($B$1,"yyyy/mm/dd")),"")</f>
        <v>Fetch...</v>
      </c>
      <c r="P1161">
        <f>IFERROR([1]!s_fa_invturndays($A1161,TEXT($B$1,"yyyy/mm/dd")),"")</f>
        <v>156.69890000000001</v>
      </c>
    </row>
    <row r="1162" spans="1:16">
      <c r="A1162" t="s">
        <v>1175</v>
      </c>
      <c r="B1162">
        <f>IFERROR([1]!s_stm07_is($A1162,"W70156729",TEXT($B$1,"yyyy/mm/dd"),1),"")</f>
        <v>19818534508.169998</v>
      </c>
      <c r="C1162">
        <f>IFERROR([1]!s_stm07_is($A1162,"W75682424",TEXT($B$1,"yyyy/mm/dd"),1),"")</f>
        <v>15151748047.01</v>
      </c>
      <c r="D1162">
        <f>IFERROR([1]!s_stm07_is($A1162,"W76031679",TEXT($B$1,"yyyy/mm/dd"),1),"")</f>
        <v>1095688945.48</v>
      </c>
      <c r="E1162">
        <f>IFERROR([1]!s_stm07_is($A1162,"W70752487",TEXT($B$1,"yyyy/mm/dd"),1),"")</f>
        <v>634007612.51999998</v>
      </c>
      <c r="F1162">
        <f>IFERROR([1]!s_stm07_is_103($A1162,TEXT($B$1,"yyyy/mm/dd"),1),"")</f>
        <v>1324688260.6700001</v>
      </c>
      <c r="G1162">
        <f>IFERROR([1]!s_stm07_is_104($A1162,TEXT($B$1,"yyyy/mm/dd"),1),"")</f>
        <v>80642163.959999993</v>
      </c>
      <c r="H1162">
        <f>IFERROR([1]!s_stm07_is_105($A1162,TEXT($B$1,"yyyy/mm/dd"),1),"")</f>
        <v>14953927.880000001</v>
      </c>
      <c r="I1162">
        <f>IFERROR([1]!s_stm07_is($A1162,"W72946623",TEXT($B$1,"yyyy/mm/dd"),1),"")</f>
        <v>1702406091.8199999</v>
      </c>
      <c r="J1162">
        <f>IFERROR([1]!s_stm07_is($A1162,"W30028333",TEXT($B$1,"yyyy/mm/dd"),1),"")</f>
        <v>1224649270.6600001</v>
      </c>
      <c r="K1162">
        <f>IFERROR([1]!s_stm07_cs($A1162,"W77130581",TEXT($B$1,"yyyy/mm/dd"),1),"")</f>
        <v>1621427300.21</v>
      </c>
      <c r="L1162">
        <f>IFERROR([1]!s_stm07_cs($A1162,"W77745895",TEXT($B$1,"yyyy/mm/dd"),1),"")</f>
        <v>770868374.42999995</v>
      </c>
      <c r="M1162">
        <f>IFERROR([1]!S_FA_EPS_basic2($A1162,$B$1,"Cur=CNY"),"")</f>
        <v>1.37</v>
      </c>
      <c r="N1162">
        <f>IFERROR([1]!s_fa_arturndays($A1162,TEXT($B$1,"yyyy/mm/dd")),"")</f>
        <v>48.461399999999998</v>
      </c>
      <c r="O1162" t="str">
        <f>IFERROR([1]!fa_apturndays($A1162,TEXT($B$1,"yyyy/mm/dd")),"")</f>
        <v>Fetch...</v>
      </c>
      <c r="P1162">
        <f>IFERROR([1]!s_fa_invturndays($A1162,TEXT($B$1,"yyyy/mm/dd")),"")</f>
        <v>83.412499999999994</v>
      </c>
    </row>
    <row r="1163" spans="1:16">
      <c r="A1163" t="s">
        <v>1176</v>
      </c>
      <c r="B1163">
        <f>IFERROR([1]!s_stm07_is($A1163,"W70156729",TEXT($B$1,"yyyy/mm/dd"),1),"")</f>
        <v>2913101528.8099999</v>
      </c>
      <c r="C1163">
        <f>IFERROR([1]!s_stm07_is($A1163,"W75682424",TEXT($B$1,"yyyy/mm/dd"),1),"")</f>
        <v>1787821316.5999999</v>
      </c>
      <c r="D1163">
        <f>IFERROR([1]!s_stm07_is($A1163,"W76031679",TEXT($B$1,"yyyy/mm/dd"),1),"")</f>
        <v>34351540.07</v>
      </c>
      <c r="E1163">
        <f>IFERROR([1]!s_stm07_is($A1163,"W70752487",TEXT($B$1,"yyyy/mm/dd"),1),"")</f>
        <v>319798633.81</v>
      </c>
      <c r="F1163">
        <f>IFERROR([1]!s_stm07_is_103($A1163,TEXT($B$1,"yyyy/mm/dd"),1),"")</f>
        <v>61227083.259999998</v>
      </c>
      <c r="G1163">
        <f>IFERROR([1]!s_stm07_is_104($A1163,TEXT($B$1,"yyyy/mm/dd"),1),"")</f>
        <v>0</v>
      </c>
      <c r="H1163">
        <f>IFERROR([1]!s_stm07_is_105($A1163,TEXT($B$1,"yyyy/mm/dd"),1),"")</f>
        <v>0</v>
      </c>
      <c r="I1163">
        <f>IFERROR([1]!s_stm07_is($A1163,"W72946623",TEXT($B$1,"yyyy/mm/dd"),1),"")</f>
        <v>705355785.20000005</v>
      </c>
      <c r="J1163">
        <f>IFERROR([1]!s_stm07_is($A1163,"W30028333",TEXT($B$1,"yyyy/mm/dd"),1),"")</f>
        <v>501945804.29000002</v>
      </c>
      <c r="K1163">
        <f>IFERROR([1]!s_stm07_cs($A1163,"W77130581",TEXT($B$1,"yyyy/mm/dd"),1),"")</f>
        <v>810718626.67999995</v>
      </c>
      <c r="L1163">
        <f>IFERROR([1]!s_stm07_cs($A1163,"W77745895",TEXT($B$1,"yyyy/mm/dd"),1),"")</f>
        <v>246196575.16999999</v>
      </c>
      <c r="M1163">
        <f>IFERROR([1]!S_FA_EPS_basic2($A1163,$B$1,"Cur=CNY"),"")</f>
        <v>1.1200000000000001</v>
      </c>
      <c r="N1163">
        <f>IFERROR([1]!s_fa_arturndays($A1163,TEXT($B$1,"yyyy/mm/dd")),"")</f>
        <v>19.7927</v>
      </c>
      <c r="O1163" t="str">
        <f>IFERROR([1]!fa_apturndays($A1163,TEXT($B$1,"yyyy/mm/dd")),"")</f>
        <v>Fetch...</v>
      </c>
      <c r="P1163">
        <f>IFERROR([1]!s_fa_invturndays($A1163,TEXT($B$1,"yyyy/mm/dd")),"")</f>
        <v>5.0096999999999996</v>
      </c>
    </row>
    <row r="1164" spans="1:16">
      <c r="A1164" t="s">
        <v>1177</v>
      </c>
      <c r="B1164">
        <f>IFERROR([1]!s_stm07_is($A1164,"W70156729",TEXT($B$1,"yyyy/mm/dd"),1),"")</f>
        <v>3536234961.4299998</v>
      </c>
      <c r="C1164">
        <f>IFERROR([1]!s_stm07_is($A1164,"W75682424",TEXT($B$1,"yyyy/mm/dd"),1),"")</f>
        <v>2712168388.3400002</v>
      </c>
      <c r="D1164">
        <f>IFERROR([1]!s_stm07_is($A1164,"W76031679",TEXT($B$1,"yyyy/mm/dd"),1),"")</f>
        <v>61343824.600000001</v>
      </c>
      <c r="E1164">
        <f>IFERROR([1]!s_stm07_is($A1164,"W70752487",TEXT($B$1,"yyyy/mm/dd"),1),"")</f>
        <v>274314749</v>
      </c>
      <c r="F1164">
        <f>IFERROR([1]!s_stm07_is_103($A1164,TEXT($B$1,"yyyy/mm/dd"),1),"")</f>
        <v>348942005.31999999</v>
      </c>
      <c r="G1164">
        <f>IFERROR([1]!s_stm07_is_104($A1164,TEXT($B$1,"yyyy/mm/dd"),1),"")</f>
        <v>19715441.41</v>
      </c>
      <c r="H1164">
        <f>IFERROR([1]!s_stm07_is_105($A1164,TEXT($B$1,"yyyy/mm/dd"),1),"")</f>
        <v>20930886.460000001</v>
      </c>
      <c r="I1164">
        <f>IFERROR([1]!s_stm07_is($A1164,"W72946623",TEXT($B$1,"yyyy/mm/dd"),1),"")</f>
        <v>143875518.91999999</v>
      </c>
      <c r="J1164">
        <f>IFERROR([1]!s_stm07_is($A1164,"W30028333",TEXT($B$1,"yyyy/mm/dd"),1),"")</f>
        <v>120555181.55</v>
      </c>
      <c r="K1164">
        <f>IFERROR([1]!s_stm07_cs($A1164,"W77130581",TEXT($B$1,"yyyy/mm/dd"),1),"")</f>
        <v>317312445.55000001</v>
      </c>
      <c r="L1164">
        <f>IFERROR([1]!s_stm07_cs($A1164,"W77745895",TEXT($B$1,"yyyy/mm/dd"),1),"")</f>
        <v>189082039.66999999</v>
      </c>
      <c r="M1164">
        <f>IFERROR([1]!S_FA_EPS_basic2($A1164,$B$1,"Cur=CNY"),"")</f>
        <v>0.1696</v>
      </c>
      <c r="N1164">
        <f>IFERROR([1]!s_fa_arturndays($A1164,TEXT($B$1,"yyyy/mm/dd")),"")</f>
        <v>432.17290000000003</v>
      </c>
      <c r="O1164" t="str">
        <f>IFERROR([1]!fa_apturndays($A1164,TEXT($B$1,"yyyy/mm/dd")),"")</f>
        <v>Fetch...</v>
      </c>
      <c r="P1164">
        <f>IFERROR([1]!s_fa_invturndays($A1164,TEXT($B$1,"yyyy/mm/dd")),"")</f>
        <v>262.50549999999998</v>
      </c>
    </row>
    <row r="1165" spans="1:16">
      <c r="A1165" t="s">
        <v>1178</v>
      </c>
      <c r="B1165">
        <f>IFERROR([1]!s_stm07_is($A1165,"W70156729",TEXT($B$1,"yyyy/mm/dd"),1),"")</f>
        <v>10114508088.360001</v>
      </c>
      <c r="C1165">
        <f>IFERROR([1]!s_stm07_is($A1165,"W75682424",TEXT($B$1,"yyyy/mm/dd"),1),"")</f>
        <v>7286798998.6300001</v>
      </c>
      <c r="D1165">
        <f>IFERROR([1]!s_stm07_is($A1165,"W76031679",TEXT($B$1,"yyyy/mm/dd"),1),"")</f>
        <v>122595888.7</v>
      </c>
      <c r="E1165">
        <f>IFERROR([1]!s_stm07_is($A1165,"W70752487",TEXT($B$1,"yyyy/mm/dd"),1),"")</f>
        <v>921730422.42999995</v>
      </c>
      <c r="F1165">
        <f>IFERROR([1]!s_stm07_is_103($A1165,TEXT($B$1,"yyyy/mm/dd"),1),"")</f>
        <v>633945554.12</v>
      </c>
      <c r="G1165">
        <f>IFERROR([1]!s_stm07_is_104($A1165,TEXT($B$1,"yyyy/mm/dd"),1),"")</f>
        <v>97458102.079999998</v>
      </c>
      <c r="H1165">
        <f>IFERROR([1]!s_stm07_is_105($A1165,TEXT($B$1,"yyyy/mm/dd"),1),"")</f>
        <v>42358359.710000001</v>
      </c>
      <c r="I1165">
        <f>IFERROR([1]!s_stm07_is($A1165,"W72946623",TEXT($B$1,"yyyy/mm/dd"),1),"")</f>
        <v>845981376.14999998</v>
      </c>
      <c r="J1165">
        <f>IFERROR([1]!s_stm07_is($A1165,"W30028333",TEXT($B$1,"yyyy/mm/dd"),1),"")</f>
        <v>608821603.98000002</v>
      </c>
      <c r="K1165">
        <f>IFERROR([1]!s_stm07_cs($A1165,"W77130581",TEXT($B$1,"yyyy/mm/dd"),1),"")</f>
        <v>-1166823460.2</v>
      </c>
      <c r="L1165">
        <f>IFERROR([1]!s_stm07_cs($A1165,"W77745895",TEXT($B$1,"yyyy/mm/dd"),1),"")</f>
        <v>834326754.77999997</v>
      </c>
      <c r="M1165">
        <f>IFERROR([1]!S_FA_EPS_basic2($A1165,$B$1,"Cur=CNY"),"")</f>
        <v>0.39</v>
      </c>
      <c r="N1165">
        <f>IFERROR([1]!s_fa_arturndays($A1165,TEXT($B$1,"yyyy/mm/dd")),"")</f>
        <v>319.29050000000001</v>
      </c>
      <c r="O1165" t="str">
        <f>IFERROR([1]!fa_apturndays($A1165,TEXT($B$1,"yyyy/mm/dd")),"")</f>
        <v>Fetch...</v>
      </c>
      <c r="P1165">
        <f>IFERROR([1]!s_fa_invturndays($A1165,TEXT($B$1,"yyyy/mm/dd")),"")</f>
        <v>268.01670000000001</v>
      </c>
    </row>
    <row r="1166" spans="1:16">
      <c r="A1166" t="s">
        <v>1179</v>
      </c>
      <c r="B1166">
        <f>IFERROR([1]!s_stm07_is($A1166,"W70156729",TEXT($B$1,"yyyy/mm/dd"),1),"")</f>
        <v>1369303098.47</v>
      </c>
      <c r="C1166">
        <f>IFERROR([1]!s_stm07_is($A1166,"W75682424",TEXT($B$1,"yyyy/mm/dd"),1),"")</f>
        <v>443701372.12</v>
      </c>
      <c r="D1166">
        <f>IFERROR([1]!s_stm07_is($A1166,"W76031679",TEXT($B$1,"yyyy/mm/dd"),1),"")</f>
        <v>638399339.19000006</v>
      </c>
      <c r="E1166">
        <f>IFERROR([1]!s_stm07_is($A1166,"W70752487",TEXT($B$1,"yyyy/mm/dd"),1),"")</f>
        <v>90803222.819999993</v>
      </c>
      <c r="F1166">
        <f>IFERROR([1]!s_stm07_is_103($A1166,TEXT($B$1,"yyyy/mm/dd"),1),"")</f>
        <v>38466062.399999999</v>
      </c>
      <c r="G1166">
        <f>IFERROR([1]!s_stm07_is_104($A1166,TEXT($B$1,"yyyy/mm/dd"),1),"")</f>
        <v>2520517.42</v>
      </c>
      <c r="H1166">
        <f>IFERROR([1]!s_stm07_is_105($A1166,TEXT($B$1,"yyyy/mm/dd"),1),"")</f>
        <v>1163389.77</v>
      </c>
      <c r="I1166">
        <f>IFERROR([1]!s_stm07_is($A1166,"W72946623",TEXT($B$1,"yyyy/mm/dd"),1),"")</f>
        <v>103037541.81999999</v>
      </c>
      <c r="J1166">
        <f>IFERROR([1]!s_stm07_is($A1166,"W30028333",TEXT($B$1,"yyyy/mm/dd"),1),"")</f>
        <v>63043502.57</v>
      </c>
      <c r="K1166">
        <f>IFERROR([1]!s_stm07_cs($A1166,"W77130581",TEXT($B$1,"yyyy/mm/dd"),1),"")</f>
        <v>197891808.56999999</v>
      </c>
      <c r="L1166">
        <f>IFERROR([1]!s_stm07_cs($A1166,"W77745895",TEXT($B$1,"yyyy/mm/dd"),1),"")</f>
        <v>6242743.5999999996</v>
      </c>
      <c r="M1166">
        <f>IFERROR([1]!S_FA_EPS_basic2($A1166,$B$1,"Cur=CNY"),"")</f>
        <v>0.13</v>
      </c>
      <c r="N1166">
        <f>IFERROR([1]!s_fa_arturndays($A1166,TEXT($B$1,"yyyy/mm/dd")),"")</f>
        <v>72.383600000000001</v>
      </c>
      <c r="O1166" t="str">
        <f>IFERROR([1]!fa_apturndays($A1166,TEXT($B$1,"yyyy/mm/dd")),"")</f>
        <v>Fetch...</v>
      </c>
      <c r="P1166">
        <f>IFERROR([1]!s_fa_invturndays($A1166,TEXT($B$1,"yyyy/mm/dd")),"")</f>
        <v>615.38459999999998</v>
      </c>
    </row>
    <row r="1167" spans="1:16">
      <c r="A1167" t="s">
        <v>1180</v>
      </c>
      <c r="B1167">
        <f>IFERROR([1]!s_stm07_is($A1167,"W70156729",TEXT($B$1,"yyyy/mm/dd"),1),"")</f>
        <v>918676343.41999996</v>
      </c>
      <c r="C1167">
        <f>IFERROR([1]!s_stm07_is($A1167,"W75682424",TEXT($B$1,"yyyy/mm/dd"),1),"")</f>
        <v>735353095.90999997</v>
      </c>
      <c r="D1167">
        <f>IFERROR([1]!s_stm07_is($A1167,"W76031679",TEXT($B$1,"yyyy/mm/dd"),1),"")</f>
        <v>86884396.650000006</v>
      </c>
      <c r="E1167">
        <f>IFERROR([1]!s_stm07_is($A1167,"W70752487",TEXT($B$1,"yyyy/mm/dd"),1),"")</f>
        <v>181779001.88</v>
      </c>
      <c r="F1167">
        <f>IFERROR([1]!s_stm07_is_103($A1167,TEXT($B$1,"yyyy/mm/dd"),1),"")</f>
        <v>0</v>
      </c>
      <c r="G1167">
        <f>IFERROR([1]!s_stm07_is_104($A1167,TEXT($B$1,"yyyy/mm/dd"),1),"")</f>
        <v>172820304.69</v>
      </c>
      <c r="H1167">
        <f>IFERROR([1]!s_stm07_is_105($A1167,TEXT($B$1,"yyyy/mm/dd"),1),"")</f>
        <v>4305887</v>
      </c>
      <c r="I1167">
        <f>IFERROR([1]!s_stm07_is($A1167,"W72946623",TEXT($B$1,"yyyy/mm/dd"),1),"")</f>
        <v>-689079395.57000005</v>
      </c>
      <c r="J1167">
        <f>IFERROR([1]!s_stm07_is($A1167,"W30028333",TEXT($B$1,"yyyy/mm/dd"),1),"")</f>
        <v>-552715436.85000002</v>
      </c>
      <c r="K1167">
        <f>IFERROR([1]!s_stm07_cs($A1167,"W77130581",TEXT($B$1,"yyyy/mm/dd"),1),"")</f>
        <v>-411106929.11000001</v>
      </c>
      <c r="L1167">
        <f>IFERROR([1]!s_stm07_cs($A1167,"W77745895",TEXT($B$1,"yyyy/mm/dd"),1),"")</f>
        <v>54646646.509999998</v>
      </c>
      <c r="M1167">
        <f>IFERROR([1]!S_FA_EPS_basic2($A1167,$B$1,"Cur=CNY"),"")</f>
        <v>-0.57999999999999996</v>
      </c>
      <c r="N1167">
        <f>IFERROR([1]!s_fa_arturndays($A1167,TEXT($B$1,"yyyy/mm/dd")),"")</f>
        <v>5.1260000000000003</v>
      </c>
      <c r="O1167" t="str">
        <f>IFERROR([1]!fa_apturndays($A1167,TEXT($B$1,"yyyy/mm/dd")),"")</f>
        <v>Fetch...</v>
      </c>
      <c r="P1167">
        <f>IFERROR([1]!s_fa_invturndays($A1167,TEXT($B$1,"yyyy/mm/dd")),"")</f>
        <v>3222.9185000000002</v>
      </c>
    </row>
    <row r="1168" spans="1:16">
      <c r="A1168" t="s">
        <v>1181</v>
      </c>
      <c r="B1168">
        <f>IFERROR([1]!s_stm07_is($A1168,"W70156729",TEXT($B$1,"yyyy/mm/dd"),1),"")</f>
        <v>2477296008.0500002</v>
      </c>
      <c r="C1168">
        <f>IFERROR([1]!s_stm07_is($A1168,"W75682424",TEXT($B$1,"yyyy/mm/dd"),1),"")</f>
        <v>2253807955.6900001</v>
      </c>
      <c r="D1168">
        <f>IFERROR([1]!s_stm07_is($A1168,"W76031679",TEXT($B$1,"yyyy/mm/dd"),1),"")</f>
        <v>41218926.270000003</v>
      </c>
      <c r="E1168">
        <f>IFERROR([1]!s_stm07_is($A1168,"W70752487",TEXT($B$1,"yyyy/mm/dd"),1),"")</f>
        <v>99156114.609999999</v>
      </c>
      <c r="F1168">
        <f>IFERROR([1]!s_stm07_is_103($A1168,TEXT($B$1,"yyyy/mm/dd"),1),"")</f>
        <v>204450990.56999999</v>
      </c>
      <c r="G1168">
        <f>IFERROR([1]!s_stm07_is_104($A1168,TEXT($B$1,"yyyy/mm/dd"),1),"")</f>
        <v>2481434.9700000002</v>
      </c>
      <c r="H1168">
        <f>IFERROR([1]!s_stm07_is_105($A1168,TEXT($B$1,"yyyy/mm/dd"),1),"")</f>
        <v>4925982.76</v>
      </c>
      <c r="I1168">
        <f>IFERROR([1]!s_stm07_is($A1168,"W72946623",TEXT($B$1,"yyyy/mm/dd"),1),"")</f>
        <v>366961881.95999998</v>
      </c>
      <c r="J1168">
        <f>IFERROR([1]!s_stm07_is($A1168,"W30028333",TEXT($B$1,"yyyy/mm/dd"),1),"")</f>
        <v>358070792.80000001</v>
      </c>
      <c r="K1168">
        <f>IFERROR([1]!s_stm07_cs($A1168,"W77130581",TEXT($B$1,"yyyy/mm/dd"),1),"")</f>
        <v>117723148.42</v>
      </c>
      <c r="L1168">
        <f>IFERROR([1]!s_stm07_cs($A1168,"W77745895",TEXT($B$1,"yyyy/mm/dd"),1),"")</f>
        <v>21623182.52</v>
      </c>
      <c r="M1168">
        <f>IFERROR([1]!S_FA_EPS_basic2($A1168,$B$1,"Cur=CNY"),"")</f>
        <v>0.28510000000000002</v>
      </c>
      <c r="N1168">
        <f>IFERROR([1]!s_fa_arturndays($A1168,TEXT($B$1,"yyyy/mm/dd")),"")</f>
        <v>138.76580000000001</v>
      </c>
      <c r="O1168" t="str">
        <f>IFERROR([1]!fa_apturndays($A1168,TEXT($B$1,"yyyy/mm/dd")),"")</f>
        <v>Fetch...</v>
      </c>
      <c r="P1168">
        <f>IFERROR([1]!s_fa_invturndays($A1168,TEXT($B$1,"yyyy/mm/dd")),"")</f>
        <v>70.4542</v>
      </c>
    </row>
    <row r="1169" spans="1:16">
      <c r="A1169" t="s">
        <v>1182</v>
      </c>
      <c r="B1169">
        <f>IFERROR([1]!s_stm07_is($A1169,"W70156729",TEXT($B$1,"yyyy/mm/dd"),1),"")</f>
        <v>35809018125.290001</v>
      </c>
      <c r="C1169">
        <f>IFERROR([1]!s_stm07_is($A1169,"W75682424",TEXT($B$1,"yyyy/mm/dd"),1),"")</f>
        <v>34547759479.440002</v>
      </c>
      <c r="D1169">
        <f>IFERROR([1]!s_stm07_is($A1169,"W76031679",TEXT($B$1,"yyyy/mm/dd"),1),"")</f>
        <v>122767108.31</v>
      </c>
      <c r="E1169">
        <f>IFERROR([1]!s_stm07_is($A1169,"W70752487",TEXT($B$1,"yyyy/mm/dd"),1),"")</f>
        <v>501168239.88999999</v>
      </c>
      <c r="F1169">
        <f>IFERROR([1]!s_stm07_is_103($A1169,TEXT($B$1,"yyyy/mm/dd"),1),"")</f>
        <v>392308248.20999998</v>
      </c>
      <c r="G1169">
        <f>IFERROR([1]!s_stm07_is_104($A1169,TEXT($B$1,"yyyy/mm/dd"),1),"")</f>
        <v>79664635.439999998</v>
      </c>
      <c r="H1169">
        <f>IFERROR([1]!s_stm07_is_105($A1169,TEXT($B$1,"yyyy/mm/dd"),1),"")</f>
        <v>49022407.850000001</v>
      </c>
      <c r="I1169">
        <f>IFERROR([1]!s_stm07_is($A1169,"W72946623",TEXT($B$1,"yyyy/mm/dd"),1),"")</f>
        <v>163450135.99000001</v>
      </c>
      <c r="J1169">
        <f>IFERROR([1]!s_stm07_is($A1169,"W30028333",TEXT($B$1,"yyyy/mm/dd"),1),"")</f>
        <v>44450141.68</v>
      </c>
      <c r="K1169">
        <f>IFERROR([1]!s_stm07_cs($A1169,"W77130581",TEXT($B$1,"yyyy/mm/dd"),1),"")</f>
        <v>247068522.19999999</v>
      </c>
      <c r="L1169">
        <f>IFERROR([1]!s_stm07_cs($A1169,"W77745895",TEXT($B$1,"yyyy/mm/dd"),1),"")</f>
        <v>2675464235.5900002</v>
      </c>
      <c r="M1169">
        <f>IFERROR([1]!S_FA_EPS_basic2($A1169,$B$1,"Cur=CNY"),"")</f>
        <v>0.01</v>
      </c>
      <c r="N1169">
        <f>IFERROR([1]!s_fa_arturndays($A1169,TEXT($B$1,"yyyy/mm/dd")),"")</f>
        <v>12.0593</v>
      </c>
      <c r="O1169" t="str">
        <f>IFERROR([1]!fa_apturndays($A1169,TEXT($B$1,"yyyy/mm/dd")),"")</f>
        <v>Fetch...</v>
      </c>
      <c r="P1169">
        <f>IFERROR([1]!s_fa_invturndays($A1169,TEXT($B$1,"yyyy/mm/dd")),"")</f>
        <v>37.802399999999999</v>
      </c>
    </row>
    <row r="1170" spans="1:16">
      <c r="A1170" t="s">
        <v>1183</v>
      </c>
      <c r="B1170">
        <f>IFERROR([1]!s_stm07_is($A1170,"W70156729",TEXT($B$1,"yyyy/mm/dd"),1),"")</f>
        <v>86680660.849999994</v>
      </c>
      <c r="C1170">
        <f>IFERROR([1]!s_stm07_is($A1170,"W75682424",TEXT($B$1,"yyyy/mm/dd"),1),"")</f>
        <v>50071536.810000002</v>
      </c>
      <c r="D1170">
        <f>IFERROR([1]!s_stm07_is($A1170,"W76031679",TEXT($B$1,"yyyy/mm/dd"),1),"")</f>
        <v>4642817.91</v>
      </c>
      <c r="E1170">
        <f>IFERROR([1]!s_stm07_is($A1170,"W70752487",TEXT($B$1,"yyyy/mm/dd"),1),"")</f>
        <v>98033655.75</v>
      </c>
      <c r="F1170">
        <f>IFERROR([1]!s_stm07_is_103($A1170,TEXT($B$1,"yyyy/mm/dd"),1),"")</f>
        <v>3291810.09</v>
      </c>
      <c r="G1170">
        <f>IFERROR([1]!s_stm07_is_104($A1170,TEXT($B$1,"yyyy/mm/dd"),1),"")</f>
        <v>113539071.16</v>
      </c>
      <c r="H1170">
        <f>IFERROR([1]!s_stm07_is_105($A1170,TEXT($B$1,"yyyy/mm/dd"),1),"")</f>
        <v>3730659.61</v>
      </c>
      <c r="I1170">
        <f>IFERROR([1]!s_stm07_is($A1170,"W72946623",TEXT($B$1,"yyyy/mm/dd"),1),"")</f>
        <v>218794101.22999999</v>
      </c>
      <c r="J1170">
        <f>IFERROR([1]!s_stm07_is($A1170,"W30028333",TEXT($B$1,"yyyy/mm/dd"),1),"")</f>
        <v>144263368.81999999</v>
      </c>
      <c r="K1170">
        <f>IFERROR([1]!s_stm07_cs($A1170,"W77130581",TEXT($B$1,"yyyy/mm/dd"),1),"")</f>
        <v>-57048299.32</v>
      </c>
      <c r="L1170">
        <f>IFERROR([1]!s_stm07_cs($A1170,"W77745895",TEXT($B$1,"yyyy/mm/dd"),1),"")</f>
        <v>1373089.75</v>
      </c>
      <c r="M1170">
        <f>IFERROR([1]!S_FA_EPS_basic2($A1170,$B$1,"Cur=CNY"),"")</f>
        <v>0.19</v>
      </c>
      <c r="N1170">
        <f>IFERROR([1]!s_fa_arturndays($A1170,TEXT($B$1,"yyyy/mm/dd")),"")</f>
        <v>71.091499999999996</v>
      </c>
      <c r="O1170" t="str">
        <f>IFERROR([1]!fa_apturndays($A1170,TEXT($B$1,"yyyy/mm/dd")),"")</f>
        <v>Fetch...</v>
      </c>
      <c r="P1170">
        <f>IFERROR([1]!s_fa_invturndays($A1170,TEXT($B$1,"yyyy/mm/dd")),"")</f>
        <v>116.30159999999999</v>
      </c>
    </row>
    <row r="1171" spans="1:16">
      <c r="A1171" t="s">
        <v>1184</v>
      </c>
      <c r="B1171">
        <f>IFERROR([1]!s_stm07_is($A1171,"W70156729",TEXT($B$1,"yyyy/mm/dd"),1),"")</f>
        <v>67685257815.839996</v>
      </c>
      <c r="C1171">
        <f>IFERROR([1]!s_stm07_is($A1171,"W75682424",TEXT($B$1,"yyyy/mm/dd"),1),"")</f>
        <v>65654489217.540001</v>
      </c>
      <c r="D1171">
        <f>IFERROR([1]!s_stm07_is($A1171,"W76031679",TEXT($B$1,"yyyy/mm/dd"),1),"")</f>
        <v>382935952.05000001</v>
      </c>
      <c r="E1171">
        <f>IFERROR([1]!s_stm07_is($A1171,"W70752487",TEXT($B$1,"yyyy/mm/dd"),1),"")</f>
        <v>601008982.57000005</v>
      </c>
      <c r="F1171">
        <f>IFERROR([1]!s_stm07_is_103($A1171,TEXT($B$1,"yyyy/mm/dd"),1),"")</f>
        <v>117374793.19</v>
      </c>
      <c r="G1171">
        <f>IFERROR([1]!s_stm07_is_104($A1171,TEXT($B$1,"yyyy/mm/dd"),1),"")</f>
        <v>78872086.650000006</v>
      </c>
      <c r="H1171">
        <f>IFERROR([1]!s_stm07_is_105($A1171,TEXT($B$1,"yyyy/mm/dd"),1),"")</f>
        <v>64768994.329999998</v>
      </c>
      <c r="I1171">
        <f>IFERROR([1]!s_stm07_is($A1171,"W72946623",TEXT($B$1,"yyyy/mm/dd"),1),"")</f>
        <v>1090587929.8299999</v>
      </c>
      <c r="J1171">
        <f>IFERROR([1]!s_stm07_is($A1171,"W30028333",TEXT($B$1,"yyyy/mm/dd"),1),"")</f>
        <v>545547905.13999999</v>
      </c>
      <c r="K1171">
        <f>IFERROR([1]!s_stm07_cs($A1171,"W77130581",TEXT($B$1,"yyyy/mm/dd"),1),"")</f>
        <v>1214261585.2</v>
      </c>
      <c r="L1171">
        <f>IFERROR([1]!s_stm07_cs($A1171,"W77745895",TEXT($B$1,"yyyy/mm/dd"),1),"")</f>
        <v>180801117.52000001</v>
      </c>
      <c r="M1171">
        <f>IFERROR([1]!S_FA_EPS_basic2($A1171,$B$1,"Cur=CNY"),"")</f>
        <v>0.251</v>
      </c>
      <c r="N1171">
        <f>IFERROR([1]!s_fa_arturndays($A1171,TEXT($B$1,"yyyy/mm/dd")),"")</f>
        <v>4.5446</v>
      </c>
      <c r="O1171" t="str">
        <f>IFERROR([1]!fa_apturndays($A1171,TEXT($B$1,"yyyy/mm/dd")),"")</f>
        <v>Fetch...</v>
      </c>
      <c r="P1171">
        <f>IFERROR([1]!s_fa_invturndays($A1171,TEXT($B$1,"yyyy/mm/dd")),"")</f>
        <v>3.7402000000000002</v>
      </c>
    </row>
    <row r="1172" spans="1:16">
      <c r="A1172" t="s">
        <v>1185</v>
      </c>
      <c r="B1172">
        <f>IFERROR([1]!s_stm07_is($A1172,"W70156729",TEXT($B$1,"yyyy/mm/dd"),1),"")</f>
        <v>5766115536.79</v>
      </c>
      <c r="C1172">
        <f>IFERROR([1]!s_stm07_is($A1172,"W75682424",TEXT($B$1,"yyyy/mm/dd"),1),"")</f>
        <v>4493270340.9899998</v>
      </c>
      <c r="D1172">
        <f>IFERROR([1]!s_stm07_is($A1172,"W76031679",TEXT($B$1,"yyyy/mm/dd"),1),"")</f>
        <v>454363808.93000001</v>
      </c>
      <c r="E1172">
        <f>IFERROR([1]!s_stm07_is($A1172,"W70752487",TEXT($B$1,"yyyy/mm/dd"),1),"")</f>
        <v>256552999.56</v>
      </c>
      <c r="F1172">
        <f>IFERROR([1]!s_stm07_is_103($A1172,TEXT($B$1,"yyyy/mm/dd"),1),"")</f>
        <v>299148500.44999999</v>
      </c>
      <c r="G1172">
        <f>IFERROR([1]!s_stm07_is_104($A1172,TEXT($B$1,"yyyy/mm/dd"),1),"")</f>
        <v>65786010.119999997</v>
      </c>
      <c r="H1172">
        <f>IFERROR([1]!s_stm07_is_105($A1172,TEXT($B$1,"yyyy/mm/dd"),1),"")</f>
        <v>10508226.77</v>
      </c>
      <c r="I1172">
        <f>IFERROR([1]!s_stm07_is($A1172,"W72946623",TEXT($B$1,"yyyy/mm/dd"),1),"")</f>
        <v>161207120.09</v>
      </c>
      <c r="J1172">
        <f>IFERROR([1]!s_stm07_is($A1172,"W30028333",TEXT($B$1,"yyyy/mm/dd"),1),"")</f>
        <v>112304823.56</v>
      </c>
      <c r="K1172">
        <f>IFERROR([1]!s_stm07_cs($A1172,"W77130581",TEXT($B$1,"yyyy/mm/dd"),1),"")</f>
        <v>698173849.01999998</v>
      </c>
      <c r="L1172">
        <f>IFERROR([1]!s_stm07_cs($A1172,"W77745895",TEXT($B$1,"yyyy/mm/dd"),1),"")</f>
        <v>338862954.47000003</v>
      </c>
      <c r="M1172">
        <f>IFERROR([1]!S_FA_EPS_basic2($A1172,$B$1,"Cur=CNY"),"")</f>
        <v>0.12</v>
      </c>
      <c r="N1172">
        <f>IFERROR([1]!s_fa_arturndays($A1172,TEXT($B$1,"yyyy/mm/dd")),"")</f>
        <v>52.7241</v>
      </c>
      <c r="O1172" t="str">
        <f>IFERROR([1]!fa_apturndays($A1172,TEXT($B$1,"yyyy/mm/dd")),"")</f>
        <v>Fetch...</v>
      </c>
      <c r="P1172">
        <f>IFERROR([1]!s_fa_invturndays($A1172,TEXT($B$1,"yyyy/mm/dd")),"")</f>
        <v>109.42910000000001</v>
      </c>
    </row>
    <row r="1173" spans="1:16">
      <c r="A1173" t="s">
        <v>1186</v>
      </c>
      <c r="B1173">
        <f>IFERROR([1]!s_stm07_is($A1173,"W70156729",TEXT($B$1,"yyyy/mm/dd"),1),"")</f>
        <v>170243994133.70001</v>
      </c>
      <c r="C1173">
        <f>IFERROR([1]!s_stm07_is($A1173,"W75682424",TEXT($B$1,"yyyy/mm/dd"),1),"")</f>
        <v>143791677120.79999</v>
      </c>
      <c r="D1173">
        <f>IFERROR([1]!s_stm07_is($A1173,"W76031679",TEXT($B$1,"yyyy/mm/dd"),1),"")</f>
        <v>7209863.0599999996</v>
      </c>
      <c r="E1173">
        <f>IFERROR([1]!s_stm07_is($A1173,"W70752487",TEXT($B$1,"yyyy/mm/dd"),1),"")</f>
        <v>2027441587.8</v>
      </c>
      <c r="F1173">
        <f>IFERROR([1]!s_stm07_is_103($A1173,TEXT($B$1,"yyyy/mm/dd"),1),"")</f>
        <v>549532568.04999995</v>
      </c>
      <c r="G1173">
        <f>IFERROR([1]!s_stm07_is_104($A1173,TEXT($B$1,"yyyy/mm/dd"),1),"")</f>
        <v>5831978778.9499998</v>
      </c>
      <c r="H1173">
        <f>IFERROR([1]!s_stm07_is_105($A1173,TEXT($B$1,"yyyy/mm/dd"),1),"")</f>
        <v>81338991.549999997</v>
      </c>
      <c r="I1173">
        <f>IFERROR([1]!s_stm07_is($A1173,"W72946623",TEXT($B$1,"yyyy/mm/dd"),1),"")</f>
        <v>17796120884.880001</v>
      </c>
      <c r="J1173">
        <f>IFERROR([1]!s_stm07_is($A1173,"W30028333",TEXT($B$1,"yyyy/mm/dd"),1),"")</f>
        <v>7161419062.5299997</v>
      </c>
      <c r="K1173">
        <f>IFERROR([1]!s_stm07_cs($A1173,"W77130581",TEXT($B$1,"yyyy/mm/dd"),1),"")</f>
        <v>53668239032.25</v>
      </c>
      <c r="L1173">
        <f>IFERROR([1]!s_stm07_cs($A1173,"W77745895",TEXT($B$1,"yyyy/mm/dd"),1),"")</f>
        <v>45813800346.230003</v>
      </c>
      <c r="M1173">
        <f>IFERROR([1]!S_FA_EPS_basic2($A1173,$B$1,"Cur=CNY"),"")</f>
        <v>0.40200000000000002</v>
      </c>
      <c r="N1173">
        <f>IFERROR([1]!s_fa_arturndays($A1173,TEXT($B$1,"yyyy/mm/dd")),"")</f>
        <v>57.8992</v>
      </c>
      <c r="O1173" t="str">
        <f>IFERROR([1]!fa_apturndays($A1173,TEXT($B$1,"yyyy/mm/dd")),"")</f>
        <v>Fetch...</v>
      </c>
      <c r="P1173">
        <f>IFERROR([1]!s_fa_invturndays($A1173,TEXT($B$1,"yyyy/mm/dd")),"")</f>
        <v>15.407</v>
      </c>
    </row>
    <row r="1174" spans="1:16">
      <c r="A1174" t="s">
        <v>1187</v>
      </c>
      <c r="B1174">
        <f>IFERROR([1]!s_stm07_is($A1174,"W70156729",TEXT($B$1,"yyyy/mm/dd"),1),"")</f>
        <v>35348279760</v>
      </c>
      <c r="C1174">
        <f>IFERROR([1]!s_stm07_is($A1174,"W75682424",TEXT($B$1,"yyyy/mm/dd"),1),"")</f>
        <v>24666258743</v>
      </c>
      <c r="D1174">
        <f>IFERROR([1]!s_stm07_is($A1174,"W76031679",TEXT($B$1,"yyyy/mm/dd"),1),"")</f>
        <v>1715236041</v>
      </c>
      <c r="E1174">
        <f>IFERROR([1]!s_stm07_is($A1174,"W70752487",TEXT($B$1,"yyyy/mm/dd"),1),"")</f>
        <v>2223702624</v>
      </c>
      <c r="F1174">
        <f>IFERROR([1]!s_stm07_is_103($A1174,TEXT($B$1,"yyyy/mm/dd"),1),"")</f>
        <v>246224165</v>
      </c>
      <c r="G1174">
        <f>IFERROR([1]!s_stm07_is_104($A1174,TEXT($B$1,"yyyy/mm/dd"),1),"")</f>
        <v>792857306</v>
      </c>
      <c r="H1174">
        <f>IFERROR([1]!s_stm07_is_105($A1174,TEXT($B$1,"yyyy/mm/dd"),1),"")</f>
        <v>205350484</v>
      </c>
      <c r="I1174">
        <f>IFERROR([1]!s_stm07_is($A1174,"W72946623",TEXT($B$1,"yyyy/mm/dd"),1),"")</f>
        <v>4950235931</v>
      </c>
      <c r="J1174">
        <f>IFERROR([1]!s_stm07_is($A1174,"W30028333",TEXT($B$1,"yyyy/mm/dd"),1),"")</f>
        <v>2853332040</v>
      </c>
      <c r="K1174">
        <f>IFERROR([1]!s_stm07_cs($A1174,"W77130581",TEXT($B$1,"yyyy/mm/dd"),1),"")</f>
        <v>6694037666</v>
      </c>
      <c r="L1174">
        <f>IFERROR([1]!s_stm07_cs($A1174,"W77745895",TEXT($B$1,"yyyy/mm/dd"),1),"")</f>
        <v>2620029922</v>
      </c>
      <c r="M1174">
        <f>IFERROR([1]!S_FA_EPS_basic2($A1174,$B$1,"Cur=CNY"),"")</f>
        <v>1.37</v>
      </c>
      <c r="N1174">
        <f>IFERROR([1]!s_fa_arturndays($A1174,TEXT($B$1,"yyyy/mm/dd")),"")</f>
        <v>31.436900000000001</v>
      </c>
      <c r="O1174" t="str">
        <f>IFERROR([1]!fa_apturndays($A1174,TEXT($B$1,"yyyy/mm/dd")),"")</f>
        <v>Fetch...</v>
      </c>
      <c r="P1174">
        <f>IFERROR([1]!s_fa_invturndays($A1174,TEXT($B$1,"yyyy/mm/dd")),"")</f>
        <v>48.075600000000001</v>
      </c>
    </row>
    <row r="1175" spans="1:16">
      <c r="A1175" t="s">
        <v>1188</v>
      </c>
      <c r="B1175">
        <f>IFERROR([1]!s_stm07_is($A1175,"W70156729",TEXT($B$1,"yyyy/mm/dd"),1),"")</f>
        <v>131506690000</v>
      </c>
      <c r="C1175">
        <f>IFERROR([1]!s_stm07_is($A1175,"W75682424",TEXT($B$1,"yyyy/mm/dd"),1),"")</f>
        <v>113161000000</v>
      </c>
      <c r="D1175">
        <f>IFERROR([1]!s_stm07_is($A1175,"W76031679",TEXT($B$1,"yyyy/mm/dd"),1),"")</f>
        <v>1555350000</v>
      </c>
      <c r="E1175">
        <f>IFERROR([1]!s_stm07_is($A1175,"W70752487",TEXT($B$1,"yyyy/mm/dd"),1),"")</f>
        <v>4034060000</v>
      </c>
      <c r="F1175">
        <f>IFERROR([1]!s_stm07_is_103($A1175,TEXT($B$1,"yyyy/mm/dd"),1),"")</f>
        <v>612070000</v>
      </c>
      <c r="G1175">
        <f>IFERROR([1]!s_stm07_is_104($A1175,TEXT($B$1,"yyyy/mm/dd"),1),"")</f>
        <v>887850000</v>
      </c>
      <c r="H1175">
        <f>IFERROR([1]!s_stm07_is_105($A1175,TEXT($B$1,"yyyy/mm/dd"),1),"")</f>
        <v>356290000</v>
      </c>
      <c r="I1175">
        <f>IFERROR([1]!s_stm07_is($A1175,"W72946623",TEXT($B$1,"yyyy/mm/dd"),1),"")</f>
        <v>11710710000</v>
      </c>
      <c r="J1175">
        <f>IFERROR([1]!s_stm07_is($A1175,"W30028333",TEXT($B$1,"yyyy/mm/dd"),1),"")</f>
        <v>4681320000</v>
      </c>
      <c r="K1175">
        <f>IFERROR([1]!s_stm07_cs($A1175,"W77130581",TEXT($B$1,"yyyy/mm/dd"),1),"")</f>
        <v>14266510000</v>
      </c>
      <c r="L1175">
        <f>IFERROR([1]!s_stm07_cs($A1175,"W77745895",TEXT($B$1,"yyyy/mm/dd"),1),"")</f>
        <v>8237860000</v>
      </c>
      <c r="M1175">
        <f>IFERROR([1]!S_FA_EPS_basic2($A1175,$B$1,"Cur=CNY"),"")</f>
        <v>1.52</v>
      </c>
      <c r="N1175">
        <f>IFERROR([1]!s_fa_arturndays($A1175,TEXT($B$1,"yyyy/mm/dd")),"")</f>
        <v>15.343999999999999</v>
      </c>
      <c r="O1175" t="str">
        <f>IFERROR([1]!fa_apturndays($A1175,TEXT($B$1,"yyyy/mm/dd")),"")</f>
        <v>Fetch...</v>
      </c>
      <c r="P1175">
        <f>IFERROR([1]!s_fa_invturndays($A1175,TEXT($B$1,"yyyy/mm/dd")),"")</f>
        <v>14.115500000000001</v>
      </c>
    </row>
    <row r="1176" spans="1:16">
      <c r="A1176" t="s">
        <v>1189</v>
      </c>
      <c r="B1176">
        <f>IFERROR([1]!s_stm07_is($A1176,"W70156729",TEXT($B$1,"yyyy/mm/dd"),1),"")</f>
        <v>77524852312</v>
      </c>
      <c r="C1176">
        <f>IFERROR([1]!s_stm07_is($A1176,"W75682424",TEXT($B$1,"yyyy/mm/dd"),1),"")</f>
        <v>73409207886</v>
      </c>
      <c r="D1176">
        <f>IFERROR([1]!s_stm07_is($A1176,"W76031679",TEXT($B$1,"yyyy/mm/dd"),1),"")</f>
        <v>306032172</v>
      </c>
      <c r="E1176">
        <f>IFERROR([1]!s_stm07_is($A1176,"W70752487",TEXT($B$1,"yyyy/mm/dd"),1),"")</f>
        <v>961804624</v>
      </c>
      <c r="F1176">
        <f>IFERROR([1]!s_stm07_is_103($A1176,TEXT($B$1,"yyyy/mm/dd"),1),"")</f>
        <v>1061841912</v>
      </c>
      <c r="G1176">
        <f>IFERROR([1]!s_stm07_is_104($A1176,TEXT($B$1,"yyyy/mm/dd"),1),"")</f>
        <v>466201639</v>
      </c>
      <c r="H1176">
        <f>IFERROR([1]!s_stm07_is_105($A1176,TEXT($B$1,"yyyy/mm/dd"),1),"")</f>
        <v>109020482</v>
      </c>
      <c r="I1176">
        <f>IFERROR([1]!s_stm07_is($A1176,"W72946623",TEXT($B$1,"yyyy/mm/dd"),1),"")</f>
        <v>140059774</v>
      </c>
      <c r="J1176">
        <f>IFERROR([1]!s_stm07_is($A1176,"W30028333",TEXT($B$1,"yyyy/mm/dd"),1),"")</f>
        <v>-208806314</v>
      </c>
      <c r="K1176">
        <f>IFERROR([1]!s_stm07_cs($A1176,"W77130581",TEXT($B$1,"yyyy/mm/dd"),1),"")</f>
        <v>4151508868</v>
      </c>
      <c r="L1176">
        <f>IFERROR([1]!s_stm07_cs($A1176,"W77745895",TEXT($B$1,"yyyy/mm/dd"),1),"")</f>
        <v>1989836698</v>
      </c>
      <c r="M1176">
        <f>IFERROR([1]!S_FA_EPS_basic2($A1176,$B$1,"Cur=CNY"),"")</f>
        <v>-2.7E-2</v>
      </c>
      <c r="N1176">
        <f>IFERROR([1]!s_fa_arturndays($A1176,TEXT($B$1,"yyyy/mm/dd")),"")</f>
        <v>10.611599999999999</v>
      </c>
      <c r="O1176" t="str">
        <f>IFERROR([1]!fa_apturndays($A1176,TEXT($B$1,"yyyy/mm/dd")),"")</f>
        <v>Fetch...</v>
      </c>
      <c r="P1176">
        <f>IFERROR([1]!s_fa_invturndays($A1176,TEXT($B$1,"yyyy/mm/dd")),"")</f>
        <v>37.563000000000002</v>
      </c>
    </row>
    <row r="1177" spans="1:16">
      <c r="A1177" t="s">
        <v>1190</v>
      </c>
      <c r="B1177">
        <f>IFERROR([1]!s_stm07_is($A1177,"W70156729",TEXT($B$1,"yyyy/mm/dd"),1),"")</f>
        <v>38718257657.739998</v>
      </c>
      <c r="C1177">
        <f>IFERROR([1]!s_stm07_is($A1177,"W75682424",TEXT($B$1,"yyyy/mm/dd"),1),"")</f>
        <v>9736672076.7900009</v>
      </c>
      <c r="D1177">
        <f>IFERROR([1]!s_stm07_is($A1177,"W76031679",TEXT($B$1,"yyyy/mm/dd"),1),"")</f>
        <v>4101573343.5700002</v>
      </c>
      <c r="E1177">
        <f>IFERROR([1]!s_stm07_is($A1177,"W70752487",TEXT($B$1,"yyyy/mm/dd"),1),"")</f>
        <v>1452560287.3</v>
      </c>
      <c r="F1177">
        <f>IFERROR([1]!s_stm07_is_103($A1177,TEXT($B$1,"yyyy/mm/dd"),1),"")</f>
        <v>174280861.28999999</v>
      </c>
      <c r="G1177">
        <f>IFERROR([1]!s_stm07_is_104($A1177,TEXT($B$1,"yyyy/mm/dd"),1),"")</f>
        <v>13175169.6</v>
      </c>
      <c r="H1177">
        <f>IFERROR([1]!s_stm07_is_105($A1177,TEXT($B$1,"yyyy/mm/dd"),1),"")</f>
        <v>34817249.039999999</v>
      </c>
      <c r="I1177">
        <f>IFERROR([1]!s_stm07_is($A1177,"W72946623",TEXT($B$1,"yyyy/mm/dd"),1),"")</f>
        <v>16649861780.459999</v>
      </c>
      <c r="J1177">
        <f>IFERROR([1]!s_stm07_is($A1177,"W30028333",TEXT($B$1,"yyyy/mm/dd"),1),"")</f>
        <v>12246329337.25</v>
      </c>
      <c r="K1177">
        <f>IFERROR([1]!s_stm07_cs($A1177,"W77130581",TEXT($B$1,"yyyy/mm/dd"),1),"")</f>
        <v>9013519822.1499996</v>
      </c>
      <c r="L1177">
        <f>IFERROR([1]!s_stm07_cs($A1177,"W77745895",TEXT($B$1,"yyyy/mm/dd"),1),"")</f>
        <v>1194271115.52</v>
      </c>
      <c r="M1177">
        <f>IFERROR([1]!S_FA_EPS_basic2($A1177,$B$1,"Cur=CNY"),"")</f>
        <v>10.0383</v>
      </c>
      <c r="N1177">
        <f>IFERROR([1]!s_fa_arturndays($A1177,TEXT($B$1,"yyyy/mm/dd")),"")</f>
        <v>8.0000000000000004E-4</v>
      </c>
      <c r="O1177" t="str">
        <f>IFERROR([1]!fa_apturndays($A1177,TEXT($B$1,"yyyy/mm/dd")),"")</f>
        <v>Fetch...</v>
      </c>
      <c r="P1177">
        <f>IFERROR([1]!s_fa_invturndays($A1177,TEXT($B$1,"yyyy/mm/dd")),"")</f>
        <v>511.36360000000002</v>
      </c>
    </row>
    <row r="1178" spans="1:16">
      <c r="A1178" t="s">
        <v>1191</v>
      </c>
      <c r="B1178">
        <f>IFERROR([1]!s_stm07_is($A1178,"W70156729",TEXT($B$1,"yyyy/mm/dd"),1),"")</f>
        <v>12579649154.58</v>
      </c>
      <c r="C1178">
        <f>IFERROR([1]!s_stm07_is($A1178,"W75682424",TEXT($B$1,"yyyy/mm/dd"),1),"")</f>
        <v>11558620396.4</v>
      </c>
      <c r="D1178">
        <f>IFERROR([1]!s_stm07_is($A1178,"W76031679",TEXT($B$1,"yyyy/mm/dd"),1),"")</f>
        <v>100573805.23999999</v>
      </c>
      <c r="E1178">
        <f>IFERROR([1]!s_stm07_is($A1178,"W70752487",TEXT($B$1,"yyyy/mm/dd"),1),"")</f>
        <v>514050097.67000002</v>
      </c>
      <c r="F1178">
        <f>IFERROR([1]!s_stm07_is_103($A1178,TEXT($B$1,"yyyy/mm/dd"),1),"")</f>
        <v>446606119.79000002</v>
      </c>
      <c r="G1178">
        <f>IFERROR([1]!s_stm07_is_104($A1178,TEXT($B$1,"yyyy/mm/dd"),1),"")</f>
        <v>244979989.71000001</v>
      </c>
      <c r="H1178">
        <f>IFERROR([1]!s_stm07_is_105($A1178,TEXT($B$1,"yyyy/mm/dd"),1),"")</f>
        <v>144281651.68000001</v>
      </c>
      <c r="I1178">
        <f>IFERROR([1]!s_stm07_is($A1178,"W72946623",TEXT($B$1,"yyyy/mm/dd"),1),"")</f>
        <v>-144528130.66999999</v>
      </c>
      <c r="J1178">
        <f>IFERROR([1]!s_stm07_is($A1178,"W30028333",TEXT($B$1,"yyyy/mm/dd"),1),"")</f>
        <v>-216610774.91</v>
      </c>
      <c r="K1178">
        <f>IFERROR([1]!s_stm07_cs($A1178,"W77130581",TEXT($B$1,"yyyy/mm/dd"),1),"")</f>
        <v>1614564768.78</v>
      </c>
      <c r="L1178">
        <f>IFERROR([1]!s_stm07_cs($A1178,"W77745895",TEXT($B$1,"yyyy/mm/dd"),1),"")</f>
        <v>1306374400.0899999</v>
      </c>
      <c r="M1178">
        <f>IFERROR([1]!S_FA_EPS_basic2($A1178,$B$1,"Cur=CNY"),"")</f>
        <v>-0.22</v>
      </c>
      <c r="N1178">
        <f>IFERROR([1]!s_fa_arturndays($A1178,TEXT($B$1,"yyyy/mm/dd")),"")</f>
        <v>36.921599999999998</v>
      </c>
      <c r="O1178" t="str">
        <f>IFERROR([1]!fa_apturndays($A1178,TEXT($B$1,"yyyy/mm/dd")),"")</f>
        <v>Fetch...</v>
      </c>
      <c r="P1178">
        <f>IFERROR([1]!s_fa_invturndays($A1178,TEXT($B$1,"yyyy/mm/dd")),"")</f>
        <v>51.469700000000003</v>
      </c>
    </row>
    <row r="1179" spans="1:16">
      <c r="A1179" t="s">
        <v>1192</v>
      </c>
      <c r="B1179">
        <f>IFERROR([1]!s_stm07_is($A1179,"W70156729",TEXT($B$1,"yyyy/mm/dd"),1),"")</f>
        <v>9241652953.7999992</v>
      </c>
      <c r="C1179">
        <f>IFERROR([1]!s_stm07_is($A1179,"W75682424",TEXT($B$1,"yyyy/mm/dd"),1),"")</f>
        <v>6376291487.8299999</v>
      </c>
      <c r="D1179">
        <f>IFERROR([1]!s_stm07_is($A1179,"W76031679",TEXT($B$1,"yyyy/mm/dd"),1),"")</f>
        <v>1231089983.1800001</v>
      </c>
      <c r="E1179">
        <f>IFERROR([1]!s_stm07_is($A1179,"W70752487",TEXT($B$1,"yyyy/mm/dd"),1),"")</f>
        <v>554117130.38</v>
      </c>
      <c r="F1179">
        <f>IFERROR([1]!s_stm07_is_103($A1179,TEXT($B$1,"yyyy/mm/dd"),1),"")</f>
        <v>340998836.38999999</v>
      </c>
      <c r="G1179">
        <f>IFERROR([1]!s_stm07_is_104($A1179,TEXT($B$1,"yyyy/mm/dd"),1),"")</f>
        <v>361548158.81999999</v>
      </c>
      <c r="H1179">
        <f>IFERROR([1]!s_stm07_is_105($A1179,TEXT($B$1,"yyyy/mm/dd"),1),"")</f>
        <v>25816694.199999999</v>
      </c>
      <c r="I1179">
        <f>IFERROR([1]!s_stm07_is($A1179,"W72946623",TEXT($B$1,"yyyy/mm/dd"),1),"")</f>
        <v>357408948.04000002</v>
      </c>
      <c r="J1179">
        <f>IFERROR([1]!s_stm07_is($A1179,"W30028333",TEXT($B$1,"yyyy/mm/dd"),1),"")</f>
        <v>183056160.84</v>
      </c>
      <c r="K1179">
        <f>IFERROR([1]!s_stm07_cs($A1179,"W77130581",TEXT($B$1,"yyyy/mm/dd"),1),"")</f>
        <v>1176539256</v>
      </c>
      <c r="L1179">
        <f>IFERROR([1]!s_stm07_cs($A1179,"W77745895",TEXT($B$1,"yyyy/mm/dd"),1),"")</f>
        <v>542012200.75999999</v>
      </c>
      <c r="M1179">
        <f>IFERROR([1]!S_FA_EPS_basic2($A1179,$B$1,"Cur=CNY"),"")</f>
        <v>0.107</v>
      </c>
      <c r="N1179">
        <f>IFERROR([1]!s_fa_arturndays($A1179,TEXT($B$1,"yyyy/mm/dd")),"")</f>
        <v>86.883099999999999</v>
      </c>
      <c r="O1179" t="str">
        <f>IFERROR([1]!fa_apturndays($A1179,TEXT($B$1,"yyyy/mm/dd")),"")</f>
        <v>Fetch...</v>
      </c>
      <c r="P1179">
        <f>IFERROR([1]!s_fa_invturndays($A1179,TEXT($B$1,"yyyy/mm/dd")),"")</f>
        <v>138.9264</v>
      </c>
    </row>
    <row r="1180" spans="1:16">
      <c r="A1180" t="s">
        <v>1193</v>
      </c>
      <c r="B1180">
        <f>IFERROR([1]!s_stm07_is($A1180,"W70156729",TEXT($B$1,"yyyy/mm/dd"),1),"")</f>
        <v>1046805120.47</v>
      </c>
      <c r="C1180">
        <f>IFERROR([1]!s_stm07_is($A1180,"W75682424",TEXT($B$1,"yyyy/mm/dd"),1),"")</f>
        <v>0</v>
      </c>
      <c r="D1180">
        <f>IFERROR([1]!s_stm07_is($A1180,"W76031679",TEXT($B$1,"yyyy/mm/dd"),1),"")</f>
        <v>0</v>
      </c>
      <c r="E1180">
        <f>IFERROR([1]!s_stm07_is($A1180,"W70752487",TEXT($B$1,"yyyy/mm/dd"),1),"")</f>
        <v>248058350.34999999</v>
      </c>
      <c r="F1180">
        <f>IFERROR([1]!s_stm07_is_103($A1180,TEXT($B$1,"yyyy/mm/dd"),1),"")</f>
        <v>0</v>
      </c>
      <c r="G1180">
        <f>IFERROR([1]!s_stm07_is_104($A1180,TEXT($B$1,"yyyy/mm/dd"),1),"")</f>
        <v>0</v>
      </c>
      <c r="H1180">
        <f>IFERROR([1]!s_stm07_is_105($A1180,TEXT($B$1,"yyyy/mm/dd"),1),"")</f>
        <v>0</v>
      </c>
      <c r="I1180">
        <f>IFERROR([1]!s_stm07_is($A1180,"W72946623",TEXT($B$1,"yyyy/mm/dd"),1),"")</f>
        <v>13882061.550000001</v>
      </c>
      <c r="J1180">
        <f>IFERROR([1]!s_stm07_is($A1180,"W30028333",TEXT($B$1,"yyyy/mm/dd"),1),"")</f>
        <v>117037887.52</v>
      </c>
      <c r="K1180">
        <f>IFERROR([1]!s_stm07_cs($A1180,"W77130581",TEXT($B$1,"yyyy/mm/dd"),1),"")</f>
        <v>-104268279.28</v>
      </c>
      <c r="L1180">
        <f>IFERROR([1]!s_stm07_cs($A1180,"W77745895",TEXT($B$1,"yyyy/mm/dd"),1),"")</f>
        <v>30156059.469999999</v>
      </c>
      <c r="M1180">
        <f>IFERROR([1]!S_FA_EPS_basic2($A1180,$B$1,"Cur=CNY"),"")</f>
        <v>1.1900000000000001E-2</v>
      </c>
      <c r="N1180">
        <f>IFERROR([1]!s_fa_arturndays($A1180,TEXT($B$1,"yyyy/mm/dd")),"")</f>
        <v>0</v>
      </c>
      <c r="O1180" t="str">
        <f>IFERROR([1]!fa_apturndays($A1180,TEXT($B$1,"yyyy/mm/dd")),"")</f>
        <v>Fetch...</v>
      </c>
      <c r="P1180">
        <f>IFERROR([1]!s_fa_invturndays($A1180,TEXT($B$1,"yyyy/mm/dd")),"")</f>
        <v>0</v>
      </c>
    </row>
    <row r="1181" spans="1:16">
      <c r="A1181" t="s">
        <v>1194</v>
      </c>
      <c r="B1181">
        <f>IFERROR([1]!s_stm07_is($A1181,"W70156729",TEXT($B$1,"yyyy/mm/dd"),1),"")</f>
        <v>57927229927.949997</v>
      </c>
      <c r="C1181">
        <f>IFERROR([1]!s_stm07_is($A1181,"W75682424",TEXT($B$1,"yyyy/mm/dd"),1),"")</f>
        <v>49823032544.139999</v>
      </c>
      <c r="D1181">
        <f>IFERROR([1]!s_stm07_is($A1181,"W76031679",TEXT($B$1,"yyyy/mm/dd"),1),"")</f>
        <v>4928187.04</v>
      </c>
      <c r="E1181">
        <f>IFERROR([1]!s_stm07_is($A1181,"W70752487",TEXT($B$1,"yyyy/mm/dd"),1),"")</f>
        <v>1898992853.72</v>
      </c>
      <c r="F1181">
        <f>IFERROR([1]!s_stm07_is_103($A1181,TEXT($B$1,"yyyy/mm/dd"),1),"")</f>
        <v>2325254353.8800001</v>
      </c>
      <c r="G1181">
        <f>IFERROR([1]!s_stm07_is_104($A1181,TEXT($B$1,"yyyy/mm/dd"),1),"")</f>
        <v>1463533839.1500001</v>
      </c>
      <c r="H1181">
        <f>IFERROR([1]!s_stm07_is_105($A1181,TEXT($B$1,"yyyy/mm/dd"),1),"")</f>
        <v>113679059.66</v>
      </c>
      <c r="I1181">
        <f>IFERROR([1]!s_stm07_is($A1181,"W72946623",TEXT($B$1,"yyyy/mm/dd"),1),"")</f>
        <v>2781893414.9099998</v>
      </c>
      <c r="J1181">
        <f>IFERROR([1]!s_stm07_is($A1181,"W30028333",TEXT($B$1,"yyyy/mm/dd"),1),"")</f>
        <v>2213961158.5500002</v>
      </c>
      <c r="K1181">
        <f>IFERROR([1]!s_stm07_cs($A1181,"W77130581",TEXT($B$1,"yyyy/mm/dd"),1),"")</f>
        <v>2192089410.5100002</v>
      </c>
      <c r="L1181">
        <f>IFERROR([1]!s_stm07_cs($A1181,"W77745895",TEXT($B$1,"yyyy/mm/dd"),1),"")</f>
        <v>1683304908.5</v>
      </c>
      <c r="M1181">
        <f>IFERROR([1]!S_FA_EPS_basic2($A1181,$B$1,"Cur=CNY"),"")</f>
        <v>0.66</v>
      </c>
      <c r="N1181">
        <f>IFERROR([1]!s_fa_arturndays($A1181,TEXT($B$1,"yyyy/mm/dd")),"")</f>
        <v>140.96639999999999</v>
      </c>
      <c r="O1181" t="str">
        <f>IFERROR([1]!fa_apturndays($A1181,TEXT($B$1,"yyyy/mm/dd")),"")</f>
        <v>Fetch...</v>
      </c>
      <c r="P1181">
        <f>IFERROR([1]!s_fa_invturndays($A1181,TEXT($B$1,"yyyy/mm/dd")),"")</f>
        <v>364.44619999999998</v>
      </c>
    </row>
    <row r="1182" spans="1:16">
      <c r="A1182" t="s">
        <v>1195</v>
      </c>
      <c r="B1182">
        <f>IFERROR([1]!s_stm07_is($A1182,"W70156729",TEXT($B$1,"yyyy/mm/dd"),1),"")</f>
        <v>3451679106.98</v>
      </c>
      <c r="C1182">
        <f>IFERROR([1]!s_stm07_is($A1182,"W75682424",TEXT($B$1,"yyyy/mm/dd"),1),"")</f>
        <v>1714718038.8099999</v>
      </c>
      <c r="D1182">
        <f>IFERROR([1]!s_stm07_is($A1182,"W76031679",TEXT($B$1,"yyyy/mm/dd"),1),"")</f>
        <v>6388940.6699999999</v>
      </c>
      <c r="E1182">
        <f>IFERROR([1]!s_stm07_is($A1182,"W70752487",TEXT($B$1,"yyyy/mm/dd"),1),"")</f>
        <v>245318815.50999999</v>
      </c>
      <c r="F1182">
        <f>IFERROR([1]!s_stm07_is_103($A1182,TEXT($B$1,"yyyy/mm/dd"),1),"")</f>
        <v>12507987.85</v>
      </c>
      <c r="G1182">
        <f>IFERROR([1]!s_stm07_is_104($A1182,TEXT($B$1,"yyyy/mm/dd"),1),"")</f>
        <v>803837394.88999999</v>
      </c>
      <c r="H1182">
        <f>IFERROR([1]!s_stm07_is_105($A1182,TEXT($B$1,"yyyy/mm/dd"),1),"")</f>
        <v>1710115.47</v>
      </c>
      <c r="I1182">
        <f>IFERROR([1]!s_stm07_is($A1182,"W72946623",TEXT($B$1,"yyyy/mm/dd"),1),"")</f>
        <v>300099400.91000003</v>
      </c>
      <c r="J1182">
        <f>IFERROR([1]!s_stm07_is($A1182,"W30028333",TEXT($B$1,"yyyy/mm/dd"),1),"")</f>
        <v>101258611.31</v>
      </c>
      <c r="K1182">
        <f>IFERROR([1]!s_stm07_cs($A1182,"W77130581",TEXT($B$1,"yyyy/mm/dd"),1),"")</f>
        <v>2169968463.9699998</v>
      </c>
      <c r="L1182">
        <f>IFERROR([1]!s_stm07_cs($A1182,"W77745895",TEXT($B$1,"yyyy/mm/dd"),1),"")</f>
        <v>1580994849.97</v>
      </c>
      <c r="M1182">
        <f>IFERROR([1]!S_FA_EPS_basic2($A1182,$B$1,"Cur=CNY"),"")</f>
        <v>0.05</v>
      </c>
      <c r="N1182">
        <f>IFERROR([1]!s_fa_arturndays($A1182,TEXT($B$1,"yyyy/mm/dd")),"")</f>
        <v>800.88990000000001</v>
      </c>
      <c r="O1182" t="str">
        <f>IFERROR([1]!fa_apturndays($A1182,TEXT($B$1,"yyyy/mm/dd")),"")</f>
        <v>Fetch...</v>
      </c>
      <c r="P1182">
        <f>IFERROR([1]!s_fa_invturndays($A1182,TEXT($B$1,"yyyy/mm/dd")),"")</f>
        <v>2.8734000000000002</v>
      </c>
    </row>
    <row r="1183" spans="1:16">
      <c r="A1183" t="s">
        <v>1196</v>
      </c>
      <c r="B1183">
        <f>IFERROR([1]!s_stm07_is($A1183,"W70156729",TEXT($B$1,"yyyy/mm/dd"),1),"")</f>
        <v>24784873211.91</v>
      </c>
      <c r="C1183">
        <f>IFERROR([1]!s_stm07_is($A1183,"W75682424",TEXT($B$1,"yyyy/mm/dd"),1),"")</f>
        <v>18614063421.299999</v>
      </c>
      <c r="D1183">
        <f>IFERROR([1]!s_stm07_is($A1183,"W76031679",TEXT($B$1,"yyyy/mm/dd"),1),"")</f>
        <v>4003043000.8400002</v>
      </c>
      <c r="E1183">
        <f>IFERROR([1]!s_stm07_is($A1183,"W70752487",TEXT($B$1,"yyyy/mm/dd"),1),"")</f>
        <v>1957937058.1400001</v>
      </c>
      <c r="F1183">
        <f>IFERROR([1]!s_stm07_is_103($A1183,TEXT($B$1,"yyyy/mm/dd"),1),"")</f>
        <v>8880519.2899999991</v>
      </c>
      <c r="G1183">
        <f>IFERROR([1]!s_stm07_is_104($A1183,TEXT($B$1,"yyyy/mm/dd"),1),"")</f>
        <v>450346569.81999999</v>
      </c>
      <c r="H1183">
        <f>IFERROR([1]!s_stm07_is_105($A1183,TEXT($B$1,"yyyy/mm/dd"),1),"")</f>
        <v>439655835.31999999</v>
      </c>
      <c r="I1183">
        <f>IFERROR([1]!s_stm07_is($A1183,"W72946623",TEXT($B$1,"yyyy/mm/dd"),1),"")</f>
        <v>1021426459.48</v>
      </c>
      <c r="J1183">
        <f>IFERROR([1]!s_stm07_is($A1183,"W30028333",TEXT($B$1,"yyyy/mm/dd"),1),"")</f>
        <v>631078365.79999995</v>
      </c>
      <c r="K1183">
        <f>IFERROR([1]!s_stm07_cs($A1183,"W77130581",TEXT($B$1,"yyyy/mm/dd"),1),"")</f>
        <v>993216357.99000001</v>
      </c>
      <c r="L1183">
        <f>IFERROR([1]!s_stm07_cs($A1183,"W77745895",TEXT($B$1,"yyyy/mm/dd"),1),"")</f>
        <v>1493885109.8699999</v>
      </c>
      <c r="M1183">
        <f>IFERROR([1]!S_FA_EPS_basic2($A1183,$B$1,"Cur=CNY"),"")</f>
        <v>0.35</v>
      </c>
      <c r="N1183">
        <f>IFERROR([1]!s_fa_arturndays($A1183,TEXT($B$1,"yyyy/mm/dd")),"")</f>
        <v>11.1449</v>
      </c>
      <c r="O1183" t="str">
        <f>IFERROR([1]!fa_apturndays($A1183,TEXT($B$1,"yyyy/mm/dd")),"")</f>
        <v>Fetch...</v>
      </c>
      <c r="P1183">
        <f>IFERROR([1]!s_fa_invturndays($A1183,TEXT($B$1,"yyyy/mm/dd")),"")</f>
        <v>43.1815</v>
      </c>
    </row>
    <row r="1184" spans="1:16">
      <c r="A1184" t="s">
        <v>1197</v>
      </c>
      <c r="B1184">
        <f>IFERROR([1]!s_stm07_is($A1184,"W70156729",TEXT($B$1,"yyyy/mm/dd"),1),"")</f>
        <v>19294378577.099998</v>
      </c>
      <c r="C1184">
        <f>IFERROR([1]!s_stm07_is($A1184,"W75682424",TEXT($B$1,"yyyy/mm/dd"),1),"")</f>
        <v>16337727459.84</v>
      </c>
      <c r="D1184">
        <f>IFERROR([1]!s_stm07_is($A1184,"W76031679",TEXT($B$1,"yyyy/mm/dd"),1),"")</f>
        <v>554885682.14999998</v>
      </c>
      <c r="E1184">
        <f>IFERROR([1]!s_stm07_is($A1184,"W70752487",TEXT($B$1,"yyyy/mm/dd"),1),"")</f>
        <v>789612911.13999999</v>
      </c>
      <c r="F1184">
        <f>IFERROR([1]!s_stm07_is_103($A1184,TEXT($B$1,"yyyy/mm/dd"),1),"")</f>
        <v>725481100.35000002</v>
      </c>
      <c r="G1184">
        <f>IFERROR([1]!s_stm07_is_104($A1184,TEXT($B$1,"yyyy/mm/dd"),1),"")</f>
        <v>4273414.71</v>
      </c>
      <c r="H1184">
        <f>IFERROR([1]!s_stm07_is_105($A1184,TEXT($B$1,"yyyy/mm/dd"),1),"")</f>
        <v>237878553.81</v>
      </c>
      <c r="I1184">
        <f>IFERROR([1]!s_stm07_is($A1184,"W72946623",TEXT($B$1,"yyyy/mm/dd"),1),"")</f>
        <v>1307407972.29</v>
      </c>
      <c r="J1184">
        <f>IFERROR([1]!s_stm07_is($A1184,"W30028333",TEXT($B$1,"yyyy/mm/dd"),1),"")</f>
        <v>792469348.62</v>
      </c>
      <c r="K1184">
        <f>IFERROR([1]!s_stm07_cs($A1184,"W77130581",TEXT($B$1,"yyyy/mm/dd"),1),"")</f>
        <v>798644957.64999998</v>
      </c>
      <c r="L1184">
        <f>IFERROR([1]!s_stm07_cs($A1184,"W77745895",TEXT($B$1,"yyyy/mm/dd"),1),"")</f>
        <v>161614744.78999999</v>
      </c>
      <c r="M1184">
        <f>IFERROR([1]!S_FA_EPS_basic2($A1184,$B$1,"Cur=CNY"),"")</f>
        <v>0.77</v>
      </c>
      <c r="N1184">
        <f>IFERROR([1]!s_fa_arturndays($A1184,TEXT($B$1,"yyyy/mm/dd")),"")</f>
        <v>77.792400000000001</v>
      </c>
      <c r="O1184" t="str">
        <f>IFERROR([1]!fa_apturndays($A1184,TEXT($B$1,"yyyy/mm/dd")),"")</f>
        <v>Fetch...</v>
      </c>
      <c r="P1184">
        <f>IFERROR([1]!s_fa_invturndays($A1184,TEXT($B$1,"yyyy/mm/dd")),"")</f>
        <v>165.7764</v>
      </c>
    </row>
    <row r="1185" spans="1:16">
      <c r="A1185" t="s">
        <v>1198</v>
      </c>
      <c r="B1185">
        <f>IFERROR([1]!s_stm07_is($A1185,"W70156729",TEXT($B$1,"yyyy/mm/dd"),1),"")</f>
        <v>10971556121.99</v>
      </c>
      <c r="C1185">
        <f>IFERROR([1]!s_stm07_is($A1185,"W75682424",TEXT($B$1,"yyyy/mm/dd"),1),"")</f>
        <v>7494374305.5799999</v>
      </c>
      <c r="D1185">
        <f>IFERROR([1]!s_stm07_is($A1185,"W76031679",TEXT($B$1,"yyyy/mm/dd"),1),"")</f>
        <v>233912806.63</v>
      </c>
      <c r="E1185">
        <f>IFERROR([1]!s_stm07_is($A1185,"W70752487",TEXT($B$1,"yyyy/mm/dd"),1),"")</f>
        <v>348368046.81</v>
      </c>
      <c r="F1185">
        <f>IFERROR([1]!s_stm07_is_103($A1185,TEXT($B$1,"yyyy/mm/dd"),1),"")</f>
        <v>1424007801.8299999</v>
      </c>
      <c r="G1185">
        <f>IFERROR([1]!s_stm07_is_104($A1185,TEXT($B$1,"yyyy/mm/dd"),1),"")</f>
        <v>32220321.75</v>
      </c>
      <c r="H1185">
        <f>IFERROR([1]!s_stm07_is_105($A1185,TEXT($B$1,"yyyy/mm/dd"),1),"")</f>
        <v>50796952.399999999</v>
      </c>
      <c r="I1185">
        <f>IFERROR([1]!s_stm07_is($A1185,"W72946623",TEXT($B$1,"yyyy/mm/dd"),1),"")</f>
        <v>1428155191.8599999</v>
      </c>
      <c r="J1185">
        <f>IFERROR([1]!s_stm07_is($A1185,"W30028333",TEXT($B$1,"yyyy/mm/dd"),1),"")</f>
        <v>1305010991.72</v>
      </c>
      <c r="K1185">
        <f>IFERROR([1]!s_stm07_cs($A1185,"W77130581",TEXT($B$1,"yyyy/mm/dd"),1),"")</f>
        <v>2146930769.3599999</v>
      </c>
      <c r="L1185">
        <f>IFERROR([1]!s_stm07_cs($A1185,"W77745895",TEXT($B$1,"yyyy/mm/dd"),1),"")</f>
        <v>1252497465.1600001</v>
      </c>
      <c r="M1185">
        <f>IFERROR([1]!S_FA_EPS_basic2($A1185,$B$1,"Cur=CNY"),"")</f>
        <v>0.45700000000000002</v>
      </c>
      <c r="N1185">
        <f>IFERROR([1]!s_fa_arturndays($A1185,TEXT($B$1,"yyyy/mm/dd")),"")</f>
        <v>123.0433</v>
      </c>
      <c r="O1185" t="str">
        <f>IFERROR([1]!fa_apturndays($A1185,TEXT($B$1,"yyyy/mm/dd")),"")</f>
        <v>Fetch...</v>
      </c>
      <c r="P1185">
        <f>IFERROR([1]!s_fa_invturndays($A1185,TEXT($B$1,"yyyy/mm/dd")),"")</f>
        <v>300.12509999999997</v>
      </c>
    </row>
    <row r="1186" spans="1:16">
      <c r="A1186" t="s">
        <v>1199</v>
      </c>
      <c r="B1186">
        <f>IFERROR([1]!s_stm07_is($A1186,"W70156729",TEXT($B$1,"yyyy/mm/dd"),1),"")</f>
        <v>7937309355.0500002</v>
      </c>
      <c r="C1186">
        <f>IFERROR([1]!s_stm07_is($A1186,"W75682424",TEXT($B$1,"yyyy/mm/dd"),1),"")</f>
        <v>5107944087.8000002</v>
      </c>
      <c r="D1186">
        <f>IFERROR([1]!s_stm07_is($A1186,"W76031679",TEXT($B$1,"yyyy/mm/dd"),1),"")</f>
        <v>152474667.03999999</v>
      </c>
      <c r="E1186">
        <f>IFERROR([1]!s_stm07_is($A1186,"W70752487",TEXT($B$1,"yyyy/mm/dd"),1),"")</f>
        <v>438712924.49000001</v>
      </c>
      <c r="F1186">
        <f>IFERROR([1]!s_stm07_is_103($A1186,TEXT($B$1,"yyyy/mm/dd"),1),"")</f>
        <v>0</v>
      </c>
      <c r="G1186">
        <f>IFERROR([1]!s_stm07_is_104($A1186,TEXT($B$1,"yyyy/mm/dd"),1),"")</f>
        <v>930654910.01999998</v>
      </c>
      <c r="H1186">
        <f>IFERROR([1]!s_stm07_is_105($A1186,TEXT($B$1,"yyyy/mm/dd"),1),"")</f>
        <v>30387335.719999999</v>
      </c>
      <c r="I1186">
        <f>IFERROR([1]!s_stm07_is($A1186,"W72946623",TEXT($B$1,"yyyy/mm/dd"),1),"")</f>
        <v>1688522217.51</v>
      </c>
      <c r="J1186">
        <f>IFERROR([1]!s_stm07_is($A1186,"W30028333",TEXT($B$1,"yyyy/mm/dd"),1),"")</f>
        <v>969062997.47000003</v>
      </c>
      <c r="K1186">
        <f>IFERROR([1]!s_stm07_cs($A1186,"W77130581",TEXT($B$1,"yyyy/mm/dd"),1),"")</f>
        <v>-949615007.54999995</v>
      </c>
      <c r="L1186">
        <f>IFERROR([1]!s_stm07_cs($A1186,"W77745895",TEXT($B$1,"yyyy/mm/dd"),1),"")</f>
        <v>75935673.620000005</v>
      </c>
      <c r="M1186">
        <f>IFERROR([1]!S_FA_EPS_basic2($A1186,$B$1,"Cur=CNY"),"")</f>
        <v>0.38</v>
      </c>
      <c r="N1186">
        <f>IFERROR([1]!s_fa_arturndays($A1186,TEXT($B$1,"yyyy/mm/dd")),"")</f>
        <v>31.2088</v>
      </c>
      <c r="O1186" t="str">
        <f>IFERROR([1]!fa_apturndays($A1186,TEXT($B$1,"yyyy/mm/dd")),"")</f>
        <v>Fetch...</v>
      </c>
      <c r="P1186">
        <f>IFERROR([1]!s_fa_invturndays($A1186,TEXT($B$1,"yyyy/mm/dd")),"")</f>
        <v>2933.9852999999998</v>
      </c>
    </row>
    <row r="1187" spans="1:16">
      <c r="A1187" t="s">
        <v>1200</v>
      </c>
      <c r="B1187">
        <f>IFERROR([1]!s_stm07_is($A1187,"W70156729",TEXT($B$1,"yyyy/mm/dd"),1),"")</f>
        <v>10740082675.15</v>
      </c>
      <c r="C1187">
        <f>IFERROR([1]!s_stm07_is($A1187,"W75682424",TEXT($B$1,"yyyy/mm/dd"),1),"")</f>
        <v>8849530778.7900009</v>
      </c>
      <c r="D1187">
        <f>IFERROR([1]!s_stm07_is($A1187,"W76031679",TEXT($B$1,"yyyy/mm/dd"),1),"")</f>
        <v>718333951.72000003</v>
      </c>
      <c r="E1187">
        <f>IFERROR([1]!s_stm07_is($A1187,"W70752487",TEXT($B$1,"yyyy/mm/dd"),1),"")</f>
        <v>268408054.31</v>
      </c>
      <c r="F1187">
        <f>IFERROR([1]!s_stm07_is_103($A1187,TEXT($B$1,"yyyy/mm/dd"),1),"")</f>
        <v>484881929.45999998</v>
      </c>
      <c r="G1187">
        <f>IFERROR([1]!s_stm07_is_104($A1187,TEXT($B$1,"yyyy/mm/dd"),1),"")</f>
        <v>39463414.380000003</v>
      </c>
      <c r="H1187">
        <f>IFERROR([1]!s_stm07_is_105($A1187,TEXT($B$1,"yyyy/mm/dd"),1),"")</f>
        <v>13947422.970000001</v>
      </c>
      <c r="I1187">
        <f>IFERROR([1]!s_stm07_is($A1187,"W72946623",TEXT($B$1,"yyyy/mm/dd"),1),"")</f>
        <v>345802047.10000002</v>
      </c>
      <c r="J1187">
        <f>IFERROR([1]!s_stm07_is($A1187,"W30028333",TEXT($B$1,"yyyy/mm/dd"),1),"")</f>
        <v>328809478.95999998</v>
      </c>
      <c r="K1187">
        <f>IFERROR([1]!s_stm07_cs($A1187,"W77130581",TEXT($B$1,"yyyy/mm/dd"),1),"")</f>
        <v>215871300</v>
      </c>
      <c r="L1187">
        <f>IFERROR([1]!s_stm07_cs($A1187,"W77745895",TEXT($B$1,"yyyy/mm/dd"),1),"")</f>
        <v>143174383.97999999</v>
      </c>
      <c r="M1187">
        <f>IFERROR([1]!S_FA_EPS_basic2($A1187,$B$1,"Cur=CNY"),"")</f>
        <v>0.4803</v>
      </c>
      <c r="N1187">
        <f>IFERROR([1]!s_fa_arturndays($A1187,TEXT($B$1,"yyyy/mm/dd")),"")</f>
        <v>80.242500000000007</v>
      </c>
      <c r="O1187" t="str">
        <f>IFERROR([1]!fa_apturndays($A1187,TEXT($B$1,"yyyy/mm/dd")),"")</f>
        <v>Fetch...</v>
      </c>
      <c r="P1187">
        <f>IFERROR([1]!s_fa_invturndays($A1187,TEXT($B$1,"yyyy/mm/dd")),"")</f>
        <v>187.227</v>
      </c>
    </row>
    <row r="1188" spans="1:16">
      <c r="A1188" t="s">
        <v>1201</v>
      </c>
      <c r="B1188">
        <f>IFERROR([1]!s_stm07_is($A1188,"W70156729",TEXT($B$1,"yyyy/mm/dd"),1),"")</f>
        <v>10149906153.24</v>
      </c>
      <c r="C1188">
        <f>IFERROR([1]!s_stm07_is($A1188,"W75682424",TEXT($B$1,"yyyy/mm/dd"),1),"")</f>
        <v>6210006825.0100002</v>
      </c>
      <c r="D1188">
        <f>IFERROR([1]!s_stm07_is($A1188,"W76031679",TEXT($B$1,"yyyy/mm/dd"),1),"")</f>
        <v>1557937618.9400001</v>
      </c>
      <c r="E1188">
        <f>IFERROR([1]!s_stm07_is($A1188,"W70752487",TEXT($B$1,"yyyy/mm/dd"),1),"")</f>
        <v>1478826347.6099999</v>
      </c>
      <c r="F1188">
        <f>IFERROR([1]!s_stm07_is_103($A1188,TEXT($B$1,"yyyy/mm/dd"),1),"")</f>
        <v>0</v>
      </c>
      <c r="G1188">
        <f>IFERROR([1]!s_stm07_is_104($A1188,TEXT($B$1,"yyyy/mm/dd"),1),"")</f>
        <v>499742886.87</v>
      </c>
      <c r="H1188">
        <f>IFERROR([1]!s_stm07_is_105($A1188,TEXT($B$1,"yyyy/mm/dd"),1),"")</f>
        <v>182377055.58000001</v>
      </c>
      <c r="I1188">
        <f>IFERROR([1]!s_stm07_is($A1188,"W72946623",TEXT($B$1,"yyyy/mm/dd"),1),"")</f>
        <v>280922874.56999999</v>
      </c>
      <c r="J1188">
        <f>IFERROR([1]!s_stm07_is($A1188,"W30028333",TEXT($B$1,"yyyy/mm/dd"),1),"")</f>
        <v>-39872681.229999997</v>
      </c>
      <c r="K1188">
        <f>IFERROR([1]!s_stm07_cs($A1188,"W77130581",TEXT($B$1,"yyyy/mm/dd"),1),"")</f>
        <v>1924362932.48</v>
      </c>
      <c r="L1188">
        <f>IFERROR([1]!s_stm07_cs($A1188,"W77745895",TEXT($B$1,"yyyy/mm/dd"),1),"")</f>
        <v>533055892.56999999</v>
      </c>
      <c r="M1188">
        <f>IFERROR([1]!S_FA_EPS_basic2($A1188,$B$1,"Cur=CNY"),"")</f>
        <v>-3.5000000000000003E-2</v>
      </c>
      <c r="N1188">
        <f>IFERROR([1]!s_fa_arturndays($A1188,TEXT($B$1,"yyyy/mm/dd")),"")</f>
        <v>11.0898</v>
      </c>
      <c r="O1188" t="str">
        <f>IFERROR([1]!fa_apturndays($A1188,TEXT($B$1,"yyyy/mm/dd")),"")</f>
        <v>Fetch...</v>
      </c>
      <c r="P1188">
        <f>IFERROR([1]!s_fa_invturndays($A1188,TEXT($B$1,"yyyy/mm/dd")),"")</f>
        <v>96.737799999999993</v>
      </c>
    </row>
    <row r="1189" spans="1:16">
      <c r="A1189" t="s">
        <v>1202</v>
      </c>
      <c r="B1189">
        <f>IFERROR([1]!s_stm07_is($A1189,"W70156729",TEXT($B$1,"yyyy/mm/dd"),1),"")</f>
        <v>45185228612.849998</v>
      </c>
      <c r="C1189">
        <f>IFERROR([1]!s_stm07_is($A1189,"W75682424",TEXT($B$1,"yyyy/mm/dd"),1),"")</f>
        <v>42694352559.720001</v>
      </c>
      <c r="D1189">
        <f>IFERROR([1]!s_stm07_is($A1189,"W76031679",TEXT($B$1,"yyyy/mm/dd"),1),"")</f>
        <v>492123159.44999999</v>
      </c>
      <c r="E1189">
        <f>IFERROR([1]!s_stm07_is($A1189,"W70752487",TEXT($B$1,"yyyy/mm/dd"),1),"")</f>
        <v>887937892.28999996</v>
      </c>
      <c r="F1189">
        <f>IFERROR([1]!s_stm07_is_103($A1189,TEXT($B$1,"yyyy/mm/dd"),1),"")</f>
        <v>35872413.009999998</v>
      </c>
      <c r="G1189">
        <f>IFERROR([1]!s_stm07_is_104($A1189,TEXT($B$1,"yyyy/mm/dd"),1),"")</f>
        <v>11511974.85</v>
      </c>
      <c r="H1189">
        <f>IFERROR([1]!s_stm07_is_105($A1189,TEXT($B$1,"yyyy/mm/dd"),1),"")</f>
        <v>73442321.620000005</v>
      </c>
      <c r="I1189">
        <f>IFERROR([1]!s_stm07_is($A1189,"W72946623",TEXT($B$1,"yyyy/mm/dd"),1),"")</f>
        <v>1879049364.9000001</v>
      </c>
      <c r="J1189">
        <f>IFERROR([1]!s_stm07_is($A1189,"W30028333",TEXT($B$1,"yyyy/mm/dd"),1),"")</f>
        <v>1169842477.8900001</v>
      </c>
      <c r="K1189">
        <f>IFERROR([1]!s_stm07_cs($A1189,"W77130581",TEXT($B$1,"yyyy/mm/dd"),1),"")</f>
        <v>1279841662.9000001</v>
      </c>
      <c r="L1189">
        <f>IFERROR([1]!s_stm07_cs($A1189,"W77745895",TEXT($B$1,"yyyy/mm/dd"),1),"")</f>
        <v>12271402.18</v>
      </c>
      <c r="M1189">
        <f>IFERROR([1]!S_FA_EPS_basic2($A1189,$B$1,"Cur=CNY"),"")</f>
        <v>2.0663999999999998</v>
      </c>
      <c r="N1189">
        <f>IFERROR([1]!s_fa_arturndays($A1189,TEXT($B$1,"yyyy/mm/dd")),"")</f>
        <v>34.537300000000002</v>
      </c>
      <c r="O1189" t="str">
        <f>IFERROR([1]!fa_apturndays($A1189,TEXT($B$1,"yyyy/mm/dd")),"")</f>
        <v>Fetch...</v>
      </c>
      <c r="P1189">
        <f>IFERROR([1]!s_fa_invturndays($A1189,TEXT($B$1,"yyyy/mm/dd")),"")</f>
        <v>5.3199999999999997E-2</v>
      </c>
    </row>
    <row r="1190" spans="1:16">
      <c r="A1190" t="s">
        <v>1203</v>
      </c>
      <c r="B1190">
        <f>IFERROR([1]!s_stm07_is($A1190,"W70156729",TEXT($B$1,"yyyy/mm/dd"),1),"")</f>
        <v>5007841402.1499996</v>
      </c>
      <c r="C1190">
        <f>IFERROR([1]!s_stm07_is($A1190,"W75682424",TEXT($B$1,"yyyy/mm/dd"),1),"")</f>
        <v>3124942876.27</v>
      </c>
      <c r="D1190">
        <f>IFERROR([1]!s_stm07_is($A1190,"W76031679",TEXT($B$1,"yyyy/mm/dd"),1),"")</f>
        <v>22071065.260000002</v>
      </c>
      <c r="E1190">
        <f>IFERROR([1]!s_stm07_is($A1190,"W70752487",TEXT($B$1,"yyyy/mm/dd"),1),"")</f>
        <v>389559042.97000003</v>
      </c>
      <c r="F1190">
        <f>IFERROR([1]!s_stm07_is_103($A1190,TEXT($B$1,"yyyy/mm/dd"),1),"")</f>
        <v>211817480.58000001</v>
      </c>
      <c r="G1190">
        <f>IFERROR([1]!s_stm07_is_104($A1190,TEXT($B$1,"yyyy/mm/dd"),1),"")</f>
        <v>6416431.7000000002</v>
      </c>
      <c r="H1190">
        <f>IFERROR([1]!s_stm07_is_105($A1190,TEXT($B$1,"yyyy/mm/dd"),1),"")</f>
        <v>21138535.07</v>
      </c>
      <c r="I1190">
        <f>IFERROR([1]!s_stm07_is($A1190,"W72946623",TEXT($B$1,"yyyy/mm/dd"),1),"")</f>
        <v>1212199484.6700001</v>
      </c>
      <c r="J1190">
        <f>IFERROR([1]!s_stm07_is($A1190,"W30028333",TEXT($B$1,"yyyy/mm/dd"),1),"")</f>
        <v>1030822682.9400001</v>
      </c>
      <c r="K1190">
        <f>IFERROR([1]!s_stm07_cs($A1190,"W77130581",TEXT($B$1,"yyyy/mm/dd"),1),"")</f>
        <v>1195232508.2</v>
      </c>
      <c r="L1190">
        <f>IFERROR([1]!s_stm07_cs($A1190,"W77745895",TEXT($B$1,"yyyy/mm/dd"),1),"")</f>
        <v>247850795.62</v>
      </c>
      <c r="M1190">
        <f>IFERROR([1]!S_FA_EPS_basic2($A1190,$B$1,"Cur=CNY"),"")</f>
        <v>0.74</v>
      </c>
      <c r="N1190">
        <f>IFERROR([1]!s_fa_arturndays($A1190,TEXT($B$1,"yyyy/mm/dd")),"")</f>
        <v>168.2636</v>
      </c>
      <c r="O1190" t="str">
        <f>IFERROR([1]!fa_apturndays($A1190,TEXT($B$1,"yyyy/mm/dd")),"")</f>
        <v>Fetch...</v>
      </c>
      <c r="P1190">
        <f>IFERROR([1]!s_fa_invturndays($A1190,TEXT($B$1,"yyyy/mm/dd")),"")</f>
        <v>148.0385</v>
      </c>
    </row>
    <row r="1191" spans="1:16">
      <c r="A1191" t="s">
        <v>1204</v>
      </c>
      <c r="B1191">
        <f>IFERROR([1]!s_stm07_is($A1191,"W70156729",TEXT($B$1,"yyyy/mm/dd"),1),"")</f>
        <v>21050468832.200001</v>
      </c>
      <c r="C1191">
        <f>IFERROR([1]!s_stm07_is($A1191,"W75682424",TEXT($B$1,"yyyy/mm/dd"),1),"")</f>
        <v>16175861971.209999</v>
      </c>
      <c r="D1191">
        <f>IFERROR([1]!s_stm07_is($A1191,"W76031679",TEXT($B$1,"yyyy/mm/dd"),1),"")</f>
        <v>0</v>
      </c>
      <c r="E1191">
        <f>IFERROR([1]!s_stm07_is($A1191,"W70752487",TEXT($B$1,"yyyy/mm/dd"),1),"")</f>
        <v>50330673.859999999</v>
      </c>
      <c r="F1191">
        <f>IFERROR([1]!s_stm07_is_103($A1191,TEXT($B$1,"yyyy/mm/dd"),1),"")</f>
        <v>54712207.770000003</v>
      </c>
      <c r="G1191">
        <f>IFERROR([1]!s_stm07_is_104($A1191,TEXT($B$1,"yyyy/mm/dd"),1),"")</f>
        <v>282781701.12</v>
      </c>
      <c r="H1191">
        <f>IFERROR([1]!s_stm07_is_105($A1191,TEXT($B$1,"yyyy/mm/dd"),1),"")</f>
        <v>10957259.470000001</v>
      </c>
      <c r="I1191">
        <f>IFERROR([1]!s_stm07_is($A1191,"W72946623",TEXT($B$1,"yyyy/mm/dd"),1),"")</f>
        <v>3744726315.5700002</v>
      </c>
      <c r="J1191">
        <f>IFERROR([1]!s_stm07_is($A1191,"W30028333",TEXT($B$1,"yyyy/mm/dd"),1),"")</f>
        <v>2493439065.8899999</v>
      </c>
      <c r="K1191">
        <f>IFERROR([1]!s_stm07_cs($A1191,"W77130581",TEXT($B$1,"yyyy/mm/dd"),1),"")</f>
        <v>6731988052.1999998</v>
      </c>
      <c r="L1191">
        <f>IFERROR([1]!s_stm07_cs($A1191,"W77745895",TEXT($B$1,"yyyy/mm/dd"),1),"")</f>
        <v>3771344604.1900001</v>
      </c>
      <c r="M1191">
        <f>IFERROR([1]!S_FA_EPS_basic2($A1191,$B$1,"Cur=CNY"),"")</f>
        <v>0.34</v>
      </c>
      <c r="N1191">
        <f>IFERROR([1]!s_fa_arturndays($A1191,TEXT($B$1,"yyyy/mm/dd")),"")</f>
        <v>78.065700000000007</v>
      </c>
      <c r="O1191" t="str">
        <f>IFERROR([1]!fa_apturndays($A1191,TEXT($B$1,"yyyy/mm/dd")),"")</f>
        <v>Fetch...</v>
      </c>
      <c r="P1191">
        <f>IFERROR([1]!s_fa_invturndays($A1191,TEXT($B$1,"yyyy/mm/dd")),"")</f>
        <v>11.0213</v>
      </c>
    </row>
    <row r="1192" spans="1:16">
      <c r="A1192" t="s">
        <v>1205</v>
      </c>
      <c r="B1192">
        <f>IFERROR([1]!s_stm07_is($A1192,"W70156729",TEXT($B$1,"yyyy/mm/dd"),1),"")</f>
        <v>2726191423.1199999</v>
      </c>
      <c r="C1192">
        <f>IFERROR([1]!s_stm07_is($A1192,"W75682424",TEXT($B$1,"yyyy/mm/dd"),1),"")</f>
        <v>1483170987.6199999</v>
      </c>
      <c r="D1192">
        <f>IFERROR([1]!s_stm07_is($A1192,"W76031679",TEXT($B$1,"yyyy/mm/dd"),1),"")</f>
        <v>2778180.13</v>
      </c>
      <c r="E1192">
        <f>IFERROR([1]!s_stm07_is($A1192,"W70752487",TEXT($B$1,"yyyy/mm/dd"),1),"")</f>
        <v>993258618.88</v>
      </c>
      <c r="F1192">
        <f>IFERROR([1]!s_stm07_is_103($A1192,TEXT($B$1,"yyyy/mm/dd"),1),"")</f>
        <v>0</v>
      </c>
      <c r="G1192">
        <f>IFERROR([1]!s_stm07_is_104($A1192,TEXT($B$1,"yyyy/mm/dd"),1),"")</f>
        <v>50134398.009999998</v>
      </c>
      <c r="H1192">
        <f>IFERROR([1]!s_stm07_is_105($A1192,TEXT($B$1,"yyyy/mm/dd"),1),"")</f>
        <v>1642028.39</v>
      </c>
      <c r="I1192">
        <f>IFERROR([1]!s_stm07_is($A1192,"W72946623",TEXT($B$1,"yyyy/mm/dd"),1),"")</f>
        <v>385256558.27999997</v>
      </c>
      <c r="J1192">
        <f>IFERROR([1]!s_stm07_is($A1192,"W30028333",TEXT($B$1,"yyyy/mm/dd"),1),"")</f>
        <v>347733262.68000001</v>
      </c>
      <c r="K1192">
        <f>IFERROR([1]!s_stm07_cs($A1192,"W77130581",TEXT($B$1,"yyyy/mm/dd"),1),"")</f>
        <v>2108992220.3199999</v>
      </c>
      <c r="L1192">
        <f>IFERROR([1]!s_stm07_cs($A1192,"W77745895",TEXT($B$1,"yyyy/mm/dd"),1),"")</f>
        <v>504539132.61000001</v>
      </c>
      <c r="M1192">
        <f>IFERROR([1]!S_FA_EPS_basic2($A1192,$B$1,"Cur=CNY"),"")</f>
        <v>0.17</v>
      </c>
      <c r="N1192">
        <f>IFERROR([1]!s_fa_arturndays($A1192,TEXT($B$1,"yyyy/mm/dd")),"")</f>
        <v>88.506500000000003</v>
      </c>
      <c r="O1192" t="str">
        <f>IFERROR([1]!fa_apturndays($A1192,TEXT($B$1,"yyyy/mm/dd")),"")</f>
        <v>Fetch...</v>
      </c>
      <c r="P1192">
        <f>IFERROR([1]!s_fa_invturndays($A1192,TEXT($B$1,"yyyy/mm/dd")),"")</f>
        <v>80.6524</v>
      </c>
    </row>
    <row r="1193" spans="1:16">
      <c r="A1193" t="s">
        <v>1206</v>
      </c>
      <c r="B1193">
        <f>IFERROR([1]!s_stm07_is($A1193,"W70156729",TEXT($B$1,"yyyy/mm/dd"),1),"")</f>
        <v>15900091829.620001</v>
      </c>
      <c r="C1193">
        <f>IFERROR([1]!s_stm07_is($A1193,"W75682424",TEXT($B$1,"yyyy/mm/dd"),1),"")</f>
        <v>13272679845.559999</v>
      </c>
      <c r="D1193">
        <f>IFERROR([1]!s_stm07_is($A1193,"W76031679",TEXT($B$1,"yyyy/mm/dd"),1),"")</f>
        <v>319288221.31</v>
      </c>
      <c r="E1193">
        <f>IFERROR([1]!s_stm07_is($A1193,"W70752487",TEXT($B$1,"yyyy/mm/dd"),1),"")</f>
        <v>755238475.74000001</v>
      </c>
      <c r="F1193">
        <f>IFERROR([1]!s_stm07_is_103($A1193,TEXT($B$1,"yyyy/mm/dd"),1),"")</f>
        <v>184119202.06999999</v>
      </c>
      <c r="G1193">
        <f>IFERROR([1]!s_stm07_is_104($A1193,TEXT($B$1,"yyyy/mm/dd"),1),"")</f>
        <v>80707490.560000002</v>
      </c>
      <c r="H1193">
        <f>IFERROR([1]!s_stm07_is_105($A1193,TEXT($B$1,"yyyy/mm/dd"),1),"")</f>
        <v>44933264.219999999</v>
      </c>
      <c r="I1193">
        <f>IFERROR([1]!s_stm07_is($A1193,"W72946623",TEXT($B$1,"yyyy/mm/dd"),1),"")</f>
        <v>1218248356.5799999</v>
      </c>
      <c r="J1193">
        <f>IFERROR([1]!s_stm07_is($A1193,"W30028333",TEXT($B$1,"yyyy/mm/dd"),1),"")</f>
        <v>978889503.78999996</v>
      </c>
      <c r="K1193">
        <f>IFERROR([1]!s_stm07_cs($A1193,"W77130581",TEXT($B$1,"yyyy/mm/dd"),1),"")</f>
        <v>1292006735.3199999</v>
      </c>
      <c r="L1193">
        <f>IFERROR([1]!s_stm07_cs($A1193,"W77745895",TEXT($B$1,"yyyy/mm/dd"),1),"")</f>
        <v>2038529044.3299999</v>
      </c>
      <c r="M1193">
        <f>IFERROR([1]!S_FA_EPS_basic2($A1193,$B$1,"Cur=CNY"),"")</f>
        <v>0.58919999999999995</v>
      </c>
      <c r="N1193">
        <f>IFERROR([1]!s_fa_arturndays($A1193,TEXT($B$1,"yyyy/mm/dd")),"")</f>
        <v>12.231999999999999</v>
      </c>
      <c r="O1193" t="str">
        <f>IFERROR([1]!fa_apturndays($A1193,TEXT($B$1,"yyyy/mm/dd")),"")</f>
        <v>Fetch...</v>
      </c>
      <c r="P1193">
        <f>IFERROR([1]!s_fa_invturndays($A1193,TEXT($B$1,"yyyy/mm/dd")),"")</f>
        <v>58.117899999999999</v>
      </c>
    </row>
    <row r="1194" spans="1:16">
      <c r="A1194" t="s">
        <v>1207</v>
      </c>
      <c r="B1194">
        <f>IFERROR([1]!s_stm07_is($A1194,"W70156729",TEXT($B$1,"yyyy/mm/dd"),1),"")</f>
        <v>2947228797.1500001</v>
      </c>
      <c r="C1194">
        <f>IFERROR([1]!s_stm07_is($A1194,"W75682424",TEXT($B$1,"yyyy/mm/dd"),1),"")</f>
        <v>874496476.58000004</v>
      </c>
      <c r="D1194">
        <f>IFERROR([1]!s_stm07_is($A1194,"W76031679",TEXT($B$1,"yyyy/mm/dd"),1),"")</f>
        <v>1108127227.8599999</v>
      </c>
      <c r="E1194">
        <f>IFERROR([1]!s_stm07_is($A1194,"W70752487",TEXT($B$1,"yyyy/mm/dd"),1),"")</f>
        <v>180884327.63999999</v>
      </c>
      <c r="F1194">
        <f>IFERROR([1]!s_stm07_is_103($A1194,TEXT($B$1,"yyyy/mm/dd"),1),"")</f>
        <v>167122024.63</v>
      </c>
      <c r="G1194">
        <f>IFERROR([1]!s_stm07_is_104($A1194,TEXT($B$1,"yyyy/mm/dd"),1),"")</f>
        <v>21813576.530000001</v>
      </c>
      <c r="H1194">
        <f>IFERROR([1]!s_stm07_is_105($A1194,TEXT($B$1,"yyyy/mm/dd"),1),"")</f>
        <v>3907249.81</v>
      </c>
      <c r="I1194">
        <f>IFERROR([1]!s_stm07_is($A1194,"W72946623",TEXT($B$1,"yyyy/mm/dd"),1),"")</f>
        <v>1477252153.3399999</v>
      </c>
      <c r="J1194">
        <f>IFERROR([1]!s_stm07_is($A1194,"W30028333",TEXT($B$1,"yyyy/mm/dd"),1),"")</f>
        <v>1219052875.25</v>
      </c>
      <c r="K1194">
        <f>IFERROR([1]!s_stm07_cs($A1194,"W77130581",TEXT($B$1,"yyyy/mm/dd"),1),"")</f>
        <v>689225249.83000004</v>
      </c>
      <c r="L1194">
        <f>IFERROR([1]!s_stm07_cs($A1194,"W77745895",TEXT($B$1,"yyyy/mm/dd"),1),"")</f>
        <v>517693225.92000002</v>
      </c>
      <c r="M1194">
        <f>IFERROR([1]!S_FA_EPS_basic2($A1194,$B$1,"Cur=CNY"),"")</f>
        <v>0.62</v>
      </c>
      <c r="N1194">
        <f>IFERROR([1]!s_fa_arturndays($A1194,TEXT($B$1,"yyyy/mm/dd")),"")</f>
        <v>54.693800000000003</v>
      </c>
      <c r="O1194" t="str">
        <f>IFERROR([1]!fa_apturndays($A1194,TEXT($B$1,"yyyy/mm/dd")),"")</f>
        <v>Fetch...</v>
      </c>
      <c r="P1194">
        <f>IFERROR([1]!s_fa_invturndays($A1194,TEXT($B$1,"yyyy/mm/dd")),"")</f>
        <v>296.51589999999999</v>
      </c>
    </row>
    <row r="1195" spans="1:16">
      <c r="A1195" t="s">
        <v>1208</v>
      </c>
      <c r="B1195">
        <f>IFERROR([1]!s_stm07_is($A1195,"W70156729",TEXT($B$1,"yyyy/mm/dd"),1),"")</f>
        <v>28107630472.150002</v>
      </c>
      <c r="C1195">
        <f>IFERROR([1]!s_stm07_is($A1195,"W75682424",TEXT($B$1,"yyyy/mm/dd"),1),"")</f>
        <v>25524696291.490002</v>
      </c>
      <c r="D1195">
        <f>IFERROR([1]!s_stm07_is($A1195,"W76031679",TEXT($B$1,"yyyy/mm/dd"),1),"")</f>
        <v>1050814979.85</v>
      </c>
      <c r="E1195">
        <f>IFERROR([1]!s_stm07_is($A1195,"W70752487",TEXT($B$1,"yyyy/mm/dd"),1),"")</f>
        <v>477851339.87</v>
      </c>
      <c r="F1195">
        <f>IFERROR([1]!s_stm07_is_103($A1195,TEXT($B$1,"yyyy/mm/dd"),1),"")</f>
        <v>559006932.76999998</v>
      </c>
      <c r="G1195">
        <f>IFERROR([1]!s_stm07_is_104($A1195,TEXT($B$1,"yyyy/mm/dd"),1),"")</f>
        <v>360881331.31999999</v>
      </c>
      <c r="H1195">
        <f>IFERROR([1]!s_stm07_is_105($A1195,TEXT($B$1,"yyyy/mm/dd"),1),"")</f>
        <v>29763279.219999999</v>
      </c>
      <c r="I1195">
        <f>IFERROR([1]!s_stm07_is($A1195,"W72946623",TEXT($B$1,"yyyy/mm/dd"),1),"")</f>
        <v>61793845.57</v>
      </c>
      <c r="J1195">
        <f>IFERROR([1]!s_stm07_is($A1195,"W30028333",TEXT($B$1,"yyyy/mm/dd"),1),"")</f>
        <v>58875746.159999996</v>
      </c>
      <c r="K1195">
        <f>IFERROR([1]!s_stm07_cs($A1195,"W77130581",TEXT($B$1,"yyyy/mm/dd"),1),"")</f>
        <v>962392189.25999999</v>
      </c>
      <c r="L1195">
        <f>IFERROR([1]!s_stm07_cs($A1195,"W77745895",TEXT($B$1,"yyyy/mm/dd"),1),"")</f>
        <v>357407733.94999999</v>
      </c>
      <c r="M1195">
        <f>IFERROR([1]!S_FA_EPS_basic2($A1195,$B$1,"Cur=CNY"),"")</f>
        <v>2.6700000000000002E-2</v>
      </c>
      <c r="N1195">
        <f>IFERROR([1]!s_fa_arturndays($A1195,TEXT($B$1,"yyyy/mm/dd")),"")</f>
        <v>72.092299999999994</v>
      </c>
      <c r="O1195" t="str">
        <f>IFERROR([1]!fa_apturndays($A1195,TEXT($B$1,"yyyy/mm/dd")),"")</f>
        <v>Fetch...</v>
      </c>
      <c r="P1195">
        <f>IFERROR([1]!s_fa_invturndays($A1195,TEXT($B$1,"yyyy/mm/dd")),"")</f>
        <v>53.439399999999999</v>
      </c>
    </row>
    <row r="1196" spans="1:16">
      <c r="A1196" t="s">
        <v>1209</v>
      </c>
      <c r="B1196">
        <f>IFERROR([1]!s_stm07_is($A1196,"W70156729",TEXT($B$1,"yyyy/mm/dd"),1),"")</f>
        <v>80712178000</v>
      </c>
      <c r="C1196">
        <f>IFERROR([1]!s_stm07_is($A1196,"W75682424",TEXT($B$1,"yyyy/mm/dd"),1),"")</f>
        <v>74158853000</v>
      </c>
      <c r="D1196">
        <f>IFERROR([1]!s_stm07_is($A1196,"W76031679",TEXT($B$1,"yyyy/mm/dd"),1),"")</f>
        <v>82209000</v>
      </c>
      <c r="E1196">
        <f>IFERROR([1]!s_stm07_is($A1196,"W70752487",TEXT($B$1,"yyyy/mm/dd"),1),"")</f>
        <v>2287587000</v>
      </c>
      <c r="F1196">
        <f>IFERROR([1]!s_stm07_is_103($A1196,TEXT($B$1,"yyyy/mm/dd"),1),"")</f>
        <v>2282812000</v>
      </c>
      <c r="G1196">
        <f>IFERROR([1]!s_stm07_is_104($A1196,TEXT($B$1,"yyyy/mm/dd"),1),"")</f>
        <v>730896000</v>
      </c>
      <c r="H1196">
        <f>IFERROR([1]!s_stm07_is_105($A1196,TEXT($B$1,"yyyy/mm/dd"),1),"")</f>
        <v>73317000</v>
      </c>
      <c r="I1196">
        <f>IFERROR([1]!s_stm07_is($A1196,"W72946623",TEXT($B$1,"yyyy/mm/dd"),1),"")</f>
        <v>1199290000</v>
      </c>
      <c r="J1196">
        <f>IFERROR([1]!s_stm07_is($A1196,"W30028333",TEXT($B$1,"yyyy/mm/dd"),1),"")</f>
        <v>658841000</v>
      </c>
      <c r="K1196">
        <f>IFERROR([1]!s_stm07_cs($A1196,"W77130581",TEXT($B$1,"yyyy/mm/dd"),1),"")</f>
        <v>6645946000</v>
      </c>
      <c r="L1196">
        <f>IFERROR([1]!s_stm07_cs($A1196,"W77745895",TEXT($B$1,"yyyy/mm/dd"),1),"")</f>
        <v>2763820000</v>
      </c>
      <c r="M1196">
        <f>IFERROR([1]!S_FA_EPS_basic2($A1196,$B$1,"Cur=CNY"),"")</f>
        <v>3.5000000000000003E-2</v>
      </c>
      <c r="N1196">
        <f>IFERROR([1]!s_fa_arturndays($A1196,TEXT($B$1,"yyyy/mm/dd")),"")</f>
        <v>54.570300000000003</v>
      </c>
      <c r="O1196" t="str">
        <f>IFERROR([1]!fa_apturndays($A1196,TEXT($B$1,"yyyy/mm/dd")),"")</f>
        <v>Fetch...</v>
      </c>
      <c r="P1196">
        <f>IFERROR([1]!s_fa_invturndays($A1196,TEXT($B$1,"yyyy/mm/dd")),"")</f>
        <v>87.293899999999994</v>
      </c>
    </row>
    <row r="1197" spans="1:16">
      <c r="A1197" t="s">
        <v>1210</v>
      </c>
      <c r="B1197">
        <f>IFERROR([1]!s_stm07_is($A1197,"W70156729",TEXT($B$1,"yyyy/mm/dd"),1),"")</f>
        <v>4199940168.3800001</v>
      </c>
      <c r="C1197">
        <f>IFERROR([1]!s_stm07_is($A1197,"W75682424",TEXT($B$1,"yyyy/mm/dd"),1),"")</f>
        <v>2554736643.54</v>
      </c>
      <c r="D1197">
        <f>IFERROR([1]!s_stm07_is($A1197,"W76031679",TEXT($B$1,"yyyy/mm/dd"),1),"")</f>
        <v>536006683.01999998</v>
      </c>
      <c r="E1197">
        <f>IFERROR([1]!s_stm07_is($A1197,"W70752487",TEXT($B$1,"yyyy/mm/dd"),1),"")</f>
        <v>335548021.19</v>
      </c>
      <c r="F1197">
        <f>IFERROR([1]!s_stm07_is_103($A1197,TEXT($B$1,"yyyy/mm/dd"),1),"")</f>
        <v>133216109.65000001</v>
      </c>
      <c r="G1197">
        <f>IFERROR([1]!s_stm07_is_104($A1197,TEXT($B$1,"yyyy/mm/dd"),1),"")</f>
        <v>13463884.310000001</v>
      </c>
      <c r="H1197">
        <f>IFERROR([1]!s_stm07_is_105($A1197,TEXT($B$1,"yyyy/mm/dd"),1),"")</f>
        <v>4248474.59</v>
      </c>
      <c r="I1197">
        <f>IFERROR([1]!s_stm07_is($A1197,"W72946623",TEXT($B$1,"yyyy/mm/dd"),1),"")</f>
        <v>648826305.35000002</v>
      </c>
      <c r="J1197">
        <f>IFERROR([1]!s_stm07_is($A1197,"W30028333",TEXT($B$1,"yyyy/mm/dd"),1),"")</f>
        <v>537066094.75</v>
      </c>
      <c r="K1197">
        <f>IFERROR([1]!s_stm07_cs($A1197,"W77130581",TEXT($B$1,"yyyy/mm/dd"),1),"")</f>
        <v>643049856.80999994</v>
      </c>
      <c r="L1197">
        <f>IFERROR([1]!s_stm07_cs($A1197,"W77745895",TEXT($B$1,"yyyy/mm/dd"),1),"")</f>
        <v>148209250.15000001</v>
      </c>
      <c r="M1197">
        <f>IFERROR([1]!S_FA_EPS_basic2($A1197,$B$1,"Cur=CNY"),"")</f>
        <v>0.70030000000000003</v>
      </c>
      <c r="N1197">
        <f>IFERROR([1]!s_fa_arturndays($A1197,TEXT($B$1,"yyyy/mm/dd")),"")</f>
        <v>28.642399999999999</v>
      </c>
      <c r="O1197" t="str">
        <f>IFERROR([1]!fa_apturndays($A1197,TEXT($B$1,"yyyy/mm/dd")),"")</f>
        <v>Fetch...</v>
      </c>
      <c r="P1197">
        <f>IFERROR([1]!s_fa_invturndays($A1197,TEXT($B$1,"yyyy/mm/dd")),"")</f>
        <v>209.19290000000001</v>
      </c>
    </row>
    <row r="1198" spans="1:16">
      <c r="A1198" t="s">
        <v>1211</v>
      </c>
      <c r="B1198">
        <f>IFERROR([1]!s_stm07_is($A1198,"W70156729",TEXT($B$1,"yyyy/mm/dd"),1),"")</f>
        <v>24208675106.700001</v>
      </c>
      <c r="C1198">
        <f>IFERROR([1]!s_stm07_is($A1198,"W75682424",TEXT($B$1,"yyyy/mm/dd"),1),"")</f>
        <v>19609399374.080002</v>
      </c>
      <c r="D1198">
        <f>IFERROR([1]!s_stm07_is($A1198,"W76031679",TEXT($B$1,"yyyy/mm/dd"),1),"")</f>
        <v>362971160.80000001</v>
      </c>
      <c r="E1198">
        <f>IFERROR([1]!s_stm07_is($A1198,"W70752487",TEXT($B$1,"yyyy/mm/dd"),1),"")</f>
        <v>991548421.96000004</v>
      </c>
      <c r="F1198">
        <f>IFERROR([1]!s_stm07_is_103($A1198,TEXT($B$1,"yyyy/mm/dd"),1),"")</f>
        <v>389151493.25999999</v>
      </c>
      <c r="G1198">
        <f>IFERROR([1]!s_stm07_is_104($A1198,TEXT($B$1,"yyyy/mm/dd"),1),"")</f>
        <v>52269326.609999999</v>
      </c>
      <c r="H1198">
        <f>IFERROR([1]!s_stm07_is_105($A1198,TEXT($B$1,"yyyy/mm/dd"),1),"")</f>
        <v>59618168.609999999</v>
      </c>
      <c r="I1198">
        <f>IFERROR([1]!s_stm07_is($A1198,"W72946623",TEXT($B$1,"yyyy/mm/dd"),1),"")</f>
        <v>3729699988.9200001</v>
      </c>
      <c r="J1198">
        <f>IFERROR([1]!s_stm07_is($A1198,"W30028333",TEXT($B$1,"yyyy/mm/dd"),1),"")</f>
        <v>3280879912.0999999</v>
      </c>
      <c r="K1198">
        <f>IFERROR([1]!s_stm07_cs($A1198,"W77130581",TEXT($B$1,"yyyy/mm/dd"),1),"")</f>
        <v>4009259646.23</v>
      </c>
      <c r="L1198">
        <f>IFERROR([1]!s_stm07_cs($A1198,"W77745895",TEXT($B$1,"yyyy/mm/dd"),1),"")</f>
        <v>2085097608.71</v>
      </c>
      <c r="M1198">
        <f>IFERROR([1]!S_FA_EPS_basic2($A1198,$B$1,"Cur=CNY"),"")</f>
        <v>1.17</v>
      </c>
      <c r="N1198">
        <f>IFERROR([1]!s_fa_arturndays($A1198,TEXT($B$1,"yyyy/mm/dd")),"")</f>
        <v>8.6643000000000008</v>
      </c>
      <c r="O1198" t="str">
        <f>IFERROR([1]!fa_apturndays($A1198,TEXT($B$1,"yyyy/mm/dd")),"")</f>
        <v>Fetch...</v>
      </c>
      <c r="P1198">
        <f>IFERROR([1]!s_fa_invturndays($A1198,TEXT($B$1,"yyyy/mm/dd")),"")</f>
        <v>52.724800000000002</v>
      </c>
    </row>
    <row r="1199" spans="1:16">
      <c r="A1199" t="s">
        <v>1212</v>
      </c>
      <c r="B1199">
        <f>IFERROR([1]!s_stm07_is($A1199,"W70156729",TEXT($B$1,"yyyy/mm/dd"),1),"")</f>
        <v>78615277439.830002</v>
      </c>
      <c r="C1199">
        <f>IFERROR([1]!s_stm07_is($A1199,"W75682424",TEXT($B$1,"yyyy/mm/dd"),1),"")</f>
        <v>65215256838.900002</v>
      </c>
      <c r="D1199">
        <f>IFERROR([1]!s_stm07_is($A1199,"W76031679",TEXT($B$1,"yyyy/mm/dd"),1),"")</f>
        <v>847668020.80999994</v>
      </c>
      <c r="E1199">
        <f>IFERROR([1]!s_stm07_is($A1199,"W70752487",TEXT($B$1,"yyyy/mm/dd"),1),"")</f>
        <v>3781800254.9499998</v>
      </c>
      <c r="F1199">
        <f>IFERROR([1]!s_stm07_is_103($A1199,TEXT($B$1,"yyyy/mm/dd"),1),"")</f>
        <v>3261156190.4000001</v>
      </c>
      <c r="G1199">
        <f>IFERROR([1]!s_stm07_is_104($A1199,TEXT($B$1,"yyyy/mm/dd"),1),"")</f>
        <v>61582139.159999996</v>
      </c>
      <c r="H1199">
        <f>IFERROR([1]!s_stm07_is_105($A1199,TEXT($B$1,"yyyy/mm/dd"),1),"")</f>
        <v>108208159.59999999</v>
      </c>
      <c r="I1199">
        <f>IFERROR([1]!s_stm07_is($A1199,"W72946623",TEXT($B$1,"yyyy/mm/dd"),1),"")</f>
        <v>4785135320.2399998</v>
      </c>
      <c r="J1199">
        <f>IFERROR([1]!s_stm07_is($A1199,"W30028333",TEXT($B$1,"yyyy/mm/dd"),1),"")</f>
        <v>3831301222.1300001</v>
      </c>
      <c r="K1199">
        <f>IFERROR([1]!s_stm07_cs($A1199,"W77130581",TEXT($B$1,"yyyy/mm/dd"),1),"")</f>
        <v>2014320912.8499999</v>
      </c>
      <c r="L1199">
        <f>IFERROR([1]!s_stm07_cs($A1199,"W77745895",TEXT($B$1,"yyyy/mm/dd"),1),"")</f>
        <v>4284346671.1100001</v>
      </c>
      <c r="M1199">
        <f>IFERROR([1]!S_FA_EPS_basic2($A1199,$B$1,"Cur=CNY"),"")</f>
        <v>1.1499999999999999</v>
      </c>
      <c r="N1199">
        <f>IFERROR([1]!s_fa_arturndays($A1199,TEXT($B$1,"yyyy/mm/dd")),"")</f>
        <v>64.358099999999993</v>
      </c>
      <c r="O1199" t="str">
        <f>IFERROR([1]!fa_apturndays($A1199,TEXT($B$1,"yyyy/mm/dd")),"")</f>
        <v>Fetch...</v>
      </c>
      <c r="P1199">
        <f>IFERROR([1]!s_fa_invturndays($A1199,TEXT($B$1,"yyyy/mm/dd")),"")</f>
        <v>218.80510000000001</v>
      </c>
    </row>
    <row r="1200" spans="1:16">
      <c r="A1200" t="s">
        <v>1213</v>
      </c>
      <c r="B1200">
        <f>IFERROR([1]!s_stm07_is($A1200,"W70156729",TEXT($B$1,"yyyy/mm/dd"),1),"")</f>
        <v>1022034134.9</v>
      </c>
      <c r="C1200">
        <f>IFERROR([1]!s_stm07_is($A1200,"W75682424",TEXT($B$1,"yyyy/mm/dd"),1),"")</f>
        <v>679198129.32000005</v>
      </c>
      <c r="D1200">
        <f>IFERROR([1]!s_stm07_is($A1200,"W76031679",TEXT($B$1,"yyyy/mm/dd"),1),"")</f>
        <v>17198087.030000001</v>
      </c>
      <c r="E1200">
        <f>IFERROR([1]!s_stm07_is($A1200,"W70752487",TEXT($B$1,"yyyy/mm/dd"),1),"")</f>
        <v>58346823.700000003</v>
      </c>
      <c r="F1200">
        <f>IFERROR([1]!s_stm07_is_103($A1200,TEXT($B$1,"yyyy/mm/dd"),1),"")</f>
        <v>188306020.62</v>
      </c>
      <c r="G1200">
        <f>IFERROR([1]!s_stm07_is_104($A1200,TEXT($B$1,"yyyy/mm/dd"),1),"")</f>
        <v>134627.94</v>
      </c>
      <c r="H1200">
        <f>IFERROR([1]!s_stm07_is_105($A1200,TEXT($B$1,"yyyy/mm/dd"),1),"")</f>
        <v>1557411.67</v>
      </c>
      <c r="I1200">
        <f>IFERROR([1]!s_stm07_is($A1200,"W72946623",TEXT($B$1,"yyyy/mm/dd"),1),"")</f>
        <v>45951551.859999999</v>
      </c>
      <c r="J1200">
        <f>IFERROR([1]!s_stm07_is($A1200,"W30028333",TEXT($B$1,"yyyy/mm/dd"),1),"")</f>
        <v>43507013.030000001</v>
      </c>
      <c r="K1200">
        <f>IFERROR([1]!s_stm07_cs($A1200,"W77130581",TEXT($B$1,"yyyy/mm/dd"),1),"")</f>
        <v>72248755.939999998</v>
      </c>
      <c r="L1200">
        <f>IFERROR([1]!s_stm07_cs($A1200,"W77745895",TEXT($B$1,"yyyy/mm/dd"),1),"")</f>
        <v>73236740.359999999</v>
      </c>
      <c r="M1200">
        <f>IFERROR([1]!S_FA_EPS_basic2($A1200,$B$1,"Cur=CNY"),"")</f>
        <v>0.04</v>
      </c>
      <c r="N1200">
        <f>IFERROR([1]!s_fa_arturndays($A1200,TEXT($B$1,"yyyy/mm/dd")),"")</f>
        <v>354.60989999999998</v>
      </c>
      <c r="O1200" t="str">
        <f>IFERROR([1]!fa_apturndays($A1200,TEXT($B$1,"yyyy/mm/dd")),"")</f>
        <v>Fetch...</v>
      </c>
      <c r="P1200">
        <f>IFERROR([1]!s_fa_invturndays($A1200,TEXT($B$1,"yyyy/mm/dd")),"")</f>
        <v>263.9683</v>
      </c>
    </row>
    <row r="1201" spans="1:16">
      <c r="A1201" t="s">
        <v>1214</v>
      </c>
      <c r="B1201">
        <f>IFERROR([1]!s_stm07_is($A1201,"W70156729",TEXT($B$1,"yyyy/mm/dd"),1),"")</f>
        <v>13909957152.25</v>
      </c>
      <c r="C1201">
        <f>IFERROR([1]!s_stm07_is($A1201,"W75682424",TEXT($B$1,"yyyy/mm/dd"),1),"")</f>
        <v>11080405581.870001</v>
      </c>
      <c r="D1201">
        <f>IFERROR([1]!s_stm07_is($A1201,"W76031679",TEXT($B$1,"yyyy/mm/dd"),1),"")</f>
        <v>200730769.44999999</v>
      </c>
      <c r="E1201">
        <f>IFERROR([1]!s_stm07_is($A1201,"W70752487",TEXT($B$1,"yyyy/mm/dd"),1),"")</f>
        <v>1188892131.25</v>
      </c>
      <c r="F1201">
        <f>IFERROR([1]!s_stm07_is_103($A1201,TEXT($B$1,"yyyy/mm/dd"),1),"")</f>
        <v>846118249.25999999</v>
      </c>
      <c r="G1201">
        <f>IFERROR([1]!s_stm07_is_104($A1201,TEXT($B$1,"yyyy/mm/dd"),1),"")</f>
        <v>126315809.95</v>
      </c>
      <c r="H1201">
        <f>IFERROR([1]!s_stm07_is_105($A1201,TEXT($B$1,"yyyy/mm/dd"),1),"")</f>
        <v>22141262.920000002</v>
      </c>
      <c r="I1201">
        <f>IFERROR([1]!s_stm07_is($A1201,"W72946623",TEXT($B$1,"yyyy/mm/dd"),1),"")</f>
        <v>276004013.39999998</v>
      </c>
      <c r="J1201">
        <f>IFERROR([1]!s_stm07_is($A1201,"W30028333",TEXT($B$1,"yyyy/mm/dd"),1),"")</f>
        <v>226975522.69</v>
      </c>
      <c r="K1201">
        <f>IFERROR([1]!s_stm07_cs($A1201,"W77130581",TEXT($B$1,"yyyy/mm/dd"),1),"")</f>
        <v>-1033087722.39</v>
      </c>
      <c r="L1201">
        <f>IFERROR([1]!s_stm07_cs($A1201,"W77745895",TEXT($B$1,"yyyy/mm/dd"),1),"")</f>
        <v>871996687.95000005</v>
      </c>
      <c r="M1201">
        <f>IFERROR([1]!S_FA_EPS_basic2($A1201,$B$1,"Cur=CNY"),"")</f>
        <v>6.9000000000000006E-2</v>
      </c>
      <c r="N1201">
        <f>IFERROR([1]!s_fa_arturndays($A1201,TEXT($B$1,"yyyy/mm/dd")),"")</f>
        <v>204.81309999999999</v>
      </c>
      <c r="O1201" t="str">
        <f>IFERROR([1]!fa_apturndays($A1201,TEXT($B$1,"yyyy/mm/dd")),"")</f>
        <v>Fetch...</v>
      </c>
      <c r="P1201">
        <f>IFERROR([1]!s_fa_invturndays($A1201,TEXT($B$1,"yyyy/mm/dd")),"")</f>
        <v>702.16499999999996</v>
      </c>
    </row>
    <row r="1202" spans="1:16">
      <c r="A1202" t="s">
        <v>1215</v>
      </c>
      <c r="B1202">
        <f>IFERROR([1]!s_stm07_is($A1202,"W70156729",TEXT($B$1,"yyyy/mm/dd"),1),"")</f>
        <v>5632950354.3800001</v>
      </c>
      <c r="C1202">
        <f>IFERROR([1]!s_stm07_is($A1202,"W75682424",TEXT($B$1,"yyyy/mm/dd"),1),"")</f>
        <v>4001973136.0599999</v>
      </c>
      <c r="D1202">
        <f>IFERROR([1]!s_stm07_is($A1202,"W76031679",TEXT($B$1,"yyyy/mm/dd"),1),"")</f>
        <v>1000383440.0599999</v>
      </c>
      <c r="E1202">
        <f>IFERROR([1]!s_stm07_is($A1202,"W70752487",TEXT($B$1,"yyyy/mm/dd"),1),"")</f>
        <v>290160171.75</v>
      </c>
      <c r="F1202">
        <f>IFERROR([1]!s_stm07_is_103($A1202,TEXT($B$1,"yyyy/mm/dd"),1),"")</f>
        <v>50755993.770000003</v>
      </c>
      <c r="G1202">
        <f>IFERROR([1]!s_stm07_is_104($A1202,TEXT($B$1,"yyyy/mm/dd"),1),"")</f>
        <v>59261806.969999999</v>
      </c>
      <c r="H1202">
        <f>IFERROR([1]!s_stm07_is_105($A1202,TEXT($B$1,"yyyy/mm/dd"),1),"")</f>
        <v>13161978.75</v>
      </c>
      <c r="I1202">
        <f>IFERROR([1]!s_stm07_is($A1202,"W72946623",TEXT($B$1,"yyyy/mm/dd"),1),"")</f>
        <v>158814909.65000001</v>
      </c>
      <c r="J1202">
        <f>IFERROR([1]!s_stm07_is($A1202,"W30028333",TEXT($B$1,"yyyy/mm/dd"),1),"")</f>
        <v>118493733.40000001</v>
      </c>
      <c r="K1202">
        <f>IFERROR([1]!s_stm07_cs($A1202,"W77130581",TEXT($B$1,"yyyy/mm/dd"),1),"")</f>
        <v>459306102.23000002</v>
      </c>
      <c r="L1202">
        <f>IFERROR([1]!s_stm07_cs($A1202,"W77745895",TEXT($B$1,"yyyy/mm/dd"),1),"")</f>
        <v>360665574.75999999</v>
      </c>
      <c r="M1202">
        <f>IFERROR([1]!S_FA_EPS_basic2($A1202,$B$1,"Cur=CNY"),"")</f>
        <v>0.23599999999999999</v>
      </c>
      <c r="N1202">
        <f>IFERROR([1]!s_fa_arturndays($A1202,TEXT($B$1,"yyyy/mm/dd")),"")</f>
        <v>11.100199999999999</v>
      </c>
      <c r="O1202" t="str">
        <f>IFERROR([1]!fa_apturndays($A1202,TEXT($B$1,"yyyy/mm/dd")),"")</f>
        <v>Fetch...</v>
      </c>
      <c r="P1202">
        <f>IFERROR([1]!s_fa_invturndays($A1202,TEXT($B$1,"yyyy/mm/dd")),"")</f>
        <v>67.759600000000006</v>
      </c>
    </row>
    <row r="1203" spans="1:16">
      <c r="A1203" t="s">
        <v>1216</v>
      </c>
      <c r="B1203">
        <f>IFERROR([1]!s_stm07_is($A1203,"W70156729",TEXT($B$1,"yyyy/mm/dd"),1),"")</f>
        <v>21587015199.830002</v>
      </c>
      <c r="C1203">
        <f>IFERROR([1]!s_stm07_is($A1203,"W75682424",TEXT($B$1,"yyyy/mm/dd"),1),"")</f>
        <v>17858034441.310001</v>
      </c>
      <c r="D1203">
        <f>IFERROR([1]!s_stm07_is($A1203,"W76031679",TEXT($B$1,"yyyy/mm/dd"),1),"")</f>
        <v>272696434.56999999</v>
      </c>
      <c r="E1203">
        <f>IFERROR([1]!s_stm07_is($A1203,"W70752487",TEXT($B$1,"yyyy/mm/dd"),1),"")</f>
        <v>570214681.35000002</v>
      </c>
      <c r="F1203">
        <f>IFERROR([1]!s_stm07_is_103($A1203,TEXT($B$1,"yyyy/mm/dd"),1),"")</f>
        <v>1201573789.26</v>
      </c>
      <c r="G1203">
        <f>IFERROR([1]!s_stm07_is_104($A1203,TEXT($B$1,"yyyy/mm/dd"),1),"")</f>
        <v>595205330.30999994</v>
      </c>
      <c r="H1203">
        <f>IFERROR([1]!s_stm07_is_105($A1203,TEXT($B$1,"yyyy/mm/dd"),1),"")</f>
        <v>32968746.93</v>
      </c>
      <c r="I1203">
        <f>IFERROR([1]!s_stm07_is($A1203,"W72946623",TEXT($B$1,"yyyy/mm/dd"),1),"")</f>
        <v>618144612.02999997</v>
      </c>
      <c r="J1203">
        <f>IFERROR([1]!s_stm07_is($A1203,"W30028333",TEXT($B$1,"yyyy/mm/dd"),1),"")</f>
        <v>457916266.13</v>
      </c>
      <c r="K1203">
        <f>IFERROR([1]!s_stm07_cs($A1203,"W77130581",TEXT($B$1,"yyyy/mm/dd"),1),"")</f>
        <v>2259086430.1199999</v>
      </c>
      <c r="L1203">
        <f>IFERROR([1]!s_stm07_cs($A1203,"W77745895",TEXT($B$1,"yyyy/mm/dd"),1),"")</f>
        <v>1569012873.8499999</v>
      </c>
      <c r="M1203">
        <f>IFERROR([1]!S_FA_EPS_basic2($A1203,$B$1,"Cur=CNY"),"")</f>
        <v>0.21</v>
      </c>
      <c r="N1203">
        <f>IFERROR([1]!s_fa_arturndays($A1203,TEXT($B$1,"yyyy/mm/dd")),"")</f>
        <v>82.161799999999999</v>
      </c>
      <c r="O1203" t="str">
        <f>IFERROR([1]!fa_apturndays($A1203,TEXT($B$1,"yyyy/mm/dd")),"")</f>
        <v>Fetch...</v>
      </c>
      <c r="P1203">
        <f>IFERROR([1]!s_fa_invturndays($A1203,TEXT($B$1,"yyyy/mm/dd")),"")</f>
        <v>131.43</v>
      </c>
    </row>
    <row r="1204" spans="1:16">
      <c r="A1204" t="s">
        <v>1217</v>
      </c>
      <c r="B1204">
        <f>IFERROR([1]!s_stm07_is($A1204,"W70156729",TEXT($B$1,"yyyy/mm/dd"),1),"")</f>
        <v>17202480686.91</v>
      </c>
      <c r="C1204">
        <f>IFERROR([1]!s_stm07_is($A1204,"W75682424",TEXT($B$1,"yyyy/mm/dd"),1),"")</f>
        <v>11298643249.35</v>
      </c>
      <c r="D1204">
        <f>IFERROR([1]!s_stm07_is($A1204,"W76031679",TEXT($B$1,"yyyy/mm/dd"),1),"")</f>
        <v>567923100.94000006</v>
      </c>
      <c r="E1204">
        <f>IFERROR([1]!s_stm07_is($A1204,"W70752487",TEXT($B$1,"yyyy/mm/dd"),1),"")</f>
        <v>1713628712.0799999</v>
      </c>
      <c r="F1204">
        <f>IFERROR([1]!s_stm07_is_103($A1204,TEXT($B$1,"yyyy/mm/dd"),1),"")</f>
        <v>913617653.26999998</v>
      </c>
      <c r="G1204">
        <f>IFERROR([1]!s_stm07_is_104($A1204,TEXT($B$1,"yyyy/mm/dd"),1),"")</f>
        <v>136783901.63</v>
      </c>
      <c r="H1204">
        <f>IFERROR([1]!s_stm07_is_105($A1204,TEXT($B$1,"yyyy/mm/dd"),1),"")</f>
        <v>67804990.890000001</v>
      </c>
      <c r="I1204">
        <f>IFERROR([1]!s_stm07_is($A1204,"W72946623",TEXT($B$1,"yyyy/mm/dd"),1),"")</f>
        <v>2688640048.8600001</v>
      </c>
      <c r="J1204">
        <f>IFERROR([1]!s_stm07_is($A1204,"W30028333",TEXT($B$1,"yyyy/mm/dd"),1),"")</f>
        <v>1757527714.75</v>
      </c>
      <c r="K1204">
        <f>IFERROR([1]!s_stm07_cs($A1204,"W77130581",TEXT($B$1,"yyyy/mm/dd"),1),"")</f>
        <v>2968662719.3800001</v>
      </c>
      <c r="L1204">
        <f>IFERROR([1]!s_stm07_cs($A1204,"W77745895",TEXT($B$1,"yyyy/mm/dd"),1),"")</f>
        <v>1182866508.1099999</v>
      </c>
      <c r="M1204">
        <f>IFERROR([1]!S_FA_EPS_basic2($A1204,$B$1,"Cur=CNY"),"")</f>
        <v>1.2</v>
      </c>
      <c r="N1204">
        <f>IFERROR([1]!s_fa_arturndays($A1204,TEXT($B$1,"yyyy/mm/dd")),"")</f>
        <v>77.586200000000005</v>
      </c>
      <c r="O1204" t="str">
        <f>IFERROR([1]!fa_apturndays($A1204,TEXT($B$1,"yyyy/mm/dd")),"")</f>
        <v>Fetch...</v>
      </c>
      <c r="P1204">
        <f>IFERROR([1]!s_fa_invturndays($A1204,TEXT($B$1,"yyyy/mm/dd")),"")</f>
        <v>123.71129999999999</v>
      </c>
    </row>
    <row r="1205" spans="1:16">
      <c r="A1205" t="s">
        <v>1218</v>
      </c>
      <c r="B1205">
        <f>IFERROR([1]!s_stm07_is($A1205,"W70156729",TEXT($B$1,"yyyy/mm/dd"),1),"")</f>
        <v>53014434927.300003</v>
      </c>
      <c r="C1205">
        <f>IFERROR([1]!s_stm07_is($A1205,"W75682424",TEXT($B$1,"yyyy/mm/dd"),1),"")</f>
        <v>31205985146.860001</v>
      </c>
      <c r="D1205">
        <f>IFERROR([1]!s_stm07_is($A1205,"W76031679",TEXT($B$1,"yyyy/mm/dd"),1),"")</f>
        <v>60043660.039999999</v>
      </c>
      <c r="E1205">
        <f>IFERROR([1]!s_stm07_is($A1205,"W70752487",TEXT($B$1,"yyyy/mm/dd"),1),"")</f>
        <v>2033219901.71</v>
      </c>
      <c r="F1205">
        <f>IFERROR([1]!s_stm07_is_103($A1205,TEXT($B$1,"yyyy/mm/dd"),1),"")</f>
        <v>196482336.16999999</v>
      </c>
      <c r="G1205">
        <f>IFERROR([1]!s_stm07_is_104($A1205,TEXT($B$1,"yyyy/mm/dd"),1),"")</f>
        <v>4092146146.4400001</v>
      </c>
      <c r="H1205">
        <f>IFERROR([1]!s_stm07_is_105($A1205,TEXT($B$1,"yyyy/mm/dd"),1),"")</f>
        <v>1463935663.01</v>
      </c>
      <c r="I1205">
        <f>IFERROR([1]!s_stm07_is($A1205,"W72946623",TEXT($B$1,"yyyy/mm/dd"),1),"")</f>
        <v>16318241105.57</v>
      </c>
      <c r="J1205">
        <f>IFERROR([1]!s_stm07_is($A1205,"W30028333",TEXT($B$1,"yyyy/mm/dd"),1),"")</f>
        <v>7393381322</v>
      </c>
      <c r="K1205">
        <f>IFERROR([1]!s_stm07_cs($A1205,"W77130581",TEXT($B$1,"yyyy/mm/dd"),1),"")</f>
        <v>31569574019.799999</v>
      </c>
      <c r="L1205">
        <f>IFERROR([1]!s_stm07_cs($A1205,"W77745895",TEXT($B$1,"yyyy/mm/dd"),1),"")</f>
        <v>21438333922.52</v>
      </c>
      <c r="M1205">
        <f>IFERROR([1]!S_FA_EPS_basic2($A1205,$B$1,"Cur=CNY"),"")</f>
        <v>0.91659999999999997</v>
      </c>
      <c r="N1205">
        <f>IFERROR([1]!s_fa_arturndays($A1205,TEXT($B$1,"yyyy/mm/dd")),"")</f>
        <v>91.097700000000003</v>
      </c>
      <c r="O1205" t="str">
        <f>IFERROR([1]!fa_apturndays($A1205,TEXT($B$1,"yyyy/mm/dd")),"")</f>
        <v>Fetch...</v>
      </c>
      <c r="P1205">
        <f>IFERROR([1]!s_fa_invturndays($A1205,TEXT($B$1,"yyyy/mm/dd")),"")</f>
        <v>17.266500000000001</v>
      </c>
    </row>
    <row r="1206" spans="1:16">
      <c r="A1206" t="s">
        <v>1219</v>
      </c>
      <c r="B1206">
        <f>IFERROR([1]!s_stm07_is($A1206,"W70156729",TEXT($B$1,"yyyy/mm/dd"),1),"")</f>
        <v>115931105774.99001</v>
      </c>
      <c r="C1206">
        <f>IFERROR([1]!s_stm07_is($A1206,"W75682424",TEXT($B$1,"yyyy/mm/dd"),1),"")</f>
        <v>75653843800.990005</v>
      </c>
      <c r="D1206">
        <f>IFERROR([1]!s_stm07_is($A1206,"W76031679",TEXT($B$1,"yyyy/mm/dd"),1),"")</f>
        <v>21544580668.380001</v>
      </c>
      <c r="E1206">
        <f>IFERROR([1]!s_stm07_is($A1206,"W70752487",TEXT($B$1,"yyyy/mm/dd"),1),"")</f>
        <v>4695602170.4099998</v>
      </c>
      <c r="F1206">
        <f>IFERROR([1]!s_stm07_is_103($A1206,TEXT($B$1,"yyyy/mm/dd"),1),"")</f>
        <v>915007208.80999994</v>
      </c>
      <c r="G1206">
        <f>IFERROR([1]!s_stm07_is_104($A1206,TEXT($B$1,"yyyy/mm/dd"),1),"")</f>
        <v>1366436483.7</v>
      </c>
      <c r="H1206">
        <f>IFERROR([1]!s_stm07_is_105($A1206,TEXT($B$1,"yyyy/mm/dd"),1),"")</f>
        <v>2170117464.3099999</v>
      </c>
      <c r="I1206">
        <f>IFERROR([1]!s_stm07_is($A1206,"W72946623",TEXT($B$1,"yyyy/mm/dd"),1),"")</f>
        <v>12993830374.42</v>
      </c>
      <c r="J1206">
        <f>IFERROR([1]!s_stm07_is($A1206,"W30028333",TEXT($B$1,"yyyy/mm/dd"),1),"")</f>
        <v>11565166497.809999</v>
      </c>
      <c r="K1206">
        <f>IFERROR([1]!s_stm07_cs($A1206,"W77130581",TEXT($B$1,"yyyy/mm/dd"),1),"")</f>
        <v>14343920490.32</v>
      </c>
      <c r="L1206">
        <f>IFERROR([1]!s_stm07_cs($A1206,"W77745895",TEXT($B$1,"yyyy/mm/dd"),1),"")</f>
        <v>3036644156.6799998</v>
      </c>
      <c r="M1206">
        <f>IFERROR([1]!S_FA_EPS_basic2($A1206,$B$1,"Cur=CNY"),"")</f>
        <v>1.83</v>
      </c>
      <c r="N1206">
        <f>IFERROR([1]!s_fa_arturndays($A1206,TEXT($B$1,"yyyy/mm/dd")),"")</f>
        <v>9.1308000000000007</v>
      </c>
      <c r="O1206" t="str">
        <f>IFERROR([1]!fa_apturndays($A1206,TEXT($B$1,"yyyy/mm/dd")),"")</f>
        <v>Fetch...</v>
      </c>
      <c r="P1206">
        <f>IFERROR([1]!s_fa_invturndays($A1206,TEXT($B$1,"yyyy/mm/dd")),"")</f>
        <v>51.3157</v>
      </c>
    </row>
    <row r="1207" spans="1:16">
      <c r="A1207" t="s">
        <v>1220</v>
      </c>
      <c r="B1207">
        <f>IFERROR([1]!s_stm07_is($A1207,"W70156729",TEXT($B$1,"yyyy/mm/dd"),1),"")</f>
        <v>7894385111.6999998</v>
      </c>
      <c r="C1207">
        <f>IFERROR([1]!s_stm07_is($A1207,"W75682424",TEXT($B$1,"yyyy/mm/dd"),1),"")</f>
        <v>7185794570.9899998</v>
      </c>
      <c r="D1207">
        <f>IFERROR([1]!s_stm07_is($A1207,"W76031679",TEXT($B$1,"yyyy/mm/dd"),1),"")</f>
        <v>80972072.760000005</v>
      </c>
      <c r="E1207">
        <f>IFERROR([1]!s_stm07_is($A1207,"W70752487",TEXT($B$1,"yyyy/mm/dd"),1),"")</f>
        <v>267492894.96000001</v>
      </c>
      <c r="F1207">
        <f>IFERROR([1]!s_stm07_is_103($A1207,TEXT($B$1,"yyyy/mm/dd"),1),"")</f>
        <v>63297916.509999998</v>
      </c>
      <c r="G1207">
        <f>IFERROR([1]!s_stm07_is_104($A1207,TEXT($B$1,"yyyy/mm/dd"),1),"")</f>
        <v>91572750.019999996</v>
      </c>
      <c r="H1207">
        <f>IFERROR([1]!s_stm07_is_105($A1207,TEXT($B$1,"yyyy/mm/dd"),1),"")</f>
        <v>12975155.73</v>
      </c>
      <c r="I1207">
        <f>IFERROR([1]!s_stm07_is($A1207,"W72946623",TEXT($B$1,"yyyy/mm/dd"),1),"")</f>
        <v>704217201.12</v>
      </c>
      <c r="J1207">
        <f>IFERROR([1]!s_stm07_is($A1207,"W30028333",TEXT($B$1,"yyyy/mm/dd"),1),"")</f>
        <v>661945084.47000003</v>
      </c>
      <c r="K1207">
        <f>IFERROR([1]!s_stm07_cs($A1207,"W77130581",TEXT($B$1,"yyyy/mm/dd"),1),"")</f>
        <v>373449313.10000002</v>
      </c>
      <c r="L1207">
        <f>IFERROR([1]!s_stm07_cs($A1207,"W77745895",TEXT($B$1,"yyyy/mm/dd"),1),"")</f>
        <v>3692873276.7600002</v>
      </c>
      <c r="M1207">
        <f>IFERROR([1]!S_FA_EPS_basic2($A1207,$B$1,"Cur=CNY"),"")</f>
        <v>0.47620000000000001</v>
      </c>
      <c r="N1207">
        <f>IFERROR([1]!s_fa_arturndays($A1207,TEXT($B$1,"yyyy/mm/dd")),"")</f>
        <v>18.709099999999999</v>
      </c>
      <c r="O1207" t="str">
        <f>IFERROR([1]!fa_apturndays($A1207,TEXT($B$1,"yyyy/mm/dd")),"")</f>
        <v>Fetch...</v>
      </c>
      <c r="P1207">
        <f>IFERROR([1]!s_fa_invturndays($A1207,TEXT($B$1,"yyyy/mm/dd")),"")</f>
        <v>98.627399999999994</v>
      </c>
    </row>
    <row r="1208" spans="1:16">
      <c r="A1208" t="s">
        <v>1221</v>
      </c>
      <c r="B1208">
        <f>IFERROR([1]!s_stm07_is($A1208,"W70156729",TEXT($B$1,"yyyy/mm/dd"),1),"")</f>
        <v>46331495671.400002</v>
      </c>
      <c r="C1208">
        <f>IFERROR([1]!s_stm07_is($A1208,"W75682424",TEXT($B$1,"yyyy/mm/dd"),1),"")</f>
        <v>42107683732.599998</v>
      </c>
      <c r="D1208">
        <f>IFERROR([1]!s_stm07_is($A1208,"W76031679",TEXT($B$1,"yyyy/mm/dd"),1),"")</f>
        <v>308403560.79000002</v>
      </c>
      <c r="E1208">
        <f>IFERROR([1]!s_stm07_is($A1208,"W70752487",TEXT($B$1,"yyyy/mm/dd"),1),"")</f>
        <v>1604853844.26</v>
      </c>
      <c r="F1208">
        <f>IFERROR([1]!s_stm07_is_103($A1208,TEXT($B$1,"yyyy/mm/dd"),1),"")</f>
        <v>773477689.35000002</v>
      </c>
      <c r="G1208">
        <f>IFERROR([1]!s_stm07_is_104($A1208,TEXT($B$1,"yyyy/mm/dd"),1),"")</f>
        <v>612871054.26999998</v>
      </c>
      <c r="H1208">
        <f>IFERROR([1]!s_stm07_is_105($A1208,TEXT($B$1,"yyyy/mm/dd"),1),"")</f>
        <v>19279892.949999999</v>
      </c>
      <c r="I1208">
        <f>IFERROR([1]!s_stm07_is($A1208,"W72946623",TEXT($B$1,"yyyy/mm/dd"),1),"")</f>
        <v>907425066.12</v>
      </c>
      <c r="J1208">
        <f>IFERROR([1]!s_stm07_is($A1208,"W30028333",TEXT($B$1,"yyyy/mm/dd"),1),"")</f>
        <v>634328156.79999995</v>
      </c>
      <c r="K1208">
        <f>IFERROR([1]!s_stm07_cs($A1208,"W77130581",TEXT($B$1,"yyyy/mm/dd"),1),"")</f>
        <v>-4417719128.5799999</v>
      </c>
      <c r="L1208">
        <f>IFERROR([1]!s_stm07_cs($A1208,"W77745895",TEXT($B$1,"yyyy/mm/dd"),1),"")</f>
        <v>3768212921.3099999</v>
      </c>
      <c r="M1208">
        <f>IFERROR([1]!S_FA_EPS_basic2($A1208,$B$1,"Cur=CNY"),"")</f>
        <v>0.24</v>
      </c>
      <c r="N1208">
        <f>IFERROR([1]!s_fa_arturndays($A1208,TEXT($B$1,"yyyy/mm/dd")),"")</f>
        <v>311.44560000000001</v>
      </c>
      <c r="O1208" t="str">
        <f>IFERROR([1]!fa_apturndays($A1208,TEXT($B$1,"yyyy/mm/dd")),"")</f>
        <v>Fetch...</v>
      </c>
      <c r="P1208">
        <f>IFERROR([1]!s_fa_invturndays($A1208,TEXT($B$1,"yyyy/mm/dd")),"")</f>
        <v>273.14109999999999</v>
      </c>
    </row>
    <row r="1209" spans="1:16">
      <c r="A1209" t="s">
        <v>1222</v>
      </c>
      <c r="B1209">
        <f>IFERROR([1]!s_stm07_is($A1209,"W70156729",TEXT($B$1,"yyyy/mm/dd"),1),"")</f>
        <v>7245603231.3000002</v>
      </c>
      <c r="C1209">
        <f>IFERROR([1]!s_stm07_is($A1209,"W75682424",TEXT($B$1,"yyyy/mm/dd"),1),"")</f>
        <v>6117745205.6400003</v>
      </c>
      <c r="D1209">
        <f>IFERROR([1]!s_stm07_is($A1209,"W76031679",TEXT($B$1,"yyyy/mm/dd"),1),"")</f>
        <v>242105133.74000001</v>
      </c>
      <c r="E1209">
        <f>IFERROR([1]!s_stm07_is($A1209,"W70752487",TEXT($B$1,"yyyy/mm/dd"),1),"")</f>
        <v>477733452.72000003</v>
      </c>
      <c r="F1209">
        <f>IFERROR([1]!s_stm07_is_103($A1209,TEXT($B$1,"yyyy/mm/dd"),1),"")</f>
        <v>248120405.96000001</v>
      </c>
      <c r="G1209">
        <f>IFERROR([1]!s_stm07_is_104($A1209,TEXT($B$1,"yyyy/mm/dd"),1),"")</f>
        <v>4487755.6500000004</v>
      </c>
      <c r="H1209">
        <f>IFERROR([1]!s_stm07_is_105($A1209,TEXT($B$1,"yyyy/mm/dd"),1),"")</f>
        <v>81198392.310000002</v>
      </c>
      <c r="I1209">
        <f>IFERROR([1]!s_stm07_is($A1209,"W72946623",TEXT($B$1,"yyyy/mm/dd"),1),"")</f>
        <v>733279007.63999999</v>
      </c>
      <c r="J1209">
        <f>IFERROR([1]!s_stm07_is($A1209,"W30028333",TEXT($B$1,"yyyy/mm/dd"),1),"")</f>
        <v>689310453.91999996</v>
      </c>
      <c r="K1209">
        <f>IFERROR([1]!s_stm07_cs($A1209,"W77130581",TEXT($B$1,"yyyy/mm/dd"),1),"")</f>
        <v>350669162.04000002</v>
      </c>
      <c r="L1209">
        <f>IFERROR([1]!s_stm07_cs($A1209,"W77745895",TEXT($B$1,"yyyy/mm/dd"),1),"")</f>
        <v>197731093.62</v>
      </c>
      <c r="M1209">
        <f>IFERROR([1]!S_FA_EPS_basic2($A1209,$B$1,"Cur=CNY"),"")</f>
        <v>0.81340000000000001</v>
      </c>
      <c r="N1209">
        <f>IFERROR([1]!s_fa_arturndays($A1209,TEXT($B$1,"yyyy/mm/dd")),"")</f>
        <v>130.9948</v>
      </c>
      <c r="O1209" t="str">
        <f>IFERROR([1]!fa_apturndays($A1209,TEXT($B$1,"yyyy/mm/dd")),"")</f>
        <v>Fetch...</v>
      </c>
      <c r="P1209">
        <f>IFERROR([1]!s_fa_invturndays($A1209,TEXT($B$1,"yyyy/mm/dd")),"")</f>
        <v>67.983500000000006</v>
      </c>
    </row>
    <row r="1210" spans="1:16">
      <c r="A1210" t="s">
        <v>1223</v>
      </c>
      <c r="B1210">
        <f>IFERROR([1]!s_stm07_is($A1210,"W70156729",TEXT($B$1,"yyyy/mm/dd"),1),"")</f>
        <v>86241940222.199997</v>
      </c>
      <c r="C1210">
        <f>IFERROR([1]!s_stm07_is($A1210,"W75682424",TEXT($B$1,"yyyy/mm/dd"),1),"")</f>
        <v>33057840034.77</v>
      </c>
      <c r="D1210">
        <f>IFERROR([1]!s_stm07_is($A1210,"W76031679",TEXT($B$1,"yyyy/mm/dd"),1),"")</f>
        <v>234079316.40000001</v>
      </c>
      <c r="E1210">
        <f>IFERROR([1]!s_stm07_is($A1210,"W70752487",TEXT($B$1,"yyyy/mm/dd"),1),"")</f>
        <v>1617349026.3800001</v>
      </c>
      <c r="F1210">
        <f>IFERROR([1]!s_stm07_is_103($A1210,TEXT($B$1,"yyyy/mm/dd"),1),"")</f>
        <v>1166892834.72</v>
      </c>
      <c r="G1210">
        <f>IFERROR([1]!s_stm07_is_104($A1210,TEXT($B$1,"yyyy/mm/dd"),1),"")</f>
        <v>9508718717.6700001</v>
      </c>
      <c r="H1210">
        <f>IFERROR([1]!s_stm07_is_105($A1210,TEXT($B$1,"yyyy/mm/dd"),1),"")</f>
        <v>148748619.61000001</v>
      </c>
      <c r="I1210">
        <f>IFERROR([1]!s_stm07_is($A1210,"W72946623",TEXT($B$1,"yyyy/mm/dd"),1),"")</f>
        <v>41739840157.919998</v>
      </c>
      <c r="J1210">
        <f>IFERROR([1]!s_stm07_is($A1210,"W30028333",TEXT($B$1,"yyyy/mm/dd"),1),"")</f>
        <v>34502809176.389999</v>
      </c>
      <c r="K1210">
        <f>IFERROR([1]!s_stm07_cs($A1210,"W77130581",TEXT($B$1,"yyyy/mm/dd"),1),"")</f>
        <v>60562925570.410004</v>
      </c>
      <c r="L1210">
        <f>IFERROR([1]!s_stm07_cs($A1210,"W77745895",TEXT($B$1,"yyyy/mm/dd"),1),"")</f>
        <v>18488466859.290001</v>
      </c>
      <c r="M1210">
        <f>IFERROR([1]!S_FA_EPS_basic2($A1210,$B$1,"Cur=CNY"),"")</f>
        <v>1.4100999999999999</v>
      </c>
      <c r="N1210">
        <f>IFERROR([1]!s_fa_arturndays($A1210,TEXT($B$1,"yyyy/mm/dd")),"")</f>
        <v>34.601700000000001</v>
      </c>
      <c r="O1210" t="str">
        <f>IFERROR([1]!fa_apturndays($A1210,TEXT($B$1,"yyyy/mm/dd")),"")</f>
        <v>Fetch...</v>
      </c>
      <c r="P1210">
        <f>IFERROR([1]!s_fa_invturndays($A1210,TEXT($B$1,"yyyy/mm/dd")),"")</f>
        <v>8.0509000000000004</v>
      </c>
    </row>
    <row r="1211" spans="1:16">
      <c r="A1211" t="s">
        <v>1224</v>
      </c>
      <c r="B1211">
        <f>IFERROR([1]!s_stm07_is($A1211,"W70156729",TEXT($B$1,"yyyy/mm/dd"),1),"")</f>
        <v>6109215981</v>
      </c>
      <c r="C1211">
        <f>IFERROR([1]!s_stm07_is($A1211,"W75682424",TEXT($B$1,"yyyy/mm/dd"),1),"")</f>
        <v>0</v>
      </c>
      <c r="D1211">
        <f>IFERROR([1]!s_stm07_is($A1211,"W76031679",TEXT($B$1,"yyyy/mm/dd"),1),"")</f>
        <v>0</v>
      </c>
      <c r="E1211">
        <f>IFERROR([1]!s_stm07_is($A1211,"W70752487",TEXT($B$1,"yyyy/mm/dd"),1),"")</f>
        <v>632843539.86000001</v>
      </c>
      <c r="F1211">
        <f>IFERROR([1]!s_stm07_is_103($A1211,TEXT($B$1,"yyyy/mm/dd"),1),"")</f>
        <v>0</v>
      </c>
      <c r="G1211">
        <f>IFERROR([1]!s_stm07_is_104($A1211,TEXT($B$1,"yyyy/mm/dd"),1),"")</f>
        <v>0</v>
      </c>
      <c r="H1211">
        <f>IFERROR([1]!s_stm07_is_105($A1211,TEXT($B$1,"yyyy/mm/dd"),1),"")</f>
        <v>0</v>
      </c>
      <c r="I1211">
        <f>IFERROR([1]!s_stm07_is($A1211,"W72946623",TEXT($B$1,"yyyy/mm/dd"),1),"")</f>
        <v>4342317271.1700001</v>
      </c>
      <c r="J1211">
        <f>IFERROR([1]!s_stm07_is($A1211,"W30028333",TEXT($B$1,"yyyy/mm/dd"),1),"")</f>
        <v>3240544113.3800001</v>
      </c>
      <c r="K1211">
        <f>IFERROR([1]!s_stm07_cs($A1211,"W77130581",TEXT($B$1,"yyyy/mm/dd"),1),"")</f>
        <v>-962954047.01999998</v>
      </c>
      <c r="L1211">
        <f>IFERROR([1]!s_stm07_cs($A1211,"W77745895",TEXT($B$1,"yyyy/mm/dd"),1),"")</f>
        <v>50649725.079999998</v>
      </c>
      <c r="M1211">
        <f>IFERROR([1]!S_FA_EPS_basic2($A1211,$B$1,"Cur=CNY"),"")</f>
        <v>0.56000000000000005</v>
      </c>
      <c r="N1211">
        <f>IFERROR([1]!s_fa_arturndays($A1211,TEXT($B$1,"yyyy/mm/dd")),"")</f>
        <v>0</v>
      </c>
      <c r="O1211" t="str">
        <f>IFERROR([1]!fa_apturndays($A1211,TEXT($B$1,"yyyy/mm/dd")),"")</f>
        <v>Fetch...</v>
      </c>
      <c r="P1211">
        <f>IFERROR([1]!s_fa_invturndays($A1211,TEXT($B$1,"yyyy/mm/dd")),"")</f>
        <v>0</v>
      </c>
    </row>
    <row r="1212" spans="1:16">
      <c r="A1212" t="s">
        <v>1225</v>
      </c>
      <c r="B1212">
        <f>IFERROR([1]!s_stm07_is($A1212,"W70156729",TEXT($B$1,"yyyy/mm/dd"),1),"")</f>
        <v>6640907950.4099998</v>
      </c>
      <c r="C1212">
        <f>IFERROR([1]!s_stm07_is($A1212,"W75682424",TEXT($B$1,"yyyy/mm/dd"),1),"")</f>
        <v>5699749858.5900002</v>
      </c>
      <c r="D1212">
        <f>IFERROR([1]!s_stm07_is($A1212,"W76031679",TEXT($B$1,"yyyy/mm/dd"),1),"")</f>
        <v>159265083.63</v>
      </c>
      <c r="E1212">
        <f>IFERROR([1]!s_stm07_is($A1212,"W70752487",TEXT($B$1,"yyyy/mm/dd"),1),"")</f>
        <v>350992555.36000001</v>
      </c>
      <c r="F1212">
        <f>IFERROR([1]!s_stm07_is_103($A1212,TEXT($B$1,"yyyy/mm/dd"),1),"")</f>
        <v>15536042.859999999</v>
      </c>
      <c r="G1212">
        <f>IFERROR([1]!s_stm07_is_104($A1212,TEXT($B$1,"yyyy/mm/dd"),1),"")</f>
        <v>183222396.91</v>
      </c>
      <c r="H1212">
        <f>IFERROR([1]!s_stm07_is_105($A1212,TEXT($B$1,"yyyy/mm/dd"),1),"")</f>
        <v>3687100.52</v>
      </c>
      <c r="I1212">
        <f>IFERROR([1]!s_stm07_is($A1212,"W72946623",TEXT($B$1,"yyyy/mm/dd"),1),"")</f>
        <v>172723443.31999999</v>
      </c>
      <c r="J1212">
        <f>IFERROR([1]!s_stm07_is($A1212,"W30028333",TEXT($B$1,"yyyy/mm/dd"),1),"")</f>
        <v>47127560.740000002</v>
      </c>
      <c r="K1212">
        <f>IFERROR([1]!s_stm07_cs($A1212,"W77130581",TEXT($B$1,"yyyy/mm/dd"),1),"")</f>
        <v>623176280.87</v>
      </c>
      <c r="L1212">
        <f>IFERROR([1]!s_stm07_cs($A1212,"W77745895",TEXT($B$1,"yyyy/mm/dd"),1),"")</f>
        <v>801002392.83000004</v>
      </c>
      <c r="M1212">
        <f>IFERROR([1]!S_FA_EPS_basic2($A1212,$B$1,"Cur=CNY"),"")</f>
        <v>0.04</v>
      </c>
      <c r="N1212">
        <f>IFERROR([1]!s_fa_arturndays($A1212,TEXT($B$1,"yyyy/mm/dd")),"")</f>
        <v>55.678400000000003</v>
      </c>
      <c r="O1212" t="str">
        <f>IFERROR([1]!fa_apturndays($A1212,TEXT($B$1,"yyyy/mm/dd")),"")</f>
        <v>Fetch...</v>
      </c>
      <c r="P1212">
        <f>IFERROR([1]!s_fa_invturndays($A1212,TEXT($B$1,"yyyy/mm/dd")),"")</f>
        <v>26.741499999999998</v>
      </c>
    </row>
    <row r="1213" spans="1:16">
      <c r="A1213" t="s">
        <v>1226</v>
      </c>
      <c r="B1213">
        <f>IFERROR([1]!s_stm07_is($A1213,"W70156729",TEXT($B$1,"yyyy/mm/dd"),1),"")</f>
        <v>28399420251.560001</v>
      </c>
      <c r="C1213">
        <f>IFERROR([1]!s_stm07_is($A1213,"W75682424",TEXT($B$1,"yyyy/mm/dd"),1),"")</f>
        <v>16525100358.76</v>
      </c>
      <c r="D1213">
        <f>IFERROR([1]!s_stm07_is($A1213,"W76031679",TEXT($B$1,"yyyy/mm/dd"),1),"")</f>
        <v>0</v>
      </c>
      <c r="E1213">
        <f>IFERROR([1]!s_stm07_is($A1213,"W70752487",TEXT($B$1,"yyyy/mm/dd"),1),"")</f>
        <v>2098405972.8599999</v>
      </c>
      <c r="F1213">
        <f>IFERROR([1]!s_stm07_is_103($A1213,TEXT($B$1,"yyyy/mm/dd"),1),"")</f>
        <v>19575673.710000001</v>
      </c>
      <c r="G1213">
        <f>IFERROR([1]!s_stm07_is_104($A1213,TEXT($B$1,"yyyy/mm/dd"),1),"")</f>
        <v>4168363841.3800001</v>
      </c>
      <c r="H1213">
        <f>IFERROR([1]!s_stm07_is_105($A1213,TEXT($B$1,"yyyy/mm/dd"),1),"")</f>
        <v>57384389.530000001</v>
      </c>
      <c r="I1213">
        <f>IFERROR([1]!s_stm07_is($A1213,"W72946623",TEXT($B$1,"yyyy/mm/dd"),1),"")</f>
        <v>5032394626.1599998</v>
      </c>
      <c r="J1213">
        <f>IFERROR([1]!s_stm07_is($A1213,"W30028333",TEXT($B$1,"yyyy/mm/dd"),1),"")</f>
        <v>3714396619.1999998</v>
      </c>
      <c r="K1213">
        <f>IFERROR([1]!s_stm07_cs($A1213,"W77130581",TEXT($B$1,"yyyy/mm/dd"),1),"")</f>
        <v>20937957450.709999</v>
      </c>
      <c r="L1213">
        <f>IFERROR([1]!s_stm07_cs($A1213,"W77745895",TEXT($B$1,"yyyy/mm/dd"),1),"")</f>
        <v>32112220512.990002</v>
      </c>
      <c r="M1213">
        <f>IFERROR([1]!S_FA_EPS_basic2($A1213,$B$1,"Cur=CNY"),"")</f>
        <v>0.1298</v>
      </c>
      <c r="N1213">
        <f>IFERROR([1]!s_fa_arturndays($A1213,TEXT($B$1,"yyyy/mm/dd")),"")</f>
        <v>589.48749999999995</v>
      </c>
      <c r="O1213" t="str">
        <f>IFERROR([1]!fa_apturndays($A1213,TEXT($B$1,"yyyy/mm/dd")),"")</f>
        <v>Fetch...</v>
      </c>
      <c r="P1213">
        <f>IFERROR([1]!s_fa_invturndays($A1213,TEXT($B$1,"yyyy/mm/dd")),"")</f>
        <v>10.205399999999999</v>
      </c>
    </row>
    <row r="1214" spans="1:16">
      <c r="A1214" t="s">
        <v>1227</v>
      </c>
      <c r="B1214">
        <f>IFERROR([1]!s_stm07_is($A1214,"W70156729",TEXT($B$1,"yyyy/mm/dd"),1),"")</f>
        <v>2700106488.6100001</v>
      </c>
      <c r="C1214">
        <f>IFERROR([1]!s_stm07_is($A1214,"W75682424",TEXT($B$1,"yyyy/mm/dd"),1),"")</f>
        <v>0</v>
      </c>
      <c r="D1214">
        <f>IFERROR([1]!s_stm07_is($A1214,"W76031679",TEXT($B$1,"yyyy/mm/dd"),1),"")</f>
        <v>0</v>
      </c>
      <c r="E1214">
        <f>IFERROR([1]!s_stm07_is($A1214,"W70752487",TEXT($B$1,"yyyy/mm/dd"),1),"")</f>
        <v>1604050916.26</v>
      </c>
      <c r="F1214">
        <f>IFERROR([1]!s_stm07_is_103($A1214,TEXT($B$1,"yyyy/mm/dd"),1),"")</f>
        <v>0</v>
      </c>
      <c r="G1214">
        <f>IFERROR([1]!s_stm07_is_104($A1214,TEXT($B$1,"yyyy/mm/dd"),1),"")</f>
        <v>0</v>
      </c>
      <c r="H1214">
        <f>IFERROR([1]!s_stm07_is_105($A1214,TEXT($B$1,"yyyy/mm/dd"),1),"")</f>
        <v>0</v>
      </c>
      <c r="I1214">
        <f>IFERROR([1]!s_stm07_is($A1214,"W72946623",TEXT($B$1,"yyyy/mm/dd"),1),"")</f>
        <v>982821474.12</v>
      </c>
      <c r="J1214">
        <f>IFERROR([1]!s_stm07_is($A1214,"W30028333",TEXT($B$1,"yyyy/mm/dd"),1),"")</f>
        <v>747083879.10000002</v>
      </c>
      <c r="K1214">
        <f>IFERROR([1]!s_stm07_cs($A1214,"W77130581",TEXT($B$1,"yyyy/mm/dd"),1),"")</f>
        <v>2948534412.1399999</v>
      </c>
      <c r="L1214">
        <f>IFERROR([1]!s_stm07_cs($A1214,"W77745895",TEXT($B$1,"yyyy/mm/dd"),1),"")</f>
        <v>79250209.75</v>
      </c>
      <c r="M1214">
        <f>IFERROR([1]!S_FA_EPS_basic2($A1214,$B$1,"Cur=CNY"),"")</f>
        <v>0.23</v>
      </c>
      <c r="N1214">
        <f>IFERROR([1]!s_fa_arturndays($A1214,TEXT($B$1,"yyyy/mm/dd")),"")</f>
        <v>0</v>
      </c>
      <c r="O1214" t="str">
        <f>IFERROR([1]!fa_apturndays($A1214,TEXT($B$1,"yyyy/mm/dd")),"")</f>
        <v>Fetch...</v>
      </c>
      <c r="P1214">
        <f>IFERROR([1]!s_fa_invturndays($A1214,TEXT($B$1,"yyyy/mm/dd")),"")</f>
        <v>0</v>
      </c>
    </row>
    <row r="1215" spans="1:16">
      <c r="A1215" t="s">
        <v>1228</v>
      </c>
      <c r="B1215">
        <f>IFERROR([1]!s_stm07_is($A1215,"W70156729",TEXT($B$1,"yyyy/mm/dd"),1),"")</f>
        <v>4819401000</v>
      </c>
      <c r="C1215">
        <f>IFERROR([1]!s_stm07_is($A1215,"W75682424",TEXT($B$1,"yyyy/mm/dd"),1),"")</f>
        <v>0</v>
      </c>
      <c r="D1215">
        <f>IFERROR([1]!s_stm07_is($A1215,"W76031679",TEXT($B$1,"yyyy/mm/dd"),1),"")</f>
        <v>0</v>
      </c>
      <c r="E1215">
        <f>IFERROR([1]!s_stm07_is($A1215,"W70752487",TEXT($B$1,"yyyy/mm/dd"),1),"")</f>
        <v>1469753000</v>
      </c>
      <c r="F1215">
        <f>IFERROR([1]!s_stm07_is_103($A1215,TEXT($B$1,"yyyy/mm/dd"),1),"")</f>
        <v>0</v>
      </c>
      <c r="G1215">
        <f>IFERROR([1]!s_stm07_is_104($A1215,TEXT($B$1,"yyyy/mm/dd"),1),"")</f>
        <v>0</v>
      </c>
      <c r="H1215">
        <f>IFERROR([1]!s_stm07_is_105($A1215,TEXT($B$1,"yyyy/mm/dd"),1),"")</f>
        <v>0</v>
      </c>
      <c r="I1215">
        <f>IFERROR([1]!s_stm07_is($A1215,"W72946623",TEXT($B$1,"yyyy/mm/dd"),1),"")</f>
        <v>2499419000</v>
      </c>
      <c r="J1215">
        <f>IFERROR([1]!s_stm07_is($A1215,"W30028333",TEXT($B$1,"yyyy/mm/dd"),1),"")</f>
        <v>2309132000</v>
      </c>
      <c r="K1215">
        <f>IFERROR([1]!s_stm07_cs($A1215,"W77130581",TEXT($B$1,"yyyy/mm/dd"),1),"")</f>
        <v>11631133000</v>
      </c>
      <c r="L1215">
        <f>IFERROR([1]!s_stm07_cs($A1215,"W77745895",TEXT($B$1,"yyyy/mm/dd"),1),"")</f>
        <v>110653000</v>
      </c>
      <c r="M1215">
        <f>IFERROR([1]!S_FA_EPS_basic2($A1215,$B$1,"Cur=CNY"),"")</f>
        <v>1.01</v>
      </c>
      <c r="N1215">
        <f>IFERROR([1]!s_fa_arturndays($A1215,TEXT($B$1,"yyyy/mm/dd")),"")</f>
        <v>0</v>
      </c>
      <c r="O1215" t="str">
        <f>IFERROR([1]!fa_apturndays($A1215,TEXT($B$1,"yyyy/mm/dd")),"")</f>
        <v>Fetch...</v>
      </c>
      <c r="P1215">
        <f>IFERROR([1]!s_fa_invturndays($A1215,TEXT($B$1,"yyyy/mm/dd")),"")</f>
        <v>0</v>
      </c>
    </row>
    <row r="1216" spans="1:16">
      <c r="A1216" t="s">
        <v>1229</v>
      </c>
      <c r="B1216">
        <f>IFERROR([1]!s_stm07_is($A1216,"W70156729",TEXT($B$1,"yyyy/mm/dd"),1),"")</f>
        <v>5068423577.1400003</v>
      </c>
      <c r="C1216">
        <f>IFERROR([1]!s_stm07_is($A1216,"W75682424",TEXT($B$1,"yyyy/mm/dd"),1),"")</f>
        <v>0</v>
      </c>
      <c r="D1216">
        <f>IFERROR([1]!s_stm07_is($A1216,"W76031679",TEXT($B$1,"yyyy/mm/dd"),1),"")</f>
        <v>0</v>
      </c>
      <c r="E1216">
        <f>IFERROR([1]!s_stm07_is($A1216,"W70752487",TEXT($B$1,"yyyy/mm/dd"),1),"")</f>
        <v>2379154628.6900001</v>
      </c>
      <c r="F1216">
        <f>IFERROR([1]!s_stm07_is_103($A1216,TEXT($B$1,"yyyy/mm/dd"),1),"")</f>
        <v>0</v>
      </c>
      <c r="G1216">
        <f>IFERROR([1]!s_stm07_is_104($A1216,TEXT($B$1,"yyyy/mm/dd"),1),"")</f>
        <v>0</v>
      </c>
      <c r="H1216">
        <f>IFERROR([1]!s_stm07_is_105($A1216,TEXT($B$1,"yyyy/mm/dd"),1),"")</f>
        <v>0</v>
      </c>
      <c r="I1216">
        <f>IFERROR([1]!s_stm07_is($A1216,"W72946623",TEXT($B$1,"yyyy/mm/dd"),1),"")</f>
        <v>2649650146.3000002</v>
      </c>
      <c r="J1216">
        <f>IFERROR([1]!s_stm07_is($A1216,"W30028333",TEXT($B$1,"yyyy/mm/dd"),1),"")</f>
        <v>2108333535.03</v>
      </c>
      <c r="K1216">
        <f>IFERROR([1]!s_stm07_cs($A1216,"W77130581",TEXT($B$1,"yyyy/mm/dd"),1),"")</f>
        <v>6539047633.1000004</v>
      </c>
      <c r="L1216">
        <f>IFERROR([1]!s_stm07_cs($A1216,"W77745895",TEXT($B$1,"yyyy/mm/dd"),1),"")</f>
        <v>260865579.52000001</v>
      </c>
      <c r="M1216">
        <f>IFERROR([1]!S_FA_EPS_basic2($A1216,$B$1,"Cur=CNY"),"")</f>
        <v>0.45</v>
      </c>
      <c r="N1216">
        <f>IFERROR([1]!s_fa_arturndays($A1216,TEXT($B$1,"yyyy/mm/dd")),"")</f>
        <v>0</v>
      </c>
      <c r="O1216" t="str">
        <f>IFERROR([1]!fa_apturndays($A1216,TEXT($B$1,"yyyy/mm/dd")),"")</f>
        <v>Fetch...</v>
      </c>
      <c r="P1216">
        <f>IFERROR([1]!s_fa_invturndays($A1216,TEXT($B$1,"yyyy/mm/dd")),"")</f>
        <v>0</v>
      </c>
    </row>
    <row r="1217" spans="1:16">
      <c r="A1217" t="s">
        <v>1230</v>
      </c>
      <c r="B1217">
        <f>IFERROR([1]!s_stm07_is($A1217,"W70156729",TEXT($B$1,"yyyy/mm/dd"),1),"")</f>
        <v>69821904419.429993</v>
      </c>
      <c r="C1217">
        <f>IFERROR([1]!s_stm07_is($A1217,"W75682424",TEXT($B$1,"yyyy/mm/dd"),1),"")</f>
        <v>67535032325.040001</v>
      </c>
      <c r="D1217">
        <f>IFERROR([1]!s_stm07_is($A1217,"W76031679",TEXT($B$1,"yyyy/mm/dd"),1),"")</f>
        <v>434995040.66000003</v>
      </c>
      <c r="E1217">
        <f>IFERROR([1]!s_stm07_is($A1217,"W70752487",TEXT($B$1,"yyyy/mm/dd"),1),"")</f>
        <v>280161429.31</v>
      </c>
      <c r="F1217">
        <f>IFERROR([1]!s_stm07_is_103($A1217,TEXT($B$1,"yyyy/mm/dd"),1),"")</f>
        <v>11847644.449999999</v>
      </c>
      <c r="G1217">
        <f>IFERROR([1]!s_stm07_is_104($A1217,TEXT($B$1,"yyyy/mm/dd"),1),"")</f>
        <v>42909534.859999999</v>
      </c>
      <c r="H1217">
        <f>IFERROR([1]!s_stm07_is_105($A1217,TEXT($B$1,"yyyy/mm/dd"),1),"")</f>
        <v>51196139.219999999</v>
      </c>
      <c r="I1217">
        <f>IFERROR([1]!s_stm07_is($A1217,"W72946623",TEXT($B$1,"yyyy/mm/dd"),1),"")</f>
        <v>329871919.61000001</v>
      </c>
      <c r="J1217">
        <f>IFERROR([1]!s_stm07_is($A1217,"W30028333",TEXT($B$1,"yyyy/mm/dd"),1),"")</f>
        <v>275434147.19</v>
      </c>
      <c r="K1217">
        <f>IFERROR([1]!s_stm07_cs($A1217,"W77130581",TEXT($B$1,"yyyy/mm/dd"),1),"")</f>
        <v>502014483.50999999</v>
      </c>
      <c r="L1217">
        <f>IFERROR([1]!s_stm07_cs($A1217,"W77745895",TEXT($B$1,"yyyy/mm/dd"),1),"")</f>
        <v>31912944.280000001</v>
      </c>
      <c r="M1217">
        <f>IFERROR([1]!S_FA_EPS_basic2($A1217,$B$1,"Cur=CNY"),"")</f>
        <v>0.16</v>
      </c>
      <c r="N1217">
        <f>IFERROR([1]!s_fa_arturndays($A1217,TEXT($B$1,"yyyy/mm/dd")),"")</f>
        <v>1.5165999999999999</v>
      </c>
      <c r="O1217" t="str">
        <f>IFERROR([1]!fa_apturndays($A1217,TEXT($B$1,"yyyy/mm/dd")),"")</f>
        <v>Fetch...</v>
      </c>
      <c r="P1217">
        <f>IFERROR([1]!s_fa_invturndays($A1217,TEXT($B$1,"yyyy/mm/dd")),"")</f>
        <v>21.1465</v>
      </c>
    </row>
    <row r="1218" spans="1:16">
      <c r="A1218" t="s">
        <v>1231</v>
      </c>
      <c r="B1218">
        <f>IFERROR([1]!s_stm07_is($A1218,"W70156729",TEXT($B$1,"yyyy/mm/dd"),1),"")</f>
        <v>11392557674.200001</v>
      </c>
      <c r="C1218">
        <f>IFERROR([1]!s_stm07_is($A1218,"W75682424",TEXT($B$1,"yyyy/mm/dd"),1),"")</f>
        <v>0</v>
      </c>
      <c r="D1218">
        <f>IFERROR([1]!s_stm07_is($A1218,"W76031679",TEXT($B$1,"yyyy/mm/dd"),1),"")</f>
        <v>0</v>
      </c>
      <c r="E1218">
        <f>IFERROR([1]!s_stm07_is($A1218,"W70752487",TEXT($B$1,"yyyy/mm/dd"),1),"")</f>
        <v>8411220043.4700003</v>
      </c>
      <c r="F1218">
        <f>IFERROR([1]!s_stm07_is_103($A1218,TEXT($B$1,"yyyy/mm/dd"),1),"")</f>
        <v>0</v>
      </c>
      <c r="G1218">
        <f>IFERROR([1]!s_stm07_is_104($A1218,TEXT($B$1,"yyyy/mm/dd"),1),"")</f>
        <v>0</v>
      </c>
      <c r="H1218">
        <f>IFERROR([1]!s_stm07_is_105($A1218,TEXT($B$1,"yyyy/mm/dd"),1),"")</f>
        <v>0</v>
      </c>
      <c r="I1218">
        <f>IFERROR([1]!s_stm07_is($A1218,"W72946623",TEXT($B$1,"yyyy/mm/dd"),1),"")</f>
        <v>2346597281.0900002</v>
      </c>
      <c r="J1218">
        <f>IFERROR([1]!s_stm07_is($A1218,"W30028333",TEXT($B$1,"yyyy/mm/dd"),1),"")</f>
        <v>1434724436.51</v>
      </c>
      <c r="K1218">
        <f>IFERROR([1]!s_stm07_cs($A1218,"W77130581",TEXT($B$1,"yyyy/mm/dd"),1),"")</f>
        <v>11583840773.719999</v>
      </c>
      <c r="L1218">
        <f>IFERROR([1]!s_stm07_cs($A1218,"W77745895",TEXT($B$1,"yyyy/mm/dd"),1),"")</f>
        <v>464282884.88999999</v>
      </c>
      <c r="M1218">
        <f>IFERROR([1]!S_FA_EPS_basic2($A1218,$B$1,"Cur=CNY"),"")</f>
        <v>0.18</v>
      </c>
      <c r="N1218">
        <f>IFERROR([1]!s_fa_arturndays($A1218,TEXT($B$1,"yyyy/mm/dd")),"")</f>
        <v>0</v>
      </c>
      <c r="O1218" t="str">
        <f>IFERROR([1]!fa_apturndays($A1218,TEXT($B$1,"yyyy/mm/dd")),"")</f>
        <v>Fetch...</v>
      </c>
      <c r="P1218">
        <f>IFERROR([1]!s_fa_invturndays($A1218,TEXT($B$1,"yyyy/mm/dd")),"")</f>
        <v>0</v>
      </c>
    </row>
    <row r="1219" spans="1:16">
      <c r="A1219" t="s">
        <v>1232</v>
      </c>
      <c r="B1219">
        <f>IFERROR([1]!s_stm07_is($A1219,"W70156729",TEXT($B$1,"yyyy/mm/dd"),1),"")</f>
        <v>87942367000</v>
      </c>
      <c r="C1219">
        <f>IFERROR([1]!s_stm07_is($A1219,"W75682424",TEXT($B$1,"yyyy/mm/dd"),1),"")</f>
        <v>0</v>
      </c>
      <c r="D1219">
        <f>IFERROR([1]!s_stm07_is($A1219,"W76031679",TEXT($B$1,"yyyy/mm/dd"),1),"")</f>
        <v>0</v>
      </c>
      <c r="E1219">
        <f>IFERROR([1]!s_stm07_is($A1219,"W70752487",TEXT($B$1,"yyyy/mm/dd"),1),"")</f>
        <v>23450711000</v>
      </c>
      <c r="F1219">
        <f>IFERROR([1]!s_stm07_is_103($A1219,TEXT($B$1,"yyyy/mm/dd"),1),"")</f>
        <v>0</v>
      </c>
      <c r="G1219">
        <f>IFERROR([1]!s_stm07_is_104($A1219,TEXT($B$1,"yyyy/mm/dd"),1),"")</f>
        <v>0</v>
      </c>
      <c r="H1219">
        <f>IFERROR([1]!s_stm07_is_105($A1219,TEXT($B$1,"yyyy/mm/dd"),1),"")</f>
        <v>0</v>
      </c>
      <c r="I1219">
        <f>IFERROR([1]!s_stm07_is($A1219,"W72946623",TEXT($B$1,"yyyy/mm/dd"),1),"")</f>
        <v>41066346000</v>
      </c>
      <c r="J1219">
        <f>IFERROR([1]!s_stm07_is($A1219,"W30028333",TEXT($B$1,"yyyy/mm/dd"),1),"")</f>
        <v>34501004000</v>
      </c>
      <c r="K1219">
        <f>IFERROR([1]!s_stm07_cs($A1219,"W77130581",TEXT($B$1,"yyyy/mm/dd"),1),"")</f>
        <v>560651108000</v>
      </c>
      <c r="L1219">
        <f>IFERROR([1]!s_stm07_cs($A1219,"W77745895",TEXT($B$1,"yyyy/mm/dd"),1),"")</f>
        <v>862223000</v>
      </c>
      <c r="M1219">
        <f>IFERROR([1]!S_FA_EPS_basic2($A1219,$B$1,"Cur=CNY"),"")</f>
        <v>1.76</v>
      </c>
      <c r="N1219">
        <f>IFERROR([1]!s_fa_arturndays($A1219,TEXT($B$1,"yyyy/mm/dd")),"")</f>
        <v>0</v>
      </c>
      <c r="O1219" t="str">
        <f>IFERROR([1]!fa_apturndays($A1219,TEXT($B$1,"yyyy/mm/dd")),"")</f>
        <v>Fetch...</v>
      </c>
      <c r="P1219">
        <f>IFERROR([1]!s_fa_invturndays($A1219,TEXT($B$1,"yyyy/mm/dd")),"")</f>
        <v>0</v>
      </c>
    </row>
    <row r="1220" spans="1:16">
      <c r="A1220" t="s">
        <v>1233</v>
      </c>
      <c r="B1220">
        <f>IFERROR([1]!s_stm07_is($A1220,"W70156729",TEXT($B$1,"yyyy/mm/dd"),1),"")</f>
        <v>38798611000</v>
      </c>
      <c r="C1220">
        <f>IFERROR([1]!s_stm07_is($A1220,"W75682424",TEXT($B$1,"yyyy/mm/dd"),1),"")</f>
        <v>0</v>
      </c>
      <c r="D1220">
        <f>IFERROR([1]!s_stm07_is($A1220,"W76031679",TEXT($B$1,"yyyy/mm/dd"),1),"")</f>
        <v>0</v>
      </c>
      <c r="E1220">
        <f>IFERROR([1]!s_stm07_is($A1220,"W70752487",TEXT($B$1,"yyyy/mm/dd"),1),"")</f>
        <v>11650019000</v>
      </c>
      <c r="F1220">
        <f>IFERROR([1]!s_stm07_is_103($A1220,TEXT($B$1,"yyyy/mm/dd"),1),"")</f>
        <v>0</v>
      </c>
      <c r="G1220">
        <f>IFERROR([1]!s_stm07_is_104($A1220,TEXT($B$1,"yyyy/mm/dd"),1),"")</f>
        <v>0</v>
      </c>
      <c r="H1220">
        <f>IFERROR([1]!s_stm07_is_105($A1220,TEXT($B$1,"yyyy/mm/dd"),1),"")</f>
        <v>0</v>
      </c>
      <c r="I1220">
        <f>IFERROR([1]!s_stm07_is($A1220,"W72946623",TEXT($B$1,"yyyy/mm/dd"),1),"")</f>
        <v>21188742000</v>
      </c>
      <c r="J1220">
        <f>IFERROR([1]!s_stm07_is($A1220,"W30028333",TEXT($B$1,"yyyy/mm/dd"),1),"")</f>
        <v>19029250000</v>
      </c>
      <c r="K1220">
        <f>IFERROR([1]!s_stm07_cs($A1220,"W77130581",TEXT($B$1,"yyyy/mm/dd"),1),"")</f>
        <v>159340863000</v>
      </c>
      <c r="L1220">
        <f>IFERROR([1]!s_stm07_cs($A1220,"W77745895",TEXT($B$1,"yyyy/mm/dd"),1),"")</f>
        <v>533333000</v>
      </c>
      <c r="M1220">
        <f>IFERROR([1]!S_FA_EPS_basic2($A1220,$B$1,"Cur=CNY"),"")</f>
        <v>2.66</v>
      </c>
      <c r="N1220">
        <f>IFERROR([1]!s_fa_arturndays($A1220,TEXT($B$1,"yyyy/mm/dd")),"")</f>
        <v>0</v>
      </c>
      <c r="O1220" t="str">
        <f>IFERROR([1]!fa_apturndays($A1220,TEXT($B$1,"yyyy/mm/dd")),"")</f>
        <v>Fetch...</v>
      </c>
      <c r="P1220">
        <f>IFERROR([1]!s_fa_invturndays($A1220,TEXT($B$1,"yyyy/mm/dd")),"")</f>
        <v>0</v>
      </c>
    </row>
    <row r="1221" spans="1:16">
      <c r="A1221" t="s">
        <v>1234</v>
      </c>
      <c r="B1221">
        <f>IFERROR([1]!s_stm07_is($A1221,"W70156729",TEXT($B$1,"yyyy/mm/dd"),1),"")</f>
        <v>1850594872.6900001</v>
      </c>
      <c r="C1221">
        <f>IFERROR([1]!s_stm07_is($A1221,"W75682424",TEXT($B$1,"yyyy/mm/dd"),1),"")</f>
        <v>0</v>
      </c>
      <c r="D1221">
        <f>IFERROR([1]!s_stm07_is($A1221,"W76031679",TEXT($B$1,"yyyy/mm/dd"),1),"")</f>
        <v>0</v>
      </c>
      <c r="E1221">
        <f>IFERROR([1]!s_stm07_is($A1221,"W70752487",TEXT($B$1,"yyyy/mm/dd"),1),"")</f>
        <v>881967691.63999999</v>
      </c>
      <c r="F1221">
        <f>IFERROR([1]!s_stm07_is_103($A1221,TEXT($B$1,"yyyy/mm/dd"),1),"")</f>
        <v>0</v>
      </c>
      <c r="G1221">
        <f>IFERROR([1]!s_stm07_is_104($A1221,TEXT($B$1,"yyyy/mm/dd"),1),"")</f>
        <v>0</v>
      </c>
      <c r="H1221">
        <f>IFERROR([1]!s_stm07_is_105($A1221,TEXT($B$1,"yyyy/mm/dd"),1),"")</f>
        <v>0</v>
      </c>
      <c r="I1221">
        <f>IFERROR([1]!s_stm07_is($A1221,"W72946623",TEXT($B$1,"yyyy/mm/dd"),1),"")</f>
        <v>814917142.83000004</v>
      </c>
      <c r="J1221">
        <f>IFERROR([1]!s_stm07_is($A1221,"W30028333",TEXT($B$1,"yyyy/mm/dd"),1),"")</f>
        <v>651800708.04999995</v>
      </c>
      <c r="K1221">
        <f>IFERROR([1]!s_stm07_cs($A1221,"W77130581",TEXT($B$1,"yyyy/mm/dd"),1),"")</f>
        <v>-4988097532.4499998</v>
      </c>
      <c r="L1221">
        <f>IFERROR([1]!s_stm07_cs($A1221,"W77745895",TEXT($B$1,"yyyy/mm/dd"),1),"")</f>
        <v>45503923.299999997</v>
      </c>
      <c r="M1221">
        <f>IFERROR([1]!S_FA_EPS_basic2($A1221,$B$1,"Cur=CNY"),"")</f>
        <v>0.45</v>
      </c>
      <c r="N1221">
        <f>IFERROR([1]!s_fa_arturndays($A1221,TEXT($B$1,"yyyy/mm/dd")),"")</f>
        <v>0</v>
      </c>
      <c r="O1221" t="str">
        <f>IFERROR([1]!fa_apturndays($A1221,TEXT($B$1,"yyyy/mm/dd")),"")</f>
        <v>Fetch...</v>
      </c>
      <c r="P1221">
        <f>IFERROR([1]!s_fa_invturndays($A1221,TEXT($B$1,"yyyy/mm/dd")),"")</f>
        <v>0</v>
      </c>
    </row>
    <row r="1222" spans="1:16">
      <c r="A1222" t="s">
        <v>1235</v>
      </c>
      <c r="B1222">
        <f>IFERROR([1]!s_stm07_is($A1222,"W70156729",TEXT($B$1,"yyyy/mm/dd"),1),"")</f>
        <v>9965625000</v>
      </c>
      <c r="C1222">
        <f>IFERROR([1]!s_stm07_is($A1222,"W75682424",TEXT($B$1,"yyyy/mm/dd"),1),"")</f>
        <v>0</v>
      </c>
      <c r="D1222">
        <f>IFERROR([1]!s_stm07_is($A1222,"W76031679",TEXT($B$1,"yyyy/mm/dd"),1),"")</f>
        <v>0</v>
      </c>
      <c r="E1222">
        <f>IFERROR([1]!s_stm07_is($A1222,"W70752487",TEXT($B$1,"yyyy/mm/dd"),1),"")</f>
        <v>2047296000</v>
      </c>
      <c r="F1222">
        <f>IFERROR([1]!s_stm07_is_103($A1222,TEXT($B$1,"yyyy/mm/dd"),1),"")</f>
        <v>0</v>
      </c>
      <c r="G1222">
        <f>IFERROR([1]!s_stm07_is_104($A1222,TEXT($B$1,"yyyy/mm/dd"),1),"")</f>
        <v>0</v>
      </c>
      <c r="H1222">
        <f>IFERROR([1]!s_stm07_is_105($A1222,TEXT($B$1,"yyyy/mm/dd"),1),"")</f>
        <v>0</v>
      </c>
      <c r="I1222">
        <f>IFERROR([1]!s_stm07_is($A1222,"W72946623",TEXT($B$1,"yyyy/mm/dd"),1),"")</f>
        <v>2483048000</v>
      </c>
      <c r="J1222">
        <f>IFERROR([1]!s_stm07_is($A1222,"W30028333",TEXT($B$1,"yyyy/mm/dd"),1),"")</f>
        <v>2649947000</v>
      </c>
      <c r="K1222">
        <f>IFERROR([1]!s_stm07_cs($A1222,"W77130581",TEXT($B$1,"yyyy/mm/dd"),1),"")</f>
        <v>-13883039000</v>
      </c>
      <c r="L1222">
        <f>IFERROR([1]!s_stm07_cs($A1222,"W77745895",TEXT($B$1,"yyyy/mm/dd"),1),"")</f>
        <v>38305000</v>
      </c>
      <c r="M1222">
        <f>IFERROR([1]!S_FA_EPS_basic2($A1222,$B$1,"Cur=CNY"),"")</f>
        <v>0.6</v>
      </c>
      <c r="N1222">
        <f>IFERROR([1]!s_fa_arturndays($A1222,TEXT($B$1,"yyyy/mm/dd")),"")</f>
        <v>0</v>
      </c>
      <c r="O1222" t="str">
        <f>IFERROR([1]!fa_apturndays($A1222,TEXT($B$1,"yyyy/mm/dd")),"")</f>
        <v>Fetch...</v>
      </c>
      <c r="P1222">
        <f>IFERROR([1]!s_fa_invturndays($A1222,TEXT($B$1,"yyyy/mm/dd")),"")</f>
        <v>0</v>
      </c>
    </row>
    <row r="1223" spans="1:16">
      <c r="A1223" t="s">
        <v>1236</v>
      </c>
      <c r="B1223">
        <f>IFERROR([1]!s_stm07_is($A1223,"W70156729",TEXT($B$1,"yyyy/mm/dd"),1),"")</f>
        <v>5421158920.6899996</v>
      </c>
      <c r="C1223">
        <f>IFERROR([1]!s_stm07_is($A1223,"W75682424",TEXT($B$1,"yyyy/mm/dd"),1),"")</f>
        <v>4200845696.27</v>
      </c>
      <c r="D1223">
        <f>IFERROR([1]!s_stm07_is($A1223,"W76031679",TEXT($B$1,"yyyy/mm/dd"),1),"")</f>
        <v>328724211.13</v>
      </c>
      <c r="E1223">
        <f>IFERROR([1]!s_stm07_is($A1223,"W70752487",TEXT($B$1,"yyyy/mm/dd"),1),"")</f>
        <v>388472515.89999998</v>
      </c>
      <c r="F1223">
        <f>IFERROR([1]!s_stm07_is_103($A1223,TEXT($B$1,"yyyy/mm/dd"),1),"")</f>
        <v>226064198.31</v>
      </c>
      <c r="G1223">
        <f>IFERROR([1]!s_stm07_is_104($A1223,TEXT($B$1,"yyyy/mm/dd"),1),"")</f>
        <v>22167282.809999999</v>
      </c>
      <c r="H1223">
        <f>IFERROR([1]!s_stm07_is_105($A1223,TEXT($B$1,"yyyy/mm/dd"),1),"")</f>
        <v>13796495.84</v>
      </c>
      <c r="I1223">
        <f>IFERROR([1]!s_stm07_is($A1223,"W72946623",TEXT($B$1,"yyyy/mm/dd"),1),"")</f>
        <v>137048984.65000001</v>
      </c>
      <c r="J1223">
        <f>IFERROR([1]!s_stm07_is($A1223,"W30028333",TEXT($B$1,"yyyy/mm/dd"),1),"")</f>
        <v>77017241.109999999</v>
      </c>
      <c r="K1223">
        <f>IFERROR([1]!s_stm07_cs($A1223,"W77130581",TEXT($B$1,"yyyy/mm/dd"),1),"")</f>
        <v>745373644.63</v>
      </c>
      <c r="L1223">
        <f>IFERROR([1]!s_stm07_cs($A1223,"W77745895",TEXT($B$1,"yyyy/mm/dd"),1),"")</f>
        <v>540315396.69000006</v>
      </c>
      <c r="M1223">
        <f>IFERROR([1]!S_FA_EPS_basic2($A1223,$B$1,"Cur=CNY"),"")</f>
        <v>4.7E-2</v>
      </c>
      <c r="N1223">
        <f>IFERROR([1]!s_fa_arturndays($A1223,TEXT($B$1,"yyyy/mm/dd")),"")</f>
        <v>10.302300000000001</v>
      </c>
      <c r="O1223" t="str">
        <f>IFERROR([1]!fa_apturndays($A1223,TEXT($B$1,"yyyy/mm/dd")),"")</f>
        <v>Fetch...</v>
      </c>
      <c r="P1223">
        <f>IFERROR([1]!s_fa_invturndays($A1223,TEXT($B$1,"yyyy/mm/dd")),"")</f>
        <v>44.188000000000002</v>
      </c>
    </row>
    <row r="1224" spans="1:16">
      <c r="A1224" t="s">
        <v>1237</v>
      </c>
      <c r="B1224">
        <f>IFERROR([1]!s_stm07_is($A1224,"W70156729",TEXT($B$1,"yyyy/mm/dd"),1),"")</f>
        <v>38980388748</v>
      </c>
      <c r="C1224">
        <f>IFERROR([1]!s_stm07_is($A1224,"W75682424",TEXT($B$1,"yyyy/mm/dd"),1),"")</f>
        <v>23540910619</v>
      </c>
      <c r="D1224">
        <f>IFERROR([1]!s_stm07_is($A1224,"W76031679",TEXT($B$1,"yyyy/mm/dd"),1),"")</f>
        <v>0</v>
      </c>
      <c r="E1224">
        <f>IFERROR([1]!s_stm07_is($A1224,"W70752487",TEXT($B$1,"yyyy/mm/dd"),1),"")</f>
        <v>1573913194</v>
      </c>
      <c r="F1224">
        <f>IFERROR([1]!s_stm07_is_103($A1224,TEXT($B$1,"yyyy/mm/dd"),1),"")</f>
        <v>0</v>
      </c>
      <c r="G1224">
        <f>IFERROR([1]!s_stm07_is_104($A1224,TEXT($B$1,"yyyy/mm/dd"),1),"")</f>
        <v>5995275493</v>
      </c>
      <c r="H1224">
        <f>IFERROR([1]!s_stm07_is_105($A1224,TEXT($B$1,"yyyy/mm/dd"),1),"")</f>
        <v>34133945</v>
      </c>
      <c r="I1224">
        <f>IFERROR([1]!s_stm07_is($A1224,"W72946623",TEXT($B$1,"yyyy/mm/dd"),1),"")</f>
        <v>9236309042</v>
      </c>
      <c r="J1224">
        <f>IFERROR([1]!s_stm07_is($A1224,"W30028333",TEXT($B$1,"yyyy/mm/dd"),1),"")</f>
        <v>7262870120</v>
      </c>
      <c r="K1224">
        <f>IFERROR([1]!s_stm07_cs($A1224,"W77130581",TEXT($B$1,"yyyy/mm/dd"),1),"")</f>
        <v>31830794795</v>
      </c>
      <c r="L1224">
        <f>IFERROR([1]!s_stm07_cs($A1224,"W77745895",TEXT($B$1,"yyyy/mm/dd"),1),"")</f>
        <v>75343508035</v>
      </c>
      <c r="M1224">
        <f>IFERROR([1]!S_FA_EPS_basic2($A1224,$B$1,"Cur=CNY"),"")</f>
        <v>0.18</v>
      </c>
      <c r="N1224">
        <f>IFERROR([1]!s_fa_arturndays($A1224,TEXT($B$1,"yyyy/mm/dd")),"")</f>
        <v>419.33609999999999</v>
      </c>
      <c r="O1224" t="str">
        <f>IFERROR([1]!fa_apturndays($A1224,TEXT($B$1,"yyyy/mm/dd")),"")</f>
        <v>Fetch...</v>
      </c>
      <c r="P1224">
        <f>IFERROR([1]!s_fa_invturndays($A1224,TEXT($B$1,"yyyy/mm/dd")),"")</f>
        <v>1.4293</v>
      </c>
    </row>
    <row r="1225" spans="1:16">
      <c r="A1225" t="s">
        <v>1238</v>
      </c>
      <c r="B1225">
        <f>IFERROR([1]!s_stm07_is($A1225,"W70156729",TEXT($B$1,"yyyy/mm/dd"),1),"")</f>
        <v>7413175929.8000002</v>
      </c>
      <c r="C1225">
        <f>IFERROR([1]!s_stm07_is($A1225,"W75682424",TEXT($B$1,"yyyy/mm/dd"),1),"")</f>
        <v>5206105391.04</v>
      </c>
      <c r="D1225">
        <f>IFERROR([1]!s_stm07_is($A1225,"W76031679",TEXT($B$1,"yyyy/mm/dd"),1),"")</f>
        <v>40238011.219999999</v>
      </c>
      <c r="E1225">
        <f>IFERROR([1]!s_stm07_is($A1225,"W70752487",TEXT($B$1,"yyyy/mm/dd"),1),"")</f>
        <v>442532717.61000001</v>
      </c>
      <c r="F1225">
        <f>IFERROR([1]!s_stm07_is_103($A1225,TEXT($B$1,"yyyy/mm/dd"),1),"")</f>
        <v>371525190.58999997</v>
      </c>
      <c r="G1225">
        <f>IFERROR([1]!s_stm07_is_104($A1225,TEXT($B$1,"yyyy/mm/dd"),1),"")</f>
        <v>109269055.88</v>
      </c>
      <c r="H1225">
        <f>IFERROR([1]!s_stm07_is_105($A1225,TEXT($B$1,"yyyy/mm/dd"),1),"")</f>
        <v>122089457.8</v>
      </c>
      <c r="I1225">
        <f>IFERROR([1]!s_stm07_is($A1225,"W72946623",TEXT($B$1,"yyyy/mm/dd"),1),"")</f>
        <v>1391478706.6700001</v>
      </c>
      <c r="J1225">
        <f>IFERROR([1]!s_stm07_is($A1225,"W30028333",TEXT($B$1,"yyyy/mm/dd"),1),"")</f>
        <v>1171469577.5</v>
      </c>
      <c r="K1225">
        <f>IFERROR([1]!s_stm07_cs($A1225,"W77130581",TEXT($B$1,"yyyy/mm/dd"),1),"")</f>
        <v>2025088578.6800001</v>
      </c>
      <c r="L1225">
        <f>IFERROR([1]!s_stm07_cs($A1225,"W77745895",TEXT($B$1,"yyyy/mm/dd"),1),"")</f>
        <v>1295750483.1900001</v>
      </c>
      <c r="M1225">
        <f>IFERROR([1]!S_FA_EPS_basic2($A1225,$B$1,"Cur=CNY"),"")</f>
        <v>1.18</v>
      </c>
      <c r="N1225">
        <f>IFERROR([1]!s_fa_arturndays($A1225,TEXT($B$1,"yyyy/mm/dd")),"")</f>
        <v>111.03230000000001</v>
      </c>
      <c r="O1225" t="str">
        <f>IFERROR([1]!fa_apturndays($A1225,TEXT($B$1,"yyyy/mm/dd")),"")</f>
        <v>Fetch...</v>
      </c>
      <c r="P1225">
        <f>IFERROR([1]!s_fa_invturndays($A1225,TEXT($B$1,"yyyy/mm/dd")),"")</f>
        <v>93.068899999999999</v>
      </c>
    </row>
    <row r="1226" spans="1:16">
      <c r="A1226" t="s">
        <v>1239</v>
      </c>
      <c r="B1226">
        <f>IFERROR([1]!s_stm07_is($A1226,"W70156729",TEXT($B$1,"yyyy/mm/dd"),1),"")</f>
        <v>398220000000</v>
      </c>
      <c r="C1226">
        <f>IFERROR([1]!s_stm07_is($A1226,"W75682424",TEXT($B$1,"yyyy/mm/dd"),1),"")</f>
        <v>193261000000</v>
      </c>
      <c r="D1226">
        <f>IFERROR([1]!s_stm07_is($A1226,"W76031679",TEXT($B$1,"yyyy/mm/dd"),1),"")</f>
        <v>3926000000</v>
      </c>
      <c r="E1226">
        <f>IFERROR([1]!s_stm07_is($A1226,"W70752487",TEXT($B$1,"yyyy/mm/dd"),1),"")</f>
        <v>7769000000</v>
      </c>
      <c r="F1226">
        <f>IFERROR([1]!s_stm07_is_103($A1226,TEXT($B$1,"yyyy/mm/dd"),1),"")</f>
        <v>1659000000</v>
      </c>
      <c r="G1226">
        <f>IFERROR([1]!s_stm07_is_104($A1226,TEXT($B$1,"yyyy/mm/dd"),1),"")</f>
        <v>2666000000</v>
      </c>
      <c r="H1226">
        <f>IFERROR([1]!s_stm07_is_105($A1226,TEXT($B$1,"yyyy/mm/dd"),1),"")</f>
        <v>5062000000</v>
      </c>
      <c r="I1226">
        <f>IFERROR([1]!s_stm07_is($A1226,"W72946623",TEXT($B$1,"yyyy/mm/dd"),1),"")</f>
        <v>169639000000</v>
      </c>
      <c r="J1226">
        <f>IFERROR([1]!s_stm07_is($A1226,"W30028333",TEXT($B$1,"yyyy/mm/dd"),1),"")</f>
        <v>122082000000</v>
      </c>
      <c r="K1226">
        <f>IFERROR([1]!s_stm07_cs($A1226,"W77130581",TEXT($B$1,"yyyy/mm/dd"),1),"")</f>
        <v>209042000000</v>
      </c>
      <c r="L1226">
        <f>IFERROR([1]!s_stm07_cs($A1226,"W77745895",TEXT($B$1,"yyyy/mm/dd"),1),"")</f>
        <v>111555000000</v>
      </c>
      <c r="M1226">
        <f>IFERROR([1]!S_FA_EPS_basic2($A1226,$B$1,"Cur=CNY"),"")</f>
        <v>2.57</v>
      </c>
      <c r="N1226">
        <f>IFERROR([1]!s_fa_arturndays($A1226,TEXT($B$1,"yyyy/mm/dd")),"")</f>
        <v>29.531199999999998</v>
      </c>
      <c r="O1226" t="str">
        <f>IFERROR([1]!fa_apturndays($A1226,TEXT($B$1,"yyyy/mm/dd")),"")</f>
        <v>Fetch...</v>
      </c>
      <c r="P1226">
        <f>IFERROR([1]!s_fa_invturndays($A1226,TEXT($B$1,"yyyy/mm/dd")),"")</f>
        <v>11.0108</v>
      </c>
    </row>
    <row r="1227" spans="1:16">
      <c r="A1227" t="s">
        <v>1240</v>
      </c>
      <c r="B1227">
        <f>IFERROR([1]!s_stm07_is($A1227,"W70156729",TEXT($B$1,"yyyy/mm/dd"),1),"")</f>
        <v>1050187000000</v>
      </c>
      <c r="C1227">
        <f>IFERROR([1]!s_stm07_is($A1227,"W75682424",TEXT($B$1,"yyyy/mm/dd"),1),"")</f>
        <v>747016000000</v>
      </c>
      <c r="D1227">
        <f>IFERROR([1]!s_stm07_is($A1227,"W76031679",TEXT($B$1,"yyyy/mm/dd"),1),"")</f>
        <v>56184000000</v>
      </c>
      <c r="E1227">
        <f>IFERROR([1]!s_stm07_is($A1227,"W70752487",TEXT($B$1,"yyyy/mm/dd"),1),"")</f>
        <v>55821000000</v>
      </c>
      <c r="F1227">
        <f>IFERROR([1]!s_stm07_is_103($A1227,TEXT($B$1,"yyyy/mm/dd"),1),"")</f>
        <v>29253000000</v>
      </c>
      <c r="G1227">
        <f>IFERROR([1]!s_stm07_is_104($A1227,TEXT($B$1,"yyyy/mm/dd"),1),"")</f>
        <v>3657000000</v>
      </c>
      <c r="H1227">
        <f>IFERROR([1]!s_stm07_is_105($A1227,TEXT($B$1,"yyyy/mm/dd"),1),"")</f>
        <v>5292000000</v>
      </c>
      <c r="I1227">
        <f>IFERROR([1]!s_stm07_is($A1227,"W72946623",TEXT($B$1,"yyyy/mm/dd"),1),"")</f>
        <v>175608000000</v>
      </c>
      <c r="J1227">
        <f>IFERROR([1]!s_stm07_is($A1227,"W30028333",TEXT($B$1,"yyyy/mm/dd"),1),"")</f>
        <v>137095000000</v>
      </c>
      <c r="K1227">
        <f>IFERROR([1]!s_stm07_cs($A1227,"W77130581",TEXT($B$1,"yyyy/mm/dd"),1),"")</f>
        <v>232919000000</v>
      </c>
      <c r="L1227">
        <f>IFERROR([1]!s_stm07_cs($A1227,"W77745895",TEXT($B$1,"yyyy/mm/dd"),1),"")</f>
        <v>156951000000</v>
      </c>
      <c r="M1227">
        <f>IFERROR([1]!S_FA_EPS_basic2($A1227,$B$1,"Cur=CNY"),"")</f>
        <v>6.35</v>
      </c>
      <c r="N1227">
        <f>IFERROR([1]!s_fa_arturndays($A1227,TEXT($B$1,"yyyy/mm/dd")),"")</f>
        <v>30.081</v>
      </c>
      <c r="O1227" t="str">
        <f>IFERROR([1]!fa_apturndays($A1227,TEXT($B$1,"yyyy/mm/dd")),"")</f>
        <v>Fetch...</v>
      </c>
      <c r="P1227">
        <f>IFERROR([1]!s_fa_invturndays($A1227,TEXT($B$1,"yyyy/mm/dd")),"")</f>
        <v>16.5503</v>
      </c>
    </row>
    <row r="1228" spans="1:16">
      <c r="A1228" t="s">
        <v>1241</v>
      </c>
      <c r="B1228">
        <f>IFERROR([1]!s_stm07_is($A1228,"W70156729",TEXT($B$1,"yyyy/mm/dd"),1),"")</f>
        <v>15358190328.790001</v>
      </c>
      <c r="C1228">
        <f>IFERROR([1]!s_stm07_is($A1228,"W75682424",TEXT($B$1,"yyyy/mm/dd"),1),"")</f>
        <v>0</v>
      </c>
      <c r="D1228">
        <f>IFERROR([1]!s_stm07_is($A1228,"W76031679",TEXT($B$1,"yyyy/mm/dd"),1),"")</f>
        <v>0</v>
      </c>
      <c r="E1228">
        <f>IFERROR([1]!s_stm07_is($A1228,"W70752487",TEXT($B$1,"yyyy/mm/dd"),1),"")</f>
        <v>8351522528.0799999</v>
      </c>
      <c r="F1228">
        <f>IFERROR([1]!s_stm07_is_103($A1228,TEXT($B$1,"yyyy/mm/dd"),1),"")</f>
        <v>0</v>
      </c>
      <c r="G1228">
        <f>IFERROR([1]!s_stm07_is_104($A1228,TEXT($B$1,"yyyy/mm/dd"),1),"")</f>
        <v>0</v>
      </c>
      <c r="H1228">
        <f>IFERROR([1]!s_stm07_is_105($A1228,TEXT($B$1,"yyyy/mm/dd"),1),"")</f>
        <v>0</v>
      </c>
      <c r="I1228">
        <f>IFERROR([1]!s_stm07_is($A1228,"W72946623",TEXT($B$1,"yyyy/mm/dd"),1),"")</f>
        <v>6644139996.6800003</v>
      </c>
      <c r="J1228">
        <f>IFERROR([1]!s_stm07_is($A1228,"W30028333",TEXT($B$1,"yyyy/mm/dd"),1),"")</f>
        <v>5633559541.4099998</v>
      </c>
      <c r="K1228">
        <f>IFERROR([1]!s_stm07_cs($A1228,"W77130581",TEXT($B$1,"yyyy/mm/dd"),1),"")</f>
        <v>195871201.86000001</v>
      </c>
      <c r="L1228">
        <f>IFERROR([1]!s_stm07_cs($A1228,"W77745895",TEXT($B$1,"yyyy/mm/dd"),1),"")</f>
        <v>326037310.72000003</v>
      </c>
      <c r="M1228">
        <f>IFERROR([1]!S_FA_EPS_basic2($A1228,$B$1,"Cur=CNY"),"")</f>
        <v>0.65</v>
      </c>
      <c r="N1228">
        <f>IFERROR([1]!s_fa_arturndays($A1228,TEXT($B$1,"yyyy/mm/dd")),"")</f>
        <v>0</v>
      </c>
      <c r="O1228" t="str">
        <f>IFERROR([1]!fa_apturndays($A1228,TEXT($B$1,"yyyy/mm/dd")),"")</f>
        <v>Fetch...</v>
      </c>
      <c r="P1228">
        <f>IFERROR([1]!s_fa_invturndays($A1228,TEXT($B$1,"yyyy/mm/dd")),"")</f>
        <v>0</v>
      </c>
    </row>
    <row r="1229" spans="1:16">
      <c r="A1229" t="s">
        <v>1242</v>
      </c>
      <c r="B1229">
        <f>IFERROR([1]!s_stm07_is($A1229,"W70156729",TEXT($B$1,"yyyy/mm/dd"),1),"")</f>
        <v>7988358629.2399998</v>
      </c>
      <c r="C1229">
        <f>IFERROR([1]!s_stm07_is($A1229,"W75682424",TEXT($B$1,"yyyy/mm/dd"),1),"")</f>
        <v>6216159220.4399996</v>
      </c>
      <c r="D1229">
        <f>IFERROR([1]!s_stm07_is($A1229,"W76031679",TEXT($B$1,"yyyy/mm/dd"),1),"")</f>
        <v>544347784.96000004</v>
      </c>
      <c r="E1229">
        <f>IFERROR([1]!s_stm07_is($A1229,"W70752487",TEXT($B$1,"yyyy/mm/dd"),1),"")</f>
        <v>1267134381.1900001</v>
      </c>
      <c r="F1229">
        <f>IFERROR([1]!s_stm07_is_103($A1229,TEXT($B$1,"yyyy/mm/dd"),1),"")</f>
        <v>136827307.47</v>
      </c>
      <c r="G1229">
        <f>IFERROR([1]!s_stm07_is_104($A1229,TEXT($B$1,"yyyy/mm/dd"),1),"")</f>
        <v>97917326.890000001</v>
      </c>
      <c r="H1229">
        <f>IFERROR([1]!s_stm07_is_105($A1229,TEXT($B$1,"yyyy/mm/dd"),1),"")</f>
        <v>105987840.02</v>
      </c>
      <c r="I1229">
        <f>IFERROR([1]!s_stm07_is($A1229,"W72946623",TEXT($B$1,"yyyy/mm/dd"),1),"")</f>
        <v>320354757.93000001</v>
      </c>
      <c r="J1229">
        <f>IFERROR([1]!s_stm07_is($A1229,"W30028333",TEXT($B$1,"yyyy/mm/dd"),1),"")</f>
        <v>258399935.11000001</v>
      </c>
      <c r="K1229">
        <f>IFERROR([1]!s_stm07_cs($A1229,"W77130581",TEXT($B$1,"yyyy/mm/dd"),1),"")</f>
        <v>1406813627.3499999</v>
      </c>
      <c r="L1229">
        <f>IFERROR([1]!s_stm07_cs($A1229,"W77745895",TEXT($B$1,"yyyy/mm/dd"),1),"")</f>
        <v>1047565670.5</v>
      </c>
      <c r="M1229">
        <f>IFERROR([1]!S_FA_EPS_basic2($A1229,$B$1,"Cur=CNY"),"")</f>
        <v>0.05</v>
      </c>
      <c r="N1229">
        <f>IFERROR([1]!s_fa_arturndays($A1229,TEXT($B$1,"yyyy/mm/dd")),"")</f>
        <v>86.405500000000004</v>
      </c>
      <c r="O1229" t="str">
        <f>IFERROR([1]!fa_apturndays($A1229,TEXT($B$1,"yyyy/mm/dd")),"")</f>
        <v>Fetch...</v>
      </c>
      <c r="P1229">
        <f>IFERROR([1]!s_fa_invturndays($A1229,TEXT($B$1,"yyyy/mm/dd")),"")</f>
        <v>105.83880000000001</v>
      </c>
    </row>
    <row r="1230" spans="1:16">
      <c r="A1230" t="s">
        <v>1243</v>
      </c>
      <c r="B1230">
        <f>IFERROR([1]!s_stm07_is($A1230,"W70156729",TEXT($B$1,"yyyy/mm/dd"),1),"")</f>
        <v>22246423224.049999</v>
      </c>
      <c r="C1230">
        <f>IFERROR([1]!s_stm07_is($A1230,"W75682424",TEXT($B$1,"yyyy/mm/dd"),1),"")</f>
        <v>19655628916.18</v>
      </c>
      <c r="D1230">
        <f>IFERROR([1]!s_stm07_is($A1230,"W76031679",TEXT($B$1,"yyyy/mm/dd"),1),"")</f>
        <v>23669392.460000001</v>
      </c>
      <c r="E1230">
        <f>IFERROR([1]!s_stm07_is($A1230,"W70752487",TEXT($B$1,"yyyy/mm/dd"),1),"")</f>
        <v>488303374.12</v>
      </c>
      <c r="F1230">
        <f>IFERROR([1]!s_stm07_is_103($A1230,TEXT($B$1,"yyyy/mm/dd"),1),"")</f>
        <v>154687267.59</v>
      </c>
      <c r="G1230">
        <f>IFERROR([1]!s_stm07_is_104($A1230,TEXT($B$1,"yyyy/mm/dd"),1),"")</f>
        <v>30179733.59</v>
      </c>
      <c r="H1230">
        <f>IFERROR([1]!s_stm07_is_105($A1230,TEXT($B$1,"yyyy/mm/dd"),1),"")</f>
        <v>11333918.529999999</v>
      </c>
      <c r="I1230">
        <f>IFERROR([1]!s_stm07_is($A1230,"W72946623",TEXT($B$1,"yyyy/mm/dd"),1),"")</f>
        <v>1331014793.79</v>
      </c>
      <c r="J1230">
        <f>IFERROR([1]!s_stm07_is($A1230,"W30028333",TEXT($B$1,"yyyy/mm/dd"),1),"")</f>
        <v>1125228980.3099999</v>
      </c>
      <c r="K1230">
        <f>IFERROR([1]!s_stm07_cs($A1230,"W77130581",TEXT($B$1,"yyyy/mm/dd"),1),"")</f>
        <v>1840260773.23</v>
      </c>
      <c r="L1230">
        <f>IFERROR([1]!s_stm07_cs($A1230,"W77745895",TEXT($B$1,"yyyy/mm/dd"),1),"")</f>
        <v>196779388.25</v>
      </c>
      <c r="M1230">
        <f>IFERROR([1]!S_FA_EPS_basic2($A1230,$B$1,"Cur=CNY"),"")</f>
        <v>0.99</v>
      </c>
      <c r="N1230">
        <f>IFERROR([1]!s_fa_arturndays($A1230,TEXT($B$1,"yyyy/mm/dd")),"")</f>
        <v>3.5682999999999998</v>
      </c>
      <c r="O1230" t="str">
        <f>IFERROR([1]!fa_apturndays($A1230,TEXT($B$1,"yyyy/mm/dd")),"")</f>
        <v>Fetch...</v>
      </c>
      <c r="P1230">
        <f>IFERROR([1]!s_fa_invturndays($A1230,TEXT($B$1,"yyyy/mm/dd")),"")</f>
        <v>40.043199999999999</v>
      </c>
    </row>
    <row r="1231" spans="1:16">
      <c r="A1231" t="s">
        <v>1244</v>
      </c>
      <c r="B1231">
        <f>IFERROR([1]!s_stm07_is($A1231,"W70156729",TEXT($B$1,"yyyy/mm/dd"),1),"")</f>
        <v>8665099230.2000008</v>
      </c>
      <c r="C1231">
        <f>IFERROR([1]!s_stm07_is($A1231,"W75682424",TEXT($B$1,"yyyy/mm/dd"),1),"")</f>
        <v>7756448899.0200005</v>
      </c>
      <c r="D1231">
        <f>IFERROR([1]!s_stm07_is($A1231,"W76031679",TEXT($B$1,"yyyy/mm/dd"),1),"")</f>
        <v>107476878.86</v>
      </c>
      <c r="E1231">
        <f>IFERROR([1]!s_stm07_is($A1231,"W70752487",TEXT($B$1,"yyyy/mm/dd"),1),"")</f>
        <v>217771972.65000001</v>
      </c>
      <c r="F1231">
        <f>IFERROR([1]!s_stm07_is_103($A1231,TEXT($B$1,"yyyy/mm/dd"),1),"")</f>
        <v>311827076.70999998</v>
      </c>
      <c r="G1231">
        <f>IFERROR([1]!s_stm07_is_104($A1231,TEXT($B$1,"yyyy/mm/dd"),1),"")</f>
        <v>171499154.81</v>
      </c>
      <c r="H1231">
        <f>IFERROR([1]!s_stm07_is_105($A1231,TEXT($B$1,"yyyy/mm/dd"),1),"")</f>
        <v>17880098.18</v>
      </c>
      <c r="I1231">
        <f>IFERROR([1]!s_stm07_is($A1231,"W72946623",TEXT($B$1,"yyyy/mm/dd"),1),"")</f>
        <v>-249893479.25999999</v>
      </c>
      <c r="J1231">
        <f>IFERROR([1]!s_stm07_is($A1231,"W30028333",TEXT($B$1,"yyyy/mm/dd"),1),"")</f>
        <v>-234966477.66</v>
      </c>
      <c r="K1231">
        <f>IFERROR([1]!s_stm07_cs($A1231,"W77130581",TEXT($B$1,"yyyy/mm/dd"),1),"")</f>
        <v>-476802626.50999999</v>
      </c>
      <c r="L1231">
        <f>IFERROR([1]!s_stm07_cs($A1231,"W77745895",TEXT($B$1,"yyyy/mm/dd"),1),"")</f>
        <v>786350959.57000005</v>
      </c>
      <c r="M1231">
        <f>IFERROR([1]!S_FA_EPS_basic2($A1231,$B$1,"Cur=CNY"),"")</f>
        <v>-0.13</v>
      </c>
      <c r="N1231">
        <f>IFERROR([1]!s_fa_arturndays($A1231,TEXT($B$1,"yyyy/mm/dd")),"")</f>
        <v>27.9345</v>
      </c>
      <c r="O1231" t="str">
        <f>IFERROR([1]!fa_apturndays($A1231,TEXT($B$1,"yyyy/mm/dd")),"")</f>
        <v>Fetch...</v>
      </c>
      <c r="P1231">
        <f>IFERROR([1]!s_fa_invturndays($A1231,TEXT($B$1,"yyyy/mm/dd")),"")</f>
        <v>278.94</v>
      </c>
    </row>
    <row r="1232" spans="1:16">
      <c r="A1232" t="s">
        <v>1245</v>
      </c>
      <c r="B1232">
        <f>IFERROR([1]!s_stm07_is($A1232,"W70156729",TEXT($B$1,"yyyy/mm/dd"),1),"")</f>
        <v>10024719574.389999</v>
      </c>
      <c r="C1232">
        <f>IFERROR([1]!s_stm07_is($A1232,"W75682424",TEXT($B$1,"yyyy/mm/dd"),1),"")</f>
        <v>8803576840.3899994</v>
      </c>
      <c r="D1232">
        <f>IFERROR([1]!s_stm07_is($A1232,"W76031679",TEXT($B$1,"yyyy/mm/dd"),1),"")</f>
        <v>25231960.050000001</v>
      </c>
      <c r="E1232">
        <f>IFERROR([1]!s_stm07_is($A1232,"W70752487",TEXT($B$1,"yyyy/mm/dd"),1),"")</f>
        <v>418577275.74000001</v>
      </c>
      <c r="F1232">
        <f>IFERROR([1]!s_stm07_is_103($A1232,TEXT($B$1,"yyyy/mm/dd"),1),"")</f>
        <v>557203419.44000006</v>
      </c>
      <c r="G1232">
        <f>IFERROR([1]!s_stm07_is_104($A1232,TEXT($B$1,"yyyy/mm/dd"),1),"")</f>
        <v>1664387.39</v>
      </c>
      <c r="H1232">
        <f>IFERROR([1]!s_stm07_is_105($A1232,TEXT($B$1,"yyyy/mm/dd"),1),"")</f>
        <v>36396419.700000003</v>
      </c>
      <c r="I1232">
        <f>IFERROR([1]!s_stm07_is($A1232,"W72946623",TEXT($B$1,"yyyy/mm/dd"),1),"")</f>
        <v>373473599.12</v>
      </c>
      <c r="J1232">
        <f>IFERROR([1]!s_stm07_is($A1232,"W30028333",TEXT($B$1,"yyyy/mm/dd"),1),"")</f>
        <v>334821008.54000002</v>
      </c>
      <c r="K1232">
        <f>IFERROR([1]!s_stm07_cs($A1232,"W77130581",TEXT($B$1,"yyyy/mm/dd"),1),"")</f>
        <v>742835504.45000005</v>
      </c>
      <c r="L1232">
        <f>IFERROR([1]!s_stm07_cs($A1232,"W77745895",TEXT($B$1,"yyyy/mm/dd"),1),"")</f>
        <v>230402871.24000001</v>
      </c>
      <c r="M1232">
        <f>IFERROR([1]!S_FA_EPS_basic2($A1232,$B$1,"Cur=CNY"),"")</f>
        <v>0.19700000000000001</v>
      </c>
      <c r="N1232">
        <f>IFERROR([1]!s_fa_arturndays($A1232,TEXT($B$1,"yyyy/mm/dd")),"")</f>
        <v>33.577100000000002</v>
      </c>
      <c r="O1232" t="str">
        <f>IFERROR([1]!fa_apturndays($A1232,TEXT($B$1,"yyyy/mm/dd")),"")</f>
        <v>Fetch...</v>
      </c>
      <c r="P1232">
        <f>IFERROR([1]!s_fa_invturndays($A1232,TEXT($B$1,"yyyy/mm/dd")),"")</f>
        <v>146.86680000000001</v>
      </c>
    </row>
    <row r="1233" spans="1:16">
      <c r="A1233" t="s">
        <v>1246</v>
      </c>
      <c r="B1233">
        <f>IFERROR([1]!s_stm07_is($A1233,"W70156729",TEXT($B$1,"yyyy/mm/dd"),1),"")</f>
        <v>50363061030.510002</v>
      </c>
      <c r="C1233">
        <f>IFERROR([1]!s_stm07_is($A1233,"W75682424",TEXT($B$1,"yyyy/mm/dd"),1),"")</f>
        <v>42261958515.279999</v>
      </c>
      <c r="D1233">
        <f>IFERROR([1]!s_stm07_is($A1233,"W76031679",TEXT($B$1,"yyyy/mm/dd"),1),"")</f>
        <v>289335095.56</v>
      </c>
      <c r="E1233">
        <f>IFERROR([1]!s_stm07_is($A1233,"W70752487",TEXT($B$1,"yyyy/mm/dd"),1),"")</f>
        <v>1747709438.5</v>
      </c>
      <c r="F1233">
        <f>IFERROR([1]!s_stm07_is_103($A1233,TEXT($B$1,"yyyy/mm/dd"),1),"")</f>
        <v>1251094685.3099999</v>
      </c>
      <c r="G1233">
        <f>IFERROR([1]!s_stm07_is_104($A1233,TEXT($B$1,"yyyy/mm/dd"),1),"")</f>
        <v>107937252.8</v>
      </c>
      <c r="H1233">
        <f>IFERROR([1]!s_stm07_is_105($A1233,TEXT($B$1,"yyyy/mm/dd"),1),"")</f>
        <v>114426650.19</v>
      </c>
      <c r="I1233">
        <f>IFERROR([1]!s_stm07_is($A1233,"W72946623",TEXT($B$1,"yyyy/mm/dd"),1),"")</f>
        <v>4802860436.6499996</v>
      </c>
      <c r="J1233">
        <f>IFERROR([1]!s_stm07_is($A1233,"W30028333",TEXT($B$1,"yyyy/mm/dd"),1),"")</f>
        <v>3884331736.0599999</v>
      </c>
      <c r="K1233">
        <f>IFERROR([1]!s_stm07_cs($A1233,"W77130581",TEXT($B$1,"yyyy/mm/dd"),1),"")</f>
        <v>5077890352.4700003</v>
      </c>
      <c r="L1233">
        <f>IFERROR([1]!s_stm07_cs($A1233,"W77745895",TEXT($B$1,"yyyy/mm/dd"),1),"")</f>
        <v>2098154463.1500001</v>
      </c>
      <c r="M1233">
        <f>IFERROR([1]!S_FA_EPS_basic2($A1233,$B$1,"Cur=CNY"),"")</f>
        <v>0.3821</v>
      </c>
      <c r="N1233">
        <f>IFERROR([1]!s_fa_arturndays($A1233,TEXT($B$1,"yyyy/mm/dd")),"")</f>
        <v>73.496399999999994</v>
      </c>
      <c r="O1233" t="str">
        <f>IFERROR([1]!fa_apturndays($A1233,TEXT($B$1,"yyyy/mm/dd")),"")</f>
        <v>Fetch...</v>
      </c>
      <c r="P1233">
        <f>IFERROR([1]!s_fa_invturndays($A1233,TEXT($B$1,"yyyy/mm/dd")),"")</f>
        <v>33.078200000000002</v>
      </c>
    </row>
    <row r="1234" spans="1:16">
      <c r="A1234" t="s">
        <v>1247</v>
      </c>
      <c r="B1234">
        <f>IFERROR([1]!s_stm07_is($A1234,"W70156729",TEXT($B$1,"yyyy/mm/dd"),1),"")</f>
        <v>49598694416.379997</v>
      </c>
      <c r="C1234">
        <f>IFERROR([1]!s_stm07_is($A1234,"W75682424",TEXT($B$1,"yyyy/mm/dd"),1),"")</f>
        <v>40421146471.230003</v>
      </c>
      <c r="D1234">
        <f>IFERROR([1]!s_stm07_is($A1234,"W76031679",TEXT($B$1,"yyyy/mm/dd"),1),"")</f>
        <v>539513502.98000002</v>
      </c>
      <c r="E1234">
        <f>IFERROR([1]!s_stm07_is($A1234,"W70752487",TEXT($B$1,"yyyy/mm/dd"),1),"")</f>
        <v>2559659846</v>
      </c>
      <c r="F1234">
        <f>IFERROR([1]!s_stm07_is_103($A1234,TEXT($B$1,"yyyy/mm/dd"),1),"")</f>
        <v>1782895774.26</v>
      </c>
      <c r="G1234">
        <f>IFERROR([1]!s_stm07_is_104($A1234,TEXT($B$1,"yyyy/mm/dd"),1),"")</f>
        <v>192621007.03999999</v>
      </c>
      <c r="H1234">
        <f>IFERROR([1]!s_stm07_is_105($A1234,TEXT($B$1,"yyyy/mm/dd"),1),"")</f>
        <v>359640593.79000002</v>
      </c>
      <c r="I1234">
        <f>IFERROR([1]!s_stm07_is($A1234,"W72946623",TEXT($B$1,"yyyy/mm/dd"),1),"")</f>
        <v>3645845152.0700002</v>
      </c>
      <c r="J1234">
        <f>IFERROR([1]!s_stm07_is($A1234,"W30028333",TEXT($B$1,"yyyy/mm/dd"),1),"")</f>
        <v>2862141557.4499998</v>
      </c>
      <c r="K1234">
        <f>IFERROR([1]!s_stm07_cs($A1234,"W77130581",TEXT($B$1,"yyyy/mm/dd"),1),"")</f>
        <v>1783230651.0599999</v>
      </c>
      <c r="L1234">
        <f>IFERROR([1]!s_stm07_cs($A1234,"W77745895",TEXT($B$1,"yyyy/mm/dd"),1),"")</f>
        <v>536533397.68000001</v>
      </c>
      <c r="M1234">
        <f>IFERROR([1]!S_FA_EPS_basic2($A1234,$B$1,"Cur=CNY"),"")</f>
        <v>1.0900000000000001</v>
      </c>
      <c r="N1234">
        <f>IFERROR([1]!s_fa_arturndays($A1234,TEXT($B$1,"yyyy/mm/dd")),"")</f>
        <v>78.857399999999998</v>
      </c>
      <c r="O1234" t="str">
        <f>IFERROR([1]!fa_apturndays($A1234,TEXT($B$1,"yyyy/mm/dd")),"")</f>
        <v>Fetch...</v>
      </c>
      <c r="P1234">
        <f>IFERROR([1]!s_fa_invturndays($A1234,TEXT($B$1,"yyyy/mm/dd")),"")</f>
        <v>122.1084</v>
      </c>
    </row>
    <row r="1235" spans="1:16">
      <c r="A1235" t="s">
        <v>1248</v>
      </c>
      <c r="B1235">
        <f>IFERROR([1]!s_stm07_is($A1235,"W70156729",TEXT($B$1,"yyyy/mm/dd"),1),"")</f>
        <v>5532690846.0600004</v>
      </c>
      <c r="C1235">
        <f>IFERROR([1]!s_stm07_is($A1235,"W75682424",TEXT($B$1,"yyyy/mm/dd"),1),"")</f>
        <v>4279128541.1500001</v>
      </c>
      <c r="D1235">
        <f>IFERROR([1]!s_stm07_is($A1235,"W76031679",TEXT($B$1,"yyyy/mm/dd"),1),"")</f>
        <v>65780910.969999999</v>
      </c>
      <c r="E1235">
        <f>IFERROR([1]!s_stm07_is($A1235,"W70752487",TEXT($B$1,"yyyy/mm/dd"),1),"")</f>
        <v>754896057.65999997</v>
      </c>
      <c r="F1235">
        <f>IFERROR([1]!s_stm07_is_103($A1235,TEXT($B$1,"yyyy/mm/dd"),1),"")</f>
        <v>387442783.49000001</v>
      </c>
      <c r="G1235">
        <f>IFERROR([1]!s_stm07_is_104($A1235,TEXT($B$1,"yyyy/mm/dd"),1),"")</f>
        <v>64661699.060000002</v>
      </c>
      <c r="H1235">
        <f>IFERROR([1]!s_stm07_is_105($A1235,TEXT($B$1,"yyyy/mm/dd"),1),"")</f>
        <v>42459058.189999998</v>
      </c>
      <c r="I1235">
        <f>IFERROR([1]!s_stm07_is($A1235,"W72946623",TEXT($B$1,"yyyy/mm/dd"),1),"")</f>
        <v>-192220660.77000001</v>
      </c>
      <c r="J1235">
        <f>IFERROR([1]!s_stm07_is($A1235,"W30028333",TEXT($B$1,"yyyy/mm/dd"),1),"")</f>
        <v>-191755996.11000001</v>
      </c>
      <c r="K1235">
        <f>IFERROR([1]!s_stm07_cs($A1235,"W77130581",TEXT($B$1,"yyyy/mm/dd"),1),"")</f>
        <v>554712689.10000002</v>
      </c>
      <c r="L1235">
        <f>IFERROR([1]!s_stm07_cs($A1235,"W77745895",TEXT($B$1,"yyyy/mm/dd"),1),"")</f>
        <v>594522025.15999997</v>
      </c>
      <c r="M1235">
        <f>IFERROR([1]!S_FA_EPS_basic2($A1235,$B$1,"Cur=CNY"),"")</f>
        <v>-0.1598</v>
      </c>
      <c r="N1235">
        <f>IFERROR([1]!s_fa_arturndays($A1235,TEXT($B$1,"yyyy/mm/dd")),"")</f>
        <v>20.536999999999999</v>
      </c>
      <c r="O1235" t="str">
        <f>IFERROR([1]!fa_apturndays($A1235,TEXT($B$1,"yyyy/mm/dd")),"")</f>
        <v>Fetch...</v>
      </c>
      <c r="P1235">
        <f>IFERROR([1]!s_fa_invturndays($A1235,TEXT($B$1,"yyyy/mm/dd")),"")</f>
        <v>20.851299999999998</v>
      </c>
    </row>
    <row r="1236" spans="1:16">
      <c r="A1236" t="s">
        <v>1249</v>
      </c>
      <c r="B1236">
        <f>IFERROR([1]!s_stm07_is($A1236,"W70156729",TEXT($B$1,"yyyy/mm/dd"),1),"")</f>
        <v>7257738605.8599997</v>
      </c>
      <c r="C1236">
        <f>IFERROR([1]!s_stm07_is($A1236,"W75682424",TEXT($B$1,"yyyy/mm/dd"),1),"")</f>
        <v>7182102135.7700005</v>
      </c>
      <c r="D1236">
        <f>IFERROR([1]!s_stm07_is($A1236,"W76031679",TEXT($B$1,"yyyy/mm/dd"),1),"")</f>
        <v>20359608.969999999</v>
      </c>
      <c r="E1236">
        <f>IFERROR([1]!s_stm07_is($A1236,"W70752487",TEXT($B$1,"yyyy/mm/dd"),1),"")</f>
        <v>200661871.06999999</v>
      </c>
      <c r="F1236">
        <f>IFERROR([1]!s_stm07_is_103($A1236,TEXT($B$1,"yyyy/mm/dd"),1),"")</f>
        <v>161957975.91</v>
      </c>
      <c r="G1236">
        <f>IFERROR([1]!s_stm07_is_104($A1236,TEXT($B$1,"yyyy/mm/dd"),1),"")</f>
        <v>54622495.840000004</v>
      </c>
      <c r="H1236">
        <f>IFERROR([1]!s_stm07_is_105($A1236,TEXT($B$1,"yyyy/mm/dd"),1),"")</f>
        <v>5464115.5199999996</v>
      </c>
      <c r="I1236">
        <f>IFERROR([1]!s_stm07_is($A1236,"W72946623",TEXT($B$1,"yyyy/mm/dd"),1),"")</f>
        <v>-897904970.42999995</v>
      </c>
      <c r="J1236">
        <f>IFERROR([1]!s_stm07_is($A1236,"W30028333",TEXT($B$1,"yyyy/mm/dd"),1),"")</f>
        <v>-876444829.22000003</v>
      </c>
      <c r="K1236">
        <f>IFERROR([1]!s_stm07_cs($A1236,"W77130581",TEXT($B$1,"yyyy/mm/dd"),1),"")</f>
        <v>598045350.08000004</v>
      </c>
      <c r="L1236">
        <f>IFERROR([1]!s_stm07_cs($A1236,"W77745895",TEXT($B$1,"yyyy/mm/dd"),1),"")</f>
        <v>86872583.959999993</v>
      </c>
      <c r="M1236">
        <f>IFERROR([1]!S_FA_EPS_basic2($A1236,$B$1,"Cur=CNY"),"")</f>
        <v>-0.7</v>
      </c>
      <c r="N1236">
        <f>IFERROR([1]!s_fa_arturndays($A1236,TEXT($B$1,"yyyy/mm/dd")),"")</f>
        <v>6.0542999999999996</v>
      </c>
      <c r="O1236" t="str">
        <f>IFERROR([1]!fa_apturndays($A1236,TEXT($B$1,"yyyy/mm/dd")),"")</f>
        <v>Fetch...</v>
      </c>
      <c r="P1236">
        <f>IFERROR([1]!s_fa_invturndays($A1236,TEXT($B$1,"yyyy/mm/dd")),"")</f>
        <v>95.569299999999998</v>
      </c>
    </row>
    <row r="1237" spans="1:16">
      <c r="A1237" t="s">
        <v>1250</v>
      </c>
      <c r="B1237">
        <f>IFERROR([1]!s_stm07_is($A1237,"W70156729",TEXT($B$1,"yyyy/mm/dd"),1),"")</f>
        <v>4833125337.2799997</v>
      </c>
      <c r="C1237">
        <f>IFERROR([1]!s_stm07_is($A1237,"W75682424",TEXT($B$1,"yyyy/mm/dd"),1),"")</f>
        <v>4119493679.1999998</v>
      </c>
      <c r="D1237">
        <f>IFERROR([1]!s_stm07_is($A1237,"W76031679",TEXT($B$1,"yyyy/mm/dd"),1),"")</f>
        <v>172052582.78999999</v>
      </c>
      <c r="E1237">
        <f>IFERROR([1]!s_stm07_is($A1237,"W70752487",TEXT($B$1,"yyyy/mm/dd"),1),"")</f>
        <v>507943882.48000002</v>
      </c>
      <c r="F1237">
        <f>IFERROR([1]!s_stm07_is_103($A1237,TEXT($B$1,"yyyy/mm/dd"),1),"")</f>
        <v>64559537.700000003</v>
      </c>
      <c r="G1237">
        <f>IFERROR([1]!s_stm07_is_104($A1237,TEXT($B$1,"yyyy/mm/dd"),1),"")</f>
        <v>69834339.799999997</v>
      </c>
      <c r="H1237">
        <f>IFERROR([1]!s_stm07_is_105($A1237,TEXT($B$1,"yyyy/mm/dd"),1),"")</f>
        <v>127262569.11</v>
      </c>
      <c r="I1237">
        <f>IFERROR([1]!s_stm07_is($A1237,"W72946623",TEXT($B$1,"yyyy/mm/dd"),1),"")</f>
        <v>212317875.05000001</v>
      </c>
      <c r="J1237">
        <f>IFERROR([1]!s_stm07_is($A1237,"W30028333",TEXT($B$1,"yyyy/mm/dd"),1),"")</f>
        <v>116543214.5</v>
      </c>
      <c r="K1237">
        <f>IFERROR([1]!s_stm07_cs($A1237,"W77130581",TEXT($B$1,"yyyy/mm/dd"),1),"")</f>
        <v>206400337.34</v>
      </c>
      <c r="L1237">
        <f>IFERROR([1]!s_stm07_cs($A1237,"W77745895",TEXT($B$1,"yyyy/mm/dd"),1),"")</f>
        <v>194743582.93000001</v>
      </c>
      <c r="M1237">
        <f>IFERROR([1]!S_FA_EPS_basic2($A1237,$B$1,"Cur=CNY"),"")</f>
        <v>6.2E-2</v>
      </c>
      <c r="N1237">
        <f>IFERROR([1]!s_fa_arturndays($A1237,TEXT($B$1,"yyyy/mm/dd")),"")</f>
        <v>95.594700000000003</v>
      </c>
      <c r="O1237" t="str">
        <f>IFERROR([1]!fa_apturndays($A1237,TEXT($B$1,"yyyy/mm/dd")),"")</f>
        <v>Fetch...</v>
      </c>
      <c r="P1237">
        <f>IFERROR([1]!s_fa_invturndays($A1237,TEXT($B$1,"yyyy/mm/dd")),"")</f>
        <v>135.1148</v>
      </c>
    </row>
    <row r="1238" spans="1:16">
      <c r="A1238" t="s">
        <v>1251</v>
      </c>
      <c r="B1238">
        <f>IFERROR([1]!s_stm07_is($A1238,"W70156729",TEXT($B$1,"yyyy/mm/dd"),1),"")</f>
        <v>41238019308.629997</v>
      </c>
      <c r="C1238">
        <f>IFERROR([1]!s_stm07_is($A1238,"W75682424",TEXT($B$1,"yyyy/mm/dd"),1),"")</f>
        <v>33542688174.09</v>
      </c>
      <c r="D1238">
        <f>IFERROR([1]!s_stm07_is($A1238,"W76031679",TEXT($B$1,"yyyy/mm/dd"),1),"")</f>
        <v>183158376</v>
      </c>
      <c r="E1238">
        <f>IFERROR([1]!s_stm07_is($A1238,"W70752487",TEXT($B$1,"yyyy/mm/dd"),1),"")</f>
        <v>2943673350.2399998</v>
      </c>
      <c r="F1238">
        <f>IFERROR([1]!s_stm07_is_103($A1238,TEXT($B$1,"yyyy/mm/dd"),1),"")</f>
        <v>1772822036.4300001</v>
      </c>
      <c r="G1238">
        <f>IFERROR([1]!s_stm07_is_104($A1238,TEXT($B$1,"yyyy/mm/dd"),1),"")</f>
        <v>514937862.13</v>
      </c>
      <c r="H1238">
        <f>IFERROR([1]!s_stm07_is_105($A1238,TEXT($B$1,"yyyy/mm/dd"),1),"")</f>
        <v>7556997.7800000003</v>
      </c>
      <c r="I1238">
        <f>IFERROR([1]!s_stm07_is($A1238,"W72946623",TEXT($B$1,"yyyy/mm/dd"),1),"")</f>
        <v>1511182594.47</v>
      </c>
      <c r="J1238">
        <f>IFERROR([1]!s_stm07_is($A1238,"W30028333",TEXT($B$1,"yyyy/mm/dd"),1),"")</f>
        <v>1505991672.1500001</v>
      </c>
      <c r="K1238">
        <f>IFERROR([1]!s_stm07_cs($A1238,"W77130581",TEXT($B$1,"yyyy/mm/dd"),1),"")</f>
        <v>5427697559.1700001</v>
      </c>
      <c r="L1238">
        <f>IFERROR([1]!s_stm07_cs($A1238,"W77745895",TEXT($B$1,"yyyy/mm/dd"),1),"")</f>
        <v>7345700087.5600004</v>
      </c>
      <c r="M1238">
        <f>IFERROR([1]!S_FA_EPS_basic2($A1238,$B$1,"Cur=CNY"),"")</f>
        <v>0.56000000000000005</v>
      </c>
      <c r="N1238">
        <f>IFERROR([1]!s_fa_arturndays($A1238,TEXT($B$1,"yyyy/mm/dd")),"")</f>
        <v>20.443200000000001</v>
      </c>
      <c r="O1238" t="str">
        <f>IFERROR([1]!fa_apturndays($A1238,TEXT($B$1,"yyyy/mm/dd")),"")</f>
        <v>Fetch...</v>
      </c>
      <c r="P1238">
        <f>IFERROR([1]!s_fa_invturndays($A1238,TEXT($B$1,"yyyy/mm/dd")),"")</f>
        <v>32.861400000000003</v>
      </c>
    </row>
    <row r="1239" spans="1:16">
      <c r="A1239" t="s">
        <v>1252</v>
      </c>
      <c r="B1239">
        <f>IFERROR([1]!s_stm07_is($A1239,"W70156729",TEXT($B$1,"yyyy/mm/dd"),1),"")</f>
        <v>8348595716.7200003</v>
      </c>
      <c r="C1239">
        <f>IFERROR([1]!s_stm07_is($A1239,"W75682424",TEXT($B$1,"yyyy/mm/dd"),1),"")</f>
        <v>7618484246.8900003</v>
      </c>
      <c r="D1239">
        <f>IFERROR([1]!s_stm07_is($A1239,"W76031679",TEXT($B$1,"yyyy/mm/dd"),1),"")</f>
        <v>136034096.80000001</v>
      </c>
      <c r="E1239">
        <f>IFERROR([1]!s_stm07_is($A1239,"W70752487",TEXT($B$1,"yyyy/mm/dd"),1),"")</f>
        <v>228150008.75</v>
      </c>
      <c r="F1239">
        <f>IFERROR([1]!s_stm07_is_103($A1239,TEXT($B$1,"yyyy/mm/dd"),1),"")</f>
        <v>86931779.180000007</v>
      </c>
      <c r="G1239">
        <f>IFERROR([1]!s_stm07_is_104($A1239,TEXT($B$1,"yyyy/mm/dd"),1),"")</f>
        <v>73926894.959999993</v>
      </c>
      <c r="H1239">
        <f>IFERROR([1]!s_stm07_is_105($A1239,TEXT($B$1,"yyyy/mm/dd"),1),"")</f>
        <v>49903714.899999999</v>
      </c>
      <c r="I1239">
        <f>IFERROR([1]!s_stm07_is($A1239,"W72946623",TEXT($B$1,"yyyy/mm/dd"),1),"")</f>
        <v>101637090.40000001</v>
      </c>
      <c r="J1239">
        <f>IFERROR([1]!s_stm07_is($A1239,"W30028333",TEXT($B$1,"yyyy/mm/dd"),1),"")</f>
        <v>85523472.810000002</v>
      </c>
      <c r="K1239">
        <f>IFERROR([1]!s_stm07_cs($A1239,"W77130581",TEXT($B$1,"yyyy/mm/dd"),1),"")</f>
        <v>381017530.07999998</v>
      </c>
      <c r="L1239">
        <f>IFERROR([1]!s_stm07_cs($A1239,"W77745895",TEXT($B$1,"yyyy/mm/dd"),1),"")</f>
        <v>482206993.88</v>
      </c>
      <c r="M1239">
        <f>IFERROR([1]!S_FA_EPS_basic2($A1239,$B$1,"Cur=CNY"),"")</f>
        <v>0.06</v>
      </c>
      <c r="N1239">
        <f>IFERROR([1]!s_fa_arturndays($A1239,TEXT($B$1,"yyyy/mm/dd")),"")</f>
        <v>143.57499999999999</v>
      </c>
      <c r="O1239" t="str">
        <f>IFERROR([1]!fa_apturndays($A1239,TEXT($B$1,"yyyy/mm/dd")),"")</f>
        <v>Fetch...</v>
      </c>
      <c r="P1239">
        <f>IFERROR([1]!s_fa_invturndays($A1239,TEXT($B$1,"yyyy/mm/dd")),"")</f>
        <v>0</v>
      </c>
    </row>
    <row r="1240" spans="1:16">
      <c r="A1240" t="s">
        <v>1253</v>
      </c>
      <c r="B1240">
        <f>IFERROR([1]!s_stm07_is($A1240,"W70156729",TEXT($B$1,"yyyy/mm/dd"),1),"")</f>
        <v>12638506229.120001</v>
      </c>
      <c r="C1240">
        <f>IFERROR([1]!s_stm07_is($A1240,"W75682424",TEXT($B$1,"yyyy/mm/dd"),1),"")</f>
        <v>6008408689.6199999</v>
      </c>
      <c r="D1240">
        <f>IFERROR([1]!s_stm07_is($A1240,"W76031679",TEXT($B$1,"yyyy/mm/dd"),1),"")</f>
        <v>252666.85</v>
      </c>
      <c r="E1240">
        <f>IFERROR([1]!s_stm07_is($A1240,"W70752487",TEXT($B$1,"yyyy/mm/dd"),1),"")</f>
        <v>584210837.63</v>
      </c>
      <c r="F1240">
        <f>IFERROR([1]!s_stm07_is_103($A1240,TEXT($B$1,"yyyy/mm/dd"),1),"")</f>
        <v>117241958.61</v>
      </c>
      <c r="G1240">
        <f>IFERROR([1]!s_stm07_is_104($A1240,TEXT($B$1,"yyyy/mm/dd"),1),"")</f>
        <v>102888053.18000001</v>
      </c>
      <c r="H1240">
        <f>IFERROR([1]!s_stm07_is_105($A1240,TEXT($B$1,"yyyy/mm/dd"),1),"")</f>
        <v>86262030.659999996</v>
      </c>
      <c r="I1240">
        <f>IFERROR([1]!s_stm07_is($A1240,"W72946623",TEXT($B$1,"yyyy/mm/dd"),1),"")</f>
        <v>4925871489.4899998</v>
      </c>
      <c r="J1240">
        <f>IFERROR([1]!s_stm07_is($A1240,"W30028333",TEXT($B$1,"yyyy/mm/dd"),1),"")</f>
        <v>3082367791.6799998</v>
      </c>
      <c r="K1240">
        <f>IFERROR([1]!s_stm07_cs($A1240,"W77130581",TEXT($B$1,"yyyy/mm/dd"),1),"")</f>
        <v>5555589287.5</v>
      </c>
      <c r="L1240">
        <f>IFERROR([1]!s_stm07_cs($A1240,"W77745895",TEXT($B$1,"yyyy/mm/dd"),1),"")</f>
        <v>2327035602.77</v>
      </c>
      <c r="M1240">
        <f>IFERROR([1]!S_FA_EPS_basic2($A1240,$B$1,"Cur=CNY"),"")</f>
        <v>1.69</v>
      </c>
      <c r="N1240">
        <f>IFERROR([1]!s_fa_arturndays($A1240,TEXT($B$1,"yyyy/mm/dd")),"")</f>
        <v>15.0076</v>
      </c>
      <c r="O1240" t="str">
        <f>IFERROR([1]!fa_apturndays($A1240,TEXT($B$1,"yyyy/mm/dd")),"")</f>
        <v>Fetch...</v>
      </c>
      <c r="P1240">
        <f>IFERROR([1]!s_fa_invturndays($A1240,TEXT($B$1,"yyyy/mm/dd")),"")</f>
        <v>156.54900000000001</v>
      </c>
    </row>
    <row r="1241" spans="1:16">
      <c r="A1241" t="s">
        <v>1254</v>
      </c>
      <c r="B1241">
        <f>IFERROR([1]!s_stm07_is($A1241,"W70156729",TEXT($B$1,"yyyy/mm/dd"),1),"")</f>
        <v>48037593136.779999</v>
      </c>
      <c r="C1241">
        <f>IFERROR([1]!s_stm07_is($A1241,"W75682424",TEXT($B$1,"yyyy/mm/dd"),1),"")</f>
        <v>30784448772.5</v>
      </c>
      <c r="D1241">
        <f>IFERROR([1]!s_stm07_is($A1241,"W76031679",TEXT($B$1,"yyyy/mm/dd"),1),"")</f>
        <v>123588133.87</v>
      </c>
      <c r="E1241">
        <f>IFERROR([1]!s_stm07_is($A1241,"W70752487",TEXT($B$1,"yyyy/mm/dd"),1),"")</f>
        <v>1315317035.77</v>
      </c>
      <c r="F1241">
        <f>IFERROR([1]!s_stm07_is_103($A1241,TEXT($B$1,"yyyy/mm/dd"),1),"")</f>
        <v>961150998.87</v>
      </c>
      <c r="G1241">
        <f>IFERROR([1]!s_stm07_is_104($A1241,TEXT($B$1,"yyyy/mm/dd"),1),"")</f>
        <v>926383601.23000002</v>
      </c>
      <c r="H1241">
        <f>IFERROR([1]!s_stm07_is_105($A1241,TEXT($B$1,"yyyy/mm/dd"),1),"")</f>
        <v>41348675.07</v>
      </c>
      <c r="I1241">
        <f>IFERROR([1]!s_stm07_is($A1241,"W72946623",TEXT($B$1,"yyyy/mm/dd"),1),"")</f>
        <v>12987898873.709999</v>
      </c>
      <c r="J1241">
        <f>IFERROR([1]!s_stm07_is($A1241,"W30028333",TEXT($B$1,"yyyy/mm/dd"),1),"")</f>
        <v>11350295509.65</v>
      </c>
      <c r="K1241">
        <f>IFERROR([1]!s_stm07_cs($A1241,"W77130581",TEXT($B$1,"yyyy/mm/dd"),1),"")</f>
        <v>16851078343.67</v>
      </c>
      <c r="L1241">
        <f>IFERROR([1]!s_stm07_cs($A1241,"W77745895",TEXT($B$1,"yyyy/mm/dd"),1),"")</f>
        <v>6643088695.5799999</v>
      </c>
      <c r="M1241">
        <f>IFERROR([1]!S_FA_EPS_basic2($A1241,$B$1,"Cur=CNY"),"")</f>
        <v>1.56</v>
      </c>
      <c r="N1241">
        <f>IFERROR([1]!s_fa_arturndays($A1241,TEXT($B$1,"yyyy/mm/dd")),"")</f>
        <v>0.2145</v>
      </c>
      <c r="O1241" t="str">
        <f>IFERROR([1]!fa_apturndays($A1241,TEXT($B$1,"yyyy/mm/dd")),"")</f>
        <v>Fetch...</v>
      </c>
      <c r="P1241">
        <f>IFERROR([1]!s_fa_invturndays($A1241,TEXT($B$1,"yyyy/mm/dd")),"")</f>
        <v>20.707999999999998</v>
      </c>
    </row>
    <row r="1242" spans="1:16">
      <c r="A1242" t="s">
        <v>1255</v>
      </c>
      <c r="B1242">
        <f>IFERROR([1]!s_stm07_is($A1242,"W70156729",TEXT($B$1,"yyyy/mm/dd"),1),"")</f>
        <v>3866608233.1500001</v>
      </c>
      <c r="C1242">
        <f>IFERROR([1]!s_stm07_is($A1242,"W75682424",TEXT($B$1,"yyyy/mm/dd"),1),"")</f>
        <v>1964792797.4400001</v>
      </c>
      <c r="D1242">
        <f>IFERROR([1]!s_stm07_is($A1242,"W76031679",TEXT($B$1,"yyyy/mm/dd"),1),"")</f>
        <v>1014949223.52</v>
      </c>
      <c r="E1242">
        <f>IFERROR([1]!s_stm07_is($A1242,"W70752487",TEXT($B$1,"yyyy/mm/dd"),1),"")</f>
        <v>132002219.33</v>
      </c>
      <c r="F1242">
        <f>IFERROR([1]!s_stm07_is_103($A1242,TEXT($B$1,"yyyy/mm/dd"),1),"")</f>
        <v>78114581.290000007</v>
      </c>
      <c r="G1242">
        <f>IFERROR([1]!s_stm07_is_104($A1242,TEXT($B$1,"yyyy/mm/dd"),1),"")</f>
        <v>7380146.1900000004</v>
      </c>
      <c r="H1242">
        <f>IFERROR([1]!s_stm07_is_105($A1242,TEXT($B$1,"yyyy/mm/dd"),1),"")</f>
        <v>40436970.469999999</v>
      </c>
      <c r="I1242">
        <f>IFERROR([1]!s_stm07_is($A1242,"W72946623",TEXT($B$1,"yyyy/mm/dd"),1),"")</f>
        <v>709000783.90999997</v>
      </c>
      <c r="J1242">
        <f>IFERROR([1]!s_stm07_is($A1242,"W30028333",TEXT($B$1,"yyyy/mm/dd"),1),"")</f>
        <v>581492372.69000006</v>
      </c>
      <c r="K1242">
        <f>IFERROR([1]!s_stm07_cs($A1242,"W77130581",TEXT($B$1,"yyyy/mm/dd"),1),"")</f>
        <v>600440356.88</v>
      </c>
      <c r="L1242">
        <f>IFERROR([1]!s_stm07_cs($A1242,"W77745895",TEXT($B$1,"yyyy/mm/dd"),1),"")</f>
        <v>119374765.09</v>
      </c>
      <c r="M1242">
        <f>IFERROR([1]!S_FA_EPS_basic2($A1242,$B$1,"Cur=CNY"),"")</f>
        <v>1.35</v>
      </c>
      <c r="N1242">
        <f>IFERROR([1]!s_fa_arturndays($A1242,TEXT($B$1,"yyyy/mm/dd")),"")</f>
        <v>25.648299999999999</v>
      </c>
      <c r="O1242" t="str">
        <f>IFERROR([1]!fa_apturndays($A1242,TEXT($B$1,"yyyy/mm/dd")),"")</f>
        <v>Fetch...</v>
      </c>
      <c r="P1242">
        <f>IFERROR([1]!s_fa_invturndays($A1242,TEXT($B$1,"yyyy/mm/dd")),"")</f>
        <v>54.830399999999997</v>
      </c>
    </row>
    <row r="1243" spans="1:16">
      <c r="A1243" t="s">
        <v>1256</v>
      </c>
      <c r="B1243">
        <f>IFERROR([1]!s_stm07_is($A1243,"W70156729",TEXT($B$1,"yyyy/mm/dd"),1),"")</f>
        <v>7377287079.1800003</v>
      </c>
      <c r="C1243">
        <f>IFERROR([1]!s_stm07_is($A1243,"W75682424",TEXT($B$1,"yyyy/mm/dd"),1),"")</f>
        <v>3627900929.1300001</v>
      </c>
      <c r="D1243">
        <f>IFERROR([1]!s_stm07_is($A1243,"W76031679",TEXT($B$1,"yyyy/mm/dd"),1),"")</f>
        <v>768065</v>
      </c>
      <c r="E1243">
        <f>IFERROR([1]!s_stm07_is($A1243,"W70752487",TEXT($B$1,"yyyy/mm/dd"),1),"")</f>
        <v>412954177.69999999</v>
      </c>
      <c r="F1243">
        <f>IFERROR([1]!s_stm07_is_103($A1243,TEXT($B$1,"yyyy/mm/dd"),1),"")</f>
        <v>82926192.379999995</v>
      </c>
      <c r="G1243">
        <f>IFERROR([1]!s_stm07_is_104($A1243,TEXT($B$1,"yyyy/mm/dd"),1),"")</f>
        <v>473514433.50999999</v>
      </c>
      <c r="H1243">
        <f>IFERROR([1]!s_stm07_is_105($A1243,TEXT($B$1,"yyyy/mm/dd"),1),"")</f>
        <v>23498769.559999999</v>
      </c>
      <c r="I1243">
        <f>IFERROR([1]!s_stm07_is($A1243,"W72946623",TEXT($B$1,"yyyy/mm/dd"),1),"")</f>
        <v>2604838549.0900002</v>
      </c>
      <c r="J1243">
        <f>IFERROR([1]!s_stm07_is($A1243,"W30028333",TEXT($B$1,"yyyy/mm/dd"),1),"")</f>
        <v>1688500849.52</v>
      </c>
      <c r="K1243">
        <f>IFERROR([1]!s_stm07_cs($A1243,"W77130581",TEXT($B$1,"yyyy/mm/dd"),1),"")</f>
        <v>4622572896.75</v>
      </c>
      <c r="L1243">
        <f>IFERROR([1]!s_stm07_cs($A1243,"W77745895",TEXT($B$1,"yyyy/mm/dd"),1),"")</f>
        <v>8617427074.8799992</v>
      </c>
      <c r="M1243">
        <f>IFERROR([1]!S_FA_EPS_basic2($A1243,$B$1,"Cur=CNY"),"")</f>
        <v>0.53</v>
      </c>
      <c r="N1243">
        <f>IFERROR([1]!s_fa_arturndays($A1243,TEXT($B$1,"yyyy/mm/dd")),"")</f>
        <v>24.855699999999999</v>
      </c>
      <c r="O1243" t="str">
        <f>IFERROR([1]!fa_apturndays($A1243,TEXT($B$1,"yyyy/mm/dd")),"")</f>
        <v>Fetch...</v>
      </c>
      <c r="P1243">
        <f>IFERROR([1]!s_fa_invturndays($A1243,TEXT($B$1,"yyyy/mm/dd")),"")</f>
        <v>23.573599999999999</v>
      </c>
    </row>
    <row r="1244" spans="1:16">
      <c r="A1244" t="s">
        <v>1257</v>
      </c>
      <c r="B1244">
        <f>IFERROR([1]!s_stm07_is($A1244,"W70156729",TEXT($B$1,"yyyy/mm/dd"),1),"")</f>
        <v>1265015467.3399999</v>
      </c>
      <c r="C1244">
        <f>IFERROR([1]!s_stm07_is($A1244,"W75682424",TEXT($B$1,"yyyy/mm/dd"),1),"")</f>
        <v>1521979425.53</v>
      </c>
      <c r="D1244">
        <f>IFERROR([1]!s_stm07_is($A1244,"W76031679",TEXT($B$1,"yyyy/mm/dd"),1),"")</f>
        <v>48024518.310000002</v>
      </c>
      <c r="E1244">
        <f>IFERROR([1]!s_stm07_is($A1244,"W70752487",TEXT($B$1,"yyyy/mm/dd"),1),"")</f>
        <v>273075006.13</v>
      </c>
      <c r="F1244">
        <f>IFERROR([1]!s_stm07_is_103($A1244,TEXT($B$1,"yyyy/mm/dd"),1),"")</f>
        <v>0</v>
      </c>
      <c r="G1244">
        <f>IFERROR([1]!s_stm07_is_104($A1244,TEXT($B$1,"yyyy/mm/dd"),1),"")</f>
        <v>337347427.86000001</v>
      </c>
      <c r="H1244">
        <f>IFERROR([1]!s_stm07_is_105($A1244,TEXT($B$1,"yyyy/mm/dd"),1),"")</f>
        <v>34065706.850000001</v>
      </c>
      <c r="I1244">
        <f>IFERROR([1]!s_stm07_is($A1244,"W72946623",TEXT($B$1,"yyyy/mm/dd"),1),"")</f>
        <v>-1343956775.0799999</v>
      </c>
      <c r="J1244">
        <f>IFERROR([1]!s_stm07_is($A1244,"W30028333",TEXT($B$1,"yyyy/mm/dd"),1),"")</f>
        <v>-1320528327.8299999</v>
      </c>
      <c r="K1244">
        <f>IFERROR([1]!s_stm07_cs($A1244,"W77130581",TEXT($B$1,"yyyy/mm/dd"),1),"")</f>
        <v>351108482.56999999</v>
      </c>
      <c r="L1244">
        <f>IFERROR([1]!s_stm07_cs($A1244,"W77745895",TEXT($B$1,"yyyy/mm/dd"),1),"")</f>
        <v>180515980.16999999</v>
      </c>
      <c r="M1244">
        <f>IFERROR([1]!S_FA_EPS_basic2($A1244,$B$1,"Cur=CNY"),"")</f>
        <v>-1.06</v>
      </c>
      <c r="N1244">
        <f>IFERROR([1]!s_fa_arturndays($A1244,TEXT($B$1,"yyyy/mm/dd")),"")</f>
        <v>801.4248</v>
      </c>
      <c r="O1244" t="str">
        <f>IFERROR([1]!fa_apturndays($A1244,TEXT($B$1,"yyyy/mm/dd")),"")</f>
        <v>Fetch...</v>
      </c>
      <c r="P1244">
        <f>IFERROR([1]!s_fa_invturndays($A1244,TEXT($B$1,"yyyy/mm/dd")),"")</f>
        <v>55.0047</v>
      </c>
    </row>
    <row r="1245" spans="1:16">
      <c r="A1245" t="s">
        <v>1258</v>
      </c>
      <c r="B1245">
        <f>IFERROR([1]!s_stm07_is($A1245,"W70156729",TEXT($B$1,"yyyy/mm/dd"),1),"")</f>
        <v>17391470613.419998</v>
      </c>
      <c r="C1245">
        <f>IFERROR([1]!s_stm07_is($A1245,"W75682424",TEXT($B$1,"yyyy/mm/dd"),1),"")</f>
        <v>15741787589.5</v>
      </c>
      <c r="D1245">
        <f>IFERROR([1]!s_stm07_is($A1245,"W76031679",TEXT($B$1,"yyyy/mm/dd"),1),"")</f>
        <v>179590078.13</v>
      </c>
      <c r="E1245">
        <f>IFERROR([1]!s_stm07_is($A1245,"W70752487",TEXT($B$1,"yyyy/mm/dd"),1),"")</f>
        <v>679090959.37</v>
      </c>
      <c r="F1245">
        <f>IFERROR([1]!s_stm07_is_103($A1245,TEXT($B$1,"yyyy/mm/dd"),1),"")</f>
        <v>506406575.92000002</v>
      </c>
      <c r="G1245">
        <f>IFERROR([1]!s_stm07_is_104($A1245,TEXT($B$1,"yyyy/mm/dd"),1),"")</f>
        <v>139188025.88999999</v>
      </c>
      <c r="H1245">
        <f>IFERROR([1]!s_stm07_is_105($A1245,TEXT($B$1,"yyyy/mm/dd"),1),"")</f>
        <v>88376279.25</v>
      </c>
      <c r="I1245">
        <f>IFERROR([1]!s_stm07_is($A1245,"W72946623",TEXT($B$1,"yyyy/mm/dd"),1),"")</f>
        <v>-38589296.689999998</v>
      </c>
      <c r="J1245">
        <f>IFERROR([1]!s_stm07_is($A1245,"W30028333",TEXT($B$1,"yyyy/mm/dd"),1),"")</f>
        <v>-32374262.489999998</v>
      </c>
      <c r="K1245">
        <f>IFERROR([1]!s_stm07_cs($A1245,"W77130581",TEXT($B$1,"yyyy/mm/dd"),1),"")</f>
        <v>-677414295.13</v>
      </c>
      <c r="L1245">
        <f>IFERROR([1]!s_stm07_cs($A1245,"W77745895",TEXT($B$1,"yyyy/mm/dd"),1),"")</f>
        <v>839209263.05999994</v>
      </c>
      <c r="M1245">
        <f>IFERROR([1]!S_FA_EPS_basic2($A1245,$B$1,"Cur=CNY"),"")</f>
        <v>-0.02</v>
      </c>
      <c r="N1245">
        <f>IFERROR([1]!s_fa_arturndays($A1245,TEXT($B$1,"yyyy/mm/dd")),"")</f>
        <v>15.8028</v>
      </c>
      <c r="O1245" t="str">
        <f>IFERROR([1]!fa_apturndays($A1245,TEXT($B$1,"yyyy/mm/dd")),"")</f>
        <v>Fetch...</v>
      </c>
      <c r="P1245">
        <f>IFERROR([1]!s_fa_invturndays($A1245,TEXT($B$1,"yyyy/mm/dd")),"")</f>
        <v>29.954599999999999</v>
      </c>
    </row>
    <row r="1246" spans="1:16">
      <c r="A1246" t="s">
        <v>1259</v>
      </c>
      <c r="B1246">
        <f>IFERROR([1]!s_stm07_is($A1246,"W70156729",TEXT($B$1,"yyyy/mm/dd"),1),"")</f>
        <v>161389993006.56</v>
      </c>
      <c r="C1246">
        <f>IFERROR([1]!s_stm07_is($A1246,"W75682424",TEXT($B$1,"yyyy/mm/dd"),1),"")</f>
        <v>148840428200.51001</v>
      </c>
      <c r="D1246">
        <f>IFERROR([1]!s_stm07_is($A1246,"W76031679",TEXT($B$1,"yyyy/mm/dd"),1),"")</f>
        <v>5009184847.96</v>
      </c>
      <c r="E1246">
        <f>IFERROR([1]!s_stm07_is($A1246,"W70752487",TEXT($B$1,"yyyy/mm/dd"),1),"")</f>
        <v>3095315486.2199998</v>
      </c>
      <c r="F1246">
        <f>IFERROR([1]!s_stm07_is_103($A1246,TEXT($B$1,"yyyy/mm/dd"),1),"")</f>
        <v>128838125.02</v>
      </c>
      <c r="G1246">
        <f>IFERROR([1]!s_stm07_is_104($A1246,TEXT($B$1,"yyyy/mm/dd"),1),"")</f>
        <v>1013804657.02</v>
      </c>
      <c r="H1246">
        <f>IFERROR([1]!s_stm07_is_105($A1246,TEXT($B$1,"yyyy/mm/dd"),1),"")</f>
        <v>140935077.46000001</v>
      </c>
      <c r="I1246">
        <f>IFERROR([1]!s_stm07_is($A1246,"W72946623",TEXT($B$1,"yyyy/mm/dd"),1),"")</f>
        <v>3289816562.02</v>
      </c>
      <c r="J1246">
        <f>IFERROR([1]!s_stm07_is($A1246,"W30028333",TEXT($B$1,"yyyy/mm/dd"),1),"")</f>
        <v>2254863863.25</v>
      </c>
      <c r="K1246">
        <f>IFERROR([1]!s_stm07_cs($A1246,"W77130581",TEXT($B$1,"yyyy/mm/dd"),1),"")</f>
        <v>3440654842.71</v>
      </c>
      <c r="L1246">
        <f>IFERROR([1]!s_stm07_cs($A1246,"W77745895",TEXT($B$1,"yyyy/mm/dd"),1),"")</f>
        <v>1401990243.9100001</v>
      </c>
      <c r="M1246">
        <f>IFERROR([1]!S_FA_EPS_basic2($A1246,$B$1,"Cur=CNY"),"")</f>
        <v>0.44</v>
      </c>
      <c r="N1246">
        <f>IFERROR([1]!s_fa_arturndays($A1246,TEXT($B$1,"yyyy/mm/dd")),"")</f>
        <v>65.053600000000003</v>
      </c>
      <c r="O1246" t="str">
        <f>IFERROR([1]!fa_apturndays($A1246,TEXT($B$1,"yyyy/mm/dd")),"")</f>
        <v>Fetch...</v>
      </c>
      <c r="P1246">
        <f>IFERROR([1]!s_fa_invturndays($A1246,TEXT($B$1,"yyyy/mm/dd")),"")</f>
        <v>64.229500000000002</v>
      </c>
    </row>
    <row r="1247" spans="1:16">
      <c r="A1247" t="s">
        <v>1260</v>
      </c>
      <c r="B1247">
        <f>IFERROR([1]!s_stm07_is($A1247,"W70156729",TEXT($B$1,"yyyy/mm/dd"),1),"")</f>
        <v>24971732131.98</v>
      </c>
      <c r="C1247">
        <f>IFERROR([1]!s_stm07_is($A1247,"W75682424",TEXT($B$1,"yyyy/mm/dd"),1),"")</f>
        <v>0</v>
      </c>
      <c r="D1247">
        <f>IFERROR([1]!s_stm07_is($A1247,"W76031679",TEXT($B$1,"yyyy/mm/dd"),1),"")</f>
        <v>0</v>
      </c>
      <c r="E1247">
        <f>IFERROR([1]!s_stm07_is($A1247,"W70752487",TEXT($B$1,"yyyy/mm/dd"),1),"")</f>
        <v>10517973256.92</v>
      </c>
      <c r="F1247">
        <f>IFERROR([1]!s_stm07_is_103($A1247,TEXT($B$1,"yyyy/mm/dd"),1),"")</f>
        <v>0</v>
      </c>
      <c r="G1247">
        <f>IFERROR([1]!s_stm07_is_104($A1247,TEXT($B$1,"yyyy/mm/dd"),1),"")</f>
        <v>0</v>
      </c>
      <c r="H1247">
        <f>IFERROR([1]!s_stm07_is_105($A1247,TEXT($B$1,"yyyy/mm/dd"),1),"")</f>
        <v>0</v>
      </c>
      <c r="I1247">
        <f>IFERROR([1]!s_stm07_is($A1247,"W72946623",TEXT($B$1,"yyyy/mm/dd"),1),"")</f>
        <v>14076272851.32</v>
      </c>
      <c r="J1247">
        <f>IFERROR([1]!s_stm07_is($A1247,"W30028333",TEXT($B$1,"yyyy/mm/dd"),1),"")</f>
        <v>12349522678.950001</v>
      </c>
      <c r="K1247">
        <f>IFERROR([1]!s_stm07_cs($A1247,"W77130581",TEXT($B$1,"yyyy/mm/dd"),1),"")</f>
        <v>-31368505124.650002</v>
      </c>
      <c r="L1247">
        <f>IFERROR([1]!s_stm07_cs($A1247,"W77745895",TEXT($B$1,"yyyy/mm/dd"),1),"")</f>
        <v>722521799.45000005</v>
      </c>
      <c r="M1247">
        <f>IFERROR([1]!S_FA_EPS_basic2($A1247,$B$1,"Cur=CNY"),"")</f>
        <v>1.35</v>
      </c>
      <c r="N1247">
        <f>IFERROR([1]!s_fa_arturndays($A1247,TEXT($B$1,"yyyy/mm/dd")),"")</f>
        <v>0</v>
      </c>
      <c r="O1247" t="str">
        <f>IFERROR([1]!fa_apturndays($A1247,TEXT($B$1,"yyyy/mm/dd")),"")</f>
        <v>Fetch...</v>
      </c>
      <c r="P1247">
        <f>IFERROR([1]!s_fa_invturndays($A1247,TEXT($B$1,"yyyy/mm/dd")),"")</f>
        <v>0</v>
      </c>
    </row>
    <row r="1248" spans="1:16">
      <c r="A1248" t="s">
        <v>1261</v>
      </c>
      <c r="B1248">
        <f>IFERROR([1]!s_stm07_is($A1248,"W70156729",TEXT($B$1,"yyyy/mm/dd"),1),"")</f>
        <v>5683742176.1999998</v>
      </c>
      <c r="C1248">
        <f>IFERROR([1]!s_stm07_is($A1248,"W75682424",TEXT($B$1,"yyyy/mm/dd"),1),"")</f>
        <v>2921534412.0799999</v>
      </c>
      <c r="D1248">
        <f>IFERROR([1]!s_stm07_is($A1248,"W76031679",TEXT($B$1,"yyyy/mm/dd"),1),"")</f>
        <v>692938.72</v>
      </c>
      <c r="E1248">
        <f>IFERROR([1]!s_stm07_is($A1248,"W70752487",TEXT($B$1,"yyyy/mm/dd"),1),"")</f>
        <v>460621941.26999998</v>
      </c>
      <c r="F1248">
        <f>IFERROR([1]!s_stm07_is_103($A1248,TEXT($B$1,"yyyy/mm/dd"),1),"")</f>
        <v>78884783.010000005</v>
      </c>
      <c r="G1248">
        <f>IFERROR([1]!s_stm07_is_104($A1248,TEXT($B$1,"yyyy/mm/dd"),1),"")</f>
        <v>346950.40000000002</v>
      </c>
      <c r="H1248">
        <f>IFERROR([1]!s_stm07_is_105($A1248,TEXT($B$1,"yyyy/mm/dd"),1),"")</f>
        <v>170232823.02000001</v>
      </c>
      <c r="I1248">
        <f>IFERROR([1]!s_stm07_is($A1248,"W72946623",TEXT($B$1,"yyyy/mm/dd"),1),"")</f>
        <v>2739475361.8600001</v>
      </c>
      <c r="J1248">
        <f>IFERROR([1]!s_stm07_is($A1248,"W30028333",TEXT($B$1,"yyyy/mm/dd"),1),"")</f>
        <v>1998358912.5999999</v>
      </c>
      <c r="K1248">
        <f>IFERROR([1]!s_stm07_cs($A1248,"W77130581",TEXT($B$1,"yyyy/mm/dd"),1),"")</f>
        <v>1887859802.8</v>
      </c>
      <c r="L1248">
        <f>IFERROR([1]!s_stm07_cs($A1248,"W77745895",TEXT($B$1,"yyyy/mm/dd"),1),"")</f>
        <v>702871668.75</v>
      </c>
      <c r="M1248">
        <f>IFERROR([1]!S_FA_EPS_basic2($A1248,$B$1,"Cur=CNY"),"")</f>
        <v>0.3372</v>
      </c>
      <c r="N1248">
        <f>IFERROR([1]!s_fa_arturndays($A1248,TEXT($B$1,"yyyy/mm/dd")),"")</f>
        <v>15.591100000000001</v>
      </c>
      <c r="O1248" t="str">
        <f>IFERROR([1]!fa_apturndays($A1248,TEXT($B$1,"yyyy/mm/dd")),"")</f>
        <v>Fetch...</v>
      </c>
      <c r="P1248">
        <f>IFERROR([1]!s_fa_invturndays($A1248,TEXT($B$1,"yyyy/mm/dd")),"")</f>
        <v>11.9139</v>
      </c>
    </row>
    <row r="1249" spans="1:16">
      <c r="A1249" t="s">
        <v>1262</v>
      </c>
      <c r="B1249">
        <f>IFERROR([1]!s_stm07_is($A1249,"W70156729",TEXT($B$1,"yyyy/mm/dd"),1),"")</f>
        <v>13108999092.139999</v>
      </c>
      <c r="C1249">
        <f>IFERROR([1]!s_stm07_is($A1249,"W75682424",TEXT($B$1,"yyyy/mm/dd"),1),"")</f>
        <v>7580841946.3199997</v>
      </c>
      <c r="D1249">
        <f>IFERROR([1]!s_stm07_is($A1249,"W76031679",TEXT($B$1,"yyyy/mm/dd"),1),"")</f>
        <v>172005319.36000001</v>
      </c>
      <c r="E1249">
        <f>IFERROR([1]!s_stm07_is($A1249,"W70752487",TEXT($B$1,"yyyy/mm/dd"),1),"")</f>
        <v>428025495.63999999</v>
      </c>
      <c r="F1249">
        <f>IFERROR([1]!s_stm07_is_103($A1249,TEXT($B$1,"yyyy/mm/dd"),1),"")</f>
        <v>218284331.55000001</v>
      </c>
      <c r="G1249">
        <f>IFERROR([1]!s_stm07_is_104($A1249,TEXT($B$1,"yyyy/mm/dd"),1),"")</f>
        <v>120919438.43000001</v>
      </c>
      <c r="H1249">
        <f>IFERROR([1]!s_stm07_is_105($A1249,TEXT($B$1,"yyyy/mm/dd"),1),"")</f>
        <v>90919846.689999998</v>
      </c>
      <c r="I1249">
        <f>IFERROR([1]!s_stm07_is($A1249,"W72946623",TEXT($B$1,"yyyy/mm/dd"),1),"")</f>
        <v>3405591646.3499999</v>
      </c>
      <c r="J1249">
        <f>IFERROR([1]!s_stm07_is($A1249,"W30028333",TEXT($B$1,"yyyy/mm/dd"),1),"")</f>
        <v>1831477305.76</v>
      </c>
      <c r="K1249">
        <f>IFERROR([1]!s_stm07_cs($A1249,"W77130581",TEXT($B$1,"yyyy/mm/dd"),1),"")</f>
        <v>3111029310.46</v>
      </c>
      <c r="L1249">
        <f>IFERROR([1]!s_stm07_cs($A1249,"W77745895",TEXT($B$1,"yyyy/mm/dd"),1),"")</f>
        <v>907344669.01999998</v>
      </c>
      <c r="M1249">
        <f>IFERROR([1]!S_FA_EPS_basic2($A1249,$B$1,"Cur=CNY"),"")</f>
        <v>1.0900000000000001</v>
      </c>
      <c r="N1249">
        <f>IFERROR([1]!s_fa_arturndays($A1249,TEXT($B$1,"yyyy/mm/dd")),"")</f>
        <v>14.293699999999999</v>
      </c>
      <c r="O1249" t="str">
        <f>IFERROR([1]!fa_apturndays($A1249,TEXT($B$1,"yyyy/mm/dd")),"")</f>
        <v>Fetch...</v>
      </c>
      <c r="P1249">
        <f>IFERROR([1]!s_fa_invturndays($A1249,TEXT($B$1,"yyyy/mm/dd")),"")</f>
        <v>19.687799999999999</v>
      </c>
    </row>
    <row r="1250" spans="1:16">
      <c r="A1250" t="s">
        <v>1263</v>
      </c>
      <c r="B1250">
        <f>IFERROR([1]!s_stm07_is($A1250,"W70156729",TEXT($B$1,"yyyy/mm/dd"),1),"")</f>
        <v>68891055214.720001</v>
      </c>
      <c r="C1250">
        <f>IFERROR([1]!s_stm07_is($A1250,"W75682424",TEXT($B$1,"yyyy/mm/dd"),1),"")</f>
        <v>64955025162.849998</v>
      </c>
      <c r="D1250">
        <f>IFERROR([1]!s_stm07_is($A1250,"W76031679",TEXT($B$1,"yyyy/mm/dd"),1),"")</f>
        <v>46912758.18</v>
      </c>
      <c r="E1250">
        <f>IFERROR([1]!s_stm07_is($A1250,"W70752487",TEXT($B$1,"yyyy/mm/dd"),1),"")</f>
        <v>764002936.44000006</v>
      </c>
      <c r="F1250">
        <f>IFERROR([1]!s_stm07_is_103($A1250,TEXT($B$1,"yyyy/mm/dd"),1),"")</f>
        <v>789824725.08000004</v>
      </c>
      <c r="G1250">
        <f>IFERROR([1]!s_stm07_is_104($A1250,TEXT($B$1,"yyyy/mm/dd"),1),"")</f>
        <v>934307087.20000005</v>
      </c>
      <c r="H1250">
        <f>IFERROR([1]!s_stm07_is_105($A1250,TEXT($B$1,"yyyy/mm/dd"),1),"")</f>
        <v>52470297.93</v>
      </c>
      <c r="I1250">
        <f>IFERROR([1]!s_stm07_is($A1250,"W72946623",TEXT($B$1,"yyyy/mm/dd"),1),"")</f>
        <v>1573930057.51</v>
      </c>
      <c r="J1250">
        <f>IFERROR([1]!s_stm07_is($A1250,"W30028333",TEXT($B$1,"yyyy/mm/dd"),1),"")</f>
        <v>671016701.55999994</v>
      </c>
      <c r="K1250">
        <f>IFERROR([1]!s_stm07_cs($A1250,"W77130581",TEXT($B$1,"yyyy/mm/dd"),1),"")</f>
        <v>4470311999.25</v>
      </c>
      <c r="L1250">
        <f>IFERROR([1]!s_stm07_cs($A1250,"W77745895",TEXT($B$1,"yyyy/mm/dd"),1),"")</f>
        <v>1229649776.75</v>
      </c>
      <c r="M1250">
        <f>IFERROR([1]!S_FA_EPS_basic2($A1250,$B$1,"Cur=CNY"),"")</f>
        <v>0.26</v>
      </c>
      <c r="N1250">
        <f>IFERROR([1]!s_fa_arturndays($A1250,TEXT($B$1,"yyyy/mm/dd")),"")</f>
        <v>3.3073999999999999</v>
      </c>
      <c r="O1250" t="str">
        <f>IFERROR([1]!fa_apturndays($A1250,TEXT($B$1,"yyyy/mm/dd")),"")</f>
        <v>Fetch...</v>
      </c>
      <c r="P1250">
        <f>IFERROR([1]!s_fa_invturndays($A1250,TEXT($B$1,"yyyy/mm/dd")),"")</f>
        <v>32.764800000000001</v>
      </c>
    </row>
    <row r="1251" spans="1:16">
      <c r="A1251" t="s">
        <v>1264</v>
      </c>
      <c r="B1251">
        <f>IFERROR([1]!s_stm07_is($A1251,"W70156729",TEXT($B$1,"yyyy/mm/dd"),1),"")</f>
        <v>77644812382</v>
      </c>
      <c r="C1251">
        <f>IFERROR([1]!s_stm07_is($A1251,"W75682424",TEXT($B$1,"yyyy/mm/dd"),1),"")</f>
        <v>70951357550</v>
      </c>
      <c r="D1251">
        <f>IFERROR([1]!s_stm07_is($A1251,"W76031679",TEXT($B$1,"yyyy/mm/dd"),1),"")</f>
        <v>52171110</v>
      </c>
      <c r="E1251">
        <f>IFERROR([1]!s_stm07_is($A1251,"W70752487",TEXT($B$1,"yyyy/mm/dd"),1),"")</f>
        <v>918712161</v>
      </c>
      <c r="F1251">
        <f>IFERROR([1]!s_stm07_is_103($A1251,TEXT($B$1,"yyyy/mm/dd"),1),"")</f>
        <v>11719039</v>
      </c>
      <c r="G1251">
        <f>IFERROR([1]!s_stm07_is_104($A1251,TEXT($B$1,"yyyy/mm/dd"),1),"")</f>
        <v>375443621</v>
      </c>
      <c r="H1251">
        <f>IFERROR([1]!s_stm07_is_105($A1251,TEXT($B$1,"yyyy/mm/dd"),1),"")</f>
        <v>741196197</v>
      </c>
      <c r="I1251">
        <f>IFERROR([1]!s_stm07_is($A1251,"W72946623",TEXT($B$1,"yyyy/mm/dd"),1),"")</f>
        <v>8574289114</v>
      </c>
      <c r="J1251">
        <f>IFERROR([1]!s_stm07_is($A1251,"W30028333",TEXT($B$1,"yyyy/mm/dd"),1),"")</f>
        <v>5900148479</v>
      </c>
      <c r="K1251">
        <f>IFERROR([1]!s_stm07_cs($A1251,"W77130581",TEXT($B$1,"yyyy/mm/dd"),1),"")</f>
        <v>4986743179</v>
      </c>
      <c r="L1251">
        <f>IFERROR([1]!s_stm07_cs($A1251,"W77745895",TEXT($B$1,"yyyy/mm/dd"),1),"")</f>
        <v>27181359442</v>
      </c>
      <c r="M1251">
        <f>IFERROR([1]!S_FA_EPS_basic2($A1251,$B$1,"Cur=CNY"),"")</f>
        <v>0.3</v>
      </c>
      <c r="N1251">
        <f>IFERROR([1]!s_fa_arturndays($A1251,TEXT($B$1,"yyyy/mm/dd")),"")</f>
        <v>20.726500000000001</v>
      </c>
      <c r="O1251" t="str">
        <f>IFERROR([1]!fa_apturndays($A1251,TEXT($B$1,"yyyy/mm/dd")),"")</f>
        <v>Fetch...</v>
      </c>
      <c r="P1251">
        <f>IFERROR([1]!s_fa_invturndays($A1251,TEXT($B$1,"yyyy/mm/dd")),"")</f>
        <v>8.5897000000000006</v>
      </c>
    </row>
    <row r="1252" spans="1:16">
      <c r="A1252" t="s">
        <v>1265</v>
      </c>
      <c r="B1252">
        <f>IFERROR([1]!s_stm07_is($A1252,"W70156729",TEXT($B$1,"yyyy/mm/dd"),1),"")</f>
        <v>55541916000</v>
      </c>
      <c r="C1252">
        <f>IFERROR([1]!s_stm07_is($A1252,"W75682424",TEXT($B$1,"yyyy/mm/dd"),1),"")</f>
        <v>0</v>
      </c>
      <c r="D1252">
        <f>IFERROR([1]!s_stm07_is($A1252,"W76031679",TEXT($B$1,"yyyy/mm/dd"),1),"")</f>
        <v>0</v>
      </c>
      <c r="E1252">
        <f>IFERROR([1]!s_stm07_is($A1252,"W70752487",TEXT($B$1,"yyyy/mm/dd"),1),"")</f>
        <v>14479246000</v>
      </c>
      <c r="F1252">
        <f>IFERROR([1]!s_stm07_is_103($A1252,TEXT($B$1,"yyyy/mm/dd"),1),"")</f>
        <v>0</v>
      </c>
      <c r="G1252">
        <f>IFERROR([1]!s_stm07_is_104($A1252,TEXT($B$1,"yyyy/mm/dd"),1),"")</f>
        <v>0</v>
      </c>
      <c r="H1252">
        <f>IFERROR([1]!s_stm07_is_105($A1252,TEXT($B$1,"yyyy/mm/dd"),1),"")</f>
        <v>0</v>
      </c>
      <c r="I1252">
        <f>IFERROR([1]!s_stm07_is($A1252,"W72946623",TEXT($B$1,"yyyy/mm/dd"),1),"")</f>
        <v>26062180000</v>
      </c>
      <c r="J1252">
        <f>IFERROR([1]!s_stm07_is($A1252,"W30028333",TEXT($B$1,"yyyy/mm/dd"),1),"")</f>
        <v>21807089000</v>
      </c>
      <c r="K1252">
        <f>IFERROR([1]!s_stm07_cs($A1252,"W77130581",TEXT($B$1,"yyyy/mm/dd"),1),"")</f>
        <v>210207864000</v>
      </c>
      <c r="L1252">
        <f>IFERROR([1]!s_stm07_cs($A1252,"W77745895",TEXT($B$1,"yyyy/mm/dd"),1),"")</f>
        <v>815026000</v>
      </c>
      <c r="M1252">
        <f>IFERROR([1]!S_FA_EPS_basic2($A1252,$B$1,"Cur=CNY"),"")</f>
        <v>1.76</v>
      </c>
      <c r="N1252">
        <f>IFERROR([1]!s_fa_arturndays($A1252,TEXT($B$1,"yyyy/mm/dd")),"")</f>
        <v>0</v>
      </c>
      <c r="O1252" t="str">
        <f>IFERROR([1]!fa_apturndays($A1252,TEXT($B$1,"yyyy/mm/dd")),"")</f>
        <v>Fetch...</v>
      </c>
      <c r="P1252">
        <f>IFERROR([1]!s_fa_invturndays($A1252,TEXT($B$1,"yyyy/mm/dd")),"")</f>
        <v>0</v>
      </c>
    </row>
    <row r="1253" spans="1:16">
      <c r="A1253" t="s">
        <v>1266</v>
      </c>
      <c r="B1253">
        <f>IFERROR([1]!s_stm07_is($A1253,"W70156729",TEXT($B$1,"yyyy/mm/dd"),1),"")</f>
        <v>70347049950.419998</v>
      </c>
      <c r="C1253">
        <f>IFERROR([1]!s_stm07_is($A1253,"W75682424",TEXT($B$1,"yyyy/mm/dd"),1),"")</f>
        <v>69777399589.970001</v>
      </c>
      <c r="D1253">
        <f>IFERROR([1]!s_stm07_is($A1253,"W76031679",TEXT($B$1,"yyyy/mm/dd"),1),"")</f>
        <v>2035357023.4400001</v>
      </c>
      <c r="E1253">
        <f>IFERROR([1]!s_stm07_is($A1253,"W70752487",TEXT($B$1,"yyyy/mm/dd"),1),"")</f>
        <v>2618227554.71</v>
      </c>
      <c r="F1253">
        <f>IFERROR([1]!s_stm07_is_103($A1253,TEXT($B$1,"yyyy/mm/dd"),1),"")</f>
        <v>1546796943.74</v>
      </c>
      <c r="G1253">
        <f>IFERROR([1]!s_stm07_is_104($A1253,TEXT($B$1,"yyyy/mm/dd"),1),"")</f>
        <v>988119415.61000001</v>
      </c>
      <c r="H1253">
        <f>IFERROR([1]!s_stm07_is_105($A1253,TEXT($B$1,"yyyy/mm/dd"),1),"")</f>
        <v>491872570.29000002</v>
      </c>
      <c r="I1253">
        <f>IFERROR([1]!s_stm07_is($A1253,"W72946623",TEXT($B$1,"yyyy/mm/dd"),1),"")</f>
        <v>-7561633667.4099998</v>
      </c>
      <c r="J1253">
        <f>IFERROR([1]!s_stm07_is($A1253,"W30028333",TEXT($B$1,"yyyy/mm/dd"),1),"")</f>
        <v>-6419556843.8500004</v>
      </c>
      <c r="K1253">
        <f>IFERROR([1]!s_stm07_cs($A1253,"W77130581",TEXT($B$1,"yyyy/mm/dd"),1),"")</f>
        <v>4359382755.7700005</v>
      </c>
      <c r="L1253">
        <f>IFERROR([1]!s_stm07_cs($A1253,"W77745895",TEXT($B$1,"yyyy/mm/dd"),1),"")</f>
        <v>5893972740.2700005</v>
      </c>
      <c r="M1253">
        <f>IFERROR([1]!S_FA_EPS_basic2($A1253,$B$1,"Cur=CNY"),"")</f>
        <v>-0.85</v>
      </c>
      <c r="N1253">
        <f>IFERROR([1]!s_fa_arturndays($A1253,TEXT($B$1,"yyyy/mm/dd")),"")</f>
        <v>65.226799999999997</v>
      </c>
      <c r="O1253" t="str">
        <f>IFERROR([1]!fa_apturndays($A1253,TEXT($B$1,"yyyy/mm/dd")),"")</f>
        <v>Fetch...</v>
      </c>
      <c r="P1253">
        <f>IFERROR([1]!s_fa_invturndays($A1253,TEXT($B$1,"yyyy/mm/dd")),"")</f>
        <v>80.630700000000004</v>
      </c>
    </row>
    <row r="1254" spans="1:16">
      <c r="A1254" t="s">
        <v>1267</v>
      </c>
      <c r="B1254">
        <f>IFERROR([1]!s_stm07_is($A1254,"W70156729",TEXT($B$1,"yyyy/mm/dd"),1),"")</f>
        <v>4495439975.4200001</v>
      </c>
      <c r="C1254">
        <f>IFERROR([1]!s_stm07_is($A1254,"W75682424",TEXT($B$1,"yyyy/mm/dd"),1),"")</f>
        <v>2636988896.7600002</v>
      </c>
      <c r="D1254">
        <f>IFERROR([1]!s_stm07_is($A1254,"W76031679",TEXT($B$1,"yyyy/mm/dd"),1),"")</f>
        <v>15056862.5</v>
      </c>
      <c r="E1254">
        <f>IFERROR([1]!s_stm07_is($A1254,"W70752487",TEXT($B$1,"yyyy/mm/dd"),1),"")</f>
        <v>181063632.96000001</v>
      </c>
      <c r="F1254">
        <f>IFERROR([1]!s_stm07_is_103($A1254,TEXT($B$1,"yyyy/mm/dd"),1),"")</f>
        <v>24491379.260000002</v>
      </c>
      <c r="G1254">
        <f>IFERROR([1]!s_stm07_is_104($A1254,TEXT($B$1,"yyyy/mm/dd"),1),"")</f>
        <v>661626091.14999998</v>
      </c>
      <c r="H1254">
        <f>IFERROR([1]!s_stm07_is_105($A1254,TEXT($B$1,"yyyy/mm/dd"),1),"")</f>
        <v>50200823.060000002</v>
      </c>
      <c r="I1254">
        <f>IFERROR([1]!s_stm07_is($A1254,"W72946623",TEXT($B$1,"yyyy/mm/dd"),1),"")</f>
        <v>863309860.45000005</v>
      </c>
      <c r="J1254">
        <f>IFERROR([1]!s_stm07_is($A1254,"W30028333",TEXT($B$1,"yyyy/mm/dd"),1),"")</f>
        <v>685702626.16999996</v>
      </c>
      <c r="K1254">
        <f>IFERROR([1]!s_stm07_cs($A1254,"W77130581",TEXT($B$1,"yyyy/mm/dd"),1),"")</f>
        <v>3936077171.8699999</v>
      </c>
      <c r="L1254">
        <f>IFERROR([1]!s_stm07_cs($A1254,"W77745895",TEXT($B$1,"yyyy/mm/dd"),1),"")</f>
        <v>2605646505.4000001</v>
      </c>
      <c r="M1254">
        <f>IFERROR([1]!S_FA_EPS_basic2($A1254,$B$1,"Cur=CNY"),"")</f>
        <v>0.106</v>
      </c>
      <c r="N1254">
        <f>IFERROR([1]!s_fa_arturndays($A1254,TEXT($B$1,"yyyy/mm/dd")),"")</f>
        <v>612.87030000000004</v>
      </c>
      <c r="O1254" t="str">
        <f>IFERROR([1]!fa_apturndays($A1254,TEXT($B$1,"yyyy/mm/dd")),"")</f>
        <v>Fetch...</v>
      </c>
      <c r="P1254">
        <f>IFERROR([1]!s_fa_invturndays($A1254,TEXT($B$1,"yyyy/mm/dd")),"")</f>
        <v>16.626799999999999</v>
      </c>
    </row>
    <row r="1255" spans="1:16">
      <c r="A1255" t="s">
        <v>1268</v>
      </c>
      <c r="B1255">
        <f>IFERROR([1]!s_stm07_is($A1255,"W70156729",TEXT($B$1,"yyyy/mm/dd"),1),"")</f>
        <v>31020365000</v>
      </c>
      <c r="C1255">
        <f>IFERROR([1]!s_stm07_is($A1255,"W75682424",TEXT($B$1,"yyyy/mm/dd"),1),"")</f>
        <v>22067352000</v>
      </c>
      <c r="D1255">
        <f>IFERROR([1]!s_stm07_is($A1255,"W76031679",TEXT($B$1,"yyyy/mm/dd"),1),"")</f>
        <v>200000</v>
      </c>
      <c r="E1255">
        <f>IFERROR([1]!s_stm07_is($A1255,"W70752487",TEXT($B$1,"yyyy/mm/dd"),1),"")</f>
        <v>3123528000</v>
      </c>
      <c r="F1255">
        <f>IFERROR([1]!s_stm07_is_103($A1255,TEXT($B$1,"yyyy/mm/dd"),1),"")</f>
        <v>389830000</v>
      </c>
      <c r="G1255">
        <f>IFERROR([1]!s_stm07_is_104($A1255,TEXT($B$1,"yyyy/mm/dd"),1),"")</f>
        <v>164286000</v>
      </c>
      <c r="H1255">
        <f>IFERROR([1]!s_stm07_is_105($A1255,TEXT($B$1,"yyyy/mm/dd"),1),"")</f>
        <v>83523000</v>
      </c>
      <c r="I1255">
        <f>IFERROR([1]!s_stm07_is($A1255,"W72946623",TEXT($B$1,"yyyy/mm/dd"),1),"")</f>
        <v>7214648000</v>
      </c>
      <c r="J1255">
        <f>IFERROR([1]!s_stm07_is($A1255,"W30028333",TEXT($B$1,"yyyy/mm/dd"),1),"")</f>
        <v>5168472000</v>
      </c>
      <c r="K1255">
        <f>IFERROR([1]!s_stm07_cs($A1255,"W77130581",TEXT($B$1,"yyyy/mm/dd"),1),"")</f>
        <v>13446792000</v>
      </c>
      <c r="L1255">
        <f>IFERROR([1]!s_stm07_cs($A1255,"W77745895",TEXT($B$1,"yyyy/mm/dd"),1),"")</f>
        <v>7621757000</v>
      </c>
      <c r="M1255">
        <f>IFERROR([1]!S_FA_EPS_basic2($A1255,$B$1,"Cur=CNY"),"")</f>
        <v>0.27</v>
      </c>
      <c r="N1255">
        <f>IFERROR([1]!s_fa_arturndays($A1255,TEXT($B$1,"yyyy/mm/dd")),"")</f>
        <v>43.319200000000002</v>
      </c>
      <c r="O1255" t="str">
        <f>IFERROR([1]!fa_apturndays($A1255,TEXT($B$1,"yyyy/mm/dd")),"")</f>
        <v>Fetch...</v>
      </c>
      <c r="P1255">
        <f>IFERROR([1]!s_fa_invturndays($A1255,TEXT($B$1,"yyyy/mm/dd")),"")</f>
        <v>13.8308</v>
      </c>
    </row>
    <row r="1256" spans="1:16">
      <c r="A1256" t="s">
        <v>1269</v>
      </c>
      <c r="B1256">
        <f>IFERROR([1]!s_stm07_is($A1256,"W70156729",TEXT($B$1,"yyyy/mm/dd"),1),"")</f>
        <v>11179831553.209999</v>
      </c>
      <c r="C1256">
        <f>IFERROR([1]!s_stm07_is($A1256,"W75682424",TEXT($B$1,"yyyy/mm/dd"),1),"")</f>
        <v>7099462017.8199997</v>
      </c>
      <c r="D1256">
        <f>IFERROR([1]!s_stm07_is($A1256,"W76031679",TEXT($B$1,"yyyy/mm/dd"),1),"")</f>
        <v>1330690695.74</v>
      </c>
      <c r="E1256">
        <f>IFERROR([1]!s_stm07_is($A1256,"W70752487",TEXT($B$1,"yyyy/mm/dd"),1),"")</f>
        <v>1538752807.54</v>
      </c>
      <c r="F1256">
        <f>IFERROR([1]!s_stm07_is_103($A1256,TEXT($B$1,"yyyy/mm/dd"),1),"")</f>
        <v>25946409.620000001</v>
      </c>
      <c r="G1256">
        <f>IFERROR([1]!s_stm07_is_104($A1256,TEXT($B$1,"yyyy/mm/dd"),1),"")</f>
        <v>7560369.0800000001</v>
      </c>
      <c r="H1256">
        <f>IFERROR([1]!s_stm07_is_105($A1256,TEXT($B$1,"yyyy/mm/dd"),1),"")</f>
        <v>156086986.28</v>
      </c>
      <c r="I1256">
        <f>IFERROR([1]!s_stm07_is($A1256,"W72946623",TEXT($B$1,"yyyy/mm/dd"),1),"")</f>
        <v>1172617520.54</v>
      </c>
      <c r="J1256">
        <f>IFERROR([1]!s_stm07_is($A1256,"W30028333",TEXT($B$1,"yyyy/mm/dd"),1),"")</f>
        <v>1173941035.1600001</v>
      </c>
      <c r="K1256">
        <f>IFERROR([1]!s_stm07_cs($A1256,"W77130581",TEXT($B$1,"yyyy/mm/dd"),1),"")</f>
        <v>1600678297.8499999</v>
      </c>
      <c r="L1256">
        <f>IFERROR([1]!s_stm07_cs($A1256,"W77745895",TEXT($B$1,"yyyy/mm/dd"),1),"")</f>
        <v>234919681.97999999</v>
      </c>
      <c r="M1256">
        <f>IFERROR([1]!S_FA_EPS_basic2($A1256,$B$1,"Cur=CNY"),"")</f>
        <v>0.56000000000000005</v>
      </c>
      <c r="N1256">
        <f>IFERROR([1]!s_fa_arturndays($A1256,TEXT($B$1,"yyyy/mm/dd")),"")</f>
        <v>51.598100000000002</v>
      </c>
      <c r="O1256" t="str">
        <f>IFERROR([1]!fa_apturndays($A1256,TEXT($B$1,"yyyy/mm/dd")),"")</f>
        <v>Fetch...</v>
      </c>
      <c r="P1256">
        <f>IFERROR([1]!s_fa_invturndays($A1256,TEXT($B$1,"yyyy/mm/dd")),"")</f>
        <v>90.968800000000002</v>
      </c>
    </row>
    <row r="1257" spans="1:16">
      <c r="A1257" t="s">
        <v>1270</v>
      </c>
      <c r="B1257">
        <f>IFERROR([1]!s_stm07_is($A1257,"W70156729",TEXT($B$1,"yyyy/mm/dd"),1),"")</f>
        <v>2070622505.0699999</v>
      </c>
      <c r="C1257">
        <f>IFERROR([1]!s_stm07_is($A1257,"W75682424",TEXT($B$1,"yyyy/mm/dd"),1),"")</f>
        <v>1056531728.89</v>
      </c>
      <c r="D1257">
        <f>IFERROR([1]!s_stm07_is($A1257,"W76031679",TEXT($B$1,"yyyy/mm/dd"),1),"")</f>
        <v>2910439.07</v>
      </c>
      <c r="E1257">
        <f>IFERROR([1]!s_stm07_is($A1257,"W70752487",TEXT($B$1,"yyyy/mm/dd"),1),"")</f>
        <v>193818644.86000001</v>
      </c>
      <c r="F1257">
        <f>IFERROR([1]!s_stm07_is_103($A1257,TEXT($B$1,"yyyy/mm/dd"),1),"")</f>
        <v>6375393.9299999997</v>
      </c>
      <c r="G1257">
        <f>IFERROR([1]!s_stm07_is_104($A1257,TEXT($B$1,"yyyy/mm/dd"),1),"")</f>
        <v>50591416.649999999</v>
      </c>
      <c r="H1257">
        <f>IFERROR([1]!s_stm07_is_105($A1257,TEXT($B$1,"yyyy/mm/dd"),1),"")</f>
        <v>969696.28</v>
      </c>
      <c r="I1257">
        <f>IFERROR([1]!s_stm07_is($A1257,"W72946623",TEXT($B$1,"yyyy/mm/dd"),1),"")</f>
        <v>1119452294.7</v>
      </c>
      <c r="J1257">
        <f>IFERROR([1]!s_stm07_is($A1257,"W30028333",TEXT($B$1,"yyyy/mm/dd"),1),"")</f>
        <v>870733068.99000001</v>
      </c>
      <c r="K1257">
        <f>IFERROR([1]!s_stm07_cs($A1257,"W77130581",TEXT($B$1,"yyyy/mm/dd"),1),"")</f>
        <v>1044965950.2</v>
      </c>
      <c r="L1257">
        <f>IFERROR([1]!s_stm07_cs($A1257,"W77745895",TEXT($B$1,"yyyy/mm/dd"),1),"")</f>
        <v>346594494.63999999</v>
      </c>
      <c r="M1257">
        <f>IFERROR([1]!S_FA_EPS_basic2($A1257,$B$1,"Cur=CNY"),"")</f>
        <v>1.06</v>
      </c>
      <c r="N1257">
        <f>IFERROR([1]!s_fa_arturndays($A1257,TEXT($B$1,"yyyy/mm/dd")),"")</f>
        <v>10.9704</v>
      </c>
      <c r="O1257" t="str">
        <f>IFERROR([1]!fa_apturndays($A1257,TEXT($B$1,"yyyy/mm/dd")),"")</f>
        <v>Fetch...</v>
      </c>
      <c r="P1257">
        <f>IFERROR([1]!s_fa_invturndays($A1257,TEXT($B$1,"yyyy/mm/dd")),"")</f>
        <v>148.90799999999999</v>
      </c>
    </row>
    <row r="1258" spans="1:16">
      <c r="A1258" t="s">
        <v>1271</v>
      </c>
      <c r="B1258">
        <f>IFERROR([1]!s_stm07_is($A1258,"W70156729",TEXT($B$1,"yyyy/mm/dd"),1),"")</f>
        <v>21459531429</v>
      </c>
      <c r="C1258">
        <f>IFERROR([1]!s_stm07_is($A1258,"W75682424",TEXT($B$1,"yyyy/mm/dd"),1),"")</f>
        <v>18544164818</v>
      </c>
      <c r="D1258">
        <f>IFERROR([1]!s_stm07_is($A1258,"W76031679",TEXT($B$1,"yyyy/mm/dd"),1),"")</f>
        <v>258789106</v>
      </c>
      <c r="E1258">
        <f>IFERROR([1]!s_stm07_is($A1258,"W70752487",TEXT($B$1,"yyyy/mm/dd"),1),"")</f>
        <v>301549844</v>
      </c>
      <c r="F1258">
        <f>IFERROR([1]!s_stm07_is_103($A1258,TEXT($B$1,"yyyy/mm/dd"),1),"")</f>
        <v>163757390</v>
      </c>
      <c r="G1258">
        <f>IFERROR([1]!s_stm07_is_104($A1258,TEXT($B$1,"yyyy/mm/dd"),1),"")</f>
        <v>485847516</v>
      </c>
      <c r="H1258">
        <f>IFERROR([1]!s_stm07_is_105($A1258,TEXT($B$1,"yyyy/mm/dd"),1),"")</f>
        <v>209854717</v>
      </c>
      <c r="I1258">
        <f>IFERROR([1]!s_stm07_is($A1258,"W72946623",TEXT($B$1,"yyyy/mm/dd"),1),"")</f>
        <v>3030254828</v>
      </c>
      <c r="J1258">
        <f>IFERROR([1]!s_stm07_is($A1258,"W30028333",TEXT($B$1,"yyyy/mm/dd"),1),"")</f>
        <v>2317401673</v>
      </c>
      <c r="K1258">
        <f>IFERROR([1]!s_stm07_cs($A1258,"W77130581",TEXT($B$1,"yyyy/mm/dd"),1),"")</f>
        <v>6623358345</v>
      </c>
      <c r="L1258">
        <f>IFERROR([1]!s_stm07_cs($A1258,"W77745895",TEXT($B$1,"yyyy/mm/dd"),1),"")</f>
        <v>6331743500</v>
      </c>
      <c r="M1258">
        <f>IFERROR([1]!S_FA_EPS_basic2($A1258,$B$1,"Cur=CNY"),"")</f>
        <v>2.38</v>
      </c>
      <c r="N1258">
        <f>IFERROR([1]!s_fa_arturndays($A1258,TEXT($B$1,"yyyy/mm/dd")),"")</f>
        <v>2.0463</v>
      </c>
      <c r="O1258" t="str">
        <f>IFERROR([1]!fa_apturndays($A1258,TEXT($B$1,"yyyy/mm/dd")),"")</f>
        <v>Fetch...</v>
      </c>
      <c r="P1258">
        <f>IFERROR([1]!s_fa_invturndays($A1258,TEXT($B$1,"yyyy/mm/dd")),"")</f>
        <v>7.1493000000000002</v>
      </c>
    </row>
    <row r="1259" spans="1:16">
      <c r="A1259" t="s">
        <v>1272</v>
      </c>
      <c r="B1259">
        <f>IFERROR([1]!s_stm07_is($A1259,"W70156729",TEXT($B$1,"yyyy/mm/dd"),1),"")</f>
        <v>6107367153.29</v>
      </c>
      <c r="C1259">
        <f>IFERROR([1]!s_stm07_is($A1259,"W75682424",TEXT($B$1,"yyyy/mm/dd"),1),"")</f>
        <v>5124416056.8999996</v>
      </c>
      <c r="D1259">
        <f>IFERROR([1]!s_stm07_is($A1259,"W76031679",TEXT($B$1,"yyyy/mm/dd"),1),"")</f>
        <v>0</v>
      </c>
      <c r="E1259">
        <f>IFERROR([1]!s_stm07_is($A1259,"W70752487",TEXT($B$1,"yyyy/mm/dd"),1),"")</f>
        <v>190702011.50999999</v>
      </c>
      <c r="F1259">
        <f>IFERROR([1]!s_stm07_is_103($A1259,TEXT($B$1,"yyyy/mm/dd"),1),"")</f>
        <v>8002242.1699999999</v>
      </c>
      <c r="G1259">
        <f>IFERROR([1]!s_stm07_is_104($A1259,TEXT($B$1,"yyyy/mm/dd"),1),"")</f>
        <v>16577939.41</v>
      </c>
      <c r="H1259">
        <f>IFERROR([1]!s_stm07_is_105($A1259,TEXT($B$1,"yyyy/mm/dd"),1),"")</f>
        <v>43638736.880000003</v>
      </c>
      <c r="I1259">
        <f>IFERROR([1]!s_stm07_is($A1259,"W72946623",TEXT($B$1,"yyyy/mm/dd"),1),"")</f>
        <v>864854716.02999997</v>
      </c>
      <c r="J1259">
        <f>IFERROR([1]!s_stm07_is($A1259,"W30028333",TEXT($B$1,"yyyy/mm/dd"),1),"")</f>
        <v>654090036.61000001</v>
      </c>
      <c r="K1259">
        <f>IFERROR([1]!s_stm07_cs($A1259,"W77130581",TEXT($B$1,"yyyy/mm/dd"),1),"")</f>
        <v>1406780142.6600001</v>
      </c>
      <c r="L1259">
        <f>IFERROR([1]!s_stm07_cs($A1259,"W77745895",TEXT($B$1,"yyyy/mm/dd"),1),"")</f>
        <v>1494160769.21</v>
      </c>
      <c r="M1259">
        <f>IFERROR([1]!S_FA_EPS_basic2($A1259,$B$1,"Cur=CNY"),"")</f>
        <v>0.5</v>
      </c>
      <c r="N1259">
        <f>IFERROR([1]!s_fa_arturndays($A1259,TEXT($B$1,"yyyy/mm/dd")),"")</f>
        <v>59.221200000000003</v>
      </c>
      <c r="O1259" t="str">
        <f>IFERROR([1]!fa_apturndays($A1259,TEXT($B$1,"yyyy/mm/dd")),"")</f>
        <v>Fetch...</v>
      </c>
      <c r="P1259">
        <f>IFERROR([1]!s_fa_invturndays($A1259,TEXT($B$1,"yyyy/mm/dd")),"")</f>
        <v>8.3694000000000006</v>
      </c>
    </row>
    <row r="1260" spans="1:16">
      <c r="A1260" t="s">
        <v>1273</v>
      </c>
      <c r="B1260">
        <f>IFERROR([1]!s_stm07_is($A1260,"W70156729",TEXT($B$1,"yyyy/mm/dd"),1),"")</f>
        <v>4287000402.2399998</v>
      </c>
      <c r="C1260">
        <f>IFERROR([1]!s_stm07_is($A1260,"W75682424",TEXT($B$1,"yyyy/mm/dd"),1),"")</f>
        <v>2528670981.3699999</v>
      </c>
      <c r="D1260">
        <f>IFERROR([1]!s_stm07_is($A1260,"W76031679",TEXT($B$1,"yyyy/mm/dd"),1),"")</f>
        <v>240488.75</v>
      </c>
      <c r="E1260">
        <f>IFERROR([1]!s_stm07_is($A1260,"W70752487",TEXT($B$1,"yyyy/mm/dd"),1),"")</f>
        <v>305902655.33999997</v>
      </c>
      <c r="F1260">
        <f>IFERROR([1]!s_stm07_is_103($A1260,TEXT($B$1,"yyyy/mm/dd"),1),"")</f>
        <v>152802009.19999999</v>
      </c>
      <c r="G1260">
        <f>IFERROR([1]!s_stm07_is_104($A1260,TEXT($B$1,"yyyy/mm/dd"),1),"")</f>
        <v>290391591.10000002</v>
      </c>
      <c r="H1260">
        <f>IFERROR([1]!s_stm07_is_105($A1260,TEXT($B$1,"yyyy/mm/dd"),1),"")</f>
        <v>11152909.949999999</v>
      </c>
      <c r="I1260">
        <f>IFERROR([1]!s_stm07_is($A1260,"W72946623",TEXT($B$1,"yyyy/mm/dd"),1),"")</f>
        <v>982925213.62</v>
      </c>
      <c r="J1260">
        <f>IFERROR([1]!s_stm07_is($A1260,"W30028333",TEXT($B$1,"yyyy/mm/dd"),1),"")</f>
        <v>860545342.12</v>
      </c>
      <c r="K1260">
        <f>IFERROR([1]!s_stm07_cs($A1260,"W77130581",TEXT($B$1,"yyyy/mm/dd"),1),"")</f>
        <v>1826439387.8099999</v>
      </c>
      <c r="L1260">
        <f>IFERROR([1]!s_stm07_cs($A1260,"W77745895",TEXT($B$1,"yyyy/mm/dd"),1),"")</f>
        <v>858523688.91999996</v>
      </c>
      <c r="M1260">
        <f>IFERROR([1]!S_FA_EPS_basic2($A1260,$B$1,"Cur=CNY"),"")</f>
        <v>0.96</v>
      </c>
      <c r="N1260">
        <f>IFERROR([1]!s_fa_arturndays($A1260,TEXT($B$1,"yyyy/mm/dd")),"")</f>
        <v>194.0701</v>
      </c>
      <c r="O1260" t="str">
        <f>IFERROR([1]!fa_apturndays($A1260,TEXT($B$1,"yyyy/mm/dd")),"")</f>
        <v>Fetch...</v>
      </c>
      <c r="P1260">
        <f>IFERROR([1]!s_fa_invturndays($A1260,TEXT($B$1,"yyyy/mm/dd")),"")</f>
        <v>12.041499999999999</v>
      </c>
    </row>
    <row r="1261" spans="1:16">
      <c r="A1261" t="s">
        <v>1274</v>
      </c>
      <c r="B1261">
        <f>IFERROR([1]!s_stm07_is($A1261,"W70156729",TEXT($B$1,"yyyy/mm/dd"),1),"")</f>
        <v>10822591178.940001</v>
      </c>
      <c r="C1261">
        <f>IFERROR([1]!s_stm07_is($A1261,"W75682424",TEXT($B$1,"yyyy/mm/dd"),1),"")</f>
        <v>9183170444.9500008</v>
      </c>
      <c r="D1261">
        <f>IFERROR([1]!s_stm07_is($A1261,"W76031679",TEXT($B$1,"yyyy/mm/dd"),1),"")</f>
        <v>164619530.41</v>
      </c>
      <c r="E1261">
        <f>IFERROR([1]!s_stm07_is($A1261,"W70752487",TEXT($B$1,"yyyy/mm/dd"),1),"")</f>
        <v>341182329.63</v>
      </c>
      <c r="F1261">
        <f>IFERROR([1]!s_stm07_is_103($A1261,TEXT($B$1,"yyyy/mm/dd"),1),"")</f>
        <v>549374719.20000005</v>
      </c>
      <c r="G1261">
        <f>IFERROR([1]!s_stm07_is_104($A1261,TEXT($B$1,"yyyy/mm/dd"),1),"")</f>
        <v>12735453.890000001</v>
      </c>
      <c r="H1261">
        <f>IFERROR([1]!s_stm07_is_105($A1261,TEXT($B$1,"yyyy/mm/dd"),1),"")</f>
        <v>19746230.960000001</v>
      </c>
      <c r="I1261">
        <f>IFERROR([1]!s_stm07_is($A1261,"W72946623",TEXT($B$1,"yyyy/mm/dd"),1),"")</f>
        <v>936281993.22000003</v>
      </c>
      <c r="J1261">
        <f>IFERROR([1]!s_stm07_is($A1261,"W30028333",TEXT($B$1,"yyyy/mm/dd"),1),"")</f>
        <v>811953460.28999996</v>
      </c>
      <c r="K1261">
        <f>IFERROR([1]!s_stm07_cs($A1261,"W77130581",TEXT($B$1,"yyyy/mm/dd"),1),"")</f>
        <v>915718981.92999995</v>
      </c>
      <c r="L1261">
        <f>IFERROR([1]!s_stm07_cs($A1261,"W77745895",TEXT($B$1,"yyyy/mm/dd"),1),"")</f>
        <v>192925213.19999999</v>
      </c>
      <c r="M1261">
        <f>IFERROR([1]!S_FA_EPS_basic2($A1261,$B$1,"Cur=CNY"),"")</f>
        <v>0.72260000000000002</v>
      </c>
      <c r="N1261">
        <f>IFERROR([1]!s_fa_arturndays($A1261,TEXT($B$1,"yyyy/mm/dd")),"")</f>
        <v>10.462300000000001</v>
      </c>
      <c r="O1261" t="str">
        <f>IFERROR([1]!fa_apturndays($A1261,TEXT($B$1,"yyyy/mm/dd")),"")</f>
        <v>Fetch...</v>
      </c>
      <c r="P1261">
        <f>IFERROR([1]!s_fa_invturndays($A1261,TEXT($B$1,"yyyy/mm/dd")),"")</f>
        <v>49.443100000000001</v>
      </c>
    </row>
    <row r="1262" spans="1:16">
      <c r="A1262" t="s">
        <v>1275</v>
      </c>
      <c r="B1262">
        <f>IFERROR([1]!s_stm07_is($A1262,"W70156729",TEXT($B$1,"yyyy/mm/dd"),1),"")</f>
        <v>36792433957.120003</v>
      </c>
      <c r="C1262">
        <f>IFERROR([1]!s_stm07_is($A1262,"W75682424",TEXT($B$1,"yyyy/mm/dd"),1),"")</f>
        <v>27711170618.66</v>
      </c>
      <c r="D1262">
        <f>IFERROR([1]!s_stm07_is($A1262,"W76031679",TEXT($B$1,"yyyy/mm/dd"),1),"")</f>
        <v>1918609563.1099999</v>
      </c>
      <c r="E1262">
        <f>IFERROR([1]!s_stm07_is($A1262,"W70752487",TEXT($B$1,"yyyy/mm/dd"),1),"")</f>
        <v>1227879943.3599999</v>
      </c>
      <c r="F1262">
        <f>IFERROR([1]!s_stm07_is_103($A1262,TEXT($B$1,"yyyy/mm/dd"),1),"")</f>
        <v>1147383219.1500001</v>
      </c>
      <c r="G1262">
        <f>IFERROR([1]!s_stm07_is_104($A1262,TEXT($B$1,"yyyy/mm/dd"),1),"")</f>
        <v>474614483.45999998</v>
      </c>
      <c r="H1262">
        <f>IFERROR([1]!s_stm07_is_105($A1262,TEXT($B$1,"yyyy/mm/dd"),1),"")</f>
        <v>71437651.030000001</v>
      </c>
      <c r="I1262">
        <f>IFERROR([1]!s_stm07_is($A1262,"W72946623",TEXT($B$1,"yyyy/mm/dd"),1),"")</f>
        <v>4175992766.7199998</v>
      </c>
      <c r="J1262">
        <f>IFERROR([1]!s_stm07_is($A1262,"W30028333",TEXT($B$1,"yyyy/mm/dd"),1),"")</f>
        <v>3522493083.5100002</v>
      </c>
      <c r="K1262">
        <f>IFERROR([1]!s_stm07_cs($A1262,"W77130581",TEXT($B$1,"yyyy/mm/dd"),1),"")</f>
        <v>4178797505.3600001</v>
      </c>
      <c r="L1262">
        <f>IFERROR([1]!s_stm07_cs($A1262,"W77745895",TEXT($B$1,"yyyy/mm/dd"),1),"")</f>
        <v>4817731140.3599997</v>
      </c>
      <c r="M1262">
        <f>IFERROR([1]!S_FA_EPS_basic2($A1262,$B$1,"Cur=CNY"),"")</f>
        <v>1.08</v>
      </c>
      <c r="N1262">
        <f>IFERROR([1]!s_fa_arturndays($A1262,TEXT($B$1,"yyyy/mm/dd")),"")</f>
        <v>53.522799999999997</v>
      </c>
      <c r="O1262" t="str">
        <f>IFERROR([1]!fa_apturndays($A1262,TEXT($B$1,"yyyy/mm/dd")),"")</f>
        <v>Fetch...</v>
      </c>
      <c r="P1262">
        <f>IFERROR([1]!s_fa_invturndays($A1262,TEXT($B$1,"yyyy/mm/dd")),"")</f>
        <v>88.915199999999999</v>
      </c>
    </row>
    <row r="1263" spans="1:16">
      <c r="A1263" t="s">
        <v>1276</v>
      </c>
      <c r="B1263">
        <f>IFERROR([1]!s_stm07_is($A1263,"W70156729",TEXT($B$1,"yyyy/mm/dd"),1),"")</f>
        <v>4043872800.6300001</v>
      </c>
      <c r="C1263">
        <f>IFERROR([1]!s_stm07_is($A1263,"W75682424",TEXT($B$1,"yyyy/mm/dd"),1),"")</f>
        <v>0</v>
      </c>
      <c r="D1263">
        <f>IFERROR([1]!s_stm07_is($A1263,"W76031679",TEXT($B$1,"yyyy/mm/dd"),1),"")</f>
        <v>0</v>
      </c>
      <c r="E1263">
        <f>IFERROR([1]!s_stm07_is($A1263,"W70752487",TEXT($B$1,"yyyy/mm/dd"),1),"")</f>
        <v>1716025431.3499999</v>
      </c>
      <c r="F1263">
        <f>IFERROR([1]!s_stm07_is_103($A1263,TEXT($B$1,"yyyy/mm/dd"),1),"")</f>
        <v>0</v>
      </c>
      <c r="G1263">
        <f>IFERROR([1]!s_stm07_is_104($A1263,TEXT($B$1,"yyyy/mm/dd"),1),"")</f>
        <v>0</v>
      </c>
      <c r="H1263">
        <f>IFERROR([1]!s_stm07_is_105($A1263,TEXT($B$1,"yyyy/mm/dd"),1),"")</f>
        <v>0</v>
      </c>
      <c r="I1263">
        <f>IFERROR([1]!s_stm07_is($A1263,"W72946623",TEXT($B$1,"yyyy/mm/dd"),1),"")</f>
        <v>2094845573.5999999</v>
      </c>
      <c r="J1263">
        <f>IFERROR([1]!s_stm07_is($A1263,"W30028333",TEXT($B$1,"yyyy/mm/dd"),1),"")</f>
        <v>1893704022.1800001</v>
      </c>
      <c r="K1263">
        <f>IFERROR([1]!s_stm07_cs($A1263,"W77130581",TEXT($B$1,"yyyy/mm/dd"),1),"")</f>
        <v>1944687703.8299999</v>
      </c>
      <c r="L1263">
        <f>IFERROR([1]!s_stm07_cs($A1263,"W77745895",TEXT($B$1,"yyyy/mm/dd"),1),"")</f>
        <v>51536540.969999999</v>
      </c>
      <c r="M1263">
        <f>IFERROR([1]!S_FA_EPS_basic2($A1263,$B$1,"Cur=CNY"),"")</f>
        <v>0.54</v>
      </c>
      <c r="N1263">
        <f>IFERROR([1]!s_fa_arturndays($A1263,TEXT($B$1,"yyyy/mm/dd")),"")</f>
        <v>0</v>
      </c>
      <c r="O1263" t="str">
        <f>IFERROR([1]!fa_apturndays($A1263,TEXT($B$1,"yyyy/mm/dd")),"")</f>
        <v>Fetch...</v>
      </c>
      <c r="P1263">
        <f>IFERROR([1]!s_fa_invturndays($A1263,TEXT($B$1,"yyyy/mm/dd")),"")</f>
        <v>0</v>
      </c>
    </row>
    <row r="1264" spans="1:16">
      <c r="A1264" t="s">
        <v>1277</v>
      </c>
      <c r="B1264">
        <f>IFERROR([1]!s_stm07_is($A1264,"W70156729",TEXT($B$1,"yyyy/mm/dd"),1),"")</f>
        <v>141819113698.97</v>
      </c>
      <c r="C1264">
        <f>IFERROR([1]!s_stm07_is($A1264,"W75682424",TEXT($B$1,"yyyy/mm/dd"),1),"")</f>
        <v>139689669407.03</v>
      </c>
      <c r="D1264">
        <f>IFERROR([1]!s_stm07_is($A1264,"W76031679",TEXT($B$1,"yyyy/mm/dd"),1),"")</f>
        <v>269214590.35000002</v>
      </c>
      <c r="E1264">
        <f>IFERROR([1]!s_stm07_is($A1264,"W70752487",TEXT($B$1,"yyyy/mm/dd"),1),"")</f>
        <v>259333137.90000001</v>
      </c>
      <c r="F1264">
        <f>IFERROR([1]!s_stm07_is_103($A1264,TEXT($B$1,"yyyy/mm/dd"),1),"")</f>
        <v>51428820.640000001</v>
      </c>
      <c r="G1264">
        <f>IFERROR([1]!s_stm07_is_104($A1264,TEXT($B$1,"yyyy/mm/dd"),1),"")</f>
        <v>672142833.11000001</v>
      </c>
      <c r="H1264">
        <f>IFERROR([1]!s_stm07_is_105($A1264,TEXT($B$1,"yyyy/mm/dd"),1),"")</f>
        <v>411584693.88999999</v>
      </c>
      <c r="I1264">
        <f>IFERROR([1]!s_stm07_is($A1264,"W72946623",TEXT($B$1,"yyyy/mm/dd"),1),"")</f>
        <v>3270052168.3800001</v>
      </c>
      <c r="J1264">
        <f>IFERROR([1]!s_stm07_is($A1264,"W30028333",TEXT($B$1,"yyyy/mm/dd"),1),"")</f>
        <v>2689439516.8299999</v>
      </c>
      <c r="K1264">
        <f>IFERROR([1]!s_stm07_cs($A1264,"W77130581",TEXT($B$1,"yyyy/mm/dd"),1),"")</f>
        <v>187054374.16</v>
      </c>
      <c r="L1264">
        <f>IFERROR([1]!s_stm07_cs($A1264,"W77745895",TEXT($B$1,"yyyy/mm/dd"),1),"")</f>
        <v>40491333.490000002</v>
      </c>
      <c r="M1264">
        <f>IFERROR([1]!S_FA_EPS_basic2($A1264,$B$1,"Cur=CNY"),"")</f>
        <v>0.55000000000000004</v>
      </c>
      <c r="N1264">
        <f>IFERROR([1]!s_fa_arturndays($A1264,TEXT($B$1,"yyyy/mm/dd")),"")</f>
        <v>9.7210000000000001</v>
      </c>
      <c r="O1264" t="str">
        <f>IFERROR([1]!fa_apturndays($A1264,TEXT($B$1,"yyyy/mm/dd")),"")</f>
        <v>Fetch...</v>
      </c>
      <c r="P1264">
        <f>IFERROR([1]!s_fa_invturndays($A1264,TEXT($B$1,"yyyy/mm/dd")),"")</f>
        <v>36.189300000000003</v>
      </c>
    </row>
    <row r="1265" spans="1:16">
      <c r="A1265" t="s">
        <v>1278</v>
      </c>
      <c r="B1265">
        <f>IFERROR([1]!s_stm07_is($A1265,"W70156729",TEXT($B$1,"yyyy/mm/dd"),1),"")</f>
        <v>23321714460.73</v>
      </c>
      <c r="C1265">
        <f>IFERROR([1]!s_stm07_is($A1265,"W75682424",TEXT($B$1,"yyyy/mm/dd"),1),"")</f>
        <v>0</v>
      </c>
      <c r="D1265">
        <f>IFERROR([1]!s_stm07_is($A1265,"W76031679",TEXT($B$1,"yyyy/mm/dd"),1),"")</f>
        <v>0</v>
      </c>
      <c r="E1265">
        <f>IFERROR([1]!s_stm07_is($A1265,"W70752487",TEXT($B$1,"yyyy/mm/dd"),1),"")</f>
        <v>11019562515.299999</v>
      </c>
      <c r="F1265">
        <f>IFERROR([1]!s_stm07_is_103($A1265,TEXT($B$1,"yyyy/mm/dd"),1),"")</f>
        <v>0</v>
      </c>
      <c r="G1265">
        <f>IFERROR([1]!s_stm07_is_104($A1265,TEXT($B$1,"yyyy/mm/dd"),1),"")</f>
        <v>0</v>
      </c>
      <c r="H1265">
        <f>IFERROR([1]!s_stm07_is_105($A1265,TEXT($B$1,"yyyy/mm/dd"),1),"")</f>
        <v>0</v>
      </c>
      <c r="I1265">
        <f>IFERROR([1]!s_stm07_is($A1265,"W72946623",TEXT($B$1,"yyyy/mm/dd"),1),"")</f>
        <v>11736697067.879999</v>
      </c>
      <c r="J1265">
        <f>IFERROR([1]!s_stm07_is($A1265,"W30028333",TEXT($B$1,"yyyy/mm/dd"),1),"")</f>
        <v>9439423821.4599991</v>
      </c>
      <c r="K1265">
        <f>IFERROR([1]!s_stm07_cs($A1265,"W77130581",TEXT($B$1,"yyyy/mm/dd"),1),"")</f>
        <v>83051673233.710007</v>
      </c>
      <c r="L1265">
        <f>IFERROR([1]!s_stm07_cs($A1265,"W77745895",TEXT($B$1,"yyyy/mm/dd"),1),"")</f>
        <v>529438155.13</v>
      </c>
      <c r="M1265">
        <f>IFERROR([1]!S_FA_EPS_basic2($A1265,$B$1,"Cur=CNY"),"")</f>
        <v>1.0900000000000001</v>
      </c>
      <c r="N1265">
        <f>IFERROR([1]!s_fa_arturndays($A1265,TEXT($B$1,"yyyy/mm/dd")),"")</f>
        <v>0</v>
      </c>
      <c r="O1265" t="str">
        <f>IFERROR([1]!fa_apturndays($A1265,TEXT($B$1,"yyyy/mm/dd")),"")</f>
        <v>Fetch...</v>
      </c>
      <c r="P1265">
        <f>IFERROR([1]!s_fa_invturndays($A1265,TEXT($B$1,"yyyy/mm/dd")),"")</f>
        <v>0</v>
      </c>
    </row>
    <row r="1266" spans="1:16">
      <c r="A1266" t="s">
        <v>1279</v>
      </c>
      <c r="B1266">
        <f>IFERROR([1]!s_stm07_is($A1266,"W70156729",TEXT($B$1,"yyyy/mm/dd"),1),"")</f>
        <v>23059806000</v>
      </c>
      <c r="C1266">
        <f>IFERROR([1]!s_stm07_is($A1266,"W75682424",TEXT($B$1,"yyyy/mm/dd"),1),"")</f>
        <v>19937592000</v>
      </c>
      <c r="D1266">
        <f>IFERROR([1]!s_stm07_is($A1266,"W76031679",TEXT($B$1,"yyyy/mm/dd"),1),"")</f>
        <v>142379000</v>
      </c>
      <c r="E1266">
        <f>IFERROR([1]!s_stm07_is($A1266,"W70752487",TEXT($B$1,"yyyy/mm/dd"),1),"")</f>
        <v>1064578000</v>
      </c>
      <c r="F1266">
        <f>IFERROR([1]!s_stm07_is_103($A1266,TEXT($B$1,"yyyy/mm/dd"),1),"")</f>
        <v>956974000</v>
      </c>
      <c r="G1266">
        <f>IFERROR([1]!s_stm07_is_104($A1266,TEXT($B$1,"yyyy/mm/dd"),1),"")</f>
        <v>263248000</v>
      </c>
      <c r="H1266">
        <f>IFERROR([1]!s_stm07_is_105($A1266,TEXT($B$1,"yyyy/mm/dd"),1),"")</f>
        <v>79531000</v>
      </c>
      <c r="I1266">
        <f>IFERROR([1]!s_stm07_is($A1266,"W72946623",TEXT($B$1,"yyyy/mm/dd"),1),"")</f>
        <v>454190000</v>
      </c>
      <c r="J1266">
        <f>IFERROR([1]!s_stm07_is($A1266,"W30028333",TEXT($B$1,"yyyy/mm/dd"),1),"")</f>
        <v>257605000</v>
      </c>
      <c r="K1266">
        <f>IFERROR([1]!s_stm07_cs($A1266,"W77130581",TEXT($B$1,"yyyy/mm/dd"),1),"")</f>
        <v>891338000</v>
      </c>
      <c r="L1266">
        <f>IFERROR([1]!s_stm07_cs($A1266,"W77745895",TEXT($B$1,"yyyy/mm/dd"),1),"")</f>
        <v>98557000</v>
      </c>
      <c r="M1266">
        <f>IFERROR([1]!S_FA_EPS_basic2($A1266,$B$1,"Cur=CNY"),"")</f>
        <v>3.6400000000000002E-2</v>
      </c>
      <c r="N1266">
        <f>IFERROR([1]!s_fa_arturndays($A1266,TEXT($B$1,"yyyy/mm/dd")),"")</f>
        <v>254.02199999999999</v>
      </c>
      <c r="O1266" t="str">
        <f>IFERROR([1]!fa_apturndays($A1266,TEXT($B$1,"yyyy/mm/dd")),"")</f>
        <v>Fetch...</v>
      </c>
      <c r="P1266">
        <f>IFERROR([1]!s_fa_invturndays($A1266,TEXT($B$1,"yyyy/mm/dd")),"")</f>
        <v>153.19800000000001</v>
      </c>
    </row>
    <row r="1267" spans="1:16">
      <c r="A1267" t="s">
        <v>1280</v>
      </c>
      <c r="B1267">
        <f>IFERROR([1]!s_stm07_is($A1267,"W70156729",TEXT($B$1,"yyyy/mm/dd"),1),"")</f>
        <v>13567187943.540001</v>
      </c>
      <c r="C1267">
        <f>IFERROR([1]!s_stm07_is($A1267,"W75682424",TEXT($B$1,"yyyy/mm/dd"),1),"")</f>
        <v>12217716014.120001</v>
      </c>
      <c r="D1267">
        <f>IFERROR([1]!s_stm07_is($A1267,"W76031679",TEXT($B$1,"yyyy/mm/dd"),1),"")</f>
        <v>6187827.4100000001</v>
      </c>
      <c r="E1267">
        <f>IFERROR([1]!s_stm07_is($A1267,"W70752487",TEXT($B$1,"yyyy/mm/dd"),1),"")</f>
        <v>295812159.81999999</v>
      </c>
      <c r="F1267">
        <f>IFERROR([1]!s_stm07_is_103($A1267,TEXT($B$1,"yyyy/mm/dd"),1),"")</f>
        <v>68812642.120000005</v>
      </c>
      <c r="G1267">
        <f>IFERROR([1]!s_stm07_is_104($A1267,TEXT($B$1,"yyyy/mm/dd"),1),"")</f>
        <v>127427629.75</v>
      </c>
      <c r="H1267">
        <f>IFERROR([1]!s_stm07_is_105($A1267,TEXT($B$1,"yyyy/mm/dd"),1),"")</f>
        <v>100413773.59999999</v>
      </c>
      <c r="I1267">
        <f>IFERROR([1]!s_stm07_is($A1267,"W72946623",TEXT($B$1,"yyyy/mm/dd"),1),"")</f>
        <v>645289143.20000005</v>
      </c>
      <c r="J1267">
        <f>IFERROR([1]!s_stm07_is($A1267,"W30028333",TEXT($B$1,"yyyy/mm/dd"),1),"")</f>
        <v>471958360.67000002</v>
      </c>
      <c r="K1267">
        <f>IFERROR([1]!s_stm07_cs($A1267,"W77130581",TEXT($B$1,"yyyy/mm/dd"),1),"")</f>
        <v>-284982632.67000002</v>
      </c>
      <c r="L1267">
        <f>IFERROR([1]!s_stm07_cs($A1267,"W77745895",TEXT($B$1,"yyyy/mm/dd"),1),"")</f>
        <v>966525386.92999995</v>
      </c>
      <c r="M1267">
        <f>IFERROR([1]!S_FA_EPS_basic2($A1267,$B$1,"Cur=CNY"),"")</f>
        <v>0.51590000000000003</v>
      </c>
      <c r="N1267">
        <f>IFERROR([1]!s_fa_arturndays($A1267,TEXT($B$1,"yyyy/mm/dd")),"")</f>
        <v>11.8939</v>
      </c>
      <c r="O1267" t="str">
        <f>IFERROR([1]!fa_apturndays($A1267,TEXT($B$1,"yyyy/mm/dd")),"")</f>
        <v>Fetch...</v>
      </c>
      <c r="P1267">
        <f>IFERROR([1]!s_fa_invturndays($A1267,TEXT($B$1,"yyyy/mm/dd")),"")</f>
        <v>40.551499999999997</v>
      </c>
    </row>
    <row r="1268" spans="1:16">
      <c r="A1268" t="s">
        <v>1281</v>
      </c>
      <c r="B1268">
        <f>IFERROR([1]!s_stm07_is($A1268,"W70156729",TEXT($B$1,"yyyy/mm/dd"),1),"")</f>
        <v>28648293000</v>
      </c>
      <c r="C1268">
        <f>IFERROR([1]!s_stm07_is($A1268,"W75682424",TEXT($B$1,"yyyy/mm/dd"),1),"")</f>
        <v>0</v>
      </c>
      <c r="D1268">
        <f>IFERROR([1]!s_stm07_is($A1268,"W76031679",TEXT($B$1,"yyyy/mm/dd"),1),"")</f>
        <v>0</v>
      </c>
      <c r="E1268">
        <f>IFERROR([1]!s_stm07_is($A1268,"W70752487",TEXT($B$1,"yyyy/mm/dd"),1),"")</f>
        <v>8943199000</v>
      </c>
      <c r="F1268">
        <f>IFERROR([1]!s_stm07_is_103($A1268,TEXT($B$1,"yyyy/mm/dd"),1),"")</f>
        <v>0</v>
      </c>
      <c r="G1268">
        <f>IFERROR([1]!s_stm07_is_104($A1268,TEXT($B$1,"yyyy/mm/dd"),1),"")</f>
        <v>0</v>
      </c>
      <c r="H1268">
        <f>IFERROR([1]!s_stm07_is_105($A1268,TEXT($B$1,"yyyy/mm/dd"),1),"")</f>
        <v>0</v>
      </c>
      <c r="I1268">
        <f>IFERROR([1]!s_stm07_is($A1268,"W72946623",TEXT($B$1,"yyyy/mm/dd"),1),"")</f>
        <v>13709387000</v>
      </c>
      <c r="J1268">
        <f>IFERROR([1]!s_stm07_is($A1268,"W30028333",TEXT($B$1,"yyyy/mm/dd"),1),"")</f>
        <v>12128421000</v>
      </c>
      <c r="K1268">
        <f>IFERROR([1]!s_stm07_cs($A1268,"W77130581",TEXT($B$1,"yyyy/mm/dd"),1),"")</f>
        <v>372335000</v>
      </c>
      <c r="L1268">
        <f>IFERROR([1]!s_stm07_cs($A1268,"W77745895",TEXT($B$1,"yyyy/mm/dd"),1),"")</f>
        <v>1732313000</v>
      </c>
      <c r="M1268">
        <f>IFERROR([1]!S_FA_EPS_basic2($A1268,$B$1,"Cur=CNY"),"")</f>
        <v>1.05</v>
      </c>
      <c r="N1268">
        <f>IFERROR([1]!s_fa_arturndays($A1268,TEXT($B$1,"yyyy/mm/dd")),"")</f>
        <v>0</v>
      </c>
      <c r="O1268" t="str">
        <f>IFERROR([1]!fa_apturndays($A1268,TEXT($B$1,"yyyy/mm/dd")),"")</f>
        <v>Fetch...</v>
      </c>
      <c r="P1268">
        <f>IFERROR([1]!s_fa_invturndays($A1268,TEXT($B$1,"yyyy/mm/dd")),"")</f>
        <v>0</v>
      </c>
    </row>
    <row r="1269" spans="1:16">
      <c r="A1269" t="s">
        <v>1282</v>
      </c>
      <c r="B1269">
        <f>IFERROR([1]!s_stm07_is($A1269,"W70156729",TEXT($B$1,"yyyy/mm/dd"),1),"")</f>
        <v>7010452660.0299997</v>
      </c>
      <c r="C1269">
        <f>IFERROR([1]!s_stm07_is($A1269,"W75682424",TEXT($B$1,"yyyy/mm/dd"),1),"")</f>
        <v>4780024792.3599997</v>
      </c>
      <c r="D1269">
        <f>IFERROR([1]!s_stm07_is($A1269,"W76031679",TEXT($B$1,"yyyy/mm/dd"),1),"")</f>
        <v>0</v>
      </c>
      <c r="E1269">
        <f>IFERROR([1]!s_stm07_is($A1269,"W70752487",TEXT($B$1,"yyyy/mm/dd"),1),"")</f>
        <v>325713316.13</v>
      </c>
      <c r="F1269">
        <f>IFERROR([1]!s_stm07_is_103($A1269,TEXT($B$1,"yyyy/mm/dd"),1),"")</f>
        <v>719678.1</v>
      </c>
      <c r="G1269">
        <f>IFERROR([1]!s_stm07_is_104($A1269,TEXT($B$1,"yyyy/mm/dd"),1),"")</f>
        <v>45141444.579999998</v>
      </c>
      <c r="H1269">
        <f>IFERROR([1]!s_stm07_is_105($A1269,TEXT($B$1,"yyyy/mm/dd"),1),"")</f>
        <v>87892034.450000003</v>
      </c>
      <c r="I1269">
        <f>IFERROR([1]!s_stm07_is($A1269,"W72946623",TEXT($B$1,"yyyy/mm/dd"),1),"")</f>
        <v>1948405086.3</v>
      </c>
      <c r="J1269">
        <f>IFERROR([1]!s_stm07_is($A1269,"W30028333",TEXT($B$1,"yyyy/mm/dd"),1),"")</f>
        <v>1500317223.6099999</v>
      </c>
      <c r="K1269">
        <f>IFERROR([1]!s_stm07_cs($A1269,"W77130581",TEXT($B$1,"yyyy/mm/dd"),1),"")</f>
        <v>2483116785.6599998</v>
      </c>
      <c r="L1269">
        <f>IFERROR([1]!s_stm07_cs($A1269,"W77745895",TEXT($B$1,"yyyy/mm/dd"),1),"")</f>
        <v>625744198.17999995</v>
      </c>
      <c r="M1269">
        <f>IFERROR([1]!S_FA_EPS_basic2($A1269,$B$1,"Cur=CNY"),"")</f>
        <v>1.1599999999999999</v>
      </c>
      <c r="N1269">
        <f>IFERROR([1]!s_fa_arturndays($A1269,TEXT($B$1,"yyyy/mm/dd")),"")</f>
        <v>33.368200000000002</v>
      </c>
      <c r="O1269" t="str">
        <f>IFERROR([1]!fa_apturndays($A1269,TEXT($B$1,"yyyy/mm/dd")),"")</f>
        <v>Fetch...</v>
      </c>
      <c r="P1269">
        <f>IFERROR([1]!s_fa_invturndays($A1269,TEXT($B$1,"yyyy/mm/dd")),"")</f>
        <v>7.8224999999999998</v>
      </c>
    </row>
    <row r="1270" spans="1:16">
      <c r="A1270" t="s">
        <v>1283</v>
      </c>
      <c r="B1270">
        <f>IFERROR([1]!s_stm07_is($A1270,"W70156729",TEXT($B$1,"yyyy/mm/dd"),1),"")</f>
        <v>294916000000</v>
      </c>
      <c r="C1270">
        <f>IFERROR([1]!s_stm07_is($A1270,"W75682424",TEXT($B$1,"yyyy/mm/dd"),1),"")</f>
        <v>191465000000</v>
      </c>
      <c r="D1270">
        <f>IFERROR([1]!s_stm07_is($A1270,"W76031679",TEXT($B$1,"yyyy/mm/dd"),1),"")</f>
        <v>527000000</v>
      </c>
      <c r="E1270">
        <f>IFERROR([1]!s_stm07_is($A1270,"W70752487",TEXT($B$1,"yyyy/mm/dd"),1),"")</f>
        <v>11380000000</v>
      </c>
      <c r="F1270">
        <f>IFERROR([1]!s_stm07_is_103($A1270,TEXT($B$1,"yyyy/mm/dd"),1),"")</f>
        <v>2854000000</v>
      </c>
      <c r="G1270">
        <f>IFERROR([1]!s_stm07_is_104($A1270,TEXT($B$1,"yyyy/mm/dd"),1),"")</f>
        <v>2385000000</v>
      </c>
      <c r="H1270">
        <f>IFERROR([1]!s_stm07_is_105($A1270,TEXT($B$1,"yyyy/mm/dd"),1),"")</f>
        <v>2270000000</v>
      </c>
      <c r="I1270">
        <f>IFERROR([1]!s_stm07_is($A1270,"W72946623",TEXT($B$1,"yyyy/mm/dd"),1),"")</f>
        <v>79339000000</v>
      </c>
      <c r="J1270">
        <f>IFERROR([1]!s_stm07_is($A1270,"W30028333",TEXT($B$1,"yyyy/mm/dd"),1),"")</f>
        <v>52849000000</v>
      </c>
      <c r="K1270">
        <f>IFERROR([1]!s_stm07_cs($A1270,"W77130581",TEXT($B$1,"yyyy/mm/dd"),1),"")</f>
        <v>75059000000</v>
      </c>
      <c r="L1270">
        <f>IFERROR([1]!s_stm07_cs($A1270,"W77745895",TEXT($B$1,"yyyy/mm/dd"),1),"")</f>
        <v>48398000000</v>
      </c>
      <c r="M1270">
        <f>IFERROR([1]!S_FA_EPS_basic2($A1270,$B$1,"Cur=CNY"),"")</f>
        <v>2.66</v>
      </c>
      <c r="N1270">
        <f>IFERROR([1]!s_fa_arturndays($A1270,TEXT($B$1,"yyyy/mm/dd")),"")</f>
        <v>15.680300000000001</v>
      </c>
      <c r="O1270" t="str">
        <f>IFERROR([1]!fa_apturndays($A1270,TEXT($B$1,"yyyy/mm/dd")),"")</f>
        <v>Fetch...</v>
      </c>
      <c r="P1270">
        <f>IFERROR([1]!s_fa_invturndays($A1270,TEXT($B$1,"yyyy/mm/dd")),"")</f>
        <v>22.875</v>
      </c>
    </row>
    <row r="1271" spans="1:16">
      <c r="A1271" t="s">
        <v>1284</v>
      </c>
      <c r="B1271">
        <f>IFERROR([1]!s_stm07_is($A1271,"W70156729",TEXT($B$1,"yyyy/mm/dd"),1),"")</f>
        <v>3504445642.6900001</v>
      </c>
      <c r="C1271">
        <f>IFERROR([1]!s_stm07_is($A1271,"W75682424",TEXT($B$1,"yyyy/mm/dd"),1),"")</f>
        <v>1208580165.1199999</v>
      </c>
      <c r="D1271">
        <f>IFERROR([1]!s_stm07_is($A1271,"W76031679",TEXT($B$1,"yyyy/mm/dd"),1),"")</f>
        <v>1199310097.23</v>
      </c>
      <c r="E1271">
        <f>IFERROR([1]!s_stm07_is($A1271,"W70752487",TEXT($B$1,"yyyy/mm/dd"),1),"")</f>
        <v>150598562.84999999</v>
      </c>
      <c r="F1271">
        <f>IFERROR([1]!s_stm07_is_103($A1271,TEXT($B$1,"yyyy/mm/dd"),1),"")</f>
        <v>403415656.85000002</v>
      </c>
      <c r="G1271">
        <f>IFERROR([1]!s_stm07_is_104($A1271,TEXT($B$1,"yyyy/mm/dd"),1),"")</f>
        <v>1579732.14</v>
      </c>
      <c r="H1271">
        <f>IFERROR([1]!s_stm07_is_105($A1271,TEXT($B$1,"yyyy/mm/dd"),1),"")</f>
        <v>13576613.300000001</v>
      </c>
      <c r="I1271">
        <f>IFERROR([1]!s_stm07_is($A1271,"W72946623",TEXT($B$1,"yyyy/mm/dd"),1),"")</f>
        <v>523344365.35000002</v>
      </c>
      <c r="J1271">
        <f>IFERROR([1]!s_stm07_is($A1271,"W30028333",TEXT($B$1,"yyyy/mm/dd"),1),"")</f>
        <v>469364240.73000002</v>
      </c>
      <c r="K1271">
        <f>IFERROR([1]!s_stm07_cs($A1271,"W77130581",TEXT($B$1,"yyyy/mm/dd"),1),"")</f>
        <v>360854536.18000001</v>
      </c>
      <c r="L1271">
        <f>IFERROR([1]!s_stm07_cs($A1271,"W77745895",TEXT($B$1,"yyyy/mm/dd"),1),"")</f>
        <v>397406893.63999999</v>
      </c>
      <c r="M1271">
        <f>IFERROR([1]!S_FA_EPS_basic2($A1271,$B$1,"Cur=CNY"),"")</f>
        <v>1</v>
      </c>
      <c r="N1271">
        <f>IFERROR([1]!s_fa_arturndays($A1271,TEXT($B$1,"yyyy/mm/dd")),"")</f>
        <v>39.397199999999998</v>
      </c>
      <c r="O1271" t="str">
        <f>IFERROR([1]!fa_apturndays($A1271,TEXT($B$1,"yyyy/mm/dd")),"")</f>
        <v>Fetch...</v>
      </c>
      <c r="P1271">
        <f>IFERROR([1]!s_fa_invturndays($A1271,TEXT($B$1,"yyyy/mm/dd")),"")</f>
        <v>113.2218</v>
      </c>
    </row>
    <row r="1272" spans="1:16">
      <c r="A1272" t="s">
        <v>1285</v>
      </c>
      <c r="B1272">
        <f>IFERROR([1]!s_stm07_is($A1272,"W70156729",TEXT($B$1,"yyyy/mm/dd"),1),"")</f>
        <v>9574737031.3600006</v>
      </c>
      <c r="C1272">
        <f>IFERROR([1]!s_stm07_is($A1272,"W75682424",TEXT($B$1,"yyyy/mm/dd"),1),"")</f>
        <v>8486711589.1300001</v>
      </c>
      <c r="D1272">
        <f>IFERROR([1]!s_stm07_is($A1272,"W76031679",TEXT($B$1,"yyyy/mm/dd"),1),"")</f>
        <v>207602537.12</v>
      </c>
      <c r="E1272">
        <f>IFERROR([1]!s_stm07_is($A1272,"W70752487",TEXT($B$1,"yyyy/mm/dd"),1),"")</f>
        <v>232642960.05000001</v>
      </c>
      <c r="F1272">
        <f>IFERROR([1]!s_stm07_is_103($A1272,TEXT($B$1,"yyyy/mm/dd"),1),"")</f>
        <v>143594605.63999999</v>
      </c>
      <c r="G1272">
        <f>IFERROR([1]!s_stm07_is_104($A1272,TEXT($B$1,"yyyy/mm/dd"),1),"")</f>
        <v>9777428.3900000006</v>
      </c>
      <c r="H1272">
        <f>IFERROR([1]!s_stm07_is_105($A1272,TEXT($B$1,"yyyy/mm/dd"),1),"")</f>
        <v>15680087.33</v>
      </c>
      <c r="I1272">
        <f>IFERROR([1]!s_stm07_is($A1272,"W72946623",TEXT($B$1,"yyyy/mm/dd"),1),"")</f>
        <v>465612329.69999999</v>
      </c>
      <c r="J1272">
        <f>IFERROR([1]!s_stm07_is($A1272,"W30028333",TEXT($B$1,"yyyy/mm/dd"),1),"")</f>
        <v>371145777.72000003</v>
      </c>
      <c r="K1272">
        <f>IFERROR([1]!s_stm07_cs($A1272,"W77130581",TEXT($B$1,"yyyy/mm/dd"),1),"")</f>
        <v>532239142.37</v>
      </c>
      <c r="L1272">
        <f>IFERROR([1]!s_stm07_cs($A1272,"W77745895",TEXT($B$1,"yyyy/mm/dd"),1),"")</f>
        <v>378474302.75</v>
      </c>
      <c r="M1272">
        <f>IFERROR([1]!S_FA_EPS_basic2($A1272,$B$1,"Cur=CNY"),"")</f>
        <v>0.13869999999999999</v>
      </c>
      <c r="N1272">
        <f>IFERROR([1]!s_fa_arturndays($A1272,TEXT($B$1,"yyyy/mm/dd")),"")</f>
        <v>82.178600000000003</v>
      </c>
      <c r="O1272" t="str">
        <f>IFERROR([1]!fa_apturndays($A1272,TEXT($B$1,"yyyy/mm/dd")),"")</f>
        <v>Fetch...</v>
      </c>
      <c r="P1272">
        <f>IFERROR([1]!s_fa_invturndays($A1272,TEXT($B$1,"yyyy/mm/dd")),"")</f>
        <v>113.88800000000001</v>
      </c>
    </row>
    <row r="1273" spans="1:16">
      <c r="A1273" t="s">
        <v>1286</v>
      </c>
      <c r="B1273">
        <f>IFERROR([1]!s_stm07_is($A1273,"W70156729",TEXT($B$1,"yyyy/mm/dd"),1),"")</f>
        <v>12601193497.110001</v>
      </c>
      <c r="C1273">
        <f>IFERROR([1]!s_stm07_is($A1273,"W75682424",TEXT($B$1,"yyyy/mm/dd"),1),"")</f>
        <v>7007334256.8800001</v>
      </c>
      <c r="D1273">
        <f>IFERROR([1]!s_stm07_is($A1273,"W76031679",TEXT($B$1,"yyyy/mm/dd"),1),"")</f>
        <v>1947322493.3199999</v>
      </c>
      <c r="E1273">
        <f>IFERROR([1]!s_stm07_is($A1273,"W70752487",TEXT($B$1,"yyyy/mm/dd"),1),"")</f>
        <v>1848188510.5999999</v>
      </c>
      <c r="F1273">
        <f>IFERROR([1]!s_stm07_is_103($A1273,TEXT($B$1,"yyyy/mm/dd"),1),"")</f>
        <v>66596908.159999996</v>
      </c>
      <c r="G1273">
        <f>IFERROR([1]!s_stm07_is_104($A1273,TEXT($B$1,"yyyy/mm/dd"),1),"")</f>
        <v>4908117.83</v>
      </c>
      <c r="H1273">
        <f>IFERROR([1]!s_stm07_is_105($A1273,TEXT($B$1,"yyyy/mm/dd"),1),"")</f>
        <v>67323237.280000001</v>
      </c>
      <c r="I1273">
        <f>IFERROR([1]!s_stm07_is($A1273,"W72946623",TEXT($B$1,"yyyy/mm/dd"),1),"")</f>
        <v>1717694932.0899999</v>
      </c>
      <c r="J1273">
        <f>IFERROR([1]!s_stm07_is($A1273,"W30028333",TEXT($B$1,"yyyy/mm/dd"),1),"")</f>
        <v>1594099177.3499999</v>
      </c>
      <c r="K1273">
        <f>IFERROR([1]!s_stm07_cs($A1273,"W77130581",TEXT($B$1,"yyyy/mm/dd"),1),"")</f>
        <v>-1237056464.3</v>
      </c>
      <c r="L1273">
        <f>IFERROR([1]!s_stm07_cs($A1273,"W77745895",TEXT($B$1,"yyyy/mm/dd"),1),"")</f>
        <v>406124057.94</v>
      </c>
      <c r="M1273">
        <f>IFERROR([1]!S_FA_EPS_basic2($A1273,$B$1,"Cur=CNY"),"")</f>
        <v>0.89</v>
      </c>
      <c r="N1273">
        <f>IFERROR([1]!s_fa_arturndays($A1273,TEXT($B$1,"yyyy/mm/dd")),"")</f>
        <v>38.590200000000003</v>
      </c>
      <c r="O1273" t="str">
        <f>IFERROR([1]!fa_apturndays($A1273,TEXT($B$1,"yyyy/mm/dd")),"")</f>
        <v>Fetch...</v>
      </c>
      <c r="P1273">
        <f>IFERROR([1]!s_fa_invturndays($A1273,TEXT($B$1,"yyyy/mm/dd")),"")</f>
        <v>55.308900000000001</v>
      </c>
    </row>
    <row r="1274" spans="1:16">
      <c r="A1274" t="s">
        <v>1287</v>
      </c>
      <c r="B1274">
        <f>IFERROR([1]!s_stm07_is($A1274,"W70156729",TEXT($B$1,"yyyy/mm/dd"),1),"")</f>
        <v>1327300256.6500001</v>
      </c>
      <c r="C1274">
        <f>IFERROR([1]!s_stm07_is($A1274,"W75682424",TEXT($B$1,"yyyy/mm/dd"),1),"")</f>
        <v>0</v>
      </c>
      <c r="D1274">
        <f>IFERROR([1]!s_stm07_is($A1274,"W76031679",TEXT($B$1,"yyyy/mm/dd"),1),"")</f>
        <v>0</v>
      </c>
      <c r="E1274">
        <f>IFERROR([1]!s_stm07_is($A1274,"W70752487",TEXT($B$1,"yyyy/mm/dd"),1),"")</f>
        <v>982600688.07000005</v>
      </c>
      <c r="F1274">
        <f>IFERROR([1]!s_stm07_is_103($A1274,TEXT($B$1,"yyyy/mm/dd"),1),"")</f>
        <v>0</v>
      </c>
      <c r="G1274">
        <f>IFERROR([1]!s_stm07_is_104($A1274,TEXT($B$1,"yyyy/mm/dd"),1),"")</f>
        <v>0</v>
      </c>
      <c r="H1274">
        <f>IFERROR([1]!s_stm07_is_105($A1274,TEXT($B$1,"yyyy/mm/dd"),1),"")</f>
        <v>0</v>
      </c>
      <c r="I1274">
        <f>IFERROR([1]!s_stm07_is($A1274,"W72946623",TEXT($B$1,"yyyy/mm/dd"),1),"")</f>
        <v>293994313.19999999</v>
      </c>
      <c r="J1274">
        <f>IFERROR([1]!s_stm07_is($A1274,"W30028333",TEXT($B$1,"yyyy/mm/dd"),1),"")</f>
        <v>210537734.34</v>
      </c>
      <c r="K1274">
        <f>IFERROR([1]!s_stm07_cs($A1274,"W77130581",TEXT($B$1,"yyyy/mm/dd"),1),"")</f>
        <v>852352584.35000002</v>
      </c>
      <c r="L1274">
        <f>IFERROR([1]!s_stm07_cs($A1274,"W77745895",TEXT($B$1,"yyyy/mm/dd"),1),"")</f>
        <v>45542002.380000003</v>
      </c>
      <c r="M1274">
        <f>IFERROR([1]!S_FA_EPS_basic2($A1274,$B$1,"Cur=CNY"),"")</f>
        <v>3.1E-2</v>
      </c>
      <c r="N1274">
        <f>IFERROR([1]!s_fa_arturndays($A1274,TEXT($B$1,"yyyy/mm/dd")),"")</f>
        <v>0</v>
      </c>
      <c r="O1274" t="str">
        <f>IFERROR([1]!fa_apturndays($A1274,TEXT($B$1,"yyyy/mm/dd")),"")</f>
        <v>Fetch...</v>
      </c>
      <c r="P1274">
        <f>IFERROR([1]!s_fa_invturndays($A1274,TEXT($B$1,"yyyy/mm/dd")),"")</f>
        <v>0</v>
      </c>
    </row>
    <row r="1275" spans="1:16">
      <c r="A1275" t="s">
        <v>1288</v>
      </c>
      <c r="B1275">
        <f>IFERROR([1]!s_stm07_is($A1275,"W70156729",TEXT($B$1,"yyyy/mm/dd"),1),"")</f>
        <v>10941028858.98</v>
      </c>
      <c r="C1275">
        <f>IFERROR([1]!s_stm07_is($A1275,"W75682424",TEXT($B$1,"yyyy/mm/dd"),1),"")</f>
        <v>6391976738.2799997</v>
      </c>
      <c r="D1275">
        <f>IFERROR([1]!s_stm07_is($A1275,"W76031679",TEXT($B$1,"yyyy/mm/dd"),1),"")</f>
        <v>254497167.56</v>
      </c>
      <c r="E1275">
        <f>IFERROR([1]!s_stm07_is($A1275,"W70752487",TEXT($B$1,"yyyy/mm/dd"),1),"")</f>
        <v>649311786.78999996</v>
      </c>
      <c r="F1275">
        <f>IFERROR([1]!s_stm07_is_103($A1275,TEXT($B$1,"yyyy/mm/dd"),1),"")</f>
        <v>705003338.05999994</v>
      </c>
      <c r="G1275">
        <f>IFERROR([1]!s_stm07_is_104($A1275,TEXT($B$1,"yyyy/mm/dd"),1),"")</f>
        <v>803451.24</v>
      </c>
      <c r="H1275">
        <f>IFERROR([1]!s_stm07_is_105($A1275,TEXT($B$1,"yyyy/mm/dd"),1),"")</f>
        <v>167309974.03</v>
      </c>
      <c r="I1275">
        <f>IFERROR([1]!s_stm07_is($A1275,"W72946623",TEXT($B$1,"yyyy/mm/dd"),1),"")</f>
        <v>3032006818.25</v>
      </c>
      <c r="J1275">
        <f>IFERROR([1]!s_stm07_is($A1275,"W30028333",TEXT($B$1,"yyyy/mm/dd"),1),"")</f>
        <v>2734121067.3200002</v>
      </c>
      <c r="K1275">
        <f>IFERROR([1]!s_stm07_cs($A1275,"W77130581",TEXT($B$1,"yyyy/mm/dd"),1),"")</f>
        <v>1810946160.52</v>
      </c>
      <c r="L1275">
        <f>IFERROR([1]!s_stm07_cs($A1275,"W77745895",TEXT($B$1,"yyyy/mm/dd"),1),"")</f>
        <v>924196937.44000006</v>
      </c>
      <c r="M1275">
        <f>IFERROR([1]!S_FA_EPS_basic2($A1275,$B$1,"Cur=CNY"),"")</f>
        <v>2.04</v>
      </c>
      <c r="N1275">
        <f>IFERROR([1]!s_fa_arturndays($A1275,TEXT($B$1,"yyyy/mm/dd")),"")</f>
        <v>53.984299999999998</v>
      </c>
      <c r="O1275" t="str">
        <f>IFERROR([1]!fa_apturndays($A1275,TEXT($B$1,"yyyy/mm/dd")),"")</f>
        <v>Fetch...</v>
      </c>
      <c r="P1275">
        <f>IFERROR([1]!s_fa_invturndays($A1275,TEXT($B$1,"yyyy/mm/dd")),"")</f>
        <v>111.65560000000001</v>
      </c>
    </row>
    <row r="1276" spans="1:16">
      <c r="A1276" t="s">
        <v>1289</v>
      </c>
      <c r="B1276">
        <f>IFERROR([1]!s_stm07_is($A1276,"W70156729",TEXT($B$1,"yyyy/mm/dd"),1),"")</f>
        <v>8026950824.1300001</v>
      </c>
      <c r="C1276">
        <f>IFERROR([1]!s_stm07_is($A1276,"W75682424",TEXT($B$1,"yyyy/mm/dd"),1),"")</f>
        <v>5213333230.6499996</v>
      </c>
      <c r="D1276">
        <f>IFERROR([1]!s_stm07_is($A1276,"W76031679",TEXT($B$1,"yyyy/mm/dd"),1),"")</f>
        <v>149931560.99000001</v>
      </c>
      <c r="E1276">
        <f>IFERROR([1]!s_stm07_is($A1276,"W70752487",TEXT($B$1,"yyyy/mm/dd"),1),"")</f>
        <v>705277840.69000006</v>
      </c>
      <c r="F1276">
        <f>IFERROR([1]!s_stm07_is_103($A1276,TEXT($B$1,"yyyy/mm/dd"),1),"")</f>
        <v>7614349.4900000002</v>
      </c>
      <c r="G1276">
        <f>IFERROR([1]!s_stm07_is_104($A1276,TEXT($B$1,"yyyy/mm/dd"),1),"")</f>
        <v>159469869.49000001</v>
      </c>
      <c r="H1276">
        <f>IFERROR([1]!s_stm07_is_105($A1276,TEXT($B$1,"yyyy/mm/dd"),1),"")</f>
        <v>20908319.260000002</v>
      </c>
      <c r="I1276">
        <f>IFERROR([1]!s_stm07_is($A1276,"W72946623",TEXT($B$1,"yyyy/mm/dd"),1),"")</f>
        <v>923742408.26999998</v>
      </c>
      <c r="J1276">
        <f>IFERROR([1]!s_stm07_is($A1276,"W30028333",TEXT($B$1,"yyyy/mm/dd"),1),"")</f>
        <v>512415472.49000001</v>
      </c>
      <c r="K1276">
        <f>IFERROR([1]!s_stm07_cs($A1276,"W77130581",TEXT($B$1,"yyyy/mm/dd"),1),"")</f>
        <v>1966596837.3699999</v>
      </c>
      <c r="L1276">
        <f>IFERROR([1]!s_stm07_cs($A1276,"W77745895",TEXT($B$1,"yyyy/mm/dd"),1),"")</f>
        <v>1120844545.3599999</v>
      </c>
      <c r="M1276">
        <f>IFERROR([1]!S_FA_EPS_basic2($A1276,$B$1,"Cur=CNY"),"")</f>
        <v>0.36</v>
      </c>
      <c r="N1276">
        <f>IFERROR([1]!s_fa_arturndays($A1276,TEXT($B$1,"yyyy/mm/dd")),"")</f>
        <v>4.2366999999999999</v>
      </c>
      <c r="O1276" t="str">
        <f>IFERROR([1]!fa_apturndays($A1276,TEXT($B$1,"yyyy/mm/dd")),"")</f>
        <v>Fetch...</v>
      </c>
      <c r="P1276">
        <f>IFERROR([1]!s_fa_invturndays($A1276,TEXT($B$1,"yyyy/mm/dd")),"")</f>
        <v>15.3523</v>
      </c>
    </row>
    <row r="1277" spans="1:16">
      <c r="A1277" t="s">
        <v>1290</v>
      </c>
      <c r="B1277">
        <f>IFERROR([1]!s_stm07_is($A1277,"W70156729",TEXT($B$1,"yyyy/mm/dd"),1),"")</f>
        <v>9817203620.4899998</v>
      </c>
      <c r="C1277">
        <f>IFERROR([1]!s_stm07_is($A1277,"W75682424",TEXT($B$1,"yyyy/mm/dd"),1),"")</f>
        <v>8513855397.6800003</v>
      </c>
      <c r="D1277">
        <f>IFERROR([1]!s_stm07_is($A1277,"W76031679",TEXT($B$1,"yyyy/mm/dd"),1),"")</f>
        <v>107704945.95</v>
      </c>
      <c r="E1277">
        <f>IFERROR([1]!s_stm07_is($A1277,"W70752487",TEXT($B$1,"yyyy/mm/dd"),1),"")</f>
        <v>951642601.64999998</v>
      </c>
      <c r="F1277">
        <f>IFERROR([1]!s_stm07_is_103($A1277,TEXT($B$1,"yyyy/mm/dd"),1),"")</f>
        <v>277573696.72000003</v>
      </c>
      <c r="G1277">
        <f>IFERROR([1]!s_stm07_is_104($A1277,TEXT($B$1,"yyyy/mm/dd"),1),"")</f>
        <v>410274586.79000002</v>
      </c>
      <c r="H1277">
        <f>IFERROR([1]!s_stm07_is_105($A1277,TEXT($B$1,"yyyy/mm/dd"),1),"")</f>
        <v>22912735.75</v>
      </c>
      <c r="I1277">
        <f>IFERROR([1]!s_stm07_is($A1277,"W72946623",TEXT($B$1,"yyyy/mm/dd"),1),"")</f>
        <v>123984054.59</v>
      </c>
      <c r="J1277">
        <f>IFERROR([1]!s_stm07_is($A1277,"W30028333",TEXT($B$1,"yyyy/mm/dd"),1),"")</f>
        <v>-311036920.92000002</v>
      </c>
      <c r="K1277">
        <f>IFERROR([1]!s_stm07_cs($A1277,"W77130581",TEXT($B$1,"yyyy/mm/dd"),1),"")</f>
        <v>1561669690.6900001</v>
      </c>
      <c r="L1277">
        <f>IFERROR([1]!s_stm07_cs($A1277,"W77745895",TEXT($B$1,"yyyy/mm/dd"),1),"")</f>
        <v>931490257.25</v>
      </c>
      <c r="M1277">
        <f>IFERROR([1]!S_FA_EPS_basic2($A1277,$B$1,"Cur=CNY"),"")</f>
        <v>-4.5400000000000003E-2</v>
      </c>
      <c r="N1277">
        <f>IFERROR([1]!s_fa_arturndays($A1277,TEXT($B$1,"yyyy/mm/dd")),"")</f>
        <v>125.54049999999999</v>
      </c>
      <c r="O1277" t="str">
        <f>IFERROR([1]!fa_apturndays($A1277,TEXT($B$1,"yyyy/mm/dd")),"")</f>
        <v>Fetch...</v>
      </c>
      <c r="P1277">
        <f>IFERROR([1]!s_fa_invturndays($A1277,TEXT($B$1,"yyyy/mm/dd")),"")</f>
        <v>548.11210000000005</v>
      </c>
    </row>
    <row r="1278" spans="1:16">
      <c r="A1278" t="s">
        <v>1291</v>
      </c>
      <c r="B1278">
        <f>IFERROR([1]!s_stm07_is($A1278,"W70156729",TEXT($B$1,"yyyy/mm/dd"),1),"")</f>
        <v>8757989737.4899998</v>
      </c>
      <c r="C1278">
        <f>IFERROR([1]!s_stm07_is($A1278,"W75682424",TEXT($B$1,"yyyy/mm/dd"),1),"")</f>
        <v>5706653576.6599998</v>
      </c>
      <c r="D1278">
        <f>IFERROR([1]!s_stm07_is($A1278,"W76031679",TEXT($B$1,"yyyy/mm/dd"),1),"")</f>
        <v>72914728.090000004</v>
      </c>
      <c r="E1278">
        <f>IFERROR([1]!s_stm07_is($A1278,"W70752487",TEXT($B$1,"yyyy/mm/dd"),1),"")</f>
        <v>483152335.24000001</v>
      </c>
      <c r="F1278">
        <f>IFERROR([1]!s_stm07_is_103($A1278,TEXT($B$1,"yyyy/mm/dd"),1),"")</f>
        <v>2766205.18</v>
      </c>
      <c r="G1278">
        <f>IFERROR([1]!s_stm07_is_104($A1278,TEXT($B$1,"yyyy/mm/dd"),1),"")</f>
        <v>599515689</v>
      </c>
      <c r="H1278">
        <f>IFERROR([1]!s_stm07_is_105($A1278,TEXT($B$1,"yyyy/mm/dd"),1),"")</f>
        <v>20084435.550000001</v>
      </c>
      <c r="I1278">
        <f>IFERROR([1]!s_stm07_is($A1278,"W72946623",TEXT($B$1,"yyyy/mm/dd"),1),"")</f>
        <v>1899038429.04</v>
      </c>
      <c r="J1278">
        <f>IFERROR([1]!s_stm07_is($A1278,"W30028333",TEXT($B$1,"yyyy/mm/dd"),1),"")</f>
        <v>1513154962.2</v>
      </c>
      <c r="K1278">
        <f>IFERROR([1]!s_stm07_cs($A1278,"W77130581",TEXT($B$1,"yyyy/mm/dd"),1),"")</f>
        <v>3318926426.3899999</v>
      </c>
      <c r="L1278">
        <f>IFERROR([1]!s_stm07_cs($A1278,"W77745895",TEXT($B$1,"yyyy/mm/dd"),1),"")</f>
        <v>2439306815.2600002</v>
      </c>
      <c r="M1278">
        <f>IFERROR([1]!S_FA_EPS_basic2($A1278,$B$1,"Cur=CNY"),"")</f>
        <v>0.46539999999999998</v>
      </c>
      <c r="N1278">
        <f>IFERROR([1]!s_fa_arturndays($A1278,TEXT($B$1,"yyyy/mm/dd")),"")</f>
        <v>6.9710999999999999</v>
      </c>
      <c r="O1278" t="str">
        <f>IFERROR([1]!fa_apturndays($A1278,TEXT($B$1,"yyyy/mm/dd")),"")</f>
        <v>Fetch...</v>
      </c>
      <c r="P1278">
        <f>IFERROR([1]!s_fa_invturndays($A1278,TEXT($B$1,"yyyy/mm/dd")),"")</f>
        <v>2.0084</v>
      </c>
    </row>
    <row r="1279" spans="1:16">
      <c r="A1279" t="s">
        <v>1292</v>
      </c>
      <c r="B1279">
        <f>IFERROR([1]!s_stm07_is($A1279,"W70156729",TEXT($B$1,"yyyy/mm/dd"),1),"")</f>
        <v>6922252743.46</v>
      </c>
      <c r="C1279">
        <f>IFERROR([1]!s_stm07_is($A1279,"W75682424",TEXT($B$1,"yyyy/mm/dd"),1),"")</f>
        <v>0</v>
      </c>
      <c r="D1279">
        <f>IFERROR([1]!s_stm07_is($A1279,"W76031679",TEXT($B$1,"yyyy/mm/dd"),1),"")</f>
        <v>0</v>
      </c>
      <c r="E1279">
        <f>IFERROR([1]!s_stm07_is($A1279,"W70752487",TEXT($B$1,"yyyy/mm/dd"),1),"")</f>
        <v>3638409962.9699998</v>
      </c>
      <c r="F1279">
        <f>IFERROR([1]!s_stm07_is_103($A1279,TEXT($B$1,"yyyy/mm/dd"),1),"")</f>
        <v>0</v>
      </c>
      <c r="G1279">
        <f>IFERROR([1]!s_stm07_is_104($A1279,TEXT($B$1,"yyyy/mm/dd"),1),"")</f>
        <v>0</v>
      </c>
      <c r="H1279">
        <f>IFERROR([1]!s_stm07_is_105($A1279,TEXT($B$1,"yyyy/mm/dd"),1),"")</f>
        <v>0</v>
      </c>
      <c r="I1279">
        <f>IFERROR([1]!s_stm07_is($A1279,"W72946623",TEXT($B$1,"yyyy/mm/dd"),1),"")</f>
        <v>3165337524.0799999</v>
      </c>
      <c r="J1279">
        <f>IFERROR([1]!s_stm07_is($A1279,"W30028333",TEXT($B$1,"yyyy/mm/dd"),1),"")</f>
        <v>2632256997.2600002</v>
      </c>
      <c r="K1279">
        <f>IFERROR([1]!s_stm07_cs($A1279,"W77130581",TEXT($B$1,"yyyy/mm/dd"),1),"")</f>
        <v>5355977560.7200003</v>
      </c>
      <c r="L1279">
        <f>IFERROR([1]!s_stm07_cs($A1279,"W77745895",TEXT($B$1,"yyyy/mm/dd"),1),"")</f>
        <v>129884791.56999999</v>
      </c>
      <c r="M1279">
        <f>IFERROR([1]!S_FA_EPS_basic2($A1279,$B$1,"Cur=CNY"),"")</f>
        <v>0.56999999999999995</v>
      </c>
      <c r="N1279">
        <f>IFERROR([1]!s_fa_arturndays($A1279,TEXT($B$1,"yyyy/mm/dd")),"")</f>
        <v>0</v>
      </c>
      <c r="O1279" t="str">
        <f>IFERROR([1]!fa_apturndays($A1279,TEXT($B$1,"yyyy/mm/dd")),"")</f>
        <v>Fetch...</v>
      </c>
      <c r="P1279">
        <f>IFERROR([1]!s_fa_invturndays($A1279,TEXT($B$1,"yyyy/mm/dd")),"")</f>
        <v>0</v>
      </c>
    </row>
    <row r="1280" spans="1:16">
      <c r="A1280" t="s">
        <v>1293</v>
      </c>
      <c r="B1280">
        <f>IFERROR([1]!s_stm07_is($A1280,"W70156729",TEXT($B$1,"yyyy/mm/dd"),1),"")</f>
        <v>171484646000</v>
      </c>
      <c r="C1280">
        <f>IFERROR([1]!s_stm07_is($A1280,"W75682424",TEXT($B$1,"yyyy/mm/dd"),1),"")</f>
        <v>162647280000</v>
      </c>
      <c r="D1280">
        <f>IFERROR([1]!s_stm07_is($A1280,"W76031679",TEXT($B$1,"yyyy/mm/dd"),1),"")</f>
        <v>7188655000</v>
      </c>
      <c r="E1280">
        <f>IFERROR([1]!s_stm07_is($A1280,"W70752487",TEXT($B$1,"yyyy/mm/dd"),1),"")</f>
        <v>5559792000</v>
      </c>
      <c r="F1280">
        <f>IFERROR([1]!s_stm07_is_103($A1280,TEXT($B$1,"yyyy/mm/dd"),1),"")</f>
        <v>470779000</v>
      </c>
      <c r="G1280">
        <f>IFERROR([1]!s_stm07_is_104($A1280,TEXT($B$1,"yyyy/mm/dd"),1),"")</f>
        <v>5553051000</v>
      </c>
      <c r="H1280">
        <f>IFERROR([1]!s_stm07_is_105($A1280,TEXT($B$1,"yyyy/mm/dd"),1),"")</f>
        <v>568911000</v>
      </c>
      <c r="I1280">
        <f>IFERROR([1]!s_stm07_is($A1280,"W72946623",TEXT($B$1,"yyyy/mm/dd"),1),"")</f>
        <v>-1596707000</v>
      </c>
      <c r="J1280">
        <f>IFERROR([1]!s_stm07_is($A1280,"W30028333",TEXT($B$1,"yyyy/mm/dd"),1),"")</f>
        <v>-1770393000</v>
      </c>
      <c r="K1280">
        <f>IFERROR([1]!s_stm07_cs($A1280,"W77130581",TEXT($B$1,"yyyy/mm/dd"),1),"")</f>
        <v>42045213000</v>
      </c>
      <c r="L1280">
        <f>IFERROR([1]!s_stm07_cs($A1280,"W77745895",TEXT($B$1,"yyyy/mm/dd"),1),"")</f>
        <v>17561276000</v>
      </c>
      <c r="M1280">
        <f>IFERROR([1]!S_FA_EPS_basic2($A1280,$B$1,"Cur=CNY"),"")</f>
        <v>-0.11</v>
      </c>
      <c r="N1280">
        <f>IFERROR([1]!s_fa_arturndays($A1280,TEXT($B$1,"yyyy/mm/dd")),"")</f>
        <v>7.5054999999999996</v>
      </c>
      <c r="O1280" t="str">
        <f>IFERROR([1]!fa_apturndays($A1280,TEXT($B$1,"yyyy/mm/dd")),"")</f>
        <v>Fetch...</v>
      </c>
      <c r="P1280">
        <f>IFERROR([1]!s_fa_invturndays($A1280,TEXT($B$1,"yyyy/mm/dd")),"")</f>
        <v>9.9985999999999997</v>
      </c>
    </row>
    <row r="1281" spans="1:16">
      <c r="A1281" t="s">
        <v>1294</v>
      </c>
      <c r="B1281">
        <f>IFERROR([1]!s_stm07_is($A1281,"W70156729",TEXT($B$1,"yyyy/mm/dd"),1),"")</f>
        <v>190124561861.70001</v>
      </c>
      <c r="C1281">
        <f>IFERROR([1]!s_stm07_is($A1281,"W75682424",TEXT($B$1,"yyyy/mm/dd"),1),"")</f>
        <v>169202420569.20999</v>
      </c>
      <c r="D1281">
        <f>IFERROR([1]!s_stm07_is($A1281,"W76031679",TEXT($B$1,"yyyy/mm/dd"),1),"")</f>
        <v>553432371.38999999</v>
      </c>
      <c r="E1281">
        <f>IFERROR([1]!s_stm07_is($A1281,"W70752487",TEXT($B$1,"yyyy/mm/dd"),1),"")</f>
        <v>3679698364.04</v>
      </c>
      <c r="F1281">
        <f>IFERROR([1]!s_stm07_is_103($A1281,TEXT($B$1,"yyyy/mm/dd"),1),"")</f>
        <v>6640158500.9700003</v>
      </c>
      <c r="G1281">
        <f>IFERROR([1]!s_stm07_is_104($A1281,TEXT($B$1,"yyyy/mm/dd"),1),"")</f>
        <v>283213209.68000001</v>
      </c>
      <c r="H1281">
        <f>IFERROR([1]!s_stm07_is_105($A1281,TEXT($B$1,"yyyy/mm/dd"),1),"")</f>
        <v>470228434.32999998</v>
      </c>
      <c r="I1281">
        <f>IFERROR([1]!s_stm07_is($A1281,"W72946623",TEXT($B$1,"yyyy/mm/dd"),1),"")</f>
        <v>8434871808.7399998</v>
      </c>
      <c r="J1281">
        <f>IFERROR([1]!s_stm07_is($A1281,"W30028333",TEXT($B$1,"yyyy/mm/dd"),1),"")</f>
        <v>6436145919.3500004</v>
      </c>
      <c r="K1281">
        <f>IFERROR([1]!s_stm07_cs($A1281,"W77130581",TEXT($B$1,"yyyy/mm/dd"),1),"")</f>
        <v>1443378231.3900001</v>
      </c>
      <c r="L1281">
        <f>IFERROR([1]!s_stm07_cs($A1281,"W77745895",TEXT($B$1,"yyyy/mm/dd"),1),"")</f>
        <v>2663649821.3200002</v>
      </c>
      <c r="M1281">
        <f>IFERROR([1]!S_FA_EPS_basic2($A1281,$B$1,"Cur=CNY"),"")</f>
        <v>1.06</v>
      </c>
      <c r="N1281">
        <f>IFERROR([1]!s_fa_arturndays($A1281,TEXT($B$1,"yyyy/mm/dd")),"")</f>
        <v>72.722899999999996</v>
      </c>
      <c r="O1281" t="str">
        <f>IFERROR([1]!fa_apturndays($A1281,TEXT($B$1,"yyyy/mm/dd")),"")</f>
        <v>Fetch...</v>
      </c>
      <c r="P1281">
        <f>IFERROR([1]!s_fa_invturndays($A1281,TEXT($B$1,"yyyy/mm/dd")),"")</f>
        <v>113.318</v>
      </c>
    </row>
    <row r="1282" spans="1:16">
      <c r="A1282" t="s">
        <v>1295</v>
      </c>
      <c r="B1282">
        <f>IFERROR([1]!s_stm07_is($A1282,"W70156729",TEXT($B$1,"yyyy/mm/dd"),1),"")</f>
        <v>42237151922.959999</v>
      </c>
      <c r="C1282">
        <f>IFERROR([1]!s_stm07_is($A1282,"W75682424",TEXT($B$1,"yyyy/mm/dd"),1),"")</f>
        <v>41174758892.010002</v>
      </c>
      <c r="D1282">
        <f>IFERROR([1]!s_stm07_is($A1282,"W76031679",TEXT($B$1,"yyyy/mm/dd"),1),"")</f>
        <v>258306573.91999999</v>
      </c>
      <c r="E1282">
        <f>IFERROR([1]!s_stm07_is($A1282,"W70752487",TEXT($B$1,"yyyy/mm/dd"),1),"")</f>
        <v>1459630102</v>
      </c>
      <c r="F1282">
        <f>IFERROR([1]!s_stm07_is_103($A1282,TEXT($B$1,"yyyy/mm/dd"),1),"")</f>
        <v>36078157.479999997</v>
      </c>
      <c r="G1282">
        <f>IFERROR([1]!s_stm07_is_104($A1282,TEXT($B$1,"yyyy/mm/dd"),1),"")</f>
        <v>678537569.94000006</v>
      </c>
      <c r="H1282">
        <f>IFERROR([1]!s_stm07_is_105($A1282,TEXT($B$1,"yyyy/mm/dd"),1),"")</f>
        <v>104324780.36</v>
      </c>
      <c r="I1282">
        <f>IFERROR([1]!s_stm07_is($A1282,"W72946623",TEXT($B$1,"yyyy/mm/dd"),1),"")</f>
        <v>-128768747.45</v>
      </c>
      <c r="J1282">
        <f>IFERROR([1]!s_stm07_is($A1282,"W30028333",TEXT($B$1,"yyyy/mm/dd"),1),"")</f>
        <v>-103031096.01000001</v>
      </c>
      <c r="K1282">
        <f>IFERROR([1]!s_stm07_cs($A1282,"W77130581",TEXT($B$1,"yyyy/mm/dd"),1),"")</f>
        <v>2504831455.8800001</v>
      </c>
      <c r="L1282">
        <f>IFERROR([1]!s_stm07_cs($A1282,"W77745895",TEXT($B$1,"yyyy/mm/dd"),1),"")</f>
        <v>615460605.11000001</v>
      </c>
      <c r="M1282">
        <f>IFERROR([1]!S_FA_EPS_basic2($A1282,$B$1,"Cur=CNY"),"")</f>
        <v>-2.41E-2</v>
      </c>
      <c r="N1282">
        <f>IFERROR([1]!s_fa_arturndays($A1282,TEXT($B$1,"yyyy/mm/dd")),"")</f>
        <v>18.216799999999999</v>
      </c>
      <c r="O1282" t="str">
        <f>IFERROR([1]!fa_apturndays($A1282,TEXT($B$1,"yyyy/mm/dd")),"")</f>
        <v>Fetch...</v>
      </c>
      <c r="P1282">
        <f>IFERROR([1]!s_fa_invturndays($A1282,TEXT($B$1,"yyyy/mm/dd")),"")</f>
        <v>39.954300000000003</v>
      </c>
    </row>
    <row r="1283" spans="1:16">
      <c r="A1283" t="s">
        <v>1296</v>
      </c>
      <c r="B1283">
        <f>IFERROR([1]!s_stm07_is($A1283,"W70156729",TEXT($B$1,"yyyy/mm/dd"),1),"")</f>
        <v>8193310113.9499998</v>
      </c>
      <c r="C1283">
        <f>IFERROR([1]!s_stm07_is($A1283,"W75682424",TEXT($B$1,"yyyy/mm/dd"),1),"")</f>
        <v>5716993593.1700001</v>
      </c>
      <c r="D1283">
        <f>IFERROR([1]!s_stm07_is($A1283,"W76031679",TEXT($B$1,"yyyy/mm/dd"),1),"")</f>
        <v>552564058.25999999</v>
      </c>
      <c r="E1283">
        <f>IFERROR([1]!s_stm07_is($A1283,"W70752487",TEXT($B$1,"yyyy/mm/dd"),1),"")</f>
        <v>299727153.32999998</v>
      </c>
      <c r="F1283">
        <f>IFERROR([1]!s_stm07_is_103($A1283,TEXT($B$1,"yyyy/mm/dd"),1),"")</f>
        <v>706966149.65999997</v>
      </c>
      <c r="G1283">
        <f>IFERROR([1]!s_stm07_is_104($A1283,TEXT($B$1,"yyyy/mm/dd"),1),"")</f>
        <v>0</v>
      </c>
      <c r="H1283">
        <f>IFERROR([1]!s_stm07_is_105($A1283,TEXT($B$1,"yyyy/mm/dd"),1),"")</f>
        <v>54205718.380000003</v>
      </c>
      <c r="I1283">
        <f>IFERROR([1]!s_stm07_is($A1283,"W72946623",TEXT($B$1,"yyyy/mm/dd"),1),"")</f>
        <v>932068552.40999997</v>
      </c>
      <c r="J1283">
        <f>IFERROR([1]!s_stm07_is($A1283,"W30028333",TEXT($B$1,"yyyy/mm/dd"),1),"")</f>
        <v>828970422.17999995</v>
      </c>
      <c r="K1283">
        <f>IFERROR([1]!s_stm07_cs($A1283,"W77130581",TEXT($B$1,"yyyy/mm/dd"),1),"")</f>
        <v>1224656463.1099999</v>
      </c>
      <c r="L1283">
        <f>IFERROR([1]!s_stm07_cs($A1283,"W77745895",TEXT($B$1,"yyyy/mm/dd"),1),"")</f>
        <v>209621677.93000001</v>
      </c>
      <c r="M1283">
        <f>IFERROR([1]!S_FA_EPS_basic2($A1283,$B$1,"Cur=CNY"),"")</f>
        <v>1</v>
      </c>
      <c r="N1283">
        <f>IFERROR([1]!s_fa_arturndays($A1283,TEXT($B$1,"yyyy/mm/dd")),"")</f>
        <v>57.976599999999998</v>
      </c>
      <c r="O1283" t="str">
        <f>IFERROR([1]!fa_apturndays($A1283,TEXT($B$1,"yyyy/mm/dd")),"")</f>
        <v>Fetch...</v>
      </c>
      <c r="P1283">
        <f>IFERROR([1]!s_fa_invturndays($A1283,TEXT($B$1,"yyyy/mm/dd")),"")</f>
        <v>259.834</v>
      </c>
    </row>
    <row r="1284" spans="1:16">
      <c r="A1284" t="s">
        <v>1297</v>
      </c>
      <c r="B1284">
        <f>IFERROR([1]!s_stm07_is($A1284,"W70156729",TEXT($B$1,"yyyy/mm/dd"),1),"")</f>
        <v>165053636639.13</v>
      </c>
      <c r="C1284">
        <f>IFERROR([1]!s_stm07_is($A1284,"W75682424",TEXT($B$1,"yyyy/mm/dd"),1),"")</f>
        <v>116953831365.74001</v>
      </c>
      <c r="D1284">
        <f>IFERROR([1]!s_stm07_is($A1284,"W76031679",TEXT($B$1,"yyyy/mm/dd"),1),"")</f>
        <v>24194263481.939999</v>
      </c>
      <c r="E1284">
        <f>IFERROR([1]!s_stm07_is($A1284,"W70752487",TEXT($B$1,"yyyy/mm/dd"),1),"")</f>
        <v>4786889602.9099998</v>
      </c>
      <c r="F1284">
        <f>IFERROR([1]!s_stm07_is_103($A1284,TEXT($B$1,"yyyy/mm/dd"),1),"")</f>
        <v>7954319736.5500002</v>
      </c>
      <c r="G1284">
        <f>IFERROR([1]!s_stm07_is_104($A1284,TEXT($B$1,"yyyy/mm/dd"),1),"")</f>
        <v>198656464.50999999</v>
      </c>
      <c r="H1284">
        <f>IFERROR([1]!s_stm07_is_105($A1284,TEXT($B$1,"yyyy/mm/dd"),1),"")</f>
        <v>808845597.28999996</v>
      </c>
      <c r="I1284">
        <f>IFERROR([1]!s_stm07_is($A1284,"W72946623",TEXT($B$1,"yyyy/mm/dd"),1),"")</f>
        <v>7469529004.6099997</v>
      </c>
      <c r="J1284">
        <f>IFERROR([1]!s_stm07_is($A1284,"W30028333",TEXT($B$1,"yyyy/mm/dd"),1),"")</f>
        <v>5956787449.9099998</v>
      </c>
      <c r="K1284">
        <f>IFERROR([1]!s_stm07_cs($A1284,"W77130581",TEXT($B$1,"yyyy/mm/dd"),1),"")</f>
        <v>28913743329.240002</v>
      </c>
      <c r="L1284">
        <f>IFERROR([1]!s_stm07_cs($A1284,"W77745895",TEXT($B$1,"yyyy/mm/dd"),1),"")</f>
        <v>4169913626.0999999</v>
      </c>
      <c r="M1284">
        <f>IFERROR([1]!S_FA_EPS_basic2($A1284,$B$1,"Cur=CNY"),"")</f>
        <v>3.68</v>
      </c>
      <c r="N1284">
        <f>IFERROR([1]!s_fa_arturndays($A1284,TEXT($B$1,"yyyy/mm/dd")),"")</f>
        <v>4.4687000000000001</v>
      </c>
      <c r="O1284" t="str">
        <f>IFERROR([1]!fa_apturndays($A1284,TEXT($B$1,"yyyy/mm/dd")),"")</f>
        <v>Fetch...</v>
      </c>
      <c r="P1284">
        <f>IFERROR([1]!s_fa_invturndays($A1284,TEXT($B$1,"yyyy/mm/dd")),"")</f>
        <v>7.7750000000000004</v>
      </c>
    </row>
    <row r="1285" spans="1:16">
      <c r="A1285" t="s">
        <v>1298</v>
      </c>
      <c r="B1285">
        <f>IFERROR([1]!s_stm07_is($A1285,"W70156729",TEXT($B$1,"yyyy/mm/dd"),1),"")</f>
        <v>11619364000</v>
      </c>
      <c r="C1285">
        <f>IFERROR([1]!s_stm07_is($A1285,"W75682424",TEXT($B$1,"yyyy/mm/dd"),1),"")</f>
        <v>0</v>
      </c>
      <c r="D1285">
        <f>IFERROR([1]!s_stm07_is($A1285,"W76031679",TEXT($B$1,"yyyy/mm/dd"),1),"")</f>
        <v>0</v>
      </c>
      <c r="E1285">
        <f>IFERROR([1]!s_stm07_is($A1285,"W70752487",TEXT($B$1,"yyyy/mm/dd"),1),"")</f>
        <v>4143908000</v>
      </c>
      <c r="F1285">
        <f>IFERROR([1]!s_stm07_is_103($A1285,TEXT($B$1,"yyyy/mm/dd"),1),"")</f>
        <v>0</v>
      </c>
      <c r="G1285">
        <f>IFERROR([1]!s_stm07_is_104($A1285,TEXT($B$1,"yyyy/mm/dd"),1),"")</f>
        <v>0</v>
      </c>
      <c r="H1285">
        <f>IFERROR([1]!s_stm07_is_105($A1285,TEXT($B$1,"yyyy/mm/dd"),1),"")</f>
        <v>0</v>
      </c>
      <c r="I1285">
        <f>IFERROR([1]!s_stm07_is($A1285,"W72946623",TEXT($B$1,"yyyy/mm/dd"),1),"")</f>
        <v>5314844000</v>
      </c>
      <c r="J1285">
        <f>IFERROR([1]!s_stm07_is($A1285,"W30028333",TEXT($B$1,"yyyy/mm/dd"),1),"")</f>
        <v>4219369000</v>
      </c>
      <c r="K1285">
        <f>IFERROR([1]!s_stm07_cs($A1285,"W77130581",TEXT($B$1,"yyyy/mm/dd"),1),"")</f>
        <v>18362753000</v>
      </c>
      <c r="L1285">
        <f>IFERROR([1]!s_stm07_cs($A1285,"W77745895",TEXT($B$1,"yyyy/mm/dd"),1),"")</f>
        <v>435377000</v>
      </c>
      <c r="M1285">
        <f>IFERROR([1]!S_FA_EPS_basic2($A1285,$B$1,"Cur=CNY"),"")</f>
        <v>1.27</v>
      </c>
      <c r="N1285">
        <f>IFERROR([1]!s_fa_arturndays($A1285,TEXT($B$1,"yyyy/mm/dd")),"")</f>
        <v>0</v>
      </c>
      <c r="O1285" t="str">
        <f>IFERROR([1]!fa_apturndays($A1285,TEXT($B$1,"yyyy/mm/dd")),"")</f>
        <v>Fetch...</v>
      </c>
      <c r="P1285">
        <f>IFERROR([1]!s_fa_invturndays($A1285,TEXT($B$1,"yyyy/mm/dd")),"")</f>
        <v>0</v>
      </c>
    </row>
    <row r="1286" spans="1:16">
      <c r="A1286" t="s">
        <v>1299</v>
      </c>
      <c r="B1286">
        <f>IFERROR([1]!s_stm07_is($A1286,"W70156729",TEXT($B$1,"yyyy/mm/dd"),1),"")</f>
        <v>2528400797.6700001</v>
      </c>
      <c r="C1286">
        <f>IFERROR([1]!s_stm07_is($A1286,"W75682424",TEXT($B$1,"yyyy/mm/dd"),1),"")</f>
        <v>0</v>
      </c>
      <c r="D1286">
        <f>IFERROR([1]!s_stm07_is($A1286,"W76031679",TEXT($B$1,"yyyy/mm/dd"),1),"")</f>
        <v>0</v>
      </c>
      <c r="E1286">
        <f>IFERROR([1]!s_stm07_is($A1286,"W70752487",TEXT($B$1,"yyyy/mm/dd"),1),"")</f>
        <v>1264405610.2</v>
      </c>
      <c r="F1286">
        <f>IFERROR([1]!s_stm07_is_103($A1286,TEXT($B$1,"yyyy/mm/dd"),1),"")</f>
        <v>0</v>
      </c>
      <c r="G1286">
        <f>IFERROR([1]!s_stm07_is_104($A1286,TEXT($B$1,"yyyy/mm/dd"),1),"")</f>
        <v>0</v>
      </c>
      <c r="H1286">
        <f>IFERROR([1]!s_stm07_is_105($A1286,TEXT($B$1,"yyyy/mm/dd"),1),"")</f>
        <v>0</v>
      </c>
      <c r="I1286">
        <f>IFERROR([1]!s_stm07_is($A1286,"W72946623",TEXT($B$1,"yyyy/mm/dd"),1),"")</f>
        <v>1266614652.25</v>
      </c>
      <c r="J1286">
        <f>IFERROR([1]!s_stm07_is($A1286,"W30028333",TEXT($B$1,"yyyy/mm/dd"),1),"")</f>
        <v>1056402621.34</v>
      </c>
      <c r="K1286">
        <f>IFERROR([1]!s_stm07_cs($A1286,"W77130581",TEXT($B$1,"yyyy/mm/dd"),1),"")</f>
        <v>738101737.82000005</v>
      </c>
      <c r="L1286">
        <f>IFERROR([1]!s_stm07_cs($A1286,"W77745895",TEXT($B$1,"yyyy/mm/dd"),1),"")</f>
        <v>179000405.53999999</v>
      </c>
      <c r="M1286">
        <f>IFERROR([1]!S_FA_EPS_basic2($A1286,$B$1,"Cur=CNY"),"")</f>
        <v>0.39</v>
      </c>
      <c r="N1286">
        <f>IFERROR([1]!s_fa_arturndays($A1286,TEXT($B$1,"yyyy/mm/dd")),"")</f>
        <v>0</v>
      </c>
      <c r="O1286" t="str">
        <f>IFERROR([1]!fa_apturndays($A1286,TEXT($B$1,"yyyy/mm/dd")),"")</f>
        <v>Fetch...</v>
      </c>
      <c r="P1286">
        <f>IFERROR([1]!s_fa_invturndays($A1286,TEXT($B$1,"yyyy/mm/dd")),"")</f>
        <v>0</v>
      </c>
    </row>
    <row r="1287" spans="1:16">
      <c r="A1287" t="s">
        <v>1300</v>
      </c>
      <c r="B1287">
        <f>IFERROR([1]!s_stm07_is($A1287,"W70156729",TEXT($B$1,"yyyy/mm/dd"),1),"")</f>
        <v>20752970319.810001</v>
      </c>
      <c r="C1287">
        <f>IFERROR([1]!s_stm07_is($A1287,"W75682424",TEXT($B$1,"yyyy/mm/dd"),1),"")</f>
        <v>18051466135.970001</v>
      </c>
      <c r="D1287">
        <f>IFERROR([1]!s_stm07_is($A1287,"W76031679",TEXT($B$1,"yyyy/mm/dd"),1),"")</f>
        <v>278041858.17000002</v>
      </c>
      <c r="E1287">
        <f>IFERROR([1]!s_stm07_is($A1287,"W70752487",TEXT($B$1,"yyyy/mm/dd"),1),"")</f>
        <v>611036330.57000005</v>
      </c>
      <c r="F1287">
        <f>IFERROR([1]!s_stm07_is_103($A1287,TEXT($B$1,"yyyy/mm/dd"),1),"")</f>
        <v>474966205.32999998</v>
      </c>
      <c r="G1287">
        <f>IFERROR([1]!s_stm07_is_104($A1287,TEXT($B$1,"yyyy/mm/dd"),1),"")</f>
        <v>205679505.63999999</v>
      </c>
      <c r="H1287">
        <f>IFERROR([1]!s_stm07_is_105($A1287,TEXT($B$1,"yyyy/mm/dd"),1),"")</f>
        <v>14102695.369999999</v>
      </c>
      <c r="I1287">
        <f>IFERROR([1]!s_stm07_is($A1287,"W72946623",TEXT($B$1,"yyyy/mm/dd"),1),"")</f>
        <v>164827337.22</v>
      </c>
      <c r="J1287">
        <f>IFERROR([1]!s_stm07_is($A1287,"W30028333",TEXT($B$1,"yyyy/mm/dd"),1),"")</f>
        <v>124894858.40000001</v>
      </c>
      <c r="K1287">
        <f>IFERROR([1]!s_stm07_cs($A1287,"W77130581",TEXT($B$1,"yyyy/mm/dd"),1),"")</f>
        <v>-887483801.97000003</v>
      </c>
      <c r="L1287">
        <f>IFERROR([1]!s_stm07_cs($A1287,"W77745895",TEXT($B$1,"yyyy/mm/dd"),1),"")</f>
        <v>1624576126.6700001</v>
      </c>
      <c r="M1287">
        <f>IFERROR([1]!S_FA_EPS_basic2($A1287,$B$1,"Cur=CNY"),"")</f>
        <v>0.15</v>
      </c>
      <c r="N1287">
        <f>IFERROR([1]!s_fa_arturndays($A1287,TEXT($B$1,"yyyy/mm/dd")),"")</f>
        <v>40.423999999999999</v>
      </c>
      <c r="O1287" t="str">
        <f>IFERROR([1]!fa_apturndays($A1287,TEXT($B$1,"yyyy/mm/dd")),"")</f>
        <v>Fetch...</v>
      </c>
      <c r="P1287">
        <f>IFERROR([1]!s_fa_invturndays($A1287,TEXT($B$1,"yyyy/mm/dd")),"")</f>
        <v>113.71169999999999</v>
      </c>
    </row>
    <row r="1288" spans="1:16">
      <c r="A1288" t="s">
        <v>1301</v>
      </c>
      <c r="B1288">
        <f>IFERROR([1]!s_stm07_is($A1288,"W70156729",TEXT($B$1,"yyyy/mm/dd"),1),"")</f>
        <v>902887188000</v>
      </c>
      <c r="C1288">
        <f>IFERROR([1]!s_stm07_is($A1288,"W75682424",TEXT($B$1,"yyyy/mm/dd"),1),"")</f>
        <v>839901600000</v>
      </c>
      <c r="D1288">
        <f>IFERROR([1]!s_stm07_is($A1288,"W76031679",TEXT($B$1,"yyyy/mm/dd"),1),"")</f>
        <v>1192775000</v>
      </c>
      <c r="E1288">
        <f>IFERROR([1]!s_stm07_is($A1288,"W70752487",TEXT($B$1,"yyyy/mm/dd"),1),"")</f>
        <v>5984263000</v>
      </c>
      <c r="F1288">
        <f>IFERROR([1]!s_stm07_is_103($A1288,TEXT($B$1,"yyyy/mm/dd"),1),"")</f>
        <v>11151076000</v>
      </c>
      <c r="G1288">
        <f>IFERROR([1]!s_stm07_is_104($A1288,TEXT($B$1,"yyyy/mm/dd"),1),"")</f>
        <v>3336343000</v>
      </c>
      <c r="H1288">
        <f>IFERROR([1]!s_stm07_is_105($A1288,TEXT($B$1,"yyyy/mm/dd"),1),"")</f>
        <v>1406870000</v>
      </c>
      <c r="I1288">
        <f>IFERROR([1]!s_stm07_is($A1288,"W72946623",TEXT($B$1,"yyyy/mm/dd"),1),"")</f>
        <v>41042184000</v>
      </c>
      <c r="J1288">
        <f>IFERROR([1]!s_stm07_is($A1288,"W30028333",TEXT($B$1,"yyyy/mm/dd"),1),"")</f>
        <v>35285561000</v>
      </c>
      <c r="K1288">
        <f>IFERROR([1]!s_stm07_cs($A1288,"W77130581",TEXT($B$1,"yyyy/mm/dd"),1),"")</f>
        <v>5237909000</v>
      </c>
      <c r="L1288">
        <f>IFERROR([1]!s_stm07_cs($A1288,"W77745895",TEXT($B$1,"yyyy/mm/dd"),1),"")</f>
        <v>17229962000</v>
      </c>
      <c r="M1288">
        <f>IFERROR([1]!S_FA_EPS_basic2($A1288,$B$1,"Cur=CNY"),"")</f>
        <v>1.78</v>
      </c>
      <c r="N1288">
        <f>IFERROR([1]!s_fa_arturndays($A1288,TEXT($B$1,"yyyy/mm/dd")),"")</f>
        <v>40.918399999999998</v>
      </c>
      <c r="O1288" t="str">
        <f>IFERROR([1]!fa_apturndays($A1288,TEXT($B$1,"yyyy/mm/dd")),"")</f>
        <v>Fetch...</v>
      </c>
      <c r="P1288">
        <f>IFERROR([1]!s_fa_invturndays($A1288,TEXT($B$1,"yyyy/mm/dd")),"")</f>
        <v>50.6158</v>
      </c>
    </row>
    <row r="1289" spans="1:16">
      <c r="A1289" t="s">
        <v>1302</v>
      </c>
      <c r="B1289">
        <f>IFERROR([1]!s_stm07_is($A1289,"W70156729",TEXT($B$1,"yyyy/mm/dd"),1),"")</f>
        <v>29800924733.43</v>
      </c>
      <c r="C1289">
        <f>IFERROR([1]!s_stm07_is($A1289,"W75682424",TEXT($B$1,"yyyy/mm/dd"),1),"")</f>
        <v>24544943023.630001</v>
      </c>
      <c r="D1289">
        <f>IFERROR([1]!s_stm07_is($A1289,"W76031679",TEXT($B$1,"yyyy/mm/dd"),1),"")</f>
        <v>1573409579.0599999</v>
      </c>
      <c r="E1289">
        <f>IFERROR([1]!s_stm07_is($A1289,"W70752487",TEXT($B$1,"yyyy/mm/dd"),1),"")</f>
        <v>393303587.83999997</v>
      </c>
      <c r="F1289">
        <f>IFERROR([1]!s_stm07_is_103($A1289,TEXT($B$1,"yyyy/mm/dd"),1),"")</f>
        <v>940824793.50999999</v>
      </c>
      <c r="G1289">
        <f>IFERROR([1]!s_stm07_is_104($A1289,TEXT($B$1,"yyyy/mm/dd"),1),"")</f>
        <v>324218595.06</v>
      </c>
      <c r="H1289">
        <f>IFERROR([1]!s_stm07_is_105($A1289,TEXT($B$1,"yyyy/mm/dd"),1),"")</f>
        <v>50647096.990000002</v>
      </c>
      <c r="I1289">
        <f>IFERROR([1]!s_stm07_is($A1289,"W72946623",TEXT($B$1,"yyyy/mm/dd"),1),"")</f>
        <v>1852067281.25</v>
      </c>
      <c r="J1289">
        <f>IFERROR([1]!s_stm07_is($A1289,"W30028333",TEXT($B$1,"yyyy/mm/dd"),1),"")</f>
        <v>1407979326.71</v>
      </c>
      <c r="K1289">
        <f>IFERROR([1]!s_stm07_cs($A1289,"W77130581",TEXT($B$1,"yyyy/mm/dd"),1),"")</f>
        <v>3610426292.0300002</v>
      </c>
      <c r="L1289">
        <f>IFERROR([1]!s_stm07_cs($A1289,"W77745895",TEXT($B$1,"yyyy/mm/dd"),1),"")</f>
        <v>2393584660.2399998</v>
      </c>
      <c r="M1289">
        <f>IFERROR([1]!S_FA_EPS_basic2($A1289,$B$1,"Cur=CNY"),"")</f>
        <v>0.49</v>
      </c>
      <c r="N1289">
        <f>IFERROR([1]!s_fa_arturndays($A1289,TEXT($B$1,"yyyy/mm/dd")),"")</f>
        <v>47.344700000000003</v>
      </c>
      <c r="O1289" t="str">
        <f>IFERROR([1]!fa_apturndays($A1289,TEXT($B$1,"yyyy/mm/dd")),"")</f>
        <v>Fetch...</v>
      </c>
      <c r="P1289">
        <f>IFERROR([1]!s_fa_invturndays($A1289,TEXT($B$1,"yyyy/mm/dd")),"")</f>
        <v>15.629099999999999</v>
      </c>
    </row>
    <row r="1290" spans="1:16">
      <c r="A1290" t="s">
        <v>1303</v>
      </c>
      <c r="B1290">
        <f>IFERROR([1]!s_stm07_is($A1290,"W70156729",TEXT($B$1,"yyyy/mm/dd"),1),"")</f>
        <v>53011628518</v>
      </c>
      <c r="C1290">
        <f>IFERROR([1]!s_stm07_is($A1290,"W75682424",TEXT($B$1,"yyyy/mm/dd"),1),"")</f>
        <v>38477821592</v>
      </c>
      <c r="D1290">
        <f>IFERROR([1]!s_stm07_is($A1290,"W76031679",TEXT($B$1,"yyyy/mm/dd"),1),"")</f>
        <v>1844126593</v>
      </c>
      <c r="E1290">
        <f>IFERROR([1]!s_stm07_is($A1290,"W70752487",TEXT($B$1,"yyyy/mm/dd"),1),"")</f>
        <v>2613357954</v>
      </c>
      <c r="F1290">
        <f>IFERROR([1]!s_stm07_is_103($A1290,TEXT($B$1,"yyyy/mm/dd"),1),"")</f>
        <v>0</v>
      </c>
      <c r="G1290">
        <f>IFERROR([1]!s_stm07_is_104($A1290,TEXT($B$1,"yyyy/mm/dd"),1),"")</f>
        <v>3293119772</v>
      </c>
      <c r="H1290">
        <f>IFERROR([1]!s_stm07_is_105($A1290,TEXT($B$1,"yyyy/mm/dd"),1),"")</f>
        <v>55837115</v>
      </c>
      <c r="I1290">
        <f>IFERROR([1]!s_stm07_is($A1290,"W72946623",TEXT($B$1,"yyyy/mm/dd"),1),"")</f>
        <v>2074709255</v>
      </c>
      <c r="J1290">
        <f>IFERROR([1]!s_stm07_is($A1290,"W30028333",TEXT($B$1,"yyyy/mm/dd"),1),"")</f>
        <v>680106627</v>
      </c>
      <c r="K1290">
        <f>IFERROR([1]!s_stm07_cs($A1290,"W77130581",TEXT($B$1,"yyyy/mm/dd"),1),"")</f>
        <v>1424786088</v>
      </c>
      <c r="L1290">
        <f>IFERROR([1]!s_stm07_cs($A1290,"W77745895",TEXT($B$1,"yyyy/mm/dd"),1),"")</f>
        <v>296604009</v>
      </c>
      <c r="M1290">
        <f>IFERROR([1]!S_FA_EPS_basic2($A1290,$B$1,"Cur=CNY"),"")</f>
        <v>0.3</v>
      </c>
      <c r="N1290">
        <f>IFERROR([1]!s_fa_arturndays($A1290,TEXT($B$1,"yyyy/mm/dd")),"")</f>
        <v>3.6375999999999999</v>
      </c>
      <c r="O1290" t="str">
        <f>IFERROR([1]!fa_apturndays($A1290,TEXT($B$1,"yyyy/mm/dd")),"")</f>
        <v>Fetch...</v>
      </c>
      <c r="P1290">
        <f>IFERROR([1]!s_fa_invturndays($A1290,TEXT($B$1,"yyyy/mm/dd")),"")</f>
        <v>786.1979</v>
      </c>
    </row>
    <row r="1291" spans="1:16">
      <c r="A1291" t="s">
        <v>1304</v>
      </c>
      <c r="B1291">
        <f>IFERROR([1]!s_stm07_is($A1291,"W70156729",TEXT($B$1,"yyyy/mm/dd"),1),"")</f>
        <v>24264489560.290001</v>
      </c>
      <c r="C1291">
        <f>IFERROR([1]!s_stm07_is($A1291,"W75682424",TEXT($B$1,"yyyy/mm/dd"),1),"")</f>
        <v>19502487233.91</v>
      </c>
      <c r="D1291">
        <f>IFERROR([1]!s_stm07_is($A1291,"W76031679",TEXT($B$1,"yyyy/mm/dd"),1),"")</f>
        <v>289373304.18000001</v>
      </c>
      <c r="E1291">
        <f>IFERROR([1]!s_stm07_is($A1291,"W70752487",TEXT($B$1,"yyyy/mm/dd"),1),"")</f>
        <v>434932180.49000001</v>
      </c>
      <c r="F1291">
        <f>IFERROR([1]!s_stm07_is_103($A1291,TEXT($B$1,"yyyy/mm/dd"),1),"")</f>
        <v>59174258.509999998</v>
      </c>
      <c r="G1291">
        <f>IFERROR([1]!s_stm07_is_104($A1291,TEXT($B$1,"yyyy/mm/dd"),1),"")</f>
        <v>232399755.38</v>
      </c>
      <c r="H1291">
        <f>IFERROR([1]!s_stm07_is_105($A1291,TEXT($B$1,"yyyy/mm/dd"),1),"")</f>
        <v>120359779.65000001</v>
      </c>
      <c r="I1291">
        <f>IFERROR([1]!s_stm07_is($A1291,"W72946623",TEXT($B$1,"yyyy/mm/dd"),1),"")</f>
        <v>4086168700.73</v>
      </c>
      <c r="J1291">
        <f>IFERROR([1]!s_stm07_is($A1291,"W30028333",TEXT($B$1,"yyyy/mm/dd"),1),"")</f>
        <v>2688045084.23</v>
      </c>
      <c r="K1291">
        <f>IFERROR([1]!s_stm07_cs($A1291,"W77130581",TEXT($B$1,"yyyy/mm/dd"),1),"")</f>
        <v>6201784649.1000004</v>
      </c>
      <c r="L1291">
        <f>IFERROR([1]!s_stm07_cs($A1291,"W77745895",TEXT($B$1,"yyyy/mm/dd"),1),"")</f>
        <v>1758304123.78</v>
      </c>
      <c r="M1291">
        <f>IFERROR([1]!S_FA_EPS_basic2($A1291,$B$1,"Cur=CNY"),"")</f>
        <v>1.69</v>
      </c>
      <c r="N1291">
        <f>IFERROR([1]!s_fa_arturndays($A1291,TEXT($B$1,"yyyy/mm/dd")),"")</f>
        <v>29.295000000000002</v>
      </c>
      <c r="O1291" t="str">
        <f>IFERROR([1]!fa_apturndays($A1291,TEXT($B$1,"yyyy/mm/dd")),"")</f>
        <v>Fetch...</v>
      </c>
      <c r="P1291">
        <f>IFERROR([1]!s_fa_invturndays($A1291,TEXT($B$1,"yyyy/mm/dd")),"")</f>
        <v>0.39710000000000001</v>
      </c>
    </row>
    <row r="1292" spans="1:16">
      <c r="A1292" t="s">
        <v>1305</v>
      </c>
      <c r="B1292">
        <f>IFERROR([1]!s_stm07_is($A1292,"W70156729",TEXT($B$1,"yyyy/mm/dd"),1),"")</f>
        <v>2853726159.1399999</v>
      </c>
      <c r="C1292">
        <f>IFERROR([1]!s_stm07_is($A1292,"W75682424",TEXT($B$1,"yyyy/mm/dd"),1),"")</f>
        <v>0</v>
      </c>
      <c r="D1292">
        <f>IFERROR([1]!s_stm07_is($A1292,"W76031679",TEXT($B$1,"yyyy/mm/dd"),1),"")</f>
        <v>0</v>
      </c>
      <c r="E1292">
        <f>IFERROR([1]!s_stm07_is($A1292,"W70752487",TEXT($B$1,"yyyy/mm/dd"),1),"")</f>
        <v>2273742602.6700001</v>
      </c>
      <c r="F1292">
        <f>IFERROR([1]!s_stm07_is_103($A1292,TEXT($B$1,"yyyy/mm/dd"),1),"")</f>
        <v>0</v>
      </c>
      <c r="G1292">
        <f>IFERROR([1]!s_stm07_is_104($A1292,TEXT($B$1,"yyyy/mm/dd"),1),"")</f>
        <v>0</v>
      </c>
      <c r="H1292">
        <f>IFERROR([1]!s_stm07_is_105($A1292,TEXT($B$1,"yyyy/mm/dd"),1),"")</f>
        <v>0</v>
      </c>
      <c r="I1292">
        <f>IFERROR([1]!s_stm07_is($A1292,"W72946623",TEXT($B$1,"yyyy/mm/dd"),1),"")</f>
        <v>246463498.03999999</v>
      </c>
      <c r="J1292">
        <f>IFERROR([1]!s_stm07_is($A1292,"W30028333",TEXT($B$1,"yyyy/mm/dd"),1),"")</f>
        <v>155831269.46000001</v>
      </c>
      <c r="K1292">
        <f>IFERROR([1]!s_stm07_cs($A1292,"W77130581",TEXT($B$1,"yyyy/mm/dd"),1),"")</f>
        <v>3310650976.9899998</v>
      </c>
      <c r="L1292">
        <f>IFERROR([1]!s_stm07_cs($A1292,"W77745895",TEXT($B$1,"yyyy/mm/dd"),1),"")</f>
        <v>71512668.340000004</v>
      </c>
      <c r="M1292">
        <f>IFERROR([1]!S_FA_EPS_basic2($A1292,$B$1,"Cur=CNY"),"")</f>
        <v>0.02</v>
      </c>
      <c r="N1292">
        <f>IFERROR([1]!s_fa_arturndays($A1292,TEXT($B$1,"yyyy/mm/dd")),"")</f>
        <v>0</v>
      </c>
      <c r="O1292" t="str">
        <f>IFERROR([1]!fa_apturndays($A1292,TEXT($B$1,"yyyy/mm/dd")),"")</f>
        <v>Fetch...</v>
      </c>
      <c r="P1292">
        <f>IFERROR([1]!s_fa_invturndays($A1292,TEXT($B$1,"yyyy/mm/dd")),"")</f>
        <v>0</v>
      </c>
    </row>
    <row r="1293" spans="1:16">
      <c r="A1293" t="s">
        <v>1306</v>
      </c>
      <c r="B1293">
        <f>IFERROR([1]!s_stm07_is($A1293,"W70156729",TEXT($B$1,"yyyy/mm/dd"),1),"")</f>
        <v>9820936611.2800007</v>
      </c>
      <c r="C1293">
        <f>IFERROR([1]!s_stm07_is($A1293,"W75682424",TEXT($B$1,"yyyy/mm/dd"),1),"")</f>
        <v>7855128263.75</v>
      </c>
      <c r="D1293">
        <f>IFERROR([1]!s_stm07_is($A1293,"W76031679",TEXT($B$1,"yyyy/mm/dd"),1),"")</f>
        <v>394365870.38</v>
      </c>
      <c r="E1293">
        <f>IFERROR([1]!s_stm07_is($A1293,"W70752487",TEXT($B$1,"yyyy/mm/dd"),1),"")</f>
        <v>270051636.76999998</v>
      </c>
      <c r="F1293">
        <f>IFERROR([1]!s_stm07_is_103($A1293,TEXT($B$1,"yyyy/mm/dd"),1),"")</f>
        <v>465083701.32999998</v>
      </c>
      <c r="G1293">
        <f>IFERROR([1]!s_stm07_is_104($A1293,TEXT($B$1,"yyyy/mm/dd"),1),"")</f>
        <v>34952148.579999998</v>
      </c>
      <c r="H1293">
        <f>IFERROR([1]!s_stm07_is_105($A1293,TEXT($B$1,"yyyy/mm/dd"),1),"")</f>
        <v>86370260.780000001</v>
      </c>
      <c r="I1293">
        <f>IFERROR([1]!s_stm07_is($A1293,"W72946623",TEXT($B$1,"yyyy/mm/dd"),1),"")</f>
        <v>1047270570.59</v>
      </c>
      <c r="J1293">
        <f>IFERROR([1]!s_stm07_is($A1293,"W30028333",TEXT($B$1,"yyyy/mm/dd"),1),"")</f>
        <v>922888822.02999997</v>
      </c>
      <c r="K1293">
        <f>IFERROR([1]!s_stm07_cs($A1293,"W77130581",TEXT($B$1,"yyyy/mm/dd"),1),"")</f>
        <v>864389677.17999995</v>
      </c>
      <c r="L1293">
        <f>IFERROR([1]!s_stm07_cs($A1293,"W77745895",TEXT($B$1,"yyyy/mm/dd"),1),"")</f>
        <v>92079175.379999995</v>
      </c>
      <c r="M1293">
        <f>IFERROR([1]!S_FA_EPS_basic2($A1293,$B$1,"Cur=CNY"),"")</f>
        <v>1.1499999999999999</v>
      </c>
      <c r="N1293">
        <f>IFERROR([1]!s_fa_arturndays($A1293,TEXT($B$1,"yyyy/mm/dd")),"")</f>
        <v>39.141500000000001</v>
      </c>
      <c r="O1293" t="str">
        <f>IFERROR([1]!fa_apturndays($A1293,TEXT($B$1,"yyyy/mm/dd")),"")</f>
        <v>Fetch...</v>
      </c>
      <c r="P1293">
        <f>IFERROR([1]!s_fa_invturndays($A1293,TEXT($B$1,"yyyy/mm/dd")),"")</f>
        <v>61.1922</v>
      </c>
    </row>
    <row r="1294" spans="1:16">
      <c r="A1294" t="s">
        <v>1307</v>
      </c>
      <c r="B1294">
        <f>IFERROR([1]!s_stm07_is($A1294,"W70156729",TEXT($B$1,"yyyy/mm/dd"),1),"")</f>
        <v>212741000000</v>
      </c>
      <c r="C1294">
        <f>IFERROR([1]!s_stm07_is($A1294,"W75682424",TEXT($B$1,"yyyy/mm/dd"),1),"")</f>
        <v>0</v>
      </c>
      <c r="D1294">
        <f>IFERROR([1]!s_stm07_is($A1294,"W76031679",TEXT($B$1,"yyyy/mm/dd"),1),"")</f>
        <v>0</v>
      </c>
      <c r="E1294">
        <f>IFERROR([1]!s_stm07_is($A1294,"W70752487",TEXT($B$1,"yyyy/mm/dd"),1),"")</f>
        <v>62291000000</v>
      </c>
      <c r="F1294">
        <f>IFERROR([1]!s_stm07_is_103($A1294,TEXT($B$1,"yyyy/mm/dd"),1),"")</f>
        <v>0</v>
      </c>
      <c r="G1294">
        <f>IFERROR([1]!s_stm07_is_104($A1294,TEXT($B$1,"yyyy/mm/dd"),1),"")</f>
        <v>0</v>
      </c>
      <c r="H1294">
        <f>IFERROR([1]!s_stm07_is_105($A1294,TEXT($B$1,"yyyy/mm/dd"),1),"")</f>
        <v>0</v>
      </c>
      <c r="I1294">
        <f>IFERROR([1]!s_stm07_is($A1294,"W72946623",TEXT($B$1,"yyyy/mm/dd"),1),"")</f>
        <v>89973000000</v>
      </c>
      <c r="J1294">
        <f>IFERROR([1]!s_stm07_is($A1294,"W30028333",TEXT($B$1,"yyyy/mm/dd"),1),"")</f>
        <v>77469000000</v>
      </c>
      <c r="K1294">
        <f>IFERROR([1]!s_stm07_cs($A1294,"W77130581",TEXT($B$1,"yyyy/mm/dd"),1),"")</f>
        <v>653656000000</v>
      </c>
      <c r="L1294">
        <f>IFERROR([1]!s_stm07_cs($A1294,"W77745895",TEXT($B$1,"yyyy/mm/dd"),1),"")</f>
        <v>13455000000</v>
      </c>
      <c r="M1294">
        <f>IFERROR([1]!S_FA_EPS_basic2($A1294,$B$1,"Cur=CNY"),"")</f>
        <v>3.46</v>
      </c>
      <c r="N1294">
        <f>IFERROR([1]!s_fa_arturndays($A1294,TEXT($B$1,"yyyy/mm/dd")),"")</f>
        <v>0</v>
      </c>
      <c r="O1294" t="str">
        <f>IFERROR([1]!fa_apturndays($A1294,TEXT($B$1,"yyyy/mm/dd")),"")</f>
        <v>Fetch...</v>
      </c>
      <c r="P1294">
        <f>IFERROR([1]!s_fa_invturndays($A1294,TEXT($B$1,"yyyy/mm/dd")),"")</f>
        <v>0</v>
      </c>
    </row>
    <row r="1295" spans="1:16">
      <c r="A1295" t="s">
        <v>1308</v>
      </c>
      <c r="B1295">
        <f>IFERROR([1]!s_stm07_is($A1295,"W70156729",TEXT($B$1,"yyyy/mm/dd"),1),"")</f>
        <v>61686769908</v>
      </c>
      <c r="C1295">
        <f>IFERROR([1]!s_stm07_is($A1295,"W75682424",TEXT($B$1,"yyyy/mm/dd"),1),"")</f>
        <v>49617385805</v>
      </c>
      <c r="D1295">
        <f>IFERROR([1]!s_stm07_is($A1295,"W76031679",TEXT($B$1,"yyyy/mm/dd"),1),"")</f>
        <v>33073250</v>
      </c>
      <c r="E1295">
        <f>IFERROR([1]!s_stm07_is($A1295,"W70752487",TEXT($B$1,"yyyy/mm/dd"),1),"")</f>
        <v>1201443452</v>
      </c>
      <c r="F1295">
        <f>IFERROR([1]!s_stm07_is_103($A1295,TEXT($B$1,"yyyy/mm/dd"),1),"")</f>
        <v>1083332575</v>
      </c>
      <c r="G1295">
        <f>IFERROR([1]!s_stm07_is_104($A1295,TEXT($B$1,"yyyy/mm/dd"),1),"")</f>
        <v>554723372</v>
      </c>
      <c r="H1295">
        <f>IFERROR([1]!s_stm07_is_105($A1295,TEXT($B$1,"yyyy/mm/dd"),1),"")</f>
        <v>15045459</v>
      </c>
      <c r="I1295">
        <f>IFERROR([1]!s_stm07_is($A1295,"W72946623",TEXT($B$1,"yyyy/mm/dd"),1),"")</f>
        <v>7068626572</v>
      </c>
      <c r="J1295">
        <f>IFERROR([1]!s_stm07_is($A1295,"W30028333",TEXT($B$1,"yyyy/mm/dd"),1),"")</f>
        <v>3642686772</v>
      </c>
      <c r="K1295">
        <f>IFERROR([1]!s_stm07_cs($A1295,"W77130581",TEXT($B$1,"yyyy/mm/dd"),1),"")</f>
        <v>10211012503</v>
      </c>
      <c r="L1295">
        <f>IFERROR([1]!s_stm07_cs($A1295,"W77745895",TEXT($B$1,"yyyy/mm/dd"),1),"")</f>
        <v>3043457548</v>
      </c>
      <c r="M1295">
        <f>IFERROR([1]!S_FA_EPS_basic2($A1295,$B$1,"Cur=CNY"),"")</f>
        <v>1.53</v>
      </c>
      <c r="N1295">
        <f>IFERROR([1]!s_fa_arturndays($A1295,TEXT($B$1,"yyyy/mm/dd")),"")</f>
        <v>0.67349999999999999</v>
      </c>
      <c r="O1295" t="str">
        <f>IFERROR([1]!fa_apturndays($A1295,TEXT($B$1,"yyyy/mm/dd")),"")</f>
        <v>Fetch...</v>
      </c>
      <c r="P1295">
        <f>IFERROR([1]!s_fa_invturndays($A1295,TEXT($B$1,"yyyy/mm/dd")),"")</f>
        <v>37.2258</v>
      </c>
    </row>
    <row r="1296" spans="1:16">
      <c r="A1296" t="s">
        <v>1309</v>
      </c>
      <c r="B1296">
        <f>IFERROR([1]!s_stm07_is($A1296,"W70156729",TEXT($B$1,"yyyy/mm/dd"),1),"")</f>
        <v>68036000000</v>
      </c>
      <c r="C1296">
        <f>IFERROR([1]!s_stm07_is($A1296,"W75682424",TEXT($B$1,"yyyy/mm/dd"),1),"")</f>
        <v>0</v>
      </c>
      <c r="D1296">
        <f>IFERROR([1]!s_stm07_is($A1296,"W76031679",TEXT($B$1,"yyyy/mm/dd"),1),"")</f>
        <v>0</v>
      </c>
      <c r="E1296">
        <f>IFERROR([1]!s_stm07_is($A1296,"W70752487",TEXT($B$1,"yyyy/mm/dd"),1),"")</f>
        <v>21026000000</v>
      </c>
      <c r="F1296">
        <f>IFERROR([1]!s_stm07_is_103($A1296,TEXT($B$1,"yyyy/mm/dd"),1),"")</f>
        <v>0</v>
      </c>
      <c r="G1296">
        <f>IFERROR([1]!s_stm07_is_104($A1296,TEXT($B$1,"yyyy/mm/dd"),1),"")</f>
        <v>0</v>
      </c>
      <c r="H1296">
        <f>IFERROR([1]!s_stm07_is_105($A1296,TEXT($B$1,"yyyy/mm/dd"),1),"")</f>
        <v>0</v>
      </c>
      <c r="I1296">
        <f>IFERROR([1]!s_stm07_is($A1296,"W72946623",TEXT($B$1,"yyyy/mm/dd"),1),"")</f>
        <v>20714000000</v>
      </c>
      <c r="J1296">
        <f>IFERROR([1]!s_stm07_is($A1296,"W30028333",TEXT($B$1,"yyyy/mm/dd"),1),"")</f>
        <v>20086000000</v>
      </c>
      <c r="K1296">
        <f>IFERROR([1]!s_stm07_cs($A1296,"W77130581",TEXT($B$1,"yyyy/mm/dd"),1),"")</f>
        <v>378955000000</v>
      </c>
      <c r="L1296">
        <f>IFERROR([1]!s_stm07_cs($A1296,"W77745895",TEXT($B$1,"yyyy/mm/dd"),1),"")</f>
        <v>1182000000</v>
      </c>
      <c r="M1296">
        <f>IFERROR([1]!S_FA_EPS_basic2($A1296,$B$1,"Cur=CNY"),"")</f>
        <v>0.78</v>
      </c>
      <c r="N1296">
        <f>IFERROR([1]!s_fa_arturndays($A1296,TEXT($B$1,"yyyy/mm/dd")),"")</f>
        <v>0</v>
      </c>
      <c r="O1296" t="str">
        <f>IFERROR([1]!fa_apturndays($A1296,TEXT($B$1,"yyyy/mm/dd")),"")</f>
        <v>Fetch...</v>
      </c>
      <c r="P1296">
        <f>IFERROR([1]!s_fa_invturndays($A1296,TEXT($B$1,"yyyy/mm/dd")),"")</f>
        <v>0</v>
      </c>
    </row>
    <row r="1297" spans="1:16">
      <c r="A1297" t="s">
        <v>1310</v>
      </c>
      <c r="B1297">
        <f>IFERROR([1]!s_stm07_is($A1297,"W70156729",TEXT($B$1,"yyyy/mm/dd"),1),"")</f>
        <v>23812998981.75</v>
      </c>
      <c r="C1297">
        <f>IFERROR([1]!s_stm07_is($A1297,"W75682424",TEXT($B$1,"yyyy/mm/dd"),1),"")</f>
        <v>18352174153.810001</v>
      </c>
      <c r="D1297">
        <f>IFERROR([1]!s_stm07_is($A1297,"W76031679",TEXT($B$1,"yyyy/mm/dd"),1),"")</f>
        <v>822100387.17999995</v>
      </c>
      <c r="E1297">
        <f>IFERROR([1]!s_stm07_is($A1297,"W70752487",TEXT($B$1,"yyyy/mm/dd"),1),"")</f>
        <v>1549413434.22</v>
      </c>
      <c r="F1297">
        <f>IFERROR([1]!s_stm07_is_103($A1297,TEXT($B$1,"yyyy/mm/dd"),1),"")</f>
        <v>1199810619.1700001</v>
      </c>
      <c r="G1297">
        <f>IFERROR([1]!s_stm07_is_104($A1297,TEXT($B$1,"yyyy/mm/dd"),1),"")</f>
        <v>42173631.039999999</v>
      </c>
      <c r="H1297">
        <f>IFERROR([1]!s_stm07_is_105($A1297,TEXT($B$1,"yyyy/mm/dd"),1),"")</f>
        <v>107055409.81</v>
      </c>
      <c r="I1297">
        <f>IFERROR([1]!s_stm07_is($A1297,"W72946623",TEXT($B$1,"yyyy/mm/dd"),1),"")</f>
        <v>1677918287</v>
      </c>
      <c r="J1297">
        <f>IFERROR([1]!s_stm07_is($A1297,"W30028333",TEXT($B$1,"yyyy/mm/dd"),1),"")</f>
        <v>1269679596.1400001</v>
      </c>
      <c r="K1297">
        <f>IFERROR([1]!s_stm07_cs($A1297,"W77130581",TEXT($B$1,"yyyy/mm/dd"),1),"")</f>
        <v>2740190014.1599998</v>
      </c>
      <c r="L1297">
        <f>IFERROR([1]!s_stm07_cs($A1297,"W77745895",TEXT($B$1,"yyyy/mm/dd"),1),"")</f>
        <v>977646122.72000003</v>
      </c>
      <c r="M1297">
        <f>IFERROR([1]!S_FA_EPS_basic2($A1297,$B$1,"Cur=CNY"),"")</f>
        <v>0.2477</v>
      </c>
      <c r="N1297">
        <f>IFERROR([1]!s_fa_arturndays($A1297,TEXT($B$1,"yyyy/mm/dd")),"")</f>
        <v>147.88650000000001</v>
      </c>
      <c r="O1297" t="str">
        <f>IFERROR([1]!fa_apturndays($A1297,TEXT($B$1,"yyyy/mm/dd")),"")</f>
        <v>Fetch...</v>
      </c>
      <c r="P1297">
        <f>IFERROR([1]!s_fa_invturndays($A1297,TEXT($B$1,"yyyy/mm/dd")),"")</f>
        <v>131.6848</v>
      </c>
    </row>
    <row r="1298" spans="1:16">
      <c r="A1298" t="s">
        <v>1311</v>
      </c>
      <c r="B1298">
        <f>IFERROR([1]!s_stm07_is($A1298,"W70156729",TEXT($B$1,"yyyy/mm/dd"),1),"")</f>
        <v>1029784460000</v>
      </c>
      <c r="C1298">
        <f>IFERROR([1]!s_stm07_is($A1298,"W75682424",TEXT($B$1,"yyyy/mm/dd"),1),"")</f>
        <v>929666968000</v>
      </c>
      <c r="D1298">
        <f>IFERROR([1]!s_stm07_is($A1298,"W76031679",TEXT($B$1,"yyyy/mm/dd"),1),"")</f>
        <v>6411982000</v>
      </c>
      <c r="E1298">
        <f>IFERROR([1]!s_stm07_is($A1298,"W70752487",TEXT($B$1,"yyyy/mm/dd"),1),"")</f>
        <v>20138345000</v>
      </c>
      <c r="F1298">
        <f>IFERROR([1]!s_stm07_is_103($A1298,TEXT($B$1,"yyyy/mm/dd"),1),"")</f>
        <v>23595966000</v>
      </c>
      <c r="G1298">
        <f>IFERROR([1]!s_stm07_is_104($A1298,TEXT($B$1,"yyyy/mm/dd"),1),"")</f>
        <v>13072638000</v>
      </c>
      <c r="H1298">
        <f>IFERROR([1]!s_stm07_is_105($A1298,TEXT($B$1,"yyyy/mm/dd"),1),"")</f>
        <v>3935705000</v>
      </c>
      <c r="I1298">
        <f>IFERROR([1]!s_stm07_is($A1298,"W72946623",TEXT($B$1,"yyyy/mm/dd"),1),"")</f>
        <v>26932977000</v>
      </c>
      <c r="J1298">
        <f>IFERROR([1]!s_stm07_is($A1298,"W30028333",TEXT($B$1,"yyyy/mm/dd"),1),"")</f>
        <v>18362618000</v>
      </c>
      <c r="K1298">
        <f>IFERROR([1]!s_stm07_cs($A1298,"W77130581",TEXT($B$1,"yyyy/mm/dd"),1),"")</f>
        <v>2956977000</v>
      </c>
      <c r="L1298">
        <f>IFERROR([1]!s_stm07_cs($A1298,"W77745895",TEXT($B$1,"yyyy/mm/dd"),1),"")</f>
        <v>47600546000</v>
      </c>
      <c r="M1298">
        <f>IFERROR([1]!S_FA_EPS_basic2($A1298,$B$1,"Cur=CNY"),"")</f>
        <v>1.18</v>
      </c>
      <c r="N1298">
        <f>IFERROR([1]!s_fa_arturndays($A1298,TEXT($B$1,"yyyy/mm/dd")),"")</f>
        <v>77.920400000000001</v>
      </c>
      <c r="O1298" t="str">
        <f>IFERROR([1]!fa_apturndays($A1298,TEXT($B$1,"yyyy/mm/dd")),"")</f>
        <v>Fetch...</v>
      </c>
      <c r="P1298">
        <f>IFERROR([1]!s_fa_invturndays($A1298,TEXT($B$1,"yyyy/mm/dd")),"")</f>
        <v>238.37899999999999</v>
      </c>
    </row>
    <row r="1299" spans="1:16">
      <c r="A1299" t="s">
        <v>1312</v>
      </c>
      <c r="B1299">
        <f>IFERROR([1]!s_stm07_is($A1299,"W70156729",TEXT($B$1,"yyyy/mm/dd"),1),"")</f>
        <v>5859815000</v>
      </c>
      <c r="C1299">
        <f>IFERROR([1]!s_stm07_is($A1299,"W75682424",TEXT($B$1,"yyyy/mm/dd"),1),"")</f>
        <v>0</v>
      </c>
      <c r="D1299">
        <f>IFERROR([1]!s_stm07_is($A1299,"W76031679",TEXT($B$1,"yyyy/mm/dd"),1),"")</f>
        <v>0</v>
      </c>
      <c r="E1299">
        <f>IFERROR([1]!s_stm07_is($A1299,"W70752487",TEXT($B$1,"yyyy/mm/dd"),1),"")</f>
        <v>2266899000</v>
      </c>
      <c r="F1299">
        <f>IFERROR([1]!s_stm07_is_103($A1299,TEXT($B$1,"yyyy/mm/dd"),1),"")</f>
        <v>0</v>
      </c>
      <c r="G1299">
        <f>IFERROR([1]!s_stm07_is_104($A1299,TEXT($B$1,"yyyy/mm/dd"),1),"")</f>
        <v>0</v>
      </c>
      <c r="H1299">
        <f>IFERROR([1]!s_stm07_is_105($A1299,TEXT($B$1,"yyyy/mm/dd"),1),"")</f>
        <v>0</v>
      </c>
      <c r="I1299">
        <f>IFERROR([1]!s_stm07_is($A1299,"W72946623",TEXT($B$1,"yyyy/mm/dd"),1),"")</f>
        <v>2769633000</v>
      </c>
      <c r="J1299">
        <f>IFERROR([1]!s_stm07_is($A1299,"W30028333",TEXT($B$1,"yyyy/mm/dd"),1),"")</f>
        <v>2634763000</v>
      </c>
      <c r="K1299">
        <f>IFERROR([1]!s_stm07_cs($A1299,"W77130581",TEXT($B$1,"yyyy/mm/dd"),1),"")</f>
        <v>-1111189000</v>
      </c>
      <c r="L1299">
        <f>IFERROR([1]!s_stm07_cs($A1299,"W77745895",TEXT($B$1,"yyyy/mm/dd"),1),"")</f>
        <v>353566000</v>
      </c>
      <c r="M1299">
        <f>IFERROR([1]!S_FA_EPS_basic2($A1299,$B$1,"Cur=CNY"),"")</f>
        <v>0.9</v>
      </c>
      <c r="N1299">
        <f>IFERROR([1]!s_fa_arturndays($A1299,TEXT($B$1,"yyyy/mm/dd")),"")</f>
        <v>0</v>
      </c>
      <c r="O1299" t="str">
        <f>IFERROR([1]!fa_apturndays($A1299,TEXT($B$1,"yyyy/mm/dd")),"")</f>
        <v>Fetch...</v>
      </c>
      <c r="P1299">
        <f>IFERROR([1]!s_fa_invturndays($A1299,TEXT($B$1,"yyyy/mm/dd")),"")</f>
        <v>0</v>
      </c>
    </row>
    <row r="1300" spans="1:16">
      <c r="A1300" t="s">
        <v>1313</v>
      </c>
      <c r="B1300">
        <f>IFERROR([1]!s_stm07_is($A1300,"W70156729",TEXT($B$1,"yyyy/mm/dd"),1),"")</f>
        <v>4710786055.7600002</v>
      </c>
      <c r="C1300">
        <f>IFERROR([1]!s_stm07_is($A1300,"W75682424",TEXT($B$1,"yyyy/mm/dd"),1),"")</f>
        <v>0</v>
      </c>
      <c r="D1300">
        <f>IFERROR([1]!s_stm07_is($A1300,"W76031679",TEXT($B$1,"yyyy/mm/dd"),1),"")</f>
        <v>0</v>
      </c>
      <c r="E1300">
        <f>IFERROR([1]!s_stm07_is($A1300,"W70752487",TEXT($B$1,"yyyy/mm/dd"),1),"")</f>
        <v>2129766133.25</v>
      </c>
      <c r="F1300">
        <f>IFERROR([1]!s_stm07_is_103($A1300,TEXT($B$1,"yyyy/mm/dd"),1),"")</f>
        <v>0</v>
      </c>
      <c r="G1300">
        <f>IFERROR([1]!s_stm07_is_104($A1300,TEXT($B$1,"yyyy/mm/dd"),1),"")</f>
        <v>0</v>
      </c>
      <c r="H1300">
        <f>IFERROR([1]!s_stm07_is_105($A1300,TEXT($B$1,"yyyy/mm/dd"),1),"")</f>
        <v>0</v>
      </c>
      <c r="I1300">
        <f>IFERROR([1]!s_stm07_is($A1300,"W72946623",TEXT($B$1,"yyyy/mm/dd"),1),"")</f>
        <v>2494913626.3400002</v>
      </c>
      <c r="J1300">
        <f>IFERROR([1]!s_stm07_is($A1300,"W30028333",TEXT($B$1,"yyyy/mm/dd"),1),"")</f>
        <v>2101764225.9200001</v>
      </c>
      <c r="K1300">
        <f>IFERROR([1]!s_stm07_cs($A1300,"W77130581",TEXT($B$1,"yyyy/mm/dd"),1),"")</f>
        <v>944170386.95000005</v>
      </c>
      <c r="L1300">
        <f>IFERROR([1]!s_stm07_cs($A1300,"W77745895",TEXT($B$1,"yyyy/mm/dd"),1),"")</f>
        <v>78058163.739999995</v>
      </c>
      <c r="M1300">
        <f>IFERROR([1]!S_FA_EPS_basic2($A1300,$B$1,"Cur=CNY"),"")</f>
        <v>0.64700000000000002</v>
      </c>
      <c r="N1300">
        <f>IFERROR([1]!s_fa_arturndays($A1300,TEXT($B$1,"yyyy/mm/dd")),"")</f>
        <v>0</v>
      </c>
      <c r="O1300" t="str">
        <f>IFERROR([1]!fa_apturndays($A1300,TEXT($B$1,"yyyy/mm/dd")),"")</f>
        <v>Fetch...</v>
      </c>
      <c r="P1300">
        <f>IFERROR([1]!s_fa_invturndays($A1300,TEXT($B$1,"yyyy/mm/dd")),"")</f>
        <v>0</v>
      </c>
    </row>
    <row r="1301" spans="1:16">
      <c r="A1301" t="s">
        <v>1314</v>
      </c>
      <c r="B1301">
        <f>IFERROR([1]!s_stm07_is($A1301,"W70156729",TEXT($B$1,"yyyy/mm/dd"),1),"")</f>
        <v>6258331644.4499998</v>
      </c>
      <c r="C1301">
        <f>IFERROR([1]!s_stm07_is($A1301,"W75682424",TEXT($B$1,"yyyy/mm/dd"),1),"")</f>
        <v>4588119451.3999996</v>
      </c>
      <c r="D1301">
        <f>IFERROR([1]!s_stm07_is($A1301,"W76031679",TEXT($B$1,"yyyy/mm/dd"),1),"")</f>
        <v>6673886.46</v>
      </c>
      <c r="E1301">
        <f>IFERROR([1]!s_stm07_is($A1301,"W70752487",TEXT($B$1,"yyyy/mm/dd"),1),"")</f>
        <v>443096450.01999998</v>
      </c>
      <c r="F1301">
        <f>IFERROR([1]!s_stm07_is_103($A1301,TEXT($B$1,"yyyy/mm/dd"),1),"")</f>
        <v>82408067.730000004</v>
      </c>
      <c r="G1301">
        <f>IFERROR([1]!s_stm07_is_104($A1301,TEXT($B$1,"yyyy/mm/dd"),1),"")</f>
        <v>259233507.25</v>
      </c>
      <c r="H1301">
        <f>IFERROR([1]!s_stm07_is_105($A1301,TEXT($B$1,"yyyy/mm/dd"),1),"")</f>
        <v>4815666.74</v>
      </c>
      <c r="I1301">
        <f>IFERROR([1]!s_stm07_is($A1301,"W72946623",TEXT($B$1,"yyyy/mm/dd"),1),"")</f>
        <v>898344654.22000003</v>
      </c>
      <c r="J1301">
        <f>IFERROR([1]!s_stm07_is($A1301,"W30028333",TEXT($B$1,"yyyy/mm/dd"),1),"")</f>
        <v>603141346.66999996</v>
      </c>
      <c r="K1301">
        <f>IFERROR([1]!s_stm07_cs($A1301,"W77130581",TEXT($B$1,"yyyy/mm/dd"),1),"")</f>
        <v>1642784840.74</v>
      </c>
      <c r="L1301">
        <f>IFERROR([1]!s_stm07_cs($A1301,"W77745895",TEXT($B$1,"yyyy/mm/dd"),1),"")</f>
        <v>552232015.39999998</v>
      </c>
      <c r="M1301">
        <f>IFERROR([1]!S_FA_EPS_basic2($A1301,$B$1,"Cur=CNY"),"")</f>
        <v>0.44800000000000001</v>
      </c>
      <c r="N1301">
        <f>IFERROR([1]!s_fa_arturndays($A1301,TEXT($B$1,"yyyy/mm/dd")),"")</f>
        <v>207.4091</v>
      </c>
      <c r="O1301" t="str">
        <f>IFERROR([1]!fa_apturndays($A1301,TEXT($B$1,"yyyy/mm/dd")),"")</f>
        <v>Fetch...</v>
      </c>
      <c r="P1301">
        <f>IFERROR([1]!s_fa_invturndays($A1301,TEXT($B$1,"yyyy/mm/dd")),"")</f>
        <v>67.907899999999998</v>
      </c>
    </row>
    <row r="1302" spans="1:16">
      <c r="A1302" t="s">
        <v>1315</v>
      </c>
      <c r="B1302">
        <f>IFERROR([1]!s_stm07_is($A1302,"W70156729",TEXT($B$1,"yyyy/mm/dd"),1),"")</f>
        <v>5181213271.79</v>
      </c>
      <c r="C1302">
        <f>IFERROR([1]!s_stm07_is($A1302,"W75682424",TEXT($B$1,"yyyy/mm/dd"),1),"")</f>
        <v>4367057599.5100002</v>
      </c>
      <c r="D1302">
        <f>IFERROR([1]!s_stm07_is($A1302,"W76031679",TEXT($B$1,"yyyy/mm/dd"),1),"")</f>
        <v>74222837.799999997</v>
      </c>
      <c r="E1302">
        <f>IFERROR([1]!s_stm07_is($A1302,"W70752487",TEXT($B$1,"yyyy/mm/dd"),1),"")</f>
        <v>196093347.24000001</v>
      </c>
      <c r="F1302">
        <f>IFERROR([1]!s_stm07_is_103($A1302,TEXT($B$1,"yyyy/mm/dd"),1),"")</f>
        <v>182285668</v>
      </c>
      <c r="G1302">
        <f>IFERROR([1]!s_stm07_is_104($A1302,TEXT($B$1,"yyyy/mm/dd"),1),"")</f>
        <v>109483861.88</v>
      </c>
      <c r="H1302">
        <f>IFERROR([1]!s_stm07_is_105($A1302,TEXT($B$1,"yyyy/mm/dd"),1),"")</f>
        <v>8007809.8300000001</v>
      </c>
      <c r="I1302">
        <f>IFERROR([1]!s_stm07_is($A1302,"W72946623",TEXT($B$1,"yyyy/mm/dd"),1),"")</f>
        <v>277304681.50999999</v>
      </c>
      <c r="J1302">
        <f>IFERROR([1]!s_stm07_is($A1302,"W30028333",TEXT($B$1,"yyyy/mm/dd"),1),"")</f>
        <v>285439807.93000001</v>
      </c>
      <c r="K1302">
        <f>IFERROR([1]!s_stm07_cs($A1302,"W77130581",TEXT($B$1,"yyyy/mm/dd"),1),"")</f>
        <v>80202517.450000003</v>
      </c>
      <c r="L1302">
        <f>IFERROR([1]!s_stm07_cs($A1302,"W77745895",TEXT($B$1,"yyyy/mm/dd"),1),"")</f>
        <v>210688921.47999999</v>
      </c>
      <c r="M1302">
        <f>IFERROR([1]!S_FA_EPS_basic2($A1302,$B$1,"Cur=CNY"),"")</f>
        <v>0.30409999999999998</v>
      </c>
      <c r="N1302">
        <f>IFERROR([1]!s_fa_arturndays($A1302,TEXT($B$1,"yyyy/mm/dd")),"")</f>
        <v>66.464799999999997</v>
      </c>
      <c r="O1302" t="str">
        <f>IFERROR([1]!fa_apturndays($A1302,TEXT($B$1,"yyyy/mm/dd")),"")</f>
        <v>Fetch...</v>
      </c>
      <c r="P1302">
        <f>IFERROR([1]!s_fa_invturndays($A1302,TEXT($B$1,"yyyy/mm/dd")),"")</f>
        <v>36.432499999999997</v>
      </c>
    </row>
    <row r="1303" spans="1:16">
      <c r="A1303" t="s">
        <v>1316</v>
      </c>
      <c r="B1303">
        <f>IFERROR([1]!s_stm07_is($A1303,"W70156729",TEXT($B$1,"yyyy/mm/dd"),1),"")</f>
        <v>63107440954</v>
      </c>
      <c r="C1303">
        <f>IFERROR([1]!s_stm07_is($A1303,"W75682424",TEXT($B$1,"yyyy/mm/dd"),1),"")</f>
        <v>0</v>
      </c>
      <c r="D1303">
        <f>IFERROR([1]!s_stm07_is($A1303,"W76031679",TEXT($B$1,"yyyy/mm/dd"),1),"")</f>
        <v>0</v>
      </c>
      <c r="E1303">
        <f>IFERROR([1]!s_stm07_is($A1303,"W70752487",TEXT($B$1,"yyyy/mm/dd"),1),"")</f>
        <v>28183130181</v>
      </c>
      <c r="F1303">
        <f>IFERROR([1]!s_stm07_is_103($A1303,TEXT($B$1,"yyyy/mm/dd"),1),"")</f>
        <v>0</v>
      </c>
      <c r="G1303">
        <f>IFERROR([1]!s_stm07_is_104($A1303,TEXT($B$1,"yyyy/mm/dd"),1),"")</f>
        <v>0</v>
      </c>
      <c r="H1303">
        <f>IFERROR([1]!s_stm07_is_105($A1303,TEXT($B$1,"yyyy/mm/dd"),1),"")</f>
        <v>0</v>
      </c>
      <c r="I1303">
        <f>IFERROR([1]!s_stm07_is($A1303,"W72946623",TEXT($B$1,"yyyy/mm/dd"),1),"")</f>
        <v>38553845072</v>
      </c>
      <c r="J1303">
        <f>IFERROR([1]!s_stm07_is($A1303,"W30028333",TEXT($B$1,"yyyy/mm/dd"),1),"")</f>
        <v>27809205680</v>
      </c>
      <c r="K1303">
        <f>IFERROR([1]!s_stm07_cs($A1303,"W77130581",TEXT($B$1,"yyyy/mm/dd"),1),"")</f>
        <v>81138252377</v>
      </c>
      <c r="L1303">
        <f>IFERROR([1]!s_stm07_cs($A1303,"W77745895",TEXT($B$1,"yyyy/mm/dd"),1),"")</f>
        <v>1644869442</v>
      </c>
      <c r="M1303">
        <f>IFERROR([1]!S_FA_EPS_basic2($A1303,$B$1,"Cur=CNY"),"")</f>
        <v>1.74</v>
      </c>
      <c r="N1303">
        <f>IFERROR([1]!s_fa_arturndays($A1303,TEXT($B$1,"yyyy/mm/dd")),"")</f>
        <v>0</v>
      </c>
      <c r="O1303" t="str">
        <f>IFERROR([1]!fa_apturndays($A1303,TEXT($B$1,"yyyy/mm/dd")),"")</f>
        <v>Fetch...</v>
      </c>
      <c r="P1303">
        <f>IFERROR([1]!s_fa_invturndays($A1303,TEXT($B$1,"yyyy/mm/dd")),"")</f>
        <v>0</v>
      </c>
    </row>
    <row r="1304" spans="1:16">
      <c r="A1304" t="s">
        <v>1317</v>
      </c>
      <c r="B1304">
        <f>IFERROR([1]!s_stm07_is($A1304,"W70156729",TEXT($B$1,"yyyy/mm/dd"),1),"")</f>
        <v>85457845127.399994</v>
      </c>
      <c r="C1304">
        <f>IFERROR([1]!s_stm07_is($A1304,"W75682424",TEXT($B$1,"yyyy/mm/dd"),1),"")</f>
        <v>79861022955.369995</v>
      </c>
      <c r="D1304">
        <f>IFERROR([1]!s_stm07_is($A1304,"W76031679",TEXT($B$1,"yyyy/mm/dd"),1),"")</f>
        <v>121320585.84999999</v>
      </c>
      <c r="E1304">
        <f>IFERROR([1]!s_stm07_is($A1304,"W70752487",TEXT($B$1,"yyyy/mm/dd"),1),"")</f>
        <v>1453475258.01</v>
      </c>
      <c r="F1304">
        <f>IFERROR([1]!s_stm07_is_103($A1304,TEXT($B$1,"yyyy/mm/dd"),1),"")</f>
        <v>210357372.09</v>
      </c>
      <c r="G1304">
        <f>IFERROR([1]!s_stm07_is_104($A1304,TEXT($B$1,"yyyy/mm/dd"),1),"")</f>
        <v>584465955.98000002</v>
      </c>
      <c r="H1304">
        <f>IFERROR([1]!s_stm07_is_105($A1304,TEXT($B$1,"yyyy/mm/dd"),1),"")</f>
        <v>115583841.92</v>
      </c>
      <c r="I1304">
        <f>IFERROR([1]!s_stm07_is($A1304,"W72946623",TEXT($B$1,"yyyy/mm/dd"),1),"")</f>
        <v>1073157286.13</v>
      </c>
      <c r="J1304">
        <f>IFERROR([1]!s_stm07_is($A1304,"W30028333",TEXT($B$1,"yyyy/mm/dd"),1),"")</f>
        <v>-755274706.98000002</v>
      </c>
      <c r="K1304">
        <f>IFERROR([1]!s_stm07_cs($A1304,"W77130581",TEXT($B$1,"yyyy/mm/dd"),1),"")</f>
        <v>2171648865</v>
      </c>
      <c r="L1304">
        <f>IFERROR([1]!s_stm07_cs($A1304,"W77745895",TEXT($B$1,"yyyy/mm/dd"),1),"")</f>
        <v>1404360244.6800001</v>
      </c>
      <c r="M1304">
        <f>IFERROR([1]!S_FA_EPS_basic2($A1304,$B$1,"Cur=CNY"),"")</f>
        <v>-0.10199999999999999</v>
      </c>
      <c r="N1304">
        <f>IFERROR([1]!s_fa_arturndays($A1304,TEXT($B$1,"yyyy/mm/dd")),"")</f>
        <v>6.6101999999999999</v>
      </c>
      <c r="O1304" t="str">
        <f>IFERROR([1]!fa_apturndays($A1304,TEXT($B$1,"yyyy/mm/dd")),"")</f>
        <v>Fetch...</v>
      </c>
      <c r="P1304">
        <f>IFERROR([1]!s_fa_invturndays($A1304,TEXT($B$1,"yyyy/mm/dd")),"")</f>
        <v>78.952600000000004</v>
      </c>
    </row>
    <row r="1305" spans="1:16">
      <c r="A1305" t="s">
        <v>1318</v>
      </c>
      <c r="B1305">
        <f>IFERROR([1]!s_stm07_is($A1305,"W70156729",TEXT($B$1,"yyyy/mm/dd"),1),"")</f>
        <v>25238280497.91</v>
      </c>
      <c r="C1305">
        <f>IFERROR([1]!s_stm07_is($A1305,"W75682424",TEXT($B$1,"yyyy/mm/dd"),1),"")</f>
        <v>19952771056.610001</v>
      </c>
      <c r="D1305">
        <f>IFERROR([1]!s_stm07_is($A1305,"W76031679",TEXT($B$1,"yyyy/mm/dd"),1),"")</f>
        <v>99719592.810000002</v>
      </c>
      <c r="E1305">
        <f>IFERROR([1]!s_stm07_is($A1305,"W70752487",TEXT($B$1,"yyyy/mm/dd"),1),"")</f>
        <v>1408101683.6400001</v>
      </c>
      <c r="F1305">
        <f>IFERROR([1]!s_stm07_is_103($A1305,TEXT($B$1,"yyyy/mm/dd"),1),"")</f>
        <v>284497500.14999998</v>
      </c>
      <c r="G1305">
        <f>IFERROR([1]!s_stm07_is_104($A1305,TEXT($B$1,"yyyy/mm/dd"),1),"")</f>
        <v>202035163.47</v>
      </c>
      <c r="H1305">
        <f>IFERROR([1]!s_stm07_is_105($A1305,TEXT($B$1,"yyyy/mm/dd"),1),"")</f>
        <v>189220825.71000001</v>
      </c>
      <c r="I1305">
        <f>IFERROR([1]!s_stm07_is($A1305,"W72946623",TEXT($B$1,"yyyy/mm/dd"),1),"")</f>
        <v>3724860103.5799999</v>
      </c>
      <c r="J1305">
        <f>IFERROR([1]!s_stm07_is($A1305,"W30028333",TEXT($B$1,"yyyy/mm/dd"),1),"")</f>
        <v>3317460414.0700002</v>
      </c>
      <c r="K1305">
        <f>IFERROR([1]!s_stm07_cs($A1305,"W77130581",TEXT($B$1,"yyyy/mm/dd"),1),"")</f>
        <v>5171909544.0200005</v>
      </c>
      <c r="L1305">
        <f>IFERROR([1]!s_stm07_cs($A1305,"W77745895",TEXT($B$1,"yyyy/mm/dd"),1),"")</f>
        <v>1038476135.03</v>
      </c>
      <c r="M1305">
        <f>IFERROR([1]!S_FA_EPS_basic2($A1305,$B$1,"Cur=CNY"),"")</f>
        <v>0.39319999999999999</v>
      </c>
      <c r="N1305">
        <f>IFERROR([1]!s_fa_arturndays($A1305,TEXT($B$1,"yyyy/mm/dd")),"")</f>
        <v>9.9125999999999994</v>
      </c>
      <c r="O1305" t="str">
        <f>IFERROR([1]!fa_apturndays($A1305,TEXT($B$1,"yyyy/mm/dd")),"")</f>
        <v>Fetch...</v>
      </c>
      <c r="P1305">
        <f>IFERROR([1]!s_fa_invturndays($A1305,TEXT($B$1,"yyyy/mm/dd")),"")</f>
        <v>23.299600000000002</v>
      </c>
    </row>
    <row r="1306" spans="1:16">
      <c r="A1306" t="s">
        <v>1319</v>
      </c>
      <c r="B1306">
        <f>IFERROR([1]!s_stm07_is($A1306,"W70156729",TEXT($B$1,"yyyy/mm/dd"),1),"")</f>
        <v>4875591547.0799999</v>
      </c>
      <c r="C1306">
        <f>IFERROR([1]!s_stm07_is($A1306,"W75682424",TEXT($B$1,"yyyy/mm/dd"),1),"")</f>
        <v>3485729667.1500001</v>
      </c>
      <c r="D1306">
        <f>IFERROR([1]!s_stm07_is($A1306,"W76031679",TEXT($B$1,"yyyy/mm/dd"),1),"")</f>
        <v>172839814.71000001</v>
      </c>
      <c r="E1306">
        <f>IFERROR([1]!s_stm07_is($A1306,"W70752487",TEXT($B$1,"yyyy/mm/dd"),1),"")</f>
        <v>533993336.56999999</v>
      </c>
      <c r="F1306">
        <f>IFERROR([1]!s_stm07_is_103($A1306,TEXT($B$1,"yyyy/mm/dd"),1),"")</f>
        <v>239775384.84999999</v>
      </c>
      <c r="G1306">
        <f>IFERROR([1]!s_stm07_is_104($A1306,TEXT($B$1,"yyyy/mm/dd"),1),"")</f>
        <v>120548555.20999999</v>
      </c>
      <c r="H1306">
        <f>IFERROR([1]!s_stm07_is_105($A1306,TEXT($B$1,"yyyy/mm/dd"),1),"")</f>
        <v>89295484.709999993</v>
      </c>
      <c r="I1306">
        <f>IFERROR([1]!s_stm07_is($A1306,"W72946623",TEXT($B$1,"yyyy/mm/dd"),1),"")</f>
        <v>267967242.11000001</v>
      </c>
      <c r="J1306">
        <f>IFERROR([1]!s_stm07_is($A1306,"W30028333",TEXT($B$1,"yyyy/mm/dd"),1),"")</f>
        <v>244254911.53999999</v>
      </c>
      <c r="K1306">
        <f>IFERROR([1]!s_stm07_cs($A1306,"W77130581",TEXT($B$1,"yyyy/mm/dd"),1),"")</f>
        <v>618875204.66999996</v>
      </c>
      <c r="L1306">
        <f>IFERROR([1]!s_stm07_cs($A1306,"W77745895",TEXT($B$1,"yyyy/mm/dd"),1),"")</f>
        <v>1247860474.8399999</v>
      </c>
      <c r="M1306">
        <f>IFERROR([1]!S_FA_EPS_basic2($A1306,$B$1,"Cur=CNY"),"")</f>
        <v>0.12</v>
      </c>
      <c r="N1306">
        <f>IFERROR([1]!s_fa_arturndays($A1306,TEXT($B$1,"yyyy/mm/dd")),"")</f>
        <v>283.24149999999997</v>
      </c>
      <c r="O1306" t="str">
        <f>IFERROR([1]!fa_apturndays($A1306,TEXT($B$1,"yyyy/mm/dd")),"")</f>
        <v>Fetch...</v>
      </c>
      <c r="P1306">
        <f>IFERROR([1]!s_fa_invturndays($A1306,TEXT($B$1,"yyyy/mm/dd")),"")</f>
        <v>294.59899999999999</v>
      </c>
    </row>
    <row r="1307" spans="1:16">
      <c r="A1307" t="s">
        <v>1320</v>
      </c>
      <c r="B1307">
        <f>IFERROR([1]!s_stm07_is($A1307,"W70156729",TEXT($B$1,"yyyy/mm/dd"),1),"")</f>
        <v>158178519718.20001</v>
      </c>
      <c r="C1307">
        <f>IFERROR([1]!s_stm07_is($A1307,"W75682424",TEXT($B$1,"yyyy/mm/dd"),1),"")</f>
        <v>112213870403.92</v>
      </c>
      <c r="D1307">
        <f>IFERROR([1]!s_stm07_is($A1307,"W76031679",TEXT($B$1,"yyyy/mm/dd"),1),"")</f>
        <v>882386768.13</v>
      </c>
      <c r="E1307">
        <f>IFERROR([1]!s_stm07_is($A1307,"W70752487",TEXT($B$1,"yyyy/mm/dd"),1),"")</f>
        <v>6629697301.1199999</v>
      </c>
      <c r="F1307">
        <f>IFERROR([1]!s_stm07_is_103($A1307,TEXT($B$1,"yyyy/mm/dd"),1),"")</f>
        <v>502101573.5</v>
      </c>
      <c r="G1307">
        <f>IFERROR([1]!s_stm07_is_104($A1307,TEXT($B$1,"yyyy/mm/dd"),1),"")</f>
        <v>482863640.23000002</v>
      </c>
      <c r="H1307">
        <f>IFERROR([1]!s_stm07_is_105($A1307,TEXT($B$1,"yyyy/mm/dd"),1),"")</f>
        <v>319457859.39999998</v>
      </c>
      <c r="I1307">
        <f>IFERROR([1]!s_stm07_is($A1307,"W72946623",TEXT($B$1,"yyyy/mm/dd"),1),"")</f>
        <v>32337314938.720001</v>
      </c>
      <c r="J1307">
        <f>IFERROR([1]!s_stm07_is($A1307,"W30028333",TEXT($B$1,"yyyy/mm/dd"),1),"")</f>
        <v>16764763168.360001</v>
      </c>
      <c r="K1307">
        <f>IFERROR([1]!s_stm07_cs($A1307,"W77130581",TEXT($B$1,"yyyy/mm/dd"),1),"")</f>
        <v>35269272762.059998</v>
      </c>
      <c r="L1307">
        <f>IFERROR([1]!s_stm07_cs($A1307,"W77745895",TEXT($B$1,"yyyy/mm/dd"),1),"")</f>
        <v>17059636816.82</v>
      </c>
      <c r="M1307">
        <f>IFERROR([1]!S_FA_EPS_basic2($A1307,$B$1,"Cur=CNY"),"")</f>
        <v>1.73</v>
      </c>
      <c r="N1307">
        <f>IFERROR([1]!s_fa_arturndays($A1307,TEXT($B$1,"yyyy/mm/dd")),"")</f>
        <v>12.0443</v>
      </c>
      <c r="O1307" t="str">
        <f>IFERROR([1]!fa_apturndays($A1307,TEXT($B$1,"yyyy/mm/dd")),"")</f>
        <v>Fetch...</v>
      </c>
      <c r="P1307">
        <f>IFERROR([1]!s_fa_invturndays($A1307,TEXT($B$1,"yyyy/mm/dd")),"")</f>
        <v>14.9528</v>
      </c>
    </row>
    <row r="1308" spans="1:16">
      <c r="A1308" t="s">
        <v>1321</v>
      </c>
      <c r="B1308">
        <f>IFERROR([1]!s_stm07_is($A1308,"W70156729",TEXT($B$1,"yyyy/mm/dd"),1),"")</f>
        <v>13908320892.5</v>
      </c>
      <c r="C1308">
        <f>IFERROR([1]!s_stm07_is($A1308,"W75682424",TEXT($B$1,"yyyy/mm/dd"),1),"")</f>
        <v>10716233625.129999</v>
      </c>
      <c r="D1308">
        <f>IFERROR([1]!s_stm07_is($A1308,"W76031679",TEXT($B$1,"yyyy/mm/dd"),1),"")</f>
        <v>42087119.950000003</v>
      </c>
      <c r="E1308">
        <f>IFERROR([1]!s_stm07_is($A1308,"W70752487",TEXT($B$1,"yyyy/mm/dd"),1),"")</f>
        <v>1348048974.9400001</v>
      </c>
      <c r="F1308">
        <f>IFERROR([1]!s_stm07_is_103($A1308,TEXT($B$1,"yyyy/mm/dd"),1),"")</f>
        <v>51828366.740000002</v>
      </c>
      <c r="G1308">
        <f>IFERROR([1]!s_stm07_is_104($A1308,TEXT($B$1,"yyyy/mm/dd"),1),"")</f>
        <v>485276501.52999997</v>
      </c>
      <c r="H1308">
        <f>IFERROR([1]!s_stm07_is_105($A1308,TEXT($B$1,"yyyy/mm/dd"),1),"")</f>
        <v>57150674.979999997</v>
      </c>
      <c r="I1308">
        <f>IFERROR([1]!s_stm07_is($A1308,"W72946623",TEXT($B$1,"yyyy/mm/dd"),1),"")</f>
        <v>1444309998.54</v>
      </c>
      <c r="J1308">
        <f>IFERROR([1]!s_stm07_is($A1308,"W30028333",TEXT($B$1,"yyyy/mm/dd"),1),"")</f>
        <v>821640900.30999994</v>
      </c>
      <c r="K1308">
        <f>IFERROR([1]!s_stm07_cs($A1308,"W77130581",TEXT($B$1,"yyyy/mm/dd"),1),"")</f>
        <v>2362753006.6100001</v>
      </c>
      <c r="L1308">
        <f>IFERROR([1]!s_stm07_cs($A1308,"W77745895",TEXT($B$1,"yyyy/mm/dd"),1),"")</f>
        <v>2844247135.8000002</v>
      </c>
      <c r="M1308">
        <f>IFERROR([1]!S_FA_EPS_basic2($A1308,$B$1,"Cur=CNY"),"")</f>
        <v>0.109</v>
      </c>
      <c r="N1308">
        <f>IFERROR([1]!s_fa_arturndays($A1308,TEXT($B$1,"yyyy/mm/dd")),"")</f>
        <v>33.945</v>
      </c>
      <c r="O1308" t="str">
        <f>IFERROR([1]!fa_apturndays($A1308,TEXT($B$1,"yyyy/mm/dd")),"")</f>
        <v>Fetch...</v>
      </c>
      <c r="P1308">
        <f>IFERROR([1]!s_fa_invturndays($A1308,TEXT($B$1,"yyyy/mm/dd")),"")</f>
        <v>24.320399999999999</v>
      </c>
    </row>
    <row r="1309" spans="1:16">
      <c r="A1309" t="s">
        <v>1322</v>
      </c>
      <c r="B1309">
        <f>IFERROR([1]!s_stm07_is($A1309,"W70156729",TEXT($B$1,"yyyy/mm/dd"),1),"")</f>
        <v>54761019000</v>
      </c>
      <c r="C1309">
        <f>IFERROR([1]!s_stm07_is($A1309,"W75682424",TEXT($B$1,"yyyy/mm/dd"),1),"")</f>
        <v>0</v>
      </c>
      <c r="D1309">
        <f>IFERROR([1]!s_stm07_is($A1309,"W76031679",TEXT($B$1,"yyyy/mm/dd"),1),"")</f>
        <v>0</v>
      </c>
      <c r="E1309">
        <f>IFERROR([1]!s_stm07_is($A1309,"W70752487",TEXT($B$1,"yyyy/mm/dd"),1),"")</f>
        <v>12765248000</v>
      </c>
      <c r="F1309">
        <f>IFERROR([1]!s_stm07_is_103($A1309,TEXT($B$1,"yyyy/mm/dd"),1),"")</f>
        <v>0</v>
      </c>
      <c r="G1309">
        <f>IFERROR([1]!s_stm07_is_104($A1309,TEXT($B$1,"yyyy/mm/dd"),1),"")</f>
        <v>0</v>
      </c>
      <c r="H1309">
        <f>IFERROR([1]!s_stm07_is_105($A1309,TEXT($B$1,"yyyy/mm/dd"),1),"")</f>
        <v>0</v>
      </c>
      <c r="I1309">
        <f>IFERROR([1]!s_stm07_is($A1309,"W72946623",TEXT($B$1,"yyyy/mm/dd"),1),"")</f>
        <v>28283528000</v>
      </c>
      <c r="J1309">
        <f>IFERROR([1]!s_stm07_is($A1309,"W30028333",TEXT($B$1,"yyyy/mm/dd"),1),"")</f>
        <v>24193414000</v>
      </c>
      <c r="K1309">
        <f>IFERROR([1]!s_stm07_cs($A1309,"W77130581",TEXT($B$1,"yyyy/mm/dd"),1),"")</f>
        <v>-67761537000</v>
      </c>
      <c r="L1309">
        <f>IFERROR([1]!s_stm07_cs($A1309,"W77745895",TEXT($B$1,"yyyy/mm/dd"),1),"")</f>
        <v>932007000</v>
      </c>
      <c r="M1309">
        <f>IFERROR([1]!S_FA_EPS_basic2($A1309,$B$1,"Cur=CNY"),"")</f>
        <v>1.65</v>
      </c>
      <c r="N1309">
        <f>IFERROR([1]!s_fa_arturndays($A1309,TEXT($B$1,"yyyy/mm/dd")),"")</f>
        <v>0</v>
      </c>
      <c r="O1309" t="str">
        <f>IFERROR([1]!fa_apturndays($A1309,TEXT($B$1,"yyyy/mm/dd")),"")</f>
        <v>Fetch...</v>
      </c>
      <c r="P1309">
        <f>IFERROR([1]!s_fa_invturndays($A1309,TEXT($B$1,"yyyy/mm/dd")),"")</f>
        <v>0</v>
      </c>
    </row>
    <row r="1310" spans="1:16">
      <c r="A1310" t="s">
        <v>1323</v>
      </c>
      <c r="B1310">
        <f>IFERROR([1]!s_stm07_is($A1310,"W70156729",TEXT($B$1,"yyyy/mm/dd"),1),"")</f>
        <v>59195055821.580002</v>
      </c>
      <c r="C1310">
        <f>IFERROR([1]!s_stm07_is($A1310,"W75682424",TEXT($B$1,"yyyy/mm/dd"),1),"")</f>
        <v>53579581679.300003</v>
      </c>
      <c r="D1310">
        <f>IFERROR([1]!s_stm07_is($A1310,"W76031679",TEXT($B$1,"yyyy/mm/dd"),1),"")</f>
        <v>404219301.75</v>
      </c>
      <c r="E1310">
        <f>IFERROR([1]!s_stm07_is($A1310,"W70752487",TEXT($B$1,"yyyy/mm/dd"),1),"")</f>
        <v>1292285437.01</v>
      </c>
      <c r="F1310">
        <f>IFERROR([1]!s_stm07_is_103($A1310,TEXT($B$1,"yyyy/mm/dd"),1),"")</f>
        <v>1901272779.3299999</v>
      </c>
      <c r="G1310">
        <f>IFERROR([1]!s_stm07_is_104($A1310,TEXT($B$1,"yyyy/mm/dd"),1),"")</f>
        <v>347417604.82999998</v>
      </c>
      <c r="H1310">
        <f>IFERROR([1]!s_stm07_is_105($A1310,TEXT($B$1,"yyyy/mm/dd"),1),"")</f>
        <v>327615870.61000001</v>
      </c>
      <c r="I1310">
        <f>IFERROR([1]!s_stm07_is($A1310,"W72946623",TEXT($B$1,"yyyy/mm/dd"),1),"")</f>
        <v>2139493055.52</v>
      </c>
      <c r="J1310">
        <f>IFERROR([1]!s_stm07_is($A1310,"W30028333",TEXT($B$1,"yyyy/mm/dd"),1),"")</f>
        <v>1853439277.28</v>
      </c>
      <c r="K1310">
        <f>IFERROR([1]!s_stm07_cs($A1310,"W77130581",TEXT($B$1,"yyyy/mm/dd"),1),"")</f>
        <v>2403926963.2600002</v>
      </c>
      <c r="L1310">
        <f>IFERROR([1]!s_stm07_cs($A1310,"W77745895",TEXT($B$1,"yyyy/mm/dd"),1),"")</f>
        <v>1294864593.1600001</v>
      </c>
      <c r="M1310">
        <f>IFERROR([1]!S_FA_EPS_basic2($A1310,$B$1,"Cur=CNY"),"")</f>
        <v>0.85</v>
      </c>
      <c r="N1310">
        <f>IFERROR([1]!s_fa_arturndays($A1310,TEXT($B$1,"yyyy/mm/dd")),"")</f>
        <v>61.683999999999997</v>
      </c>
      <c r="O1310" t="str">
        <f>IFERROR([1]!fa_apturndays($A1310,TEXT($B$1,"yyyy/mm/dd")),"")</f>
        <v>Fetch...</v>
      </c>
      <c r="P1310">
        <f>IFERROR([1]!s_fa_invturndays($A1310,TEXT($B$1,"yyyy/mm/dd")),"")</f>
        <v>52.8371</v>
      </c>
    </row>
    <row r="1311" spans="1:16">
      <c r="A1311" t="s">
        <v>1324</v>
      </c>
      <c r="B1311">
        <f>IFERROR([1]!s_stm07_is($A1311,"W70156729",TEXT($B$1,"yyyy/mm/dd"),1),"")</f>
        <v>93891484857.600006</v>
      </c>
      <c r="C1311">
        <f>IFERROR([1]!s_stm07_is($A1311,"W75682424",TEXT($B$1,"yyyy/mm/dd"),1),"")</f>
        <v>88715125945.179993</v>
      </c>
      <c r="D1311">
        <f>IFERROR([1]!s_stm07_is($A1311,"W76031679",TEXT($B$1,"yyyy/mm/dd"),1),"")</f>
        <v>147539151.06999999</v>
      </c>
      <c r="E1311">
        <f>IFERROR([1]!s_stm07_is($A1311,"W70752487",TEXT($B$1,"yyyy/mm/dd"),1),"")</f>
        <v>1457337594.03</v>
      </c>
      <c r="F1311">
        <f>IFERROR([1]!s_stm07_is_103($A1311,TEXT($B$1,"yyyy/mm/dd"),1),"")</f>
        <v>1822816197.6600001</v>
      </c>
      <c r="G1311">
        <f>IFERROR([1]!s_stm07_is_104($A1311,TEXT($B$1,"yyyy/mm/dd"),1),"")</f>
        <v>1182058548.21</v>
      </c>
      <c r="H1311">
        <f>IFERROR([1]!s_stm07_is_105($A1311,TEXT($B$1,"yyyy/mm/dd"),1),"")</f>
        <v>271120173.43000001</v>
      </c>
      <c r="I1311">
        <f>IFERROR([1]!s_stm07_is($A1311,"W72946623",TEXT($B$1,"yyyy/mm/dd"),1),"")</f>
        <v>2096754465.8699999</v>
      </c>
      <c r="J1311">
        <f>IFERROR([1]!s_stm07_is($A1311,"W30028333",TEXT($B$1,"yyyy/mm/dd"),1),"")</f>
        <v>2032802043.01</v>
      </c>
      <c r="K1311">
        <f>IFERROR([1]!s_stm07_cs($A1311,"W77130581",TEXT($B$1,"yyyy/mm/dd"),1),"")</f>
        <v>6422513451.6400003</v>
      </c>
      <c r="L1311">
        <f>IFERROR([1]!s_stm07_cs($A1311,"W77745895",TEXT($B$1,"yyyy/mm/dd"),1),"")</f>
        <v>10819806924.799999</v>
      </c>
      <c r="M1311">
        <f>IFERROR([1]!S_FA_EPS_basic2($A1311,$B$1,"Cur=CNY"),"")</f>
        <v>0.86</v>
      </c>
      <c r="N1311">
        <f>IFERROR([1]!s_fa_arturndays($A1311,TEXT($B$1,"yyyy/mm/dd")),"")</f>
        <v>3.9304999999999999</v>
      </c>
      <c r="O1311" t="str">
        <f>IFERROR([1]!fa_apturndays($A1311,TEXT($B$1,"yyyy/mm/dd")),"")</f>
        <v>Fetch...</v>
      </c>
      <c r="P1311">
        <f>IFERROR([1]!s_fa_invturndays($A1311,TEXT($B$1,"yyyy/mm/dd")),"")</f>
        <v>40.546900000000001</v>
      </c>
    </row>
    <row r="1312" spans="1:16">
      <c r="A1312" t="s">
        <v>1325</v>
      </c>
      <c r="B1312">
        <f>IFERROR([1]!s_stm07_is($A1312,"W70156729",TEXT($B$1,"yyyy/mm/dd"),1),"")</f>
        <v>2433972457.23</v>
      </c>
      <c r="C1312">
        <f>IFERROR([1]!s_stm07_is($A1312,"W75682424",TEXT($B$1,"yyyy/mm/dd"),1),"")</f>
        <v>0</v>
      </c>
      <c r="D1312">
        <f>IFERROR([1]!s_stm07_is($A1312,"W76031679",TEXT($B$1,"yyyy/mm/dd"),1),"")</f>
        <v>0</v>
      </c>
      <c r="E1312">
        <f>IFERROR([1]!s_stm07_is($A1312,"W70752487",TEXT($B$1,"yyyy/mm/dd"),1),"")</f>
        <v>887561430.69000006</v>
      </c>
      <c r="F1312">
        <f>IFERROR([1]!s_stm07_is_103($A1312,TEXT($B$1,"yyyy/mm/dd"),1),"")</f>
        <v>0</v>
      </c>
      <c r="G1312">
        <f>IFERROR([1]!s_stm07_is_104($A1312,TEXT($B$1,"yyyy/mm/dd"),1),"")</f>
        <v>0</v>
      </c>
      <c r="H1312">
        <f>IFERROR([1]!s_stm07_is_105($A1312,TEXT($B$1,"yyyy/mm/dd"),1),"")</f>
        <v>0</v>
      </c>
      <c r="I1312">
        <f>IFERROR([1]!s_stm07_is($A1312,"W72946623",TEXT($B$1,"yyyy/mm/dd"),1),"")</f>
        <v>1569346339.9300001</v>
      </c>
      <c r="J1312">
        <f>IFERROR([1]!s_stm07_is($A1312,"W30028333",TEXT($B$1,"yyyy/mm/dd"),1),"")</f>
        <v>1213553521.29</v>
      </c>
      <c r="K1312">
        <f>IFERROR([1]!s_stm07_cs($A1312,"W77130581",TEXT($B$1,"yyyy/mm/dd"),1),"")</f>
        <v>-1038188869.27</v>
      </c>
      <c r="L1312">
        <f>IFERROR([1]!s_stm07_cs($A1312,"W77745895",TEXT($B$1,"yyyy/mm/dd"),1),"")</f>
        <v>95206003.980000004</v>
      </c>
      <c r="M1312">
        <f>IFERROR([1]!S_FA_EPS_basic2($A1312,$B$1,"Cur=CNY"),"")</f>
        <v>0.26</v>
      </c>
      <c r="N1312">
        <f>IFERROR([1]!s_fa_arturndays($A1312,TEXT($B$1,"yyyy/mm/dd")),"")</f>
        <v>0</v>
      </c>
      <c r="O1312" t="str">
        <f>IFERROR([1]!fa_apturndays($A1312,TEXT($B$1,"yyyy/mm/dd")),"")</f>
        <v>Fetch...</v>
      </c>
      <c r="P1312">
        <f>IFERROR([1]!s_fa_invturndays($A1312,TEXT($B$1,"yyyy/mm/dd")),"")</f>
        <v>0</v>
      </c>
    </row>
    <row r="1313" spans="1:16">
      <c r="A1313" t="s">
        <v>1326</v>
      </c>
      <c r="B1313">
        <f>IFERROR([1]!s_stm07_is($A1313,"W70156729",TEXT($B$1,"yyyy/mm/dd"),1),"")</f>
        <v>96542390397</v>
      </c>
      <c r="C1313">
        <f>IFERROR([1]!s_stm07_is($A1313,"W75682424",TEXT($B$1,"yyyy/mm/dd"),1),"")</f>
        <v>96935014040</v>
      </c>
      <c r="D1313">
        <f>IFERROR([1]!s_stm07_is($A1313,"W76031679",TEXT($B$1,"yyyy/mm/dd"),1),"")</f>
        <v>5890788298</v>
      </c>
      <c r="E1313">
        <f>IFERROR([1]!s_stm07_is($A1313,"W70752487",TEXT($B$1,"yyyy/mm/dd"),1),"")</f>
        <v>4159555120</v>
      </c>
      <c r="F1313">
        <f>IFERROR([1]!s_stm07_is_103($A1313,TEXT($B$1,"yyyy/mm/dd"),1),"")</f>
        <v>1638821974</v>
      </c>
      <c r="G1313">
        <f>IFERROR([1]!s_stm07_is_104($A1313,TEXT($B$1,"yyyy/mm/dd"),1),"")</f>
        <v>973542411</v>
      </c>
      <c r="H1313">
        <f>IFERROR([1]!s_stm07_is_105($A1313,TEXT($B$1,"yyyy/mm/dd"),1),"")</f>
        <v>409389546</v>
      </c>
      <c r="I1313">
        <f>IFERROR([1]!s_stm07_is($A1313,"W72946623",TEXT($B$1,"yyyy/mm/dd"),1),"")</f>
        <v>-12060183968</v>
      </c>
      <c r="J1313">
        <f>IFERROR([1]!s_stm07_is($A1313,"W30028333",TEXT($B$1,"yyyy/mm/dd"),1),"")</f>
        <v>-8783621243</v>
      </c>
      <c r="K1313">
        <f>IFERROR([1]!s_stm07_cs($A1313,"W77130581",TEXT($B$1,"yyyy/mm/dd"),1),"")</f>
        <v>-15026294544</v>
      </c>
      <c r="L1313">
        <f>IFERROR([1]!s_stm07_cs($A1313,"W77745895",TEXT($B$1,"yyyy/mm/dd"),1),"")</f>
        <v>8960980184</v>
      </c>
      <c r="M1313">
        <f>IFERROR([1]!S_FA_EPS_basic2($A1313,$B$1,"Cur=CNY"),"")</f>
        <v>-0.85</v>
      </c>
      <c r="N1313">
        <f>IFERROR([1]!s_fa_arturndays($A1313,TEXT($B$1,"yyyy/mm/dd")),"")</f>
        <v>14.9572</v>
      </c>
      <c r="O1313" t="str">
        <f>IFERROR([1]!fa_apturndays($A1313,TEXT($B$1,"yyyy/mm/dd")),"")</f>
        <v>Fetch...</v>
      </c>
      <c r="P1313">
        <f>IFERROR([1]!s_fa_invturndays($A1313,TEXT($B$1,"yyyy/mm/dd")),"")</f>
        <v>59.7104</v>
      </c>
    </row>
    <row r="1314" spans="1:16">
      <c r="A1314" t="s">
        <v>1327</v>
      </c>
      <c r="B1314">
        <f>IFERROR([1]!s_stm07_is($A1314,"W70156729",TEXT($B$1,"yyyy/mm/dd"),1),"")</f>
        <v>725306000000</v>
      </c>
      <c r="C1314">
        <f>IFERROR([1]!s_stm07_is($A1314,"W75682424",TEXT($B$1,"yyyy/mm/dd"),1),"")</f>
        <v>0</v>
      </c>
      <c r="D1314">
        <f>IFERROR([1]!s_stm07_is($A1314,"W76031679",TEXT($B$1,"yyyy/mm/dd"),1),"")</f>
        <v>0</v>
      </c>
      <c r="E1314">
        <f>IFERROR([1]!s_stm07_is($A1314,"W70752487",TEXT($B$1,"yyyy/mm/dd"),1),"")</f>
        <v>255131000000</v>
      </c>
      <c r="F1314">
        <f>IFERROR([1]!s_stm07_is_103($A1314,TEXT($B$1,"yyyy/mm/dd"),1),"")</f>
        <v>0</v>
      </c>
      <c r="G1314">
        <f>IFERROR([1]!s_stm07_is_104($A1314,TEXT($B$1,"yyyy/mm/dd"),1),"")</f>
        <v>0</v>
      </c>
      <c r="H1314">
        <f>IFERROR([1]!s_stm07_is_105($A1314,TEXT($B$1,"yyyy/mm/dd"),1),"")</f>
        <v>0</v>
      </c>
      <c r="I1314">
        <f>IFERROR([1]!s_stm07_is($A1314,"W72946623",TEXT($B$1,"yyyy/mm/dd"),1),"")</f>
        <v>323689000000</v>
      </c>
      <c r="J1314">
        <f>IFERROR([1]!s_stm07_is($A1314,"W30028333",TEXT($B$1,"yyyy/mm/dd"),1),"")</f>
        <v>291041000000</v>
      </c>
      <c r="K1314">
        <f>IFERROR([1]!s_stm07_cs($A1314,"W77130581",TEXT($B$1,"yyyy/mm/dd"),1),"")</f>
        <v>2112907000000</v>
      </c>
      <c r="L1314">
        <f>IFERROR([1]!s_stm07_cs($A1314,"W77745895",TEXT($B$1,"yyyy/mm/dd"),1),"")</f>
        <v>27348000000</v>
      </c>
      <c r="M1314">
        <f>IFERROR([1]!S_FA_EPS_basic2($A1314,$B$1,"Cur=CNY"),"")</f>
        <v>0.78</v>
      </c>
      <c r="N1314">
        <f>IFERROR([1]!s_fa_arturndays($A1314,TEXT($B$1,"yyyy/mm/dd")),"")</f>
        <v>0</v>
      </c>
      <c r="O1314" t="str">
        <f>IFERROR([1]!fa_apturndays($A1314,TEXT($B$1,"yyyy/mm/dd")),"")</f>
        <v>Fetch...</v>
      </c>
      <c r="P1314">
        <f>IFERROR([1]!s_fa_invturndays($A1314,TEXT($B$1,"yyyy/mm/dd")),"")</f>
        <v>0</v>
      </c>
    </row>
    <row r="1315" spans="1:16">
      <c r="A1315" t="s">
        <v>1328</v>
      </c>
      <c r="B1315">
        <f>IFERROR([1]!s_stm07_is($A1315,"W70156729",TEXT($B$1,"yyyy/mm/dd"),1),"")</f>
        <v>18806323315</v>
      </c>
      <c r="C1315">
        <f>IFERROR([1]!s_stm07_is($A1315,"W75682424",TEXT($B$1,"yyyy/mm/dd"),1),"")</f>
        <v>11911816346</v>
      </c>
      <c r="D1315">
        <f>IFERROR([1]!s_stm07_is($A1315,"W76031679",TEXT($B$1,"yyyy/mm/dd"),1),"")</f>
        <v>87687417</v>
      </c>
      <c r="E1315">
        <f>IFERROR([1]!s_stm07_is($A1315,"W70752487",TEXT($B$1,"yyyy/mm/dd"),1),"")</f>
        <v>1161386962</v>
      </c>
      <c r="F1315">
        <f>IFERROR([1]!s_stm07_is_103($A1315,TEXT($B$1,"yyyy/mm/dd"),1),"")</f>
        <v>112325450</v>
      </c>
      <c r="G1315">
        <f>IFERROR([1]!s_stm07_is_104($A1315,TEXT($B$1,"yyyy/mm/dd"),1),"")</f>
        <v>131117644</v>
      </c>
      <c r="H1315">
        <f>IFERROR([1]!s_stm07_is_105($A1315,TEXT($B$1,"yyyy/mm/dd"),1),"")</f>
        <v>146243726</v>
      </c>
      <c r="I1315">
        <f>IFERROR([1]!s_stm07_is($A1315,"W72946623",TEXT($B$1,"yyyy/mm/dd"),1),"")</f>
        <v>7128700805</v>
      </c>
      <c r="J1315">
        <f>IFERROR([1]!s_stm07_is($A1315,"W30028333",TEXT($B$1,"yyyy/mm/dd"),1),"")</f>
        <v>5271506093</v>
      </c>
      <c r="K1315">
        <f>IFERROR([1]!s_stm07_cs($A1315,"W77130581",TEXT($B$1,"yyyy/mm/dd"),1),"")</f>
        <v>5548596729</v>
      </c>
      <c r="L1315">
        <f>IFERROR([1]!s_stm07_cs($A1315,"W77745895",TEXT($B$1,"yyyy/mm/dd"),1),"")</f>
        <v>2464233800</v>
      </c>
      <c r="M1315">
        <f>IFERROR([1]!S_FA_EPS_basic2($A1315,$B$1,"Cur=CNY"),"")</f>
        <v>0.81</v>
      </c>
      <c r="N1315">
        <f>IFERROR([1]!s_fa_arturndays($A1315,TEXT($B$1,"yyyy/mm/dd")),"")</f>
        <v>38.721800000000002</v>
      </c>
      <c r="O1315" t="str">
        <f>IFERROR([1]!fa_apturndays($A1315,TEXT($B$1,"yyyy/mm/dd")),"")</f>
        <v>Fetch...</v>
      </c>
      <c r="P1315">
        <f>IFERROR([1]!s_fa_invturndays($A1315,TEXT($B$1,"yyyy/mm/dd")),"")</f>
        <v>6.7519999999999998</v>
      </c>
    </row>
    <row r="1316" spans="1:16">
      <c r="A1316" t="s">
        <v>1329</v>
      </c>
      <c r="B1316">
        <f>IFERROR([1]!s_stm07_is($A1316,"W70156729",TEXT($B$1,"yyyy/mm/dd"),1),"")</f>
        <v>16303224497.01</v>
      </c>
      <c r="C1316">
        <f>IFERROR([1]!s_stm07_is($A1316,"W75682424",TEXT($B$1,"yyyy/mm/dd"),1),"")</f>
        <v>13849668574.82</v>
      </c>
      <c r="D1316">
        <f>IFERROR([1]!s_stm07_is($A1316,"W76031679",TEXT($B$1,"yyyy/mm/dd"),1),"")</f>
        <v>713857534.98000002</v>
      </c>
      <c r="E1316">
        <f>IFERROR([1]!s_stm07_is($A1316,"W70752487",TEXT($B$1,"yyyy/mm/dd"),1),"")</f>
        <v>446781288.05000001</v>
      </c>
      <c r="F1316">
        <f>IFERROR([1]!s_stm07_is_103($A1316,TEXT($B$1,"yyyy/mm/dd"),1),"")</f>
        <v>298037526.37</v>
      </c>
      <c r="G1316">
        <f>IFERROR([1]!s_stm07_is_104($A1316,TEXT($B$1,"yyyy/mm/dd"),1),"")</f>
        <v>47886810.310000002</v>
      </c>
      <c r="H1316">
        <f>IFERROR([1]!s_stm07_is_105($A1316,TEXT($B$1,"yyyy/mm/dd"),1),"")</f>
        <v>5944963.7199999997</v>
      </c>
      <c r="I1316">
        <f>IFERROR([1]!s_stm07_is($A1316,"W72946623",TEXT($B$1,"yyyy/mm/dd"),1),"")</f>
        <v>948904612.82000005</v>
      </c>
      <c r="J1316">
        <f>IFERROR([1]!s_stm07_is($A1316,"W30028333",TEXT($B$1,"yyyy/mm/dd"),1),"")</f>
        <v>837835277.27999997</v>
      </c>
      <c r="K1316">
        <f>IFERROR([1]!s_stm07_cs($A1316,"W77130581",TEXT($B$1,"yyyy/mm/dd"),1),"")</f>
        <v>828815454.50999999</v>
      </c>
      <c r="L1316">
        <f>IFERROR([1]!s_stm07_cs($A1316,"W77745895",TEXT($B$1,"yyyy/mm/dd"),1),"")</f>
        <v>285301670.97000003</v>
      </c>
      <c r="M1316">
        <f>IFERROR([1]!S_FA_EPS_basic2($A1316,$B$1,"Cur=CNY"),"")</f>
        <v>0.71</v>
      </c>
      <c r="N1316">
        <f>IFERROR([1]!s_fa_arturndays($A1316,TEXT($B$1,"yyyy/mm/dd")),"")</f>
        <v>43.869799999999998</v>
      </c>
      <c r="O1316" t="str">
        <f>IFERROR([1]!fa_apturndays($A1316,TEXT($B$1,"yyyy/mm/dd")),"")</f>
        <v>Fetch...</v>
      </c>
      <c r="P1316">
        <f>IFERROR([1]!s_fa_invturndays($A1316,TEXT($B$1,"yyyy/mm/dd")),"")</f>
        <v>78.450199999999995</v>
      </c>
    </row>
    <row r="1317" spans="1:16">
      <c r="A1317" t="s">
        <v>1330</v>
      </c>
      <c r="B1317">
        <f>IFERROR([1]!s_stm07_is($A1317,"W70156729",TEXT($B$1,"yyyy/mm/dd"),1),"")</f>
        <v>1050506000000</v>
      </c>
      <c r="C1317">
        <f>IFERROR([1]!s_stm07_is($A1317,"W75682424",TEXT($B$1,"yyyy/mm/dd"),1),"")</f>
        <v>0</v>
      </c>
      <c r="D1317">
        <f>IFERROR([1]!s_stm07_is($A1317,"W76031679",TEXT($B$1,"yyyy/mm/dd"),1),"")</f>
        <v>0</v>
      </c>
      <c r="E1317">
        <f>IFERROR([1]!s_stm07_is($A1317,"W70752487",TEXT($B$1,"yyyy/mm/dd"),1),"")</f>
        <v>82452000000</v>
      </c>
      <c r="F1317">
        <f>IFERROR([1]!s_stm07_is_103($A1317,TEXT($B$1,"yyyy/mm/dd"),1),"")</f>
        <v>0</v>
      </c>
      <c r="G1317">
        <f>IFERROR([1]!s_stm07_is_104($A1317,TEXT($B$1,"yyyy/mm/dd"),1),"")</f>
        <v>0</v>
      </c>
      <c r="H1317">
        <f>IFERROR([1]!s_stm07_is_105($A1317,TEXT($B$1,"yyyy/mm/dd"),1),"")</f>
        <v>0</v>
      </c>
      <c r="I1317">
        <f>IFERROR([1]!s_stm07_is($A1317,"W72946623",TEXT($B$1,"yyyy/mm/dd"),1),"")</f>
        <v>185590000000</v>
      </c>
      <c r="J1317">
        <f>IFERROR([1]!s_stm07_is($A1317,"W30028333",TEXT($B$1,"yyyy/mm/dd"),1),"")</f>
        <v>134778000000</v>
      </c>
      <c r="K1317">
        <f>IFERROR([1]!s_stm07_cs($A1317,"W77130581",TEXT($B$1,"yyyy/mm/dd"),1),"")</f>
        <v>658632000000</v>
      </c>
      <c r="L1317">
        <f>IFERROR([1]!s_stm07_cs($A1317,"W77745895",TEXT($B$1,"yyyy/mm/dd"),1),"")</f>
        <v>8355000000</v>
      </c>
      <c r="M1317">
        <f>IFERROR([1]!S_FA_EPS_basic2($A1317,$B$1,"Cur=CNY"),"")</f>
        <v>7.68</v>
      </c>
      <c r="N1317">
        <f>IFERROR([1]!s_fa_arturndays($A1317,TEXT($B$1,"yyyy/mm/dd")),"")</f>
        <v>0</v>
      </c>
      <c r="O1317" t="str">
        <f>IFERROR([1]!fa_apturndays($A1317,TEXT($B$1,"yyyy/mm/dd")),"")</f>
        <v>Fetch...</v>
      </c>
      <c r="P1317">
        <f>IFERROR([1]!s_fa_invturndays($A1317,TEXT($B$1,"yyyy/mm/dd")),"")</f>
        <v>0</v>
      </c>
    </row>
    <row r="1318" spans="1:16">
      <c r="A1318" t="s">
        <v>1331</v>
      </c>
      <c r="B1318">
        <f>IFERROR([1]!s_stm07_is($A1318,"W70156729",TEXT($B$1,"yyyy/mm/dd"),1),"")</f>
        <v>669044000000</v>
      </c>
      <c r="C1318">
        <f>IFERROR([1]!s_stm07_is($A1318,"W75682424",TEXT($B$1,"yyyy/mm/dd"),1),"")</f>
        <v>0</v>
      </c>
      <c r="D1318">
        <f>IFERROR([1]!s_stm07_is($A1318,"W76031679",TEXT($B$1,"yyyy/mm/dd"),1),"")</f>
        <v>0</v>
      </c>
      <c r="E1318">
        <f>IFERROR([1]!s_stm07_is($A1318,"W70752487",TEXT($B$1,"yyyy/mm/dd"),1),"")</f>
        <v>6787000000</v>
      </c>
      <c r="F1318">
        <f>IFERROR([1]!s_stm07_is_103($A1318,TEXT($B$1,"yyyy/mm/dd"),1),"")</f>
        <v>0</v>
      </c>
      <c r="G1318">
        <f>IFERROR([1]!s_stm07_is_104($A1318,TEXT($B$1,"yyyy/mm/dd"),1),"")</f>
        <v>0</v>
      </c>
      <c r="H1318">
        <f>IFERROR([1]!s_stm07_is_105($A1318,TEXT($B$1,"yyyy/mm/dd"),1),"")</f>
        <v>0</v>
      </c>
      <c r="I1318">
        <f>IFERROR([1]!s_stm07_is($A1318,"W72946623",TEXT($B$1,"yyyy/mm/dd"),1),"")</f>
        <v>74506000000</v>
      </c>
      <c r="J1318">
        <f>IFERROR([1]!s_stm07_is($A1318,"W30028333",TEXT($B$1,"yyyy/mm/dd"),1),"")</f>
        <v>46646000000</v>
      </c>
      <c r="K1318">
        <f>IFERROR([1]!s_stm07_cs($A1318,"W77130581",TEXT($B$1,"yyyy/mm/dd"),1),"")</f>
        <v>118689000000</v>
      </c>
      <c r="L1318">
        <f>IFERROR([1]!s_stm07_cs($A1318,"W77745895",TEXT($B$1,"yyyy/mm/dd"),1),"")</f>
        <v>4784000000</v>
      </c>
      <c r="M1318">
        <f>IFERROR([1]!S_FA_EPS_basic2($A1318,$B$1,"Cur=CNY"),"")</f>
        <v>1.05</v>
      </c>
      <c r="N1318">
        <f>IFERROR([1]!s_fa_arturndays($A1318,TEXT($B$1,"yyyy/mm/dd")),"")</f>
        <v>0</v>
      </c>
      <c r="O1318" t="str">
        <f>IFERROR([1]!fa_apturndays($A1318,TEXT($B$1,"yyyy/mm/dd")),"")</f>
        <v>Fetch...</v>
      </c>
      <c r="P1318">
        <f>IFERROR([1]!s_fa_invturndays($A1318,TEXT($B$1,"yyyy/mm/dd")),"")</f>
        <v>0</v>
      </c>
    </row>
    <row r="1319" spans="1:16">
      <c r="A1319" t="s">
        <v>1332</v>
      </c>
      <c r="B1319">
        <f>IFERROR([1]!s_stm07_is($A1319,"W70156729",TEXT($B$1,"yyyy/mm/dd"),1),"")</f>
        <v>6985609647.9099998</v>
      </c>
      <c r="C1319">
        <f>IFERROR([1]!s_stm07_is($A1319,"W75682424",TEXT($B$1,"yyyy/mm/dd"),1),"")</f>
        <v>4074724881.4699998</v>
      </c>
      <c r="D1319">
        <f>IFERROR([1]!s_stm07_is($A1319,"W76031679",TEXT($B$1,"yyyy/mm/dd"),1),"")</f>
        <v>0</v>
      </c>
      <c r="E1319">
        <f>IFERROR([1]!s_stm07_is($A1319,"W70752487",TEXT($B$1,"yyyy/mm/dd"),1),"")</f>
        <v>979142707.30999994</v>
      </c>
      <c r="F1319">
        <f>IFERROR([1]!s_stm07_is_103($A1319,TEXT($B$1,"yyyy/mm/dd"),1),"")</f>
        <v>180917876.68000001</v>
      </c>
      <c r="G1319">
        <f>IFERROR([1]!s_stm07_is_104($A1319,TEXT($B$1,"yyyy/mm/dd"),1),"")</f>
        <v>110979380.01000001</v>
      </c>
      <c r="H1319">
        <f>IFERROR([1]!s_stm07_is_105($A1319,TEXT($B$1,"yyyy/mm/dd"),1),"")</f>
        <v>96865347.140000001</v>
      </c>
      <c r="I1319">
        <f>IFERROR([1]!s_stm07_is($A1319,"W72946623",TEXT($B$1,"yyyy/mm/dd"),1),"")</f>
        <v>1997672946.4400001</v>
      </c>
      <c r="J1319">
        <f>IFERROR([1]!s_stm07_is($A1319,"W30028333",TEXT($B$1,"yyyy/mm/dd"),1),"")</f>
        <v>1606251547.6199999</v>
      </c>
      <c r="K1319">
        <f>IFERROR([1]!s_stm07_cs($A1319,"W77130581",TEXT($B$1,"yyyy/mm/dd"),1),"")</f>
        <v>2298384754.3400002</v>
      </c>
      <c r="L1319">
        <f>IFERROR([1]!s_stm07_cs($A1319,"W77745895",TEXT($B$1,"yyyy/mm/dd"),1),"")</f>
        <v>895062954.23000002</v>
      </c>
      <c r="M1319">
        <f>IFERROR([1]!S_FA_EPS_basic2($A1319,$B$1,"Cur=CNY"),"")</f>
        <v>0.28999999999999998</v>
      </c>
      <c r="N1319">
        <f>IFERROR([1]!s_fa_arturndays($A1319,TEXT($B$1,"yyyy/mm/dd")),"")</f>
        <v>6.2667999999999999</v>
      </c>
      <c r="O1319" t="str">
        <f>IFERROR([1]!fa_apturndays($A1319,TEXT($B$1,"yyyy/mm/dd")),"")</f>
        <v>Fetch...</v>
      </c>
      <c r="P1319">
        <f>IFERROR([1]!s_fa_invturndays($A1319,TEXT($B$1,"yyyy/mm/dd")),"")</f>
        <v>12.3314</v>
      </c>
    </row>
    <row r="1320" spans="1:16">
      <c r="A1320" t="s">
        <v>1333</v>
      </c>
      <c r="B1320">
        <f>IFERROR([1]!s_stm07_is($A1320,"W70156729",TEXT($B$1,"yyyy/mm/dd"),1),"")</f>
        <v>265071000000</v>
      </c>
      <c r="C1320">
        <f>IFERROR([1]!s_stm07_is($A1320,"W75682424",TEXT($B$1,"yyyy/mm/dd"),1),"")</f>
        <v>0</v>
      </c>
      <c r="D1320">
        <f>IFERROR([1]!s_stm07_is($A1320,"W76031679",TEXT($B$1,"yyyy/mm/dd"),1),"")</f>
        <v>0</v>
      </c>
      <c r="E1320">
        <f>IFERROR([1]!s_stm07_is($A1320,"W70752487",TEXT($B$1,"yyyy/mm/dd"),1),"")</f>
        <v>77655000000</v>
      </c>
      <c r="F1320">
        <f>IFERROR([1]!s_stm07_is_103($A1320,TEXT($B$1,"yyyy/mm/dd"),1),"")</f>
        <v>0</v>
      </c>
      <c r="G1320">
        <f>IFERROR([1]!s_stm07_is_104($A1320,TEXT($B$1,"yyyy/mm/dd"),1),"")</f>
        <v>0</v>
      </c>
      <c r="H1320">
        <f>IFERROR([1]!s_stm07_is_105($A1320,TEXT($B$1,"yyyy/mm/dd"),1),"")</f>
        <v>0</v>
      </c>
      <c r="I1320">
        <f>IFERROR([1]!s_stm07_is($A1320,"W72946623",TEXT($B$1,"yyyy/mm/dd"),1),"")</f>
        <v>103763000000</v>
      </c>
      <c r="J1320">
        <f>IFERROR([1]!s_stm07_is($A1320,"W30028333",TEXT($B$1,"yyyy/mm/dd"),1),"")</f>
        <v>95622000000</v>
      </c>
      <c r="K1320">
        <f>IFERROR([1]!s_stm07_cs($A1320,"W77130581",TEXT($B$1,"yyyy/mm/dd"),1),"")</f>
        <v>132441000000</v>
      </c>
      <c r="L1320">
        <f>IFERROR([1]!s_stm07_cs($A1320,"W77745895",TEXT($B$1,"yyyy/mm/dd"),1),"")</f>
        <v>43197000000</v>
      </c>
      <c r="M1320">
        <f>IFERROR([1]!S_FA_EPS_basic2($A1320,$B$1,"Cur=CNY"),"")</f>
        <v>1.08</v>
      </c>
      <c r="N1320">
        <f>IFERROR([1]!s_fa_arturndays($A1320,TEXT($B$1,"yyyy/mm/dd")),"")</f>
        <v>0</v>
      </c>
      <c r="O1320" t="str">
        <f>IFERROR([1]!fa_apturndays($A1320,TEXT($B$1,"yyyy/mm/dd")),"")</f>
        <v>Fetch...</v>
      </c>
      <c r="P1320">
        <f>IFERROR([1]!s_fa_invturndays($A1320,TEXT($B$1,"yyyy/mm/dd")),"")</f>
        <v>0</v>
      </c>
    </row>
    <row r="1321" spans="1:16">
      <c r="A1321" t="s">
        <v>1334</v>
      </c>
      <c r="B1321">
        <f>IFERROR([1]!s_stm07_is($A1321,"W70156729",TEXT($B$1,"yyyy/mm/dd"),1),"")</f>
        <v>28685832411</v>
      </c>
      <c r="C1321">
        <f>IFERROR([1]!s_stm07_is($A1321,"W75682424",TEXT($B$1,"yyyy/mm/dd"),1),"")</f>
        <v>27069407856</v>
      </c>
      <c r="D1321">
        <f>IFERROR([1]!s_stm07_is($A1321,"W76031679",TEXT($B$1,"yyyy/mm/dd"),1),"")</f>
        <v>915312</v>
      </c>
      <c r="E1321">
        <f>IFERROR([1]!s_stm07_is($A1321,"W70752487",TEXT($B$1,"yyyy/mm/dd"),1),"")</f>
        <v>195405055</v>
      </c>
      <c r="F1321">
        <f>IFERROR([1]!s_stm07_is_103($A1321,TEXT($B$1,"yyyy/mm/dd"),1),"")</f>
        <v>0</v>
      </c>
      <c r="G1321">
        <f>IFERROR([1]!s_stm07_is_104($A1321,TEXT($B$1,"yyyy/mm/dd"),1),"")</f>
        <v>74345861</v>
      </c>
      <c r="H1321">
        <f>IFERROR([1]!s_stm07_is_105($A1321,TEXT($B$1,"yyyy/mm/dd"),1),"")</f>
        <v>16493744</v>
      </c>
      <c r="I1321">
        <f>IFERROR([1]!s_stm07_is($A1321,"W72946623",TEXT($B$1,"yyyy/mm/dd"),1),"")</f>
        <v>1783991647</v>
      </c>
      <c r="J1321">
        <f>IFERROR([1]!s_stm07_is($A1321,"W30028333",TEXT($B$1,"yyyy/mm/dd"),1),"")</f>
        <v>1425789018</v>
      </c>
      <c r="K1321">
        <f>IFERROR([1]!s_stm07_cs($A1321,"W77130581",TEXT($B$1,"yyyy/mm/dd"),1),"")</f>
        <v>3461509454</v>
      </c>
      <c r="L1321">
        <f>IFERROR([1]!s_stm07_cs($A1321,"W77745895",TEXT($B$1,"yyyy/mm/dd"),1),"")</f>
        <v>686146456</v>
      </c>
      <c r="M1321">
        <f>IFERROR([1]!S_FA_EPS_basic2($A1321,$B$1,"Cur=CNY"),"")</f>
        <v>0.20130000000000001</v>
      </c>
      <c r="N1321">
        <f>IFERROR([1]!s_fa_arturndays($A1321,TEXT($B$1,"yyyy/mm/dd")),"")</f>
        <v>68.923299999999998</v>
      </c>
      <c r="O1321" t="str">
        <f>IFERROR([1]!fa_apturndays($A1321,TEXT($B$1,"yyyy/mm/dd")),"")</f>
        <v>Fetch...</v>
      </c>
      <c r="P1321">
        <f>IFERROR([1]!s_fa_invturndays($A1321,TEXT($B$1,"yyyy/mm/dd")),"")</f>
        <v>4.3707000000000003</v>
      </c>
    </row>
    <row r="1322" spans="1:16">
      <c r="A1322" t="s">
        <v>1335</v>
      </c>
      <c r="B1322">
        <f>IFERROR([1]!s_stm07_is($A1322,"W70156729",TEXT($B$1,"yyyy/mm/dd"),1),"")</f>
        <v>157745000000</v>
      </c>
      <c r="C1322">
        <f>IFERROR([1]!s_stm07_is($A1322,"W75682424",TEXT($B$1,"yyyy/mm/dd"),1),"")</f>
        <v>0</v>
      </c>
      <c r="D1322">
        <f>IFERROR([1]!s_stm07_is($A1322,"W76031679",TEXT($B$1,"yyyy/mm/dd"),1),"")</f>
        <v>0</v>
      </c>
      <c r="E1322">
        <f>IFERROR([1]!s_stm07_is($A1322,"W70752487",TEXT($B$1,"yyyy/mm/dd"),1),"")</f>
        <v>2773000000</v>
      </c>
      <c r="F1322">
        <f>IFERROR([1]!s_stm07_is_103($A1322,TEXT($B$1,"yyyy/mm/dd"),1),"")</f>
        <v>0</v>
      </c>
      <c r="G1322">
        <f>IFERROR([1]!s_stm07_is_104($A1322,TEXT($B$1,"yyyy/mm/dd"),1),"")</f>
        <v>0</v>
      </c>
      <c r="H1322">
        <f>IFERROR([1]!s_stm07_is_105($A1322,TEXT($B$1,"yyyy/mm/dd"),1),"")</f>
        <v>0</v>
      </c>
      <c r="I1322">
        <f>IFERROR([1]!s_stm07_is($A1322,"W72946623",TEXT($B$1,"yyyy/mm/dd"),1),"")</f>
        <v>40525000000</v>
      </c>
      <c r="J1322">
        <f>IFERROR([1]!s_stm07_is($A1322,"W30028333",TEXT($B$1,"yyyy/mm/dd"),1),"")</f>
        <v>36284000000</v>
      </c>
      <c r="K1322">
        <f>IFERROR([1]!s_stm07_cs($A1322,"W77130581",TEXT($B$1,"yyyy/mm/dd"),1),"")</f>
        <v>110916000000</v>
      </c>
      <c r="L1322">
        <f>IFERROR([1]!s_stm07_cs($A1322,"W77745895",TEXT($B$1,"yyyy/mm/dd"),1),"")</f>
        <v>1482000000</v>
      </c>
      <c r="M1322">
        <f>IFERROR([1]!S_FA_EPS_basic2($A1322,$B$1,"Cur=CNY"),"")</f>
        <v>11.63</v>
      </c>
      <c r="N1322">
        <f>IFERROR([1]!s_fa_arturndays($A1322,TEXT($B$1,"yyyy/mm/dd")),"")</f>
        <v>0</v>
      </c>
      <c r="O1322" t="str">
        <f>IFERROR([1]!fa_apturndays($A1322,TEXT($B$1,"yyyy/mm/dd")),"")</f>
        <v>Fetch...</v>
      </c>
      <c r="P1322">
        <f>IFERROR([1]!s_fa_invturndays($A1322,TEXT($B$1,"yyyy/mm/dd")),"")</f>
        <v>0</v>
      </c>
    </row>
    <row r="1323" spans="1:16">
      <c r="A1323" t="s">
        <v>1336</v>
      </c>
      <c r="B1323">
        <f>IFERROR([1]!s_stm07_is($A1323,"W70156729",TEXT($B$1,"yyyy/mm/dd"),1),"")</f>
        <v>8692564000</v>
      </c>
      <c r="C1323">
        <f>IFERROR([1]!s_stm07_is($A1323,"W75682424",TEXT($B$1,"yyyy/mm/dd"),1),"")</f>
        <v>2908126000</v>
      </c>
      <c r="D1323">
        <f>IFERROR([1]!s_stm07_is($A1323,"W76031679",TEXT($B$1,"yyyy/mm/dd"),1),"")</f>
        <v>2582302000</v>
      </c>
      <c r="E1323">
        <f>IFERROR([1]!s_stm07_is($A1323,"W70752487",TEXT($B$1,"yyyy/mm/dd"),1),"")</f>
        <v>646422000</v>
      </c>
      <c r="F1323">
        <f>IFERROR([1]!s_stm07_is_103($A1323,TEXT($B$1,"yyyy/mm/dd"),1),"")</f>
        <v>3225455000</v>
      </c>
      <c r="G1323">
        <f>IFERROR([1]!s_stm07_is_104($A1323,TEXT($B$1,"yyyy/mm/dd"),1),"")</f>
        <v>28428000</v>
      </c>
      <c r="H1323">
        <f>IFERROR([1]!s_stm07_is_105($A1323,TEXT($B$1,"yyyy/mm/dd"),1),"")</f>
        <v>665371000</v>
      </c>
      <c r="I1323">
        <f>IFERROR([1]!s_stm07_is($A1323,"W72946623",TEXT($B$1,"yyyy/mm/dd"),1),"")</f>
        <v>419937000</v>
      </c>
      <c r="J1323">
        <f>IFERROR([1]!s_stm07_is($A1323,"W30028333",TEXT($B$1,"yyyy/mm/dd"),1),"")</f>
        <v>263013000</v>
      </c>
      <c r="K1323">
        <f>IFERROR([1]!s_stm07_cs($A1323,"W77130581",TEXT($B$1,"yyyy/mm/dd"),1),"")</f>
        <v>154204000</v>
      </c>
      <c r="L1323">
        <f>IFERROR([1]!s_stm07_cs($A1323,"W77745895",TEXT($B$1,"yyyy/mm/dd"),1),"")</f>
        <v>488908000</v>
      </c>
      <c r="M1323">
        <f>IFERROR([1]!S_FA_EPS_basic2($A1323,$B$1,"Cur=CNY"),"")</f>
        <v>0.04</v>
      </c>
      <c r="N1323">
        <f>IFERROR([1]!s_fa_arturndays($A1323,TEXT($B$1,"yyyy/mm/dd")),"")</f>
        <v>53.721699999999998</v>
      </c>
      <c r="O1323" t="str">
        <f>IFERROR([1]!fa_apturndays($A1323,TEXT($B$1,"yyyy/mm/dd")),"")</f>
        <v>Fetch...</v>
      </c>
      <c r="P1323">
        <f>IFERROR([1]!s_fa_invturndays($A1323,TEXT($B$1,"yyyy/mm/dd")),"")</f>
        <v>47.818300000000001</v>
      </c>
    </row>
    <row r="1324" spans="1:16">
      <c r="A1324" t="s">
        <v>1337</v>
      </c>
      <c r="B1324">
        <f>IFERROR([1]!s_stm07_is($A1324,"W70156729",TEXT($B$1,"yyyy/mm/dd"),1),"")</f>
        <v>9421617647.1800003</v>
      </c>
      <c r="C1324">
        <f>IFERROR([1]!s_stm07_is($A1324,"W75682424",TEXT($B$1,"yyyy/mm/dd"),1),"")</f>
        <v>7562199304.0799999</v>
      </c>
      <c r="D1324">
        <f>IFERROR([1]!s_stm07_is($A1324,"W76031679",TEXT($B$1,"yyyy/mm/dd"),1),"")</f>
        <v>228954493.34</v>
      </c>
      <c r="E1324">
        <f>IFERROR([1]!s_stm07_is($A1324,"W70752487",TEXT($B$1,"yyyy/mm/dd"),1),"")</f>
        <v>496965155.38999999</v>
      </c>
      <c r="F1324">
        <f>IFERROR([1]!s_stm07_is_103($A1324,TEXT($B$1,"yyyy/mm/dd"),1),"")</f>
        <v>256714815.78</v>
      </c>
      <c r="G1324">
        <f>IFERROR([1]!s_stm07_is_104($A1324,TEXT($B$1,"yyyy/mm/dd"),1),"")</f>
        <v>88666925.549999997</v>
      </c>
      <c r="H1324">
        <f>IFERROR([1]!s_stm07_is_105($A1324,TEXT($B$1,"yyyy/mm/dd"),1),"")</f>
        <v>298733997.36000001</v>
      </c>
      <c r="I1324">
        <f>IFERROR([1]!s_stm07_is($A1324,"W72946623",TEXT($B$1,"yyyy/mm/dd"),1),"")</f>
        <v>1095479212.5899999</v>
      </c>
      <c r="J1324">
        <f>IFERROR([1]!s_stm07_is($A1324,"W30028333",TEXT($B$1,"yyyy/mm/dd"),1),"")</f>
        <v>747958687.03999996</v>
      </c>
      <c r="K1324">
        <f>IFERROR([1]!s_stm07_cs($A1324,"W77130581",TEXT($B$1,"yyyy/mm/dd"),1),"")</f>
        <v>941484672</v>
      </c>
      <c r="L1324">
        <f>IFERROR([1]!s_stm07_cs($A1324,"W77745895",TEXT($B$1,"yyyy/mm/dd"),1),"")</f>
        <v>476026811.81999999</v>
      </c>
      <c r="M1324">
        <f>IFERROR([1]!S_FA_EPS_basic2($A1324,$B$1,"Cur=CNY"),"")</f>
        <v>0.43719999999999998</v>
      </c>
      <c r="N1324">
        <f>IFERROR([1]!s_fa_arturndays($A1324,TEXT($B$1,"yyyy/mm/dd")),"")</f>
        <v>145.72540000000001</v>
      </c>
      <c r="O1324" t="str">
        <f>IFERROR([1]!fa_apturndays($A1324,TEXT($B$1,"yyyy/mm/dd")),"")</f>
        <v>Fetch...</v>
      </c>
      <c r="P1324">
        <f>IFERROR([1]!s_fa_invturndays($A1324,TEXT($B$1,"yyyy/mm/dd")),"")</f>
        <v>114.23860000000001</v>
      </c>
    </row>
    <row r="1325" spans="1:16">
      <c r="A1325" t="s">
        <v>1338</v>
      </c>
      <c r="B1325">
        <f>IFERROR([1]!s_stm07_is($A1325,"W70156729",TEXT($B$1,"yyyy/mm/dd"),1),"")</f>
        <v>1962941008.8499999</v>
      </c>
      <c r="C1325">
        <f>IFERROR([1]!s_stm07_is($A1325,"W75682424",TEXT($B$1,"yyyy/mm/dd"),1),"")</f>
        <v>0</v>
      </c>
      <c r="D1325">
        <f>IFERROR([1]!s_stm07_is($A1325,"W76031679",TEXT($B$1,"yyyy/mm/dd"),1),"")</f>
        <v>0</v>
      </c>
      <c r="E1325">
        <f>IFERROR([1]!s_stm07_is($A1325,"W70752487",TEXT($B$1,"yyyy/mm/dd"),1),"")</f>
        <v>1202648735.71</v>
      </c>
      <c r="F1325">
        <f>IFERROR([1]!s_stm07_is_103($A1325,TEXT($B$1,"yyyy/mm/dd"),1),"")</f>
        <v>0</v>
      </c>
      <c r="G1325">
        <f>IFERROR([1]!s_stm07_is_104($A1325,TEXT($B$1,"yyyy/mm/dd"),1),"")</f>
        <v>0</v>
      </c>
      <c r="H1325">
        <f>IFERROR([1]!s_stm07_is_105($A1325,TEXT($B$1,"yyyy/mm/dd"),1),"")</f>
        <v>0</v>
      </c>
      <c r="I1325">
        <f>IFERROR([1]!s_stm07_is($A1325,"W72946623",TEXT($B$1,"yyyy/mm/dd"),1),"")</f>
        <v>596647087.54999995</v>
      </c>
      <c r="J1325">
        <f>IFERROR([1]!s_stm07_is($A1325,"W30028333",TEXT($B$1,"yyyy/mm/dd"),1),"")</f>
        <v>455818683.39999998</v>
      </c>
      <c r="K1325">
        <f>IFERROR([1]!s_stm07_cs($A1325,"W77130581",TEXT($B$1,"yyyy/mm/dd"),1),"")</f>
        <v>7380771947</v>
      </c>
      <c r="L1325">
        <f>IFERROR([1]!s_stm07_cs($A1325,"W77745895",TEXT($B$1,"yyyy/mm/dd"),1),"")</f>
        <v>176134854.81999999</v>
      </c>
      <c r="M1325">
        <f>IFERROR([1]!S_FA_EPS_basic2($A1325,$B$1,"Cur=CNY"),"")</f>
        <v>9.8199999999999996E-2</v>
      </c>
      <c r="N1325">
        <f>IFERROR([1]!s_fa_arturndays($A1325,TEXT($B$1,"yyyy/mm/dd")),"")</f>
        <v>0</v>
      </c>
      <c r="O1325" t="str">
        <f>IFERROR([1]!fa_apturndays($A1325,TEXT($B$1,"yyyy/mm/dd")),"")</f>
        <v>Fetch...</v>
      </c>
      <c r="P1325">
        <f>IFERROR([1]!s_fa_invturndays($A1325,TEXT($B$1,"yyyy/mm/dd")),"")</f>
        <v>0</v>
      </c>
    </row>
    <row r="1326" spans="1:16">
      <c r="A1326" t="s">
        <v>1339</v>
      </c>
      <c r="B1326">
        <f>IFERROR([1]!s_stm07_is($A1326,"W70156729",TEXT($B$1,"yyyy/mm/dd"),1),"")</f>
        <v>11841384174.209999</v>
      </c>
      <c r="C1326">
        <f>IFERROR([1]!s_stm07_is($A1326,"W75682424",TEXT($B$1,"yyyy/mm/dd"),1),"")</f>
        <v>0</v>
      </c>
      <c r="D1326">
        <f>IFERROR([1]!s_stm07_is($A1326,"W76031679",TEXT($B$1,"yyyy/mm/dd"),1),"")</f>
        <v>0</v>
      </c>
      <c r="E1326">
        <f>IFERROR([1]!s_stm07_is($A1326,"W70752487",TEXT($B$1,"yyyy/mm/dd"),1),"")</f>
        <v>7488873497.6199999</v>
      </c>
      <c r="F1326">
        <f>IFERROR([1]!s_stm07_is_103($A1326,TEXT($B$1,"yyyy/mm/dd"),1),"")</f>
        <v>0</v>
      </c>
      <c r="G1326">
        <f>IFERROR([1]!s_stm07_is_104($A1326,TEXT($B$1,"yyyy/mm/dd"),1),"")</f>
        <v>0</v>
      </c>
      <c r="H1326">
        <f>IFERROR([1]!s_stm07_is_105($A1326,TEXT($B$1,"yyyy/mm/dd"),1),"")</f>
        <v>0</v>
      </c>
      <c r="I1326">
        <f>IFERROR([1]!s_stm07_is($A1326,"W72946623",TEXT($B$1,"yyyy/mm/dd"),1),"")</f>
        <v>4164068918.71</v>
      </c>
      <c r="J1326">
        <f>IFERROR([1]!s_stm07_is($A1326,"W30028333",TEXT($B$1,"yyyy/mm/dd"),1),"")</f>
        <v>2870360059.54</v>
      </c>
      <c r="K1326">
        <f>IFERROR([1]!s_stm07_cs($A1326,"W77130581",TEXT($B$1,"yyyy/mm/dd"),1),"")</f>
        <v>19332488671.700001</v>
      </c>
      <c r="L1326">
        <f>IFERROR([1]!s_stm07_cs($A1326,"W77745895",TEXT($B$1,"yyyy/mm/dd"),1),"")</f>
        <v>315147784.55000001</v>
      </c>
      <c r="M1326">
        <f>IFERROR([1]!S_FA_EPS_basic2($A1326,$B$1,"Cur=CNY"),"")</f>
        <v>0.31609999999999999</v>
      </c>
      <c r="N1326">
        <f>IFERROR([1]!s_fa_arturndays($A1326,TEXT($B$1,"yyyy/mm/dd")),"")</f>
        <v>0</v>
      </c>
      <c r="O1326" t="str">
        <f>IFERROR([1]!fa_apturndays($A1326,TEXT($B$1,"yyyy/mm/dd")),"")</f>
        <v>Fetch...</v>
      </c>
      <c r="P1326">
        <f>IFERROR([1]!s_fa_invturndays($A1326,TEXT($B$1,"yyyy/mm/dd")),"")</f>
        <v>0</v>
      </c>
    </row>
    <row r="1327" spans="1:16">
      <c r="A1327" t="s">
        <v>1340</v>
      </c>
      <c r="B1327">
        <f>IFERROR([1]!s_stm07_is($A1327,"W70156729",TEXT($B$1,"yyyy/mm/dd"),1),"")</f>
        <v>1093493631000</v>
      </c>
      <c r="C1327">
        <f>IFERROR([1]!s_stm07_is($A1327,"W75682424",TEXT($B$1,"yyyy/mm/dd"),1),"")</f>
        <v>988773849000</v>
      </c>
      <c r="D1327">
        <f>IFERROR([1]!s_stm07_is($A1327,"W76031679",TEXT($B$1,"yyyy/mm/dd"),1),"")</f>
        <v>6404140000</v>
      </c>
      <c r="E1327">
        <f>IFERROR([1]!s_stm07_is($A1327,"W70752487",TEXT($B$1,"yyyy/mm/dd"),1),"")</f>
        <v>21936103000</v>
      </c>
      <c r="F1327">
        <f>IFERROR([1]!s_stm07_is_103($A1327,TEXT($B$1,"yyyy/mm/dd"),1),"")</f>
        <v>22443386000</v>
      </c>
      <c r="G1327">
        <f>IFERROR([1]!s_stm07_is_104($A1327,TEXT($B$1,"yyyy/mm/dd"),1),"")</f>
        <v>13080898000</v>
      </c>
      <c r="H1327">
        <f>IFERROR([1]!s_stm07_is_105($A1327,TEXT($B$1,"yyyy/mm/dd"),1),"")</f>
        <v>6414556000</v>
      </c>
      <c r="I1327">
        <f>IFERROR([1]!s_stm07_is($A1327,"W72946623",TEXT($B$1,"yyyy/mm/dd"),1),"")</f>
        <v>33539825000</v>
      </c>
      <c r="J1327">
        <f>IFERROR([1]!s_stm07_is($A1327,"W30028333",TEXT($B$1,"yyyy/mm/dd"),1),"")</f>
        <v>22891703000</v>
      </c>
      <c r="K1327">
        <f>IFERROR([1]!s_stm07_cs($A1327,"W77130581",TEXT($B$1,"yyyy/mm/dd"),1),"")</f>
        <v>28771766000</v>
      </c>
      <c r="L1327">
        <f>IFERROR([1]!s_stm07_cs($A1327,"W77745895",TEXT($B$1,"yyyy/mm/dd"),1),"")</f>
        <v>60286354000</v>
      </c>
      <c r="M1327">
        <f>IFERROR([1]!S_FA_EPS_basic2($A1327,$B$1,"Cur=CNY"),"")</f>
        <v>0.84799999999999998</v>
      </c>
      <c r="N1327">
        <f>IFERROR([1]!s_fa_arturndays($A1327,TEXT($B$1,"yyyy/mm/dd")),"")</f>
        <v>88.308899999999994</v>
      </c>
      <c r="O1327" t="str">
        <f>IFERROR([1]!fa_apturndays($A1327,TEXT($B$1,"yyyy/mm/dd")),"")</f>
        <v>Fetch...</v>
      </c>
      <c r="P1327">
        <f>IFERROR([1]!s_fa_invturndays($A1327,TEXT($B$1,"yyyy/mm/dd")),"")</f>
        <v>215.04089999999999</v>
      </c>
    </row>
    <row r="1328" spans="1:16">
      <c r="A1328" t="s">
        <v>1341</v>
      </c>
      <c r="B1328">
        <f>IFERROR([1]!s_stm07_is($A1328,"W70156729",TEXT($B$1,"yyyy/mm/dd"),1),"")</f>
        <v>838270000000</v>
      </c>
      <c r="C1328">
        <f>IFERROR([1]!s_stm07_is($A1328,"W75682424",TEXT($B$1,"yyyy/mm/dd"),1),"")</f>
        <v>0</v>
      </c>
      <c r="D1328">
        <f>IFERROR([1]!s_stm07_is($A1328,"W76031679",TEXT($B$1,"yyyy/mm/dd"),1),"")</f>
        <v>0</v>
      </c>
      <c r="E1328">
        <f>IFERROR([1]!s_stm07_is($A1328,"W70752487",TEXT($B$1,"yyyy/mm/dd"),1),"")</f>
        <v>235173000000</v>
      </c>
      <c r="F1328">
        <f>IFERROR([1]!s_stm07_is_103($A1328,TEXT($B$1,"yyyy/mm/dd"),1),"")</f>
        <v>0</v>
      </c>
      <c r="G1328">
        <f>IFERROR([1]!s_stm07_is_104($A1328,TEXT($B$1,"yyyy/mm/dd"),1),"")</f>
        <v>0</v>
      </c>
      <c r="H1328">
        <f>IFERROR([1]!s_stm07_is_105($A1328,TEXT($B$1,"yyyy/mm/dd"),1),"")</f>
        <v>0</v>
      </c>
      <c r="I1328">
        <f>IFERROR([1]!s_stm07_is($A1328,"W72946623",TEXT($B$1,"yyyy/mm/dd"),1),"")</f>
        <v>424435000000</v>
      </c>
      <c r="J1328">
        <f>IFERROR([1]!s_stm07_is($A1328,"W30028333",TEXT($B$1,"yyyy/mm/dd"),1),"")</f>
        <v>368562000000</v>
      </c>
      <c r="K1328">
        <f>IFERROR([1]!s_stm07_cs($A1328,"W77130581",TEXT($B$1,"yyyy/mm/dd"),1),"")</f>
        <v>1890530000000</v>
      </c>
      <c r="L1328">
        <f>IFERROR([1]!s_stm07_cs($A1328,"W77745895",TEXT($B$1,"yyyy/mm/dd"),1),"")</f>
        <v>38239000000</v>
      </c>
      <c r="M1328">
        <f>IFERROR([1]!S_FA_EPS_basic2($A1328,$B$1,"Cur=CNY"),"")</f>
        <v>1</v>
      </c>
      <c r="N1328">
        <f>IFERROR([1]!s_fa_arturndays($A1328,TEXT($B$1,"yyyy/mm/dd")),"")</f>
        <v>0</v>
      </c>
      <c r="O1328" t="str">
        <f>IFERROR([1]!fa_apturndays($A1328,TEXT($B$1,"yyyy/mm/dd")),"")</f>
        <v>Fetch...</v>
      </c>
      <c r="P1328">
        <f>IFERROR([1]!s_fa_invturndays($A1328,TEXT($B$1,"yyyy/mm/dd")),"")</f>
        <v>0</v>
      </c>
    </row>
    <row r="1329" spans="1:16">
      <c r="A1329" t="s">
        <v>1342</v>
      </c>
      <c r="B1329">
        <f>IFERROR([1]!s_stm07_is($A1329,"W70156729",TEXT($B$1,"yyyy/mm/dd"),1),"")</f>
        <v>13875466951.01</v>
      </c>
      <c r="C1329">
        <f>IFERROR([1]!s_stm07_is($A1329,"W75682424",TEXT($B$1,"yyyy/mm/dd"),1),"")</f>
        <v>11657346535.4</v>
      </c>
      <c r="D1329">
        <f>IFERROR([1]!s_stm07_is($A1329,"W76031679",TEXT($B$1,"yyyy/mm/dd"),1),"")</f>
        <v>264978252.66999999</v>
      </c>
      <c r="E1329">
        <f>IFERROR([1]!s_stm07_is($A1329,"W70752487",TEXT($B$1,"yyyy/mm/dd"),1),"")</f>
        <v>642745457.82000005</v>
      </c>
      <c r="F1329">
        <f>IFERROR([1]!s_stm07_is_103($A1329,TEXT($B$1,"yyyy/mm/dd"),1),"")</f>
        <v>391668718.63999999</v>
      </c>
      <c r="G1329">
        <f>IFERROR([1]!s_stm07_is_104($A1329,TEXT($B$1,"yyyy/mm/dd"),1),"")</f>
        <v>17644405.789999999</v>
      </c>
      <c r="H1329">
        <f>IFERROR([1]!s_stm07_is_105($A1329,TEXT($B$1,"yyyy/mm/dd"),1),"")</f>
        <v>129530029.76000001</v>
      </c>
      <c r="I1329">
        <f>IFERROR([1]!s_stm07_is($A1329,"W72946623",TEXT($B$1,"yyyy/mm/dd"),1),"")</f>
        <v>696463083.29999995</v>
      </c>
      <c r="J1329">
        <f>IFERROR([1]!s_stm07_is($A1329,"W30028333",TEXT($B$1,"yyyy/mm/dd"),1),"")</f>
        <v>463513959.05000001</v>
      </c>
      <c r="K1329">
        <f>IFERROR([1]!s_stm07_cs($A1329,"W77130581",TEXT($B$1,"yyyy/mm/dd"),1),"")</f>
        <v>1000015909.71</v>
      </c>
      <c r="L1329">
        <f>IFERROR([1]!s_stm07_cs($A1329,"W77745895",TEXT($B$1,"yyyy/mm/dd"),1),"")</f>
        <v>997086569.59000003</v>
      </c>
      <c r="M1329">
        <f>IFERROR([1]!S_FA_EPS_basic2($A1329,$B$1,"Cur=CNY"),"")</f>
        <v>6.4299999999999996E-2</v>
      </c>
      <c r="N1329">
        <f>IFERROR([1]!s_fa_arturndays($A1329,TEXT($B$1,"yyyy/mm/dd")),"")</f>
        <v>115.1631</v>
      </c>
      <c r="O1329" t="str">
        <f>IFERROR([1]!fa_apturndays($A1329,TEXT($B$1,"yyyy/mm/dd")),"")</f>
        <v>Fetch...</v>
      </c>
      <c r="P1329">
        <f>IFERROR([1]!s_fa_invturndays($A1329,TEXT($B$1,"yyyy/mm/dd")),"")</f>
        <v>152.19409999999999</v>
      </c>
    </row>
    <row r="1330" spans="1:16">
      <c r="A1330" t="s">
        <v>1343</v>
      </c>
      <c r="B1330">
        <f>IFERROR([1]!s_stm07_is($A1330,"W70156729",TEXT($B$1,"yyyy/mm/dd"),1),"")</f>
        <v>7673396283.9300003</v>
      </c>
      <c r="C1330">
        <f>IFERROR([1]!s_stm07_is($A1330,"W75682424",TEXT($B$1,"yyyy/mm/dd"),1),"")</f>
        <v>0</v>
      </c>
      <c r="D1330">
        <f>IFERROR([1]!s_stm07_is($A1330,"W76031679",TEXT($B$1,"yyyy/mm/dd"),1),"")</f>
        <v>0</v>
      </c>
      <c r="E1330">
        <f>IFERROR([1]!s_stm07_is($A1330,"W70752487",TEXT($B$1,"yyyy/mm/dd"),1),"")</f>
        <v>5135666794.7799997</v>
      </c>
      <c r="F1330">
        <f>IFERROR([1]!s_stm07_is_103($A1330,TEXT($B$1,"yyyy/mm/dd"),1),"")</f>
        <v>0</v>
      </c>
      <c r="G1330">
        <f>IFERROR([1]!s_stm07_is_104($A1330,TEXT($B$1,"yyyy/mm/dd"),1),"")</f>
        <v>0</v>
      </c>
      <c r="H1330">
        <f>IFERROR([1]!s_stm07_is_105($A1330,TEXT($B$1,"yyyy/mm/dd"),1),"")</f>
        <v>0</v>
      </c>
      <c r="I1330">
        <f>IFERROR([1]!s_stm07_is($A1330,"W72946623",TEXT($B$1,"yyyy/mm/dd"),1),"")</f>
        <v>2470070363.6700001</v>
      </c>
      <c r="J1330">
        <f>IFERROR([1]!s_stm07_is($A1330,"W30028333",TEXT($B$1,"yyyy/mm/dd"),1),"")</f>
        <v>2008916574.4000001</v>
      </c>
      <c r="K1330">
        <f>IFERROR([1]!s_stm07_cs($A1330,"W77130581",TEXT($B$1,"yyyy/mm/dd"),1),"")</f>
        <v>-5445492821.3400002</v>
      </c>
      <c r="L1330">
        <f>IFERROR([1]!s_stm07_cs($A1330,"W77745895",TEXT($B$1,"yyyy/mm/dd"),1),"")</f>
        <v>300976885.69</v>
      </c>
      <c r="M1330">
        <f>IFERROR([1]!S_FA_EPS_basic2($A1330,$B$1,"Cur=CNY"),"")</f>
        <v>0.36</v>
      </c>
      <c r="N1330">
        <f>IFERROR([1]!s_fa_arturndays($A1330,TEXT($B$1,"yyyy/mm/dd")),"")</f>
        <v>0</v>
      </c>
      <c r="O1330" t="str">
        <f>IFERROR([1]!fa_apturndays($A1330,TEXT($B$1,"yyyy/mm/dd")),"")</f>
        <v>Fetch...</v>
      </c>
      <c r="P1330">
        <f>IFERROR([1]!s_fa_invturndays($A1330,TEXT($B$1,"yyyy/mm/dd")),"")</f>
        <v>0</v>
      </c>
    </row>
    <row r="1331" spans="1:16">
      <c r="A1331" t="s">
        <v>1344</v>
      </c>
      <c r="B1331">
        <f>IFERROR([1]!s_stm07_is($A1331,"W70156729",TEXT($B$1,"yyyy/mm/dd"),1),"")</f>
        <v>8496572454.0600004</v>
      </c>
      <c r="C1331">
        <f>IFERROR([1]!s_stm07_is($A1331,"W75682424",TEXT($B$1,"yyyy/mm/dd"),1),"")</f>
        <v>7387084933.8900003</v>
      </c>
      <c r="D1331">
        <f>IFERROR([1]!s_stm07_is($A1331,"W76031679",TEXT($B$1,"yyyy/mm/dd"),1),"")</f>
        <v>156083305.61000001</v>
      </c>
      <c r="E1331">
        <f>IFERROR([1]!s_stm07_is($A1331,"W70752487",TEXT($B$1,"yyyy/mm/dd"),1),"")</f>
        <v>217001171.69</v>
      </c>
      <c r="F1331">
        <f>IFERROR([1]!s_stm07_is_103($A1331,TEXT($B$1,"yyyy/mm/dd"),1),"")</f>
        <v>150563640.24000001</v>
      </c>
      <c r="G1331">
        <f>IFERROR([1]!s_stm07_is_104($A1331,TEXT($B$1,"yyyy/mm/dd"),1),"")</f>
        <v>175200688.59</v>
      </c>
      <c r="H1331">
        <f>IFERROR([1]!s_stm07_is_105($A1331,TEXT($B$1,"yyyy/mm/dd"),1),"")</f>
        <v>24087361.420000002</v>
      </c>
      <c r="I1331">
        <f>IFERROR([1]!s_stm07_is($A1331,"W72946623",TEXT($B$1,"yyyy/mm/dd"),1),"")</f>
        <v>206188389.50999999</v>
      </c>
      <c r="J1331">
        <f>IFERROR([1]!s_stm07_is($A1331,"W30028333",TEXT($B$1,"yyyy/mm/dd"),1),"")</f>
        <v>201387979.06</v>
      </c>
      <c r="K1331">
        <f>IFERROR([1]!s_stm07_cs($A1331,"W77130581",TEXT($B$1,"yyyy/mm/dd"),1),"")</f>
        <v>894301364.88999999</v>
      </c>
      <c r="L1331">
        <f>IFERROR([1]!s_stm07_cs($A1331,"W77745895",TEXT($B$1,"yyyy/mm/dd"),1),"")</f>
        <v>1429142327.98</v>
      </c>
      <c r="M1331">
        <f>IFERROR([1]!S_FA_EPS_basic2($A1331,$B$1,"Cur=CNY"),"")</f>
        <v>0.13</v>
      </c>
      <c r="N1331">
        <f>IFERROR([1]!s_fa_arturndays($A1331,TEXT($B$1,"yyyy/mm/dd")),"")</f>
        <v>56.816400000000002</v>
      </c>
      <c r="O1331" t="str">
        <f>IFERROR([1]!fa_apturndays($A1331,TEXT($B$1,"yyyy/mm/dd")),"")</f>
        <v>Fetch...</v>
      </c>
      <c r="P1331">
        <f>IFERROR([1]!s_fa_invturndays($A1331,TEXT($B$1,"yyyy/mm/dd")),"")</f>
        <v>118.8158</v>
      </c>
    </row>
    <row r="1332" spans="1:16">
      <c r="A1332" t="s">
        <v>1345</v>
      </c>
      <c r="B1332">
        <f>IFERROR([1]!s_stm07_is($A1332,"W70156729",TEXT($B$1,"yyyy/mm/dd"),1),"")</f>
        <v>826557267.60000002</v>
      </c>
      <c r="C1332">
        <f>IFERROR([1]!s_stm07_is($A1332,"W75682424",TEXT($B$1,"yyyy/mm/dd"),1),"")</f>
        <v>297774571.88</v>
      </c>
      <c r="D1332">
        <f>IFERROR([1]!s_stm07_is($A1332,"W76031679",TEXT($B$1,"yyyy/mm/dd"),1),"")</f>
        <v>159015127.43000001</v>
      </c>
      <c r="E1332">
        <f>IFERROR([1]!s_stm07_is($A1332,"W70752487",TEXT($B$1,"yyyy/mm/dd"),1),"")</f>
        <v>267465709.69</v>
      </c>
      <c r="F1332">
        <f>IFERROR([1]!s_stm07_is_103($A1332,TEXT($B$1,"yyyy/mm/dd"),1),"")</f>
        <v>185114548.63999999</v>
      </c>
      <c r="G1332">
        <f>IFERROR([1]!s_stm07_is_104($A1332,TEXT($B$1,"yyyy/mm/dd"),1),"")</f>
        <v>1631832</v>
      </c>
      <c r="H1332">
        <f>IFERROR([1]!s_stm07_is_105($A1332,TEXT($B$1,"yyyy/mm/dd"),1),"")</f>
        <v>22302406.219999999</v>
      </c>
      <c r="I1332">
        <f>IFERROR([1]!s_stm07_is($A1332,"W72946623",TEXT($B$1,"yyyy/mm/dd"),1),"")</f>
        <v>-38201228.32</v>
      </c>
      <c r="J1332">
        <f>IFERROR([1]!s_stm07_is($A1332,"W30028333",TEXT($B$1,"yyyy/mm/dd"),1),"")</f>
        <v>-44025721.670000002</v>
      </c>
      <c r="K1332">
        <f>IFERROR([1]!s_stm07_cs($A1332,"W77130581",TEXT($B$1,"yyyy/mm/dd"),1),"")</f>
        <v>11982491.93</v>
      </c>
      <c r="L1332">
        <f>IFERROR([1]!s_stm07_cs($A1332,"W77745895",TEXT($B$1,"yyyy/mm/dd"),1),"")</f>
        <v>16933049.18</v>
      </c>
      <c r="M1332">
        <f>IFERROR([1]!S_FA_EPS_basic2($A1332,$B$1,"Cur=CNY"),"")</f>
        <v>-2.1999999999999999E-2</v>
      </c>
      <c r="N1332">
        <f>IFERROR([1]!s_fa_arturndays($A1332,TEXT($B$1,"yyyy/mm/dd")),"")</f>
        <v>41.5565</v>
      </c>
      <c r="O1332" t="str">
        <f>IFERROR([1]!fa_apturndays($A1332,TEXT($B$1,"yyyy/mm/dd")),"")</f>
        <v>Fetch...</v>
      </c>
      <c r="P1332">
        <f>IFERROR([1]!s_fa_invturndays($A1332,TEXT($B$1,"yyyy/mm/dd")),"")</f>
        <v>0.24590000000000001</v>
      </c>
    </row>
    <row r="1333" spans="1:16">
      <c r="A1333" t="s">
        <v>1346</v>
      </c>
      <c r="B1333">
        <f>IFERROR([1]!s_stm07_is($A1333,"W70156729",TEXT($B$1,"yyyy/mm/dd"),1),"")</f>
        <v>4408034000</v>
      </c>
      <c r="C1333">
        <f>IFERROR([1]!s_stm07_is($A1333,"W75682424",TEXT($B$1,"yyyy/mm/dd"),1),"")</f>
        <v>0</v>
      </c>
      <c r="D1333">
        <f>IFERROR([1]!s_stm07_is($A1333,"W76031679",TEXT($B$1,"yyyy/mm/dd"),1),"")</f>
        <v>0</v>
      </c>
      <c r="E1333">
        <f>IFERROR([1]!s_stm07_is($A1333,"W70752487",TEXT($B$1,"yyyy/mm/dd"),1),"")</f>
        <v>1360431000</v>
      </c>
      <c r="F1333">
        <f>IFERROR([1]!s_stm07_is_103($A1333,TEXT($B$1,"yyyy/mm/dd"),1),"")</f>
        <v>0</v>
      </c>
      <c r="G1333">
        <f>IFERROR([1]!s_stm07_is_104($A1333,TEXT($B$1,"yyyy/mm/dd"),1),"")</f>
        <v>0</v>
      </c>
      <c r="H1333">
        <f>IFERROR([1]!s_stm07_is_105($A1333,TEXT($B$1,"yyyy/mm/dd"),1),"")</f>
        <v>0</v>
      </c>
      <c r="I1333">
        <f>IFERROR([1]!s_stm07_is($A1333,"W72946623",TEXT($B$1,"yyyy/mm/dd"),1),"")</f>
        <v>1995660000</v>
      </c>
      <c r="J1333">
        <f>IFERROR([1]!s_stm07_is($A1333,"W30028333",TEXT($B$1,"yyyy/mm/dd"),1),"")</f>
        <v>1965837000</v>
      </c>
      <c r="K1333">
        <f>IFERROR([1]!s_stm07_cs($A1333,"W77130581",TEXT($B$1,"yyyy/mm/dd"),1),"")</f>
        <v>4546055000</v>
      </c>
      <c r="L1333">
        <f>IFERROR([1]!s_stm07_cs($A1333,"W77745895",TEXT($B$1,"yyyy/mm/dd"),1),"")</f>
        <v>54074000</v>
      </c>
      <c r="M1333">
        <f>IFERROR([1]!S_FA_EPS_basic2($A1333,$B$1,"Cur=CNY"),"")</f>
        <v>1</v>
      </c>
      <c r="N1333">
        <f>IFERROR([1]!s_fa_arturndays($A1333,TEXT($B$1,"yyyy/mm/dd")),"")</f>
        <v>0</v>
      </c>
      <c r="O1333" t="str">
        <f>IFERROR([1]!fa_apturndays($A1333,TEXT($B$1,"yyyy/mm/dd")),"")</f>
        <v>Fetch...</v>
      </c>
      <c r="P1333">
        <f>IFERROR([1]!s_fa_invturndays($A1333,TEXT($B$1,"yyyy/mm/dd")),"")</f>
        <v>0</v>
      </c>
    </row>
    <row r="1334" spans="1:16">
      <c r="A1334" t="s">
        <v>1347</v>
      </c>
      <c r="B1334">
        <f>IFERROR([1]!s_stm07_is($A1334,"W70156729",TEXT($B$1,"yyyy/mm/dd"),1),"")</f>
        <v>9030366291.2000008</v>
      </c>
      <c r="C1334">
        <f>IFERROR([1]!s_stm07_is($A1334,"W75682424",TEXT($B$1,"yyyy/mm/dd"),1),"")</f>
        <v>0</v>
      </c>
      <c r="D1334">
        <f>IFERROR([1]!s_stm07_is($A1334,"W76031679",TEXT($B$1,"yyyy/mm/dd"),1),"")</f>
        <v>0</v>
      </c>
      <c r="E1334">
        <f>IFERROR([1]!s_stm07_is($A1334,"W70752487",TEXT($B$1,"yyyy/mm/dd"),1),"")</f>
        <v>4257862375.8600001</v>
      </c>
      <c r="F1334">
        <f>IFERROR([1]!s_stm07_is_103($A1334,TEXT($B$1,"yyyy/mm/dd"),1),"")</f>
        <v>0</v>
      </c>
      <c r="G1334">
        <f>IFERROR([1]!s_stm07_is_104($A1334,TEXT($B$1,"yyyy/mm/dd"),1),"")</f>
        <v>0</v>
      </c>
      <c r="H1334">
        <f>IFERROR([1]!s_stm07_is_105($A1334,TEXT($B$1,"yyyy/mm/dd"),1),"")</f>
        <v>0</v>
      </c>
      <c r="I1334">
        <f>IFERROR([1]!s_stm07_is($A1334,"W72946623",TEXT($B$1,"yyyy/mm/dd"),1),"")</f>
        <v>4520125815.6899996</v>
      </c>
      <c r="J1334">
        <f>IFERROR([1]!s_stm07_is($A1334,"W30028333",TEXT($B$1,"yyyy/mm/dd"),1),"")</f>
        <v>3552149999.9000001</v>
      </c>
      <c r="K1334">
        <f>IFERROR([1]!s_stm07_cs($A1334,"W77130581",TEXT($B$1,"yyyy/mm/dd"),1),"")</f>
        <v>13997605609.969999</v>
      </c>
      <c r="L1334">
        <f>IFERROR([1]!s_stm07_cs($A1334,"W77745895",TEXT($B$1,"yyyy/mm/dd"),1),"")</f>
        <v>232914274.50999999</v>
      </c>
      <c r="M1334">
        <f>IFERROR([1]!S_FA_EPS_basic2($A1334,$B$1,"Cur=CNY"),"")</f>
        <v>0.71</v>
      </c>
      <c r="N1334">
        <f>IFERROR([1]!s_fa_arturndays($A1334,TEXT($B$1,"yyyy/mm/dd")),"")</f>
        <v>0</v>
      </c>
      <c r="O1334" t="str">
        <f>IFERROR([1]!fa_apturndays($A1334,TEXT($B$1,"yyyy/mm/dd")),"")</f>
        <v>Fetch...</v>
      </c>
      <c r="P1334">
        <f>IFERROR([1]!s_fa_invturndays($A1334,TEXT($B$1,"yyyy/mm/dd")),"")</f>
        <v>0</v>
      </c>
    </row>
    <row r="1335" spans="1:16">
      <c r="A1335" t="s">
        <v>1348</v>
      </c>
      <c r="B1335">
        <f>IFERROR([1]!s_stm07_is($A1335,"W70156729",TEXT($B$1,"yyyy/mm/dd"),1),"")</f>
        <v>14360766204.370001</v>
      </c>
      <c r="C1335">
        <f>IFERROR([1]!s_stm07_is($A1335,"W75682424",TEXT($B$1,"yyyy/mm/dd"),1),"")</f>
        <v>10345515196.93</v>
      </c>
      <c r="D1335">
        <f>IFERROR([1]!s_stm07_is($A1335,"W76031679",TEXT($B$1,"yyyy/mm/dd"),1),"")</f>
        <v>1123240411.96</v>
      </c>
      <c r="E1335">
        <f>IFERROR([1]!s_stm07_is($A1335,"W70752487",TEXT($B$1,"yyyy/mm/dd"),1),"")</f>
        <v>821633530.90999997</v>
      </c>
      <c r="F1335">
        <f>IFERROR([1]!s_stm07_is_103($A1335,TEXT($B$1,"yyyy/mm/dd"),1),"")</f>
        <v>607283245.47000003</v>
      </c>
      <c r="G1335">
        <f>IFERROR([1]!s_stm07_is_104($A1335,TEXT($B$1,"yyyy/mm/dd"),1),"")</f>
        <v>124494342.78</v>
      </c>
      <c r="H1335">
        <f>IFERROR([1]!s_stm07_is_105($A1335,TEXT($B$1,"yyyy/mm/dd"),1),"")</f>
        <v>42464717.18</v>
      </c>
      <c r="I1335">
        <f>IFERROR([1]!s_stm07_is($A1335,"W72946623",TEXT($B$1,"yyyy/mm/dd"),1),"")</f>
        <v>1578847401.0699999</v>
      </c>
      <c r="J1335">
        <f>IFERROR([1]!s_stm07_is($A1335,"W30028333",TEXT($B$1,"yyyy/mm/dd"),1),"")</f>
        <v>1273960659.78</v>
      </c>
      <c r="K1335">
        <f>IFERROR([1]!s_stm07_cs($A1335,"W77130581",TEXT($B$1,"yyyy/mm/dd"),1),"")</f>
        <v>1771421325.3399999</v>
      </c>
      <c r="L1335">
        <f>IFERROR([1]!s_stm07_cs($A1335,"W77745895",TEXT($B$1,"yyyy/mm/dd"),1),"")</f>
        <v>939513500.37</v>
      </c>
      <c r="M1335">
        <f>IFERROR([1]!S_FA_EPS_basic2($A1335,$B$1,"Cur=CNY"),"")</f>
        <v>0.9</v>
      </c>
      <c r="N1335">
        <f>IFERROR([1]!s_fa_arturndays($A1335,TEXT($B$1,"yyyy/mm/dd")),"")</f>
        <v>76.277699999999996</v>
      </c>
      <c r="O1335" t="str">
        <f>IFERROR([1]!fa_apturndays($A1335,TEXT($B$1,"yyyy/mm/dd")),"")</f>
        <v>Fetch...</v>
      </c>
      <c r="P1335">
        <f>IFERROR([1]!s_fa_invturndays($A1335,TEXT($B$1,"yyyy/mm/dd")),"")</f>
        <v>152.51650000000001</v>
      </c>
    </row>
    <row r="1336" spans="1:16">
      <c r="A1336" t="s">
        <v>1349</v>
      </c>
      <c r="B1336">
        <f>IFERROR([1]!s_stm07_is($A1336,"W70156729",TEXT($B$1,"yyyy/mm/dd"),1),"")</f>
        <v>25470844000</v>
      </c>
      <c r="C1336">
        <f>IFERROR([1]!s_stm07_is($A1336,"W75682424",TEXT($B$1,"yyyy/mm/dd"),1),"")</f>
        <v>0</v>
      </c>
      <c r="D1336">
        <f>IFERROR([1]!s_stm07_is($A1336,"W76031679",TEXT($B$1,"yyyy/mm/dd"),1),"")</f>
        <v>0</v>
      </c>
      <c r="E1336">
        <f>IFERROR([1]!s_stm07_is($A1336,"W70752487",TEXT($B$1,"yyyy/mm/dd"),1),"")</f>
        <v>7069213000</v>
      </c>
      <c r="F1336">
        <f>IFERROR([1]!s_stm07_is_103($A1336,TEXT($B$1,"yyyy/mm/dd"),1),"")</f>
        <v>0</v>
      </c>
      <c r="G1336">
        <f>IFERROR([1]!s_stm07_is_104($A1336,TEXT($B$1,"yyyy/mm/dd"),1),"")</f>
        <v>0</v>
      </c>
      <c r="H1336">
        <f>IFERROR([1]!s_stm07_is_105($A1336,TEXT($B$1,"yyyy/mm/dd"),1),"")</f>
        <v>0</v>
      </c>
      <c r="I1336">
        <f>IFERROR([1]!s_stm07_is($A1336,"W72946623",TEXT($B$1,"yyyy/mm/dd"),1),"")</f>
        <v>10063586000</v>
      </c>
      <c r="J1336">
        <f>IFERROR([1]!s_stm07_is($A1336,"W30028333",TEXT($B$1,"yyyy/mm/dd"),1),"")</f>
        <v>8107567000</v>
      </c>
      <c r="K1336">
        <f>IFERROR([1]!s_stm07_cs($A1336,"W77130581",TEXT($B$1,"yyyy/mm/dd"),1),"")</f>
        <v>37206204000</v>
      </c>
      <c r="L1336">
        <f>IFERROR([1]!s_stm07_cs($A1336,"W77745895",TEXT($B$1,"yyyy/mm/dd"),1),"")</f>
        <v>1002871000</v>
      </c>
      <c r="M1336">
        <f>IFERROR([1]!S_FA_EPS_basic2($A1336,$B$1,"Cur=CNY"),"")</f>
        <v>1.93</v>
      </c>
      <c r="N1336">
        <f>IFERROR([1]!s_fa_arturndays($A1336,TEXT($B$1,"yyyy/mm/dd")),"")</f>
        <v>0</v>
      </c>
      <c r="O1336" t="str">
        <f>IFERROR([1]!fa_apturndays($A1336,TEXT($B$1,"yyyy/mm/dd")),"")</f>
        <v>Fetch...</v>
      </c>
      <c r="P1336">
        <f>IFERROR([1]!s_fa_invturndays($A1336,TEXT($B$1,"yyyy/mm/dd")),"")</f>
        <v>0</v>
      </c>
    </row>
    <row r="1337" spans="1:16">
      <c r="A1337" t="s">
        <v>1350</v>
      </c>
      <c r="B1337">
        <f>IFERROR([1]!s_stm07_is($A1337,"W70156729",TEXT($B$1,"yyyy/mm/dd"),1),"")</f>
        <v>918340802.47000003</v>
      </c>
      <c r="C1337">
        <f>IFERROR([1]!s_stm07_is($A1337,"W75682424",TEXT($B$1,"yyyy/mm/dd"),1),"")</f>
        <v>610773282.88</v>
      </c>
      <c r="D1337">
        <f>IFERROR([1]!s_stm07_is($A1337,"W76031679",TEXT($B$1,"yyyy/mm/dd"),1),"")</f>
        <v>43366334.299999997</v>
      </c>
      <c r="E1337">
        <f>IFERROR([1]!s_stm07_is($A1337,"W70752487",TEXT($B$1,"yyyy/mm/dd"),1),"")</f>
        <v>76266077.390000001</v>
      </c>
      <c r="F1337">
        <f>IFERROR([1]!s_stm07_is_103($A1337,TEXT($B$1,"yyyy/mm/dd"),1),"")</f>
        <v>0</v>
      </c>
      <c r="G1337">
        <f>IFERROR([1]!s_stm07_is_104($A1337,TEXT($B$1,"yyyy/mm/dd"),1),"")</f>
        <v>15049270.199999999</v>
      </c>
      <c r="H1337">
        <f>IFERROR([1]!s_stm07_is_105($A1337,TEXT($B$1,"yyyy/mm/dd"),1),"")</f>
        <v>13895048.51</v>
      </c>
      <c r="I1337">
        <f>IFERROR([1]!s_stm07_is($A1337,"W72946623",TEXT($B$1,"yyyy/mm/dd"),1),"")</f>
        <v>199525959.31999999</v>
      </c>
      <c r="J1337">
        <f>IFERROR([1]!s_stm07_is($A1337,"W30028333",TEXT($B$1,"yyyy/mm/dd"),1),"")</f>
        <v>112896825.78</v>
      </c>
      <c r="K1337">
        <f>IFERROR([1]!s_stm07_cs($A1337,"W77130581",TEXT($B$1,"yyyy/mm/dd"),1),"")</f>
        <v>550193694.25</v>
      </c>
      <c r="L1337">
        <f>IFERROR([1]!s_stm07_cs($A1337,"W77745895",TEXT($B$1,"yyyy/mm/dd"),1),"")</f>
        <v>41875585.509999998</v>
      </c>
      <c r="M1337">
        <f>IFERROR([1]!S_FA_EPS_basic2($A1337,$B$1,"Cur=CNY"),"")</f>
        <v>0.25</v>
      </c>
      <c r="N1337">
        <f>IFERROR([1]!s_fa_arturndays($A1337,TEXT($B$1,"yyyy/mm/dd")),"")</f>
        <v>71.936700000000002</v>
      </c>
      <c r="O1337" t="str">
        <f>IFERROR([1]!fa_apturndays($A1337,TEXT($B$1,"yyyy/mm/dd")),"")</f>
        <v>Fetch...</v>
      </c>
      <c r="P1337">
        <f>IFERROR([1]!s_fa_invturndays($A1337,TEXT($B$1,"yyyy/mm/dd")),"")</f>
        <v>26.815200000000001</v>
      </c>
    </row>
    <row r="1338" spans="1:16">
      <c r="A1338" t="s">
        <v>1351</v>
      </c>
      <c r="B1338">
        <f>IFERROR([1]!s_stm07_is($A1338,"W70156729",TEXT($B$1,"yyyy/mm/dd"),1),"")</f>
        <v>96808663837.199997</v>
      </c>
      <c r="C1338">
        <f>IFERROR([1]!s_stm07_is($A1338,"W75682424",TEXT($B$1,"yyyy/mm/dd"),1),"")</f>
        <v>91304872884.979996</v>
      </c>
      <c r="D1338">
        <f>IFERROR([1]!s_stm07_is($A1338,"W76031679",TEXT($B$1,"yyyy/mm/dd"),1),"")</f>
        <v>1006187522.88</v>
      </c>
      <c r="E1338">
        <f>IFERROR([1]!s_stm07_is($A1338,"W70752487",TEXT($B$1,"yyyy/mm/dd"),1),"")</f>
        <v>3177830613.4699998</v>
      </c>
      <c r="F1338">
        <f>IFERROR([1]!s_stm07_is_103($A1338,TEXT($B$1,"yyyy/mm/dd"),1),"")</f>
        <v>178977991.16</v>
      </c>
      <c r="G1338">
        <f>IFERROR([1]!s_stm07_is_104($A1338,TEXT($B$1,"yyyy/mm/dd"),1),"")</f>
        <v>330856180.01999998</v>
      </c>
      <c r="H1338">
        <f>IFERROR([1]!s_stm07_is_105($A1338,TEXT($B$1,"yyyy/mm/dd"),1),"")</f>
        <v>158463510.84999999</v>
      </c>
      <c r="I1338">
        <f>IFERROR([1]!s_stm07_is($A1338,"W72946623",TEXT($B$1,"yyyy/mm/dd"),1),"")</f>
        <v>5114293989.8599997</v>
      </c>
      <c r="J1338">
        <f>IFERROR([1]!s_stm07_is($A1338,"W30028333",TEXT($B$1,"yyyy/mm/dd"),1),"")</f>
        <v>4021797495.79</v>
      </c>
      <c r="K1338">
        <f>IFERROR([1]!s_stm07_cs($A1338,"W77130581",TEXT($B$1,"yyyy/mm/dd"),1),"")</f>
        <v>3085506143.2800002</v>
      </c>
      <c r="L1338">
        <f>IFERROR([1]!s_stm07_cs($A1338,"W77745895",TEXT($B$1,"yyyy/mm/dd"),1),"")</f>
        <v>1652518918.5699999</v>
      </c>
      <c r="M1338">
        <f>IFERROR([1]!S_FA_EPS_basic2($A1338,$B$1,"Cur=CNY"),"")</f>
        <v>0.55979999999999996</v>
      </c>
      <c r="N1338">
        <f>IFERROR([1]!s_fa_arturndays($A1338,TEXT($B$1,"yyyy/mm/dd")),"")</f>
        <v>48.566000000000003</v>
      </c>
      <c r="O1338" t="str">
        <f>IFERROR([1]!fa_apturndays($A1338,TEXT($B$1,"yyyy/mm/dd")),"")</f>
        <v>Fetch...</v>
      </c>
      <c r="P1338">
        <f>IFERROR([1]!s_fa_invturndays($A1338,TEXT($B$1,"yyyy/mm/dd")),"")</f>
        <v>0.22919999999999999</v>
      </c>
    </row>
    <row r="1339" spans="1:16">
      <c r="A1339" t="s">
        <v>1352</v>
      </c>
      <c r="B1339">
        <f>IFERROR([1]!s_stm07_is($A1339,"W70156729",TEXT($B$1,"yyyy/mm/dd"),1),"")</f>
        <v>241125217000</v>
      </c>
      <c r="C1339">
        <f>IFERROR([1]!s_stm07_is($A1339,"W75682424",TEXT($B$1,"yyyy/mm/dd"),1),"")</f>
        <v>197654839000</v>
      </c>
      <c r="D1339">
        <f>IFERROR([1]!s_stm07_is($A1339,"W76031679",TEXT($B$1,"yyyy/mm/dd"),1),"")</f>
        <v>478326000</v>
      </c>
      <c r="E1339">
        <f>IFERROR([1]!s_stm07_is($A1339,"W70752487",TEXT($B$1,"yyyy/mm/dd"),1),"")</f>
        <v>5234504000</v>
      </c>
      <c r="F1339">
        <f>IFERROR([1]!s_stm07_is_103($A1339,TEXT($B$1,"yyyy/mm/dd"),1),"")</f>
        <v>3911648000</v>
      </c>
      <c r="G1339">
        <f>IFERROR([1]!s_stm07_is_104($A1339,TEXT($B$1,"yyyy/mm/dd"),1),"")</f>
        <v>2341729000</v>
      </c>
      <c r="H1339">
        <f>IFERROR([1]!s_stm07_is_105($A1339,TEXT($B$1,"yyyy/mm/dd"),1),"")</f>
        <v>343988000</v>
      </c>
      <c r="I1339">
        <f>IFERROR([1]!s_stm07_is($A1339,"W72946623",TEXT($B$1,"yyyy/mm/dd"),1),"")</f>
        <v>25839529000</v>
      </c>
      <c r="J1339">
        <f>IFERROR([1]!s_stm07_is($A1339,"W30028333",TEXT($B$1,"yyyy/mm/dd"),1),"")</f>
        <v>12673918000</v>
      </c>
      <c r="K1339">
        <f>IFERROR([1]!s_stm07_cs($A1339,"W77130581",TEXT($B$1,"yyyy/mm/dd"),1),"")</f>
        <v>34092341000</v>
      </c>
      <c r="L1339">
        <f>IFERROR([1]!s_stm07_cs($A1339,"W77745895",TEXT($B$1,"yyyy/mm/dd"),1),"")</f>
        <v>9244017000</v>
      </c>
      <c r="M1339">
        <f>IFERROR([1]!S_FA_EPS_basic2($A1339,$B$1,"Cur=CNY"),"")</f>
        <v>0.74</v>
      </c>
      <c r="N1339">
        <f>IFERROR([1]!s_fa_arturndays($A1339,TEXT($B$1,"yyyy/mm/dd")),"")</f>
        <v>7.7660999999999998</v>
      </c>
      <c r="O1339" t="str">
        <f>IFERROR([1]!fa_apturndays($A1339,TEXT($B$1,"yyyy/mm/dd")),"")</f>
        <v>Fetch...</v>
      </c>
      <c r="P1339">
        <f>IFERROR([1]!s_fa_invturndays($A1339,TEXT($B$1,"yyyy/mm/dd")),"")</f>
        <v>44.114400000000003</v>
      </c>
    </row>
    <row r="1340" spans="1:16">
      <c r="A1340" t="s">
        <v>1353</v>
      </c>
      <c r="B1340">
        <f>IFERROR([1]!s_stm07_is($A1340,"W70156729",TEXT($B$1,"yyyy/mm/dd"),1),"")</f>
        <v>435156000000</v>
      </c>
      <c r="C1340">
        <f>IFERROR([1]!s_stm07_is($A1340,"W75682424",TEXT($B$1,"yyyy/mm/dd"),1),"")</f>
        <v>0</v>
      </c>
      <c r="D1340">
        <f>IFERROR([1]!s_stm07_is($A1340,"W76031679",TEXT($B$1,"yyyy/mm/dd"),1),"")</f>
        <v>0</v>
      </c>
      <c r="E1340">
        <f>IFERROR([1]!s_stm07_is($A1340,"W70752487",TEXT($B$1,"yyyy/mm/dd"),1),"")</f>
        <v>7018000000</v>
      </c>
      <c r="F1340">
        <f>IFERROR([1]!s_stm07_is_103($A1340,TEXT($B$1,"yyyy/mm/dd"),1),"")</f>
        <v>0</v>
      </c>
      <c r="G1340">
        <f>IFERROR([1]!s_stm07_is_104($A1340,TEXT($B$1,"yyyy/mm/dd"),1),"")</f>
        <v>0</v>
      </c>
      <c r="H1340">
        <f>IFERROR([1]!s_stm07_is_105($A1340,TEXT($B$1,"yyyy/mm/dd"),1),"")</f>
        <v>0</v>
      </c>
      <c r="I1340">
        <f>IFERROR([1]!s_stm07_is($A1340,"W72946623",TEXT($B$1,"yyyy/mm/dd"),1),"")</f>
        <v>66068000000</v>
      </c>
      <c r="J1340">
        <f>IFERROR([1]!s_stm07_is($A1340,"W30028333",TEXT($B$1,"yyyy/mm/dd"),1),"")</f>
        <v>53505000000</v>
      </c>
      <c r="K1340">
        <f>IFERROR([1]!s_stm07_cs($A1340,"W77130581",TEXT($B$1,"yyyy/mm/dd"),1),"")</f>
        <v>195523000000</v>
      </c>
      <c r="L1340">
        <f>IFERROR([1]!s_stm07_cs($A1340,"W77745895",TEXT($B$1,"yyyy/mm/dd"),1),"")</f>
        <v>4284000000</v>
      </c>
      <c r="M1340">
        <f>IFERROR([1]!S_FA_EPS_basic2($A1340,$B$1,"Cur=CNY"),"")</f>
        <v>5.56</v>
      </c>
      <c r="N1340">
        <f>IFERROR([1]!s_fa_arturndays($A1340,TEXT($B$1,"yyyy/mm/dd")),"")</f>
        <v>0</v>
      </c>
      <c r="O1340" t="str">
        <f>IFERROR([1]!fa_apturndays($A1340,TEXT($B$1,"yyyy/mm/dd")),"")</f>
        <v>Fetch...</v>
      </c>
      <c r="P1340">
        <f>IFERROR([1]!s_fa_invturndays($A1340,TEXT($B$1,"yyyy/mm/dd")),"")</f>
        <v>0</v>
      </c>
    </row>
    <row r="1341" spans="1:16">
      <c r="A1341" t="s">
        <v>1354</v>
      </c>
      <c r="B1341">
        <f>IFERROR([1]!s_stm07_is($A1341,"W70156729",TEXT($B$1,"yyyy/mm/dd"),1),"")</f>
        <v>1564260131.5699999</v>
      </c>
      <c r="C1341">
        <f>IFERROR([1]!s_stm07_is($A1341,"W75682424",TEXT($B$1,"yyyy/mm/dd"),1),"")</f>
        <v>1161828376.6600001</v>
      </c>
      <c r="D1341">
        <f>IFERROR([1]!s_stm07_is($A1341,"W76031679",TEXT($B$1,"yyyy/mm/dd"),1),"")</f>
        <v>15308902.84</v>
      </c>
      <c r="E1341">
        <f>IFERROR([1]!s_stm07_is($A1341,"W70752487",TEXT($B$1,"yyyy/mm/dd"),1),"")</f>
        <v>182198771.91</v>
      </c>
      <c r="F1341">
        <f>IFERROR([1]!s_stm07_is_103($A1341,TEXT($B$1,"yyyy/mm/dd"),1),"")</f>
        <v>171070187.13999999</v>
      </c>
      <c r="G1341">
        <f>IFERROR([1]!s_stm07_is_104($A1341,TEXT($B$1,"yyyy/mm/dd"),1),"")</f>
        <v>13278721.640000001</v>
      </c>
      <c r="H1341">
        <f>IFERROR([1]!s_stm07_is_105($A1341,TEXT($B$1,"yyyy/mm/dd"),1),"")</f>
        <v>5798871.3399999999</v>
      </c>
      <c r="I1341">
        <f>IFERROR([1]!s_stm07_is($A1341,"W72946623",TEXT($B$1,"yyyy/mm/dd"),1),"")</f>
        <v>13587833.15</v>
      </c>
      <c r="J1341">
        <f>IFERROR([1]!s_stm07_is($A1341,"W30028333",TEXT($B$1,"yyyy/mm/dd"),1),"")</f>
        <v>8346212.4299999997</v>
      </c>
      <c r="K1341">
        <f>IFERROR([1]!s_stm07_cs($A1341,"W77130581",TEXT($B$1,"yyyy/mm/dd"),1),"")</f>
        <v>-73457399.75</v>
      </c>
      <c r="L1341">
        <f>IFERROR([1]!s_stm07_cs($A1341,"W77745895",TEXT($B$1,"yyyy/mm/dd"),1),"")</f>
        <v>171309551.5</v>
      </c>
      <c r="M1341">
        <f>IFERROR([1]!S_FA_EPS_basic2($A1341,$B$1,"Cur=CNY"),"")</f>
        <v>0.01</v>
      </c>
      <c r="N1341">
        <f>IFERROR([1]!s_fa_arturndays($A1341,TEXT($B$1,"yyyy/mm/dd")),"")</f>
        <v>314.0539</v>
      </c>
      <c r="O1341" t="str">
        <f>IFERROR([1]!fa_apturndays($A1341,TEXT($B$1,"yyyy/mm/dd")),"")</f>
        <v>Fetch...</v>
      </c>
      <c r="P1341">
        <f>IFERROR([1]!s_fa_invturndays($A1341,TEXT($B$1,"yyyy/mm/dd")),"")</f>
        <v>182.05719999999999</v>
      </c>
    </row>
    <row r="1342" spans="1:16">
      <c r="A1342" t="s">
        <v>1355</v>
      </c>
      <c r="B1342">
        <f>IFERROR([1]!s_stm07_is($A1342,"W70156729",TEXT($B$1,"yyyy/mm/dd"),1),"")</f>
        <v>283579600562.97998</v>
      </c>
      <c r="C1342">
        <f>IFERROR([1]!s_stm07_is($A1342,"W75682424",TEXT($B$1,"yyyy/mm/dd"),1),"")</f>
        <v>253163120898.92001</v>
      </c>
      <c r="D1342">
        <f>IFERROR([1]!s_stm07_is($A1342,"W76031679",TEXT($B$1,"yyyy/mm/dd"),1),"")</f>
        <v>13206178224.370001</v>
      </c>
      <c r="E1342">
        <f>IFERROR([1]!s_stm07_is($A1342,"W70752487",TEXT($B$1,"yyyy/mm/dd"),1),"")</f>
        <v>5312780131.5299997</v>
      </c>
      <c r="F1342">
        <f>IFERROR([1]!s_stm07_is_103($A1342,TEXT($B$1,"yyyy/mm/dd"),1),"")</f>
        <v>2340009450.6500001</v>
      </c>
      <c r="G1342">
        <f>IFERROR([1]!s_stm07_is_104($A1342,TEXT($B$1,"yyyy/mm/dd"),1),"")</f>
        <v>1685890506.6400001</v>
      </c>
      <c r="H1342">
        <f>IFERROR([1]!s_stm07_is_105($A1342,TEXT($B$1,"yyyy/mm/dd"),1),"")</f>
        <v>404967004.79000002</v>
      </c>
      <c r="I1342">
        <f>IFERROR([1]!s_stm07_is($A1342,"W72946623",TEXT($B$1,"yyyy/mm/dd"),1),"")</f>
        <v>9819804517.25</v>
      </c>
      <c r="J1342">
        <f>IFERROR([1]!s_stm07_is($A1342,"W30028333",TEXT($B$1,"yyyy/mm/dd"),1),"")</f>
        <v>5724557508.4099998</v>
      </c>
      <c r="K1342">
        <f>IFERROR([1]!s_stm07_cs($A1342,"W77130581",TEXT($B$1,"yyyy/mm/dd"),1),"")</f>
        <v>6154201379.3699999</v>
      </c>
      <c r="L1342">
        <f>IFERROR([1]!s_stm07_cs($A1342,"W77745895",TEXT($B$1,"yyyy/mm/dd"),1),"")</f>
        <v>2325878841.6300001</v>
      </c>
      <c r="M1342">
        <f>IFERROR([1]!S_FA_EPS_basic2($A1342,$B$1,"Cur=CNY"),"")</f>
        <v>1.54</v>
      </c>
      <c r="N1342">
        <f>IFERROR([1]!s_fa_arturndays($A1342,TEXT($B$1,"yyyy/mm/dd")),"")</f>
        <v>102.47069999999999</v>
      </c>
      <c r="O1342" t="str">
        <f>IFERROR([1]!fa_apturndays($A1342,TEXT($B$1,"yyyy/mm/dd")),"")</f>
        <v>Fetch...</v>
      </c>
      <c r="P1342">
        <f>IFERROR([1]!s_fa_invturndays($A1342,TEXT($B$1,"yyyy/mm/dd")),"")</f>
        <v>59.939100000000003</v>
      </c>
    </row>
    <row r="1343" spans="1:16">
      <c r="A1343" t="s">
        <v>1356</v>
      </c>
      <c r="B1343">
        <f>IFERROR([1]!s_stm07_is($A1343,"W70156729",TEXT($B$1,"yyyy/mm/dd"),1),"")</f>
        <v>8106996497.5299997</v>
      </c>
      <c r="C1343">
        <f>IFERROR([1]!s_stm07_is($A1343,"W75682424",TEXT($B$1,"yyyy/mm/dd"),1),"")</f>
        <v>6634335180.5</v>
      </c>
      <c r="D1343">
        <f>IFERROR([1]!s_stm07_is($A1343,"W76031679",TEXT($B$1,"yyyy/mm/dd"),1),"")</f>
        <v>262406184.77000001</v>
      </c>
      <c r="E1343">
        <f>IFERROR([1]!s_stm07_is($A1343,"W70752487",TEXT($B$1,"yyyy/mm/dd"),1),"")</f>
        <v>513628528.07999998</v>
      </c>
      <c r="F1343">
        <f>IFERROR([1]!s_stm07_is_103($A1343,TEXT($B$1,"yyyy/mm/dd"),1),"")</f>
        <v>391595128.67000002</v>
      </c>
      <c r="G1343">
        <f>IFERROR([1]!s_stm07_is_104($A1343,TEXT($B$1,"yyyy/mm/dd"),1),"")</f>
        <v>34629861.899999999</v>
      </c>
      <c r="H1343">
        <f>IFERROR([1]!s_stm07_is_105($A1343,TEXT($B$1,"yyyy/mm/dd"),1),"")</f>
        <v>11653186.57</v>
      </c>
      <c r="I1343">
        <f>IFERROR([1]!s_stm07_is($A1343,"W72946623",TEXT($B$1,"yyyy/mm/dd"),1),"")</f>
        <v>402535772.30000001</v>
      </c>
      <c r="J1343">
        <f>IFERROR([1]!s_stm07_is($A1343,"W30028333",TEXT($B$1,"yyyy/mm/dd"),1),"")</f>
        <v>375461851.44999999</v>
      </c>
      <c r="K1343">
        <f>IFERROR([1]!s_stm07_cs($A1343,"W77130581",TEXT($B$1,"yyyy/mm/dd"),1),"")</f>
        <v>849528950.45000005</v>
      </c>
      <c r="L1343">
        <f>IFERROR([1]!s_stm07_cs($A1343,"W77745895",TEXT($B$1,"yyyy/mm/dd"),1),"")</f>
        <v>285709064.30000001</v>
      </c>
      <c r="M1343">
        <f>IFERROR([1]!S_FA_EPS_basic2($A1343,$B$1,"Cur=CNY"),"")</f>
        <v>8.2000000000000003E-2</v>
      </c>
      <c r="N1343">
        <f>IFERROR([1]!s_fa_arturndays($A1343,TEXT($B$1,"yyyy/mm/dd")),"")</f>
        <v>144.7236</v>
      </c>
      <c r="O1343" t="str">
        <f>IFERROR([1]!fa_apturndays($A1343,TEXT($B$1,"yyyy/mm/dd")),"")</f>
        <v>Fetch...</v>
      </c>
      <c r="P1343">
        <f>IFERROR([1]!s_fa_invturndays($A1343,TEXT($B$1,"yyyy/mm/dd")),"")</f>
        <v>274.57859999999999</v>
      </c>
    </row>
    <row r="1344" spans="1:16">
      <c r="A1344" t="s">
        <v>1357</v>
      </c>
      <c r="B1344">
        <f>IFERROR([1]!s_stm07_is($A1344,"W70156729",TEXT($B$1,"yyyy/mm/dd"),1),"")</f>
        <v>125064193388.88</v>
      </c>
      <c r="C1344">
        <f>IFERROR([1]!s_stm07_is($A1344,"W75682424",TEXT($B$1,"yyyy/mm/dd"),1),"")</f>
        <v>121868484769.42999</v>
      </c>
      <c r="D1344">
        <f>IFERROR([1]!s_stm07_is($A1344,"W76031679",TEXT($B$1,"yyyy/mm/dd"),1),"")</f>
        <v>431250332.95999998</v>
      </c>
      <c r="E1344">
        <f>IFERROR([1]!s_stm07_is($A1344,"W70752487",TEXT($B$1,"yyyy/mm/dd"),1),"")</f>
        <v>747834347.91999996</v>
      </c>
      <c r="F1344">
        <f>IFERROR([1]!s_stm07_is_103($A1344,TEXT($B$1,"yyyy/mm/dd"),1),"")</f>
        <v>628538855.80999994</v>
      </c>
      <c r="G1344">
        <f>IFERROR([1]!s_stm07_is_104($A1344,TEXT($B$1,"yyyy/mm/dd"),1),"")</f>
        <v>459822330.61000001</v>
      </c>
      <c r="H1344">
        <f>IFERROR([1]!s_stm07_is_105($A1344,TEXT($B$1,"yyyy/mm/dd"),1),"")</f>
        <v>27472452.370000001</v>
      </c>
      <c r="I1344">
        <f>IFERROR([1]!s_stm07_is($A1344,"W72946623",TEXT($B$1,"yyyy/mm/dd"),1),"")</f>
        <v>857085892.78999996</v>
      </c>
      <c r="J1344">
        <f>IFERROR([1]!s_stm07_is($A1344,"W30028333",TEXT($B$1,"yyyy/mm/dd"),1),"")</f>
        <v>752452426.53999996</v>
      </c>
      <c r="K1344">
        <f>IFERROR([1]!s_stm07_cs($A1344,"W77130581",TEXT($B$1,"yyyy/mm/dd"),1),"")</f>
        <v>1663470929.1900001</v>
      </c>
      <c r="L1344">
        <f>IFERROR([1]!s_stm07_cs($A1344,"W77745895",TEXT($B$1,"yyyy/mm/dd"),1),"")</f>
        <v>1001394399.1900001</v>
      </c>
      <c r="M1344">
        <f>IFERROR([1]!S_FA_EPS_basic2($A1344,$B$1,"Cur=CNY"),"")</f>
        <v>0.5</v>
      </c>
      <c r="N1344">
        <f>IFERROR([1]!s_fa_arturndays($A1344,TEXT($B$1,"yyyy/mm/dd")),"")</f>
        <v>22.300799999999999</v>
      </c>
      <c r="O1344" t="str">
        <f>IFERROR([1]!fa_apturndays($A1344,TEXT($B$1,"yyyy/mm/dd")),"")</f>
        <v>Fetch...</v>
      </c>
      <c r="P1344">
        <f>IFERROR([1]!s_fa_invturndays($A1344,TEXT($B$1,"yyyy/mm/dd")),"")</f>
        <v>21.2379</v>
      </c>
    </row>
    <row r="1345" spans="1:16">
      <c r="A1345" t="s">
        <v>1358</v>
      </c>
      <c r="B1345">
        <f>IFERROR([1]!s_stm07_is($A1345,"W70156729",TEXT($B$1,"yyyy/mm/dd"),1),"")</f>
        <v>101916000297.55</v>
      </c>
      <c r="C1345">
        <f>IFERROR([1]!s_stm07_is($A1345,"W75682424",TEXT($B$1,"yyyy/mm/dd"),1),"")</f>
        <v>89539783170.309998</v>
      </c>
      <c r="D1345">
        <f>IFERROR([1]!s_stm07_is($A1345,"W76031679",TEXT($B$1,"yyyy/mm/dd"),1),"")</f>
        <v>52808172</v>
      </c>
      <c r="E1345">
        <f>IFERROR([1]!s_stm07_is($A1345,"W70752487",TEXT($B$1,"yyyy/mm/dd"),1),"")</f>
        <v>2451364425.2399998</v>
      </c>
      <c r="F1345">
        <f>IFERROR([1]!s_stm07_is_103($A1345,TEXT($B$1,"yyyy/mm/dd"),1),"")</f>
        <v>2875387675.3800001</v>
      </c>
      <c r="G1345">
        <f>IFERROR([1]!s_stm07_is_104($A1345,TEXT($B$1,"yyyy/mm/dd"),1),"")</f>
        <v>2492855931</v>
      </c>
      <c r="H1345">
        <f>IFERROR([1]!s_stm07_is_105($A1345,TEXT($B$1,"yyyy/mm/dd"),1),"")</f>
        <v>478644631.18000001</v>
      </c>
      <c r="I1345">
        <f>IFERROR([1]!s_stm07_is($A1345,"W72946623",TEXT($B$1,"yyyy/mm/dd"),1),"")</f>
        <v>2840365263.3600001</v>
      </c>
      <c r="J1345">
        <f>IFERROR([1]!s_stm07_is($A1345,"W30028333",TEXT($B$1,"yyyy/mm/dd"),1),"")</f>
        <v>1319047234.23</v>
      </c>
      <c r="K1345">
        <f>IFERROR([1]!s_stm07_cs($A1345,"W77130581",TEXT($B$1,"yyyy/mm/dd"),1),"")</f>
        <v>6021705.5999999996</v>
      </c>
      <c r="L1345">
        <f>IFERROR([1]!s_stm07_cs($A1345,"W77745895",TEXT($B$1,"yyyy/mm/dd"),1),"")</f>
        <v>1801903175.9000001</v>
      </c>
      <c r="M1345">
        <f>IFERROR([1]!S_FA_EPS_basic2($A1345,$B$1,"Cur=CNY"),"")</f>
        <v>0.36</v>
      </c>
      <c r="N1345">
        <f>IFERROR([1]!s_fa_arturndays($A1345,TEXT($B$1,"yyyy/mm/dd")),"")</f>
        <v>152.756</v>
      </c>
      <c r="O1345" t="str">
        <f>IFERROR([1]!fa_apturndays($A1345,TEXT($B$1,"yyyy/mm/dd")),"")</f>
        <v>Fetch...</v>
      </c>
      <c r="P1345">
        <f>IFERROR([1]!s_fa_invturndays($A1345,TEXT($B$1,"yyyy/mm/dd")),"")</f>
        <v>354.40050000000002</v>
      </c>
    </row>
    <row r="1346" spans="1:16">
      <c r="A1346" t="s">
        <v>1359</v>
      </c>
      <c r="B1346">
        <f>IFERROR([1]!s_stm07_is($A1346,"W70156729",TEXT($B$1,"yyyy/mm/dd"),1),"")</f>
        <v>38094969264.43</v>
      </c>
      <c r="C1346">
        <f>IFERROR([1]!s_stm07_is($A1346,"W75682424",TEXT($B$1,"yyyy/mm/dd"),1),"")</f>
        <v>34162679962.259998</v>
      </c>
      <c r="D1346">
        <f>IFERROR([1]!s_stm07_is($A1346,"W76031679",TEXT($B$1,"yyyy/mm/dd"),1),"")</f>
        <v>815133651</v>
      </c>
      <c r="E1346">
        <f>IFERROR([1]!s_stm07_is($A1346,"W70752487",TEXT($B$1,"yyyy/mm/dd"),1),"")</f>
        <v>1202510999.5699999</v>
      </c>
      <c r="F1346">
        <f>IFERROR([1]!s_stm07_is_103($A1346,TEXT($B$1,"yyyy/mm/dd"),1),"")</f>
        <v>769662794.44000006</v>
      </c>
      <c r="G1346">
        <f>IFERROR([1]!s_stm07_is_104($A1346,TEXT($B$1,"yyyy/mm/dd"),1),"")</f>
        <v>532870833.95999998</v>
      </c>
      <c r="H1346">
        <f>IFERROR([1]!s_stm07_is_105($A1346,TEXT($B$1,"yyyy/mm/dd"),1),"")</f>
        <v>137080096.03999999</v>
      </c>
      <c r="I1346">
        <f>IFERROR([1]!s_stm07_is($A1346,"W72946623",TEXT($B$1,"yyyy/mm/dd"),1),"")</f>
        <v>636368238.52999997</v>
      </c>
      <c r="J1346">
        <f>IFERROR([1]!s_stm07_is($A1346,"W30028333",TEXT($B$1,"yyyy/mm/dd"),1),"")</f>
        <v>659873732.73000002</v>
      </c>
      <c r="K1346">
        <f>IFERROR([1]!s_stm07_cs($A1346,"W77130581",TEXT($B$1,"yyyy/mm/dd"),1),"")</f>
        <v>-5538072069.5900002</v>
      </c>
      <c r="L1346">
        <f>IFERROR([1]!s_stm07_cs($A1346,"W77745895",TEXT($B$1,"yyyy/mm/dd"),1),"")</f>
        <v>2537943842.9200001</v>
      </c>
      <c r="M1346">
        <f>IFERROR([1]!S_FA_EPS_basic2($A1346,$B$1,"Cur=CNY"),"")</f>
        <v>0.30690000000000001</v>
      </c>
      <c r="N1346">
        <f>IFERROR([1]!s_fa_arturndays($A1346,TEXT($B$1,"yyyy/mm/dd")),"")</f>
        <v>144.648</v>
      </c>
      <c r="O1346" t="str">
        <f>IFERROR([1]!fa_apturndays($A1346,TEXT($B$1,"yyyy/mm/dd")),"")</f>
        <v>Fetch...</v>
      </c>
      <c r="P1346">
        <f>IFERROR([1]!s_fa_invturndays($A1346,TEXT($B$1,"yyyy/mm/dd")),"")</f>
        <v>187.4512</v>
      </c>
    </row>
    <row r="1347" spans="1:16">
      <c r="A1347" t="s">
        <v>1360</v>
      </c>
      <c r="B1347">
        <f>IFERROR([1]!s_stm07_is($A1347,"W70156729",TEXT($B$1,"yyyy/mm/dd"),1),"")</f>
        <v>455380420000</v>
      </c>
      <c r="C1347">
        <f>IFERROR([1]!s_stm07_is($A1347,"W75682424",TEXT($B$1,"yyyy/mm/dd"),1),"")</f>
        <v>409445805000</v>
      </c>
      <c r="D1347">
        <f>IFERROR([1]!s_stm07_is($A1347,"W76031679",TEXT($B$1,"yyyy/mm/dd"),1),"")</f>
        <v>3024169000</v>
      </c>
      <c r="E1347">
        <f>IFERROR([1]!s_stm07_is($A1347,"W70752487",TEXT($B$1,"yyyy/mm/dd"),1),"")</f>
        <v>11482627000</v>
      </c>
      <c r="F1347">
        <f>IFERROR([1]!s_stm07_is_103($A1347,TEXT($B$1,"yyyy/mm/dd"),1),"")</f>
        <v>13963960000</v>
      </c>
      <c r="G1347">
        <f>IFERROR([1]!s_stm07_is_104($A1347,TEXT($B$1,"yyyy/mm/dd"),1),"")</f>
        <v>3654143000</v>
      </c>
      <c r="H1347">
        <f>IFERROR([1]!s_stm07_is_105($A1347,TEXT($B$1,"yyyy/mm/dd"),1),"")</f>
        <v>3452238000</v>
      </c>
      <c r="I1347">
        <f>IFERROR([1]!s_stm07_is($A1347,"W72946623",TEXT($B$1,"yyyy/mm/dd"),1),"")</f>
        <v>5009294000</v>
      </c>
      <c r="J1347">
        <f>IFERROR([1]!s_stm07_is($A1347,"W30028333",TEXT($B$1,"yyyy/mm/dd"),1),"")</f>
        <v>1321768000</v>
      </c>
      <c r="K1347">
        <f>IFERROR([1]!s_stm07_cs($A1347,"W77130581",TEXT($B$1,"yyyy/mm/dd"),1),"")</f>
        <v>15322753000</v>
      </c>
      <c r="L1347">
        <f>IFERROR([1]!s_stm07_cs($A1347,"W77745895",TEXT($B$1,"yyyy/mm/dd"),1),"")</f>
        <v>6277713000</v>
      </c>
      <c r="M1347">
        <f>IFERROR([1]!S_FA_EPS_basic2($A1347,$B$1,"Cur=CNY"),"")</f>
        <v>2E-3</v>
      </c>
      <c r="N1347">
        <f>IFERROR([1]!s_fa_arturndays($A1347,TEXT($B$1,"yyyy/mm/dd")),"")</f>
        <v>180.62309999999999</v>
      </c>
      <c r="O1347" t="str">
        <f>IFERROR([1]!fa_apturndays($A1347,TEXT($B$1,"yyyy/mm/dd")),"")</f>
        <v>Fetch...</v>
      </c>
      <c r="P1347">
        <f>IFERROR([1]!s_fa_invturndays($A1347,TEXT($B$1,"yyyy/mm/dd")),"")</f>
        <v>192.14349999999999</v>
      </c>
    </row>
    <row r="1348" spans="1:16">
      <c r="A1348" t="s">
        <v>1361</v>
      </c>
      <c r="B1348">
        <f>IFERROR([1]!s_stm07_is($A1348,"W70156729",TEXT($B$1,"yyyy/mm/dd"),1),"")</f>
        <v>2499467130.6599998</v>
      </c>
      <c r="C1348">
        <f>IFERROR([1]!s_stm07_is($A1348,"W75682424",TEXT($B$1,"yyyy/mm/dd"),1),"")</f>
        <v>1065186607.65</v>
      </c>
      <c r="D1348">
        <f>IFERROR([1]!s_stm07_is($A1348,"W76031679",TEXT($B$1,"yyyy/mm/dd"),1),"")</f>
        <v>0</v>
      </c>
      <c r="E1348">
        <f>IFERROR([1]!s_stm07_is($A1348,"W70752487",TEXT($B$1,"yyyy/mm/dd"),1),"")</f>
        <v>178624027.44999999</v>
      </c>
      <c r="F1348">
        <f>IFERROR([1]!s_stm07_is_103($A1348,TEXT($B$1,"yyyy/mm/dd"),1),"")</f>
        <v>0</v>
      </c>
      <c r="G1348">
        <f>IFERROR([1]!s_stm07_is_104($A1348,TEXT($B$1,"yyyy/mm/dd"),1),"")</f>
        <v>461934046.45999998</v>
      </c>
      <c r="H1348">
        <f>IFERROR([1]!s_stm07_is_105($A1348,TEXT($B$1,"yyyy/mm/dd"),1),"")</f>
        <v>1122205.3799999999</v>
      </c>
      <c r="I1348">
        <f>IFERROR([1]!s_stm07_is($A1348,"W72946623",TEXT($B$1,"yyyy/mm/dd"),1),"")</f>
        <v>843342040.78999996</v>
      </c>
      <c r="J1348">
        <f>IFERROR([1]!s_stm07_is($A1348,"W30028333",TEXT($B$1,"yyyy/mm/dd"),1),"")</f>
        <v>714231358.07000005</v>
      </c>
      <c r="K1348">
        <f>IFERROR([1]!s_stm07_cs($A1348,"W77130581",TEXT($B$1,"yyyy/mm/dd"),1),"")</f>
        <v>2749879510.4400001</v>
      </c>
      <c r="L1348">
        <f>IFERROR([1]!s_stm07_cs($A1348,"W77745895",TEXT($B$1,"yyyy/mm/dd"),1),"")</f>
        <v>1626661473.8599999</v>
      </c>
      <c r="M1348">
        <f>IFERROR([1]!S_FA_EPS_basic2($A1348,$B$1,"Cur=CNY"),"")</f>
        <v>0.28000000000000003</v>
      </c>
      <c r="N1348">
        <f>IFERROR([1]!s_fa_arturndays($A1348,TEXT($B$1,"yyyy/mm/dd")),"")</f>
        <v>450.84530000000001</v>
      </c>
      <c r="O1348" t="str">
        <f>IFERROR([1]!fa_apturndays($A1348,TEXT($B$1,"yyyy/mm/dd")),"")</f>
        <v>Fetch...</v>
      </c>
      <c r="P1348">
        <f>IFERROR([1]!s_fa_invturndays($A1348,TEXT($B$1,"yyyy/mm/dd")),"")</f>
        <v>0</v>
      </c>
    </row>
    <row r="1349" spans="1:16">
      <c r="A1349" t="s">
        <v>1362</v>
      </c>
      <c r="B1349">
        <f>IFERROR([1]!s_stm07_is($A1349,"W70156729",TEXT($B$1,"yyyy/mm/dd"),1),"")</f>
        <v>615678000000</v>
      </c>
      <c r="C1349">
        <f>IFERROR([1]!s_stm07_is($A1349,"W75682424",TEXT($B$1,"yyyy/mm/dd"),1),"")</f>
        <v>0</v>
      </c>
      <c r="D1349">
        <f>IFERROR([1]!s_stm07_is($A1349,"W76031679",TEXT($B$1,"yyyy/mm/dd"),1),"")</f>
        <v>0</v>
      </c>
      <c r="E1349">
        <f>IFERROR([1]!s_stm07_is($A1349,"W70752487",TEXT($B$1,"yyyy/mm/dd"),1),"")</f>
        <v>8107000000</v>
      </c>
      <c r="F1349">
        <f>IFERROR([1]!s_stm07_is_103($A1349,TEXT($B$1,"yyyy/mm/dd"),1),"")</f>
        <v>0</v>
      </c>
      <c r="G1349">
        <f>IFERROR([1]!s_stm07_is_104($A1349,TEXT($B$1,"yyyy/mm/dd"),1),"")</f>
        <v>0</v>
      </c>
      <c r="H1349">
        <f>IFERROR([1]!s_stm07_is_105($A1349,TEXT($B$1,"yyyy/mm/dd"),1),"")</f>
        <v>0</v>
      </c>
      <c r="I1349">
        <f>IFERROR([1]!s_stm07_is($A1349,"W72946623",TEXT($B$1,"yyyy/mm/dd"),1),"")</f>
        <v>181629000000</v>
      </c>
      <c r="J1349">
        <f>IFERROR([1]!s_stm07_is($A1349,"W30028333",TEXT($B$1,"yyyy/mm/dd"),1),"")</f>
        <v>154078000000</v>
      </c>
      <c r="K1349">
        <f>IFERROR([1]!s_stm07_cs($A1349,"W77130581",TEXT($B$1,"yyyy/mm/dd"),1),"")</f>
        <v>459925000000</v>
      </c>
      <c r="L1349">
        <f>IFERROR([1]!s_stm07_cs($A1349,"W77745895",TEXT($B$1,"yyyy/mm/dd"),1),"")</f>
        <v>3056000000</v>
      </c>
      <c r="M1349">
        <f>IFERROR([1]!S_FA_EPS_basic2($A1349,$B$1,"Cur=CNY"),"")</f>
        <v>5.45</v>
      </c>
      <c r="N1349">
        <f>IFERROR([1]!s_fa_arturndays($A1349,TEXT($B$1,"yyyy/mm/dd")),"")</f>
        <v>0</v>
      </c>
      <c r="O1349" t="str">
        <f>IFERROR([1]!fa_apturndays($A1349,TEXT($B$1,"yyyy/mm/dd")),"")</f>
        <v>Fetch...</v>
      </c>
      <c r="P1349">
        <f>IFERROR([1]!s_fa_invturndays($A1349,TEXT($B$1,"yyyy/mm/dd")),"")</f>
        <v>0</v>
      </c>
    </row>
    <row r="1350" spans="1:16">
      <c r="A1350" t="s">
        <v>1363</v>
      </c>
      <c r="B1350">
        <f>IFERROR([1]!s_stm07_is($A1350,"W70156729",TEXT($B$1,"yyyy/mm/dd"),1),"")</f>
        <v>222824238516.25</v>
      </c>
      <c r="C1350">
        <f>IFERROR([1]!s_stm07_is($A1350,"W75682424",TEXT($B$1,"yyyy/mm/dd"),1),"")</f>
        <v>182622062999.98001</v>
      </c>
      <c r="D1350">
        <f>IFERROR([1]!s_stm07_is($A1350,"W76031679",TEXT($B$1,"yyyy/mm/dd"),1),"")</f>
        <v>11273114891.99</v>
      </c>
      <c r="E1350">
        <f>IFERROR([1]!s_stm07_is($A1350,"W70752487",TEXT($B$1,"yyyy/mm/dd"),1),"")</f>
        <v>4746821342.0100002</v>
      </c>
      <c r="F1350">
        <f>IFERROR([1]!s_stm07_is_103($A1350,TEXT($B$1,"yyyy/mm/dd"),1),"")</f>
        <v>10432344538.91</v>
      </c>
      <c r="G1350">
        <f>IFERROR([1]!s_stm07_is_104($A1350,TEXT($B$1,"yyyy/mm/dd"),1),"")</f>
        <v>735538728.32000005</v>
      </c>
      <c r="H1350">
        <f>IFERROR([1]!s_stm07_is_105($A1350,TEXT($B$1,"yyyy/mm/dd"),1),"")</f>
        <v>1093994266.48</v>
      </c>
      <c r="I1350">
        <f>IFERROR([1]!s_stm07_is($A1350,"W72946623",TEXT($B$1,"yyyy/mm/dd"),1),"")</f>
        <v>11757947340.16</v>
      </c>
      <c r="J1350">
        <f>IFERROR([1]!s_stm07_is($A1350,"W30028333",TEXT($B$1,"yyyy/mm/dd"),1),"")</f>
        <v>9865280190.1599998</v>
      </c>
      <c r="K1350">
        <f>IFERROR([1]!s_stm07_cs($A1350,"W77130581",TEXT($B$1,"yyyy/mm/dd"),1),"")</f>
        <v>40355401297.93</v>
      </c>
      <c r="L1350">
        <f>IFERROR([1]!s_stm07_cs($A1350,"W77745895",TEXT($B$1,"yyyy/mm/dd"),1),"")</f>
        <v>11509392097.33</v>
      </c>
      <c r="M1350">
        <f>IFERROR([1]!S_FA_EPS_basic2($A1350,$B$1,"Cur=CNY"),"")</f>
        <v>1.1599999999999999</v>
      </c>
      <c r="N1350">
        <f>IFERROR([1]!s_fa_arturndays($A1350,TEXT($B$1,"yyyy/mm/dd")),"")</f>
        <v>13.629899999999999</v>
      </c>
      <c r="O1350" t="str">
        <f>IFERROR([1]!fa_apturndays($A1350,TEXT($B$1,"yyyy/mm/dd")),"")</f>
        <v>Fetch...</v>
      </c>
      <c r="P1350">
        <f>IFERROR([1]!s_fa_invturndays($A1350,TEXT($B$1,"yyyy/mm/dd")),"")</f>
        <v>50.881999999999998</v>
      </c>
    </row>
    <row r="1351" spans="1:16">
      <c r="A1351" t="s">
        <v>1364</v>
      </c>
      <c r="B1351">
        <f>IFERROR([1]!s_stm07_is($A1351,"W70156729",TEXT($B$1,"yyyy/mm/dd"),1),"")</f>
        <v>15737303302.360001</v>
      </c>
      <c r="C1351">
        <f>IFERROR([1]!s_stm07_is($A1351,"W75682424",TEXT($B$1,"yyyy/mm/dd"),1),"")</f>
        <v>13673476667.440001</v>
      </c>
      <c r="D1351">
        <f>IFERROR([1]!s_stm07_is($A1351,"W76031679",TEXT($B$1,"yyyy/mm/dd"),1),"")</f>
        <v>188728024.50999999</v>
      </c>
      <c r="E1351">
        <f>IFERROR([1]!s_stm07_is($A1351,"W70752487",TEXT($B$1,"yyyy/mm/dd"),1),"")</f>
        <v>412668578.14999998</v>
      </c>
      <c r="F1351">
        <f>IFERROR([1]!s_stm07_is_103($A1351,TEXT($B$1,"yyyy/mm/dd"),1),"")</f>
        <v>579343750.19000006</v>
      </c>
      <c r="G1351">
        <f>IFERROR([1]!s_stm07_is_104($A1351,TEXT($B$1,"yyyy/mm/dd"),1),"")</f>
        <v>403716788.69</v>
      </c>
      <c r="H1351">
        <f>IFERROR([1]!s_stm07_is_105($A1351,TEXT($B$1,"yyyy/mm/dd"),1),"")</f>
        <v>30428980.530000001</v>
      </c>
      <c r="I1351">
        <f>IFERROR([1]!s_stm07_is($A1351,"W72946623",TEXT($B$1,"yyyy/mm/dd"),1),"")</f>
        <v>620577389.38</v>
      </c>
      <c r="J1351">
        <f>IFERROR([1]!s_stm07_is($A1351,"W30028333",TEXT($B$1,"yyyy/mm/dd"),1),"")</f>
        <v>619048036.90999997</v>
      </c>
      <c r="K1351">
        <f>IFERROR([1]!s_stm07_cs($A1351,"W77130581",TEXT($B$1,"yyyy/mm/dd"),1),"")</f>
        <v>1763415927.28</v>
      </c>
      <c r="L1351">
        <f>IFERROR([1]!s_stm07_cs($A1351,"W77745895",TEXT($B$1,"yyyy/mm/dd"),1),"")</f>
        <v>1991418082.4100001</v>
      </c>
      <c r="M1351">
        <f>IFERROR([1]!S_FA_EPS_basic2($A1351,$B$1,"Cur=CNY"),"")</f>
        <v>0.22869999999999999</v>
      </c>
      <c r="N1351">
        <f>IFERROR([1]!s_fa_arturndays($A1351,TEXT($B$1,"yyyy/mm/dd")),"")</f>
        <v>44.959000000000003</v>
      </c>
      <c r="O1351" t="str">
        <f>IFERROR([1]!fa_apturndays($A1351,TEXT($B$1,"yyyy/mm/dd")),"")</f>
        <v>Fetch...</v>
      </c>
      <c r="P1351">
        <f>IFERROR([1]!s_fa_invturndays($A1351,TEXT($B$1,"yyyy/mm/dd")),"")</f>
        <v>60.331800000000001</v>
      </c>
    </row>
    <row r="1352" spans="1:16">
      <c r="A1352" t="s">
        <v>1365</v>
      </c>
      <c r="B1352">
        <f>IFERROR([1]!s_stm07_is($A1352,"W70156729",TEXT($B$1,"yyyy/mm/dd"),1),"")</f>
        <v>355728000000</v>
      </c>
      <c r="C1352">
        <f>IFERROR([1]!s_stm07_is($A1352,"W75682424",TEXT($B$1,"yyyy/mm/dd"),1),"")</f>
        <v>0</v>
      </c>
      <c r="D1352">
        <f>IFERROR([1]!s_stm07_is($A1352,"W76031679",TEXT($B$1,"yyyy/mm/dd"),1),"")</f>
        <v>0</v>
      </c>
      <c r="E1352">
        <f>IFERROR([1]!s_stm07_is($A1352,"W70752487",TEXT($B$1,"yyyy/mm/dd"),1),"")</f>
        <v>220895000000</v>
      </c>
      <c r="F1352">
        <f>IFERROR([1]!s_stm07_is_103($A1352,TEXT($B$1,"yyyy/mm/dd"),1),"")</f>
        <v>0</v>
      </c>
      <c r="G1352">
        <f>IFERROR([1]!s_stm07_is_104($A1352,TEXT($B$1,"yyyy/mm/dd"),1),"")</f>
        <v>0</v>
      </c>
      <c r="H1352">
        <f>IFERROR([1]!s_stm07_is_105($A1352,TEXT($B$1,"yyyy/mm/dd"),1),"")</f>
        <v>0</v>
      </c>
      <c r="I1352">
        <f>IFERROR([1]!s_stm07_is($A1352,"W72946623",TEXT($B$1,"yyyy/mm/dd"),1),"")</f>
        <v>98221000000</v>
      </c>
      <c r="J1352">
        <f>IFERROR([1]!s_stm07_is($A1352,"W30028333",TEXT($B$1,"yyyy/mm/dd"),1),"")</f>
        <v>87404000000</v>
      </c>
      <c r="K1352">
        <f>IFERROR([1]!s_stm07_cs($A1352,"W77130581",TEXT($B$1,"yyyy/mm/dd"),1),"")</f>
        <v>412059000000</v>
      </c>
      <c r="L1352">
        <f>IFERROR([1]!s_stm07_cs($A1352,"W77745895",TEXT($B$1,"yyyy/mm/dd"),1),"")</f>
        <v>13759000000</v>
      </c>
      <c r="M1352">
        <f>IFERROR([1]!S_FA_EPS_basic2($A1352,$B$1,"Cur=CNY"),"")</f>
        <v>0.73</v>
      </c>
      <c r="N1352">
        <f>IFERROR([1]!s_fa_arturndays($A1352,TEXT($B$1,"yyyy/mm/dd")),"")</f>
        <v>0</v>
      </c>
      <c r="O1352" t="str">
        <f>IFERROR([1]!fa_apturndays($A1352,TEXT($B$1,"yyyy/mm/dd")),"")</f>
        <v>Fetch...</v>
      </c>
      <c r="P1352">
        <f>IFERROR([1]!s_fa_invturndays($A1352,TEXT($B$1,"yyyy/mm/dd")),"")</f>
        <v>0</v>
      </c>
    </row>
    <row r="1353" spans="1:16">
      <c r="A1353" t="s">
        <v>1366</v>
      </c>
      <c r="B1353">
        <f>IFERROR([1]!s_stm07_is($A1353,"W70156729",TEXT($B$1,"yyyy/mm/dd"),1),"")</f>
        <v>13135164000</v>
      </c>
      <c r="C1353">
        <f>IFERROR([1]!s_stm07_is($A1353,"W75682424",TEXT($B$1,"yyyy/mm/dd"),1),"")</f>
        <v>0</v>
      </c>
      <c r="D1353">
        <f>IFERROR([1]!s_stm07_is($A1353,"W76031679",TEXT($B$1,"yyyy/mm/dd"),1),"")</f>
        <v>0</v>
      </c>
      <c r="E1353">
        <f>IFERROR([1]!s_stm07_is($A1353,"W70752487",TEXT($B$1,"yyyy/mm/dd"),1),"")</f>
        <v>3704983000</v>
      </c>
      <c r="F1353">
        <f>IFERROR([1]!s_stm07_is_103($A1353,TEXT($B$1,"yyyy/mm/dd"),1),"")</f>
        <v>0</v>
      </c>
      <c r="G1353">
        <f>IFERROR([1]!s_stm07_is_104($A1353,TEXT($B$1,"yyyy/mm/dd"),1),"")</f>
        <v>0</v>
      </c>
      <c r="H1353">
        <f>IFERROR([1]!s_stm07_is_105($A1353,TEXT($B$1,"yyyy/mm/dd"),1),"")</f>
        <v>0</v>
      </c>
      <c r="I1353">
        <f>IFERROR([1]!s_stm07_is($A1353,"W72946623",TEXT($B$1,"yyyy/mm/dd"),1),"")</f>
        <v>5773113000</v>
      </c>
      <c r="J1353">
        <f>IFERROR([1]!s_stm07_is($A1353,"W30028333",TEXT($B$1,"yyyy/mm/dd"),1),"")</f>
        <v>5713492000</v>
      </c>
      <c r="K1353">
        <f>IFERROR([1]!s_stm07_cs($A1353,"W77130581",TEXT($B$1,"yyyy/mm/dd"),1),"")</f>
        <v>44103814000</v>
      </c>
      <c r="L1353">
        <f>IFERROR([1]!s_stm07_cs($A1353,"W77745895",TEXT($B$1,"yyyy/mm/dd"),1),"")</f>
        <v>347799000</v>
      </c>
      <c r="M1353">
        <f>IFERROR([1]!S_FA_EPS_basic2($A1353,$B$1,"Cur=CNY"),"")</f>
        <v>1</v>
      </c>
      <c r="N1353">
        <f>IFERROR([1]!s_fa_arturndays($A1353,TEXT($B$1,"yyyy/mm/dd")),"")</f>
        <v>0</v>
      </c>
      <c r="O1353" t="str">
        <f>IFERROR([1]!fa_apturndays($A1353,TEXT($B$1,"yyyy/mm/dd")),"")</f>
        <v>Fetch...</v>
      </c>
      <c r="P1353">
        <f>IFERROR([1]!s_fa_invturndays($A1353,TEXT($B$1,"yyyy/mm/dd")),"")</f>
        <v>0</v>
      </c>
    </row>
    <row r="1354" spans="1:16">
      <c r="A1354" t="s">
        <v>1367</v>
      </c>
      <c r="B1354">
        <f>IFERROR([1]!s_stm07_is($A1354,"W70156729",TEXT($B$1,"yyyy/mm/dd"),1),"")</f>
        <v>20531863000.82</v>
      </c>
      <c r="C1354">
        <f>IFERROR([1]!s_stm07_is($A1354,"W75682424",TEXT($B$1,"yyyy/mm/dd"),1),"")</f>
        <v>16692088466.719999</v>
      </c>
      <c r="D1354">
        <f>IFERROR([1]!s_stm07_is($A1354,"W76031679",TEXT($B$1,"yyyy/mm/dd"),1),"")</f>
        <v>218466068.84999999</v>
      </c>
      <c r="E1354">
        <f>IFERROR([1]!s_stm07_is($A1354,"W70752487",TEXT($B$1,"yyyy/mm/dd"),1),"")</f>
        <v>828307410.38</v>
      </c>
      <c r="F1354">
        <f>IFERROR([1]!s_stm07_is_103($A1354,TEXT($B$1,"yyyy/mm/dd"),1),"")</f>
        <v>664064083.97000003</v>
      </c>
      <c r="G1354">
        <f>IFERROR([1]!s_stm07_is_104($A1354,TEXT($B$1,"yyyy/mm/dd"),1),"")</f>
        <v>1080649306.3599999</v>
      </c>
      <c r="H1354">
        <f>IFERROR([1]!s_stm07_is_105($A1354,TEXT($B$1,"yyyy/mm/dd"),1),"")</f>
        <v>131535333.81999999</v>
      </c>
      <c r="I1354">
        <f>IFERROR([1]!s_stm07_is($A1354,"W72946623",TEXT($B$1,"yyyy/mm/dd"),1),"")</f>
        <v>438775746.31</v>
      </c>
      <c r="J1354">
        <f>IFERROR([1]!s_stm07_is($A1354,"W30028333",TEXT($B$1,"yyyy/mm/dd"),1),"")</f>
        <v>231312162.02000001</v>
      </c>
      <c r="K1354">
        <f>IFERROR([1]!s_stm07_cs($A1354,"W77130581",TEXT($B$1,"yyyy/mm/dd"),1),"")</f>
        <v>1505428089.98</v>
      </c>
      <c r="L1354">
        <f>IFERROR([1]!s_stm07_cs($A1354,"W77745895",TEXT($B$1,"yyyy/mm/dd"),1),"")</f>
        <v>5765575601.7299995</v>
      </c>
      <c r="M1354">
        <f>IFERROR([1]!S_FA_EPS_basic2($A1354,$B$1,"Cur=CNY"),"")</f>
        <v>9.35E-2</v>
      </c>
      <c r="N1354">
        <f>IFERROR([1]!s_fa_arturndays($A1354,TEXT($B$1,"yyyy/mm/dd")),"")</f>
        <v>34.555900000000001</v>
      </c>
      <c r="O1354" t="str">
        <f>IFERROR([1]!fa_apturndays($A1354,TEXT($B$1,"yyyy/mm/dd")),"")</f>
        <v>Fetch...</v>
      </c>
      <c r="P1354">
        <f>IFERROR([1]!s_fa_invturndays($A1354,TEXT($B$1,"yyyy/mm/dd")),"")</f>
        <v>17.480899999999998</v>
      </c>
    </row>
    <row r="1355" spans="1:16">
      <c r="A1355" t="s">
        <v>1368</v>
      </c>
      <c r="B1355">
        <f>IFERROR([1]!s_stm07_is($A1355,"W70156729",TEXT($B$1,"yyyy/mm/dd"),1),"")</f>
        <v>2082141811000</v>
      </c>
      <c r="C1355">
        <f>IFERROR([1]!s_stm07_is($A1355,"W75682424",TEXT($B$1,"yyyy/mm/dd"),1),"")</f>
        <v>1876058765000</v>
      </c>
      <c r="D1355">
        <f>IFERROR([1]!s_stm07_is($A1355,"W76031679",TEXT($B$1,"yyyy/mm/dd"),1),"")</f>
        <v>9038614000</v>
      </c>
      <c r="E1355">
        <f>IFERROR([1]!s_stm07_is($A1355,"W70752487",TEXT($B$1,"yyyy/mm/dd"),1),"")</f>
        <v>33873816000</v>
      </c>
      <c r="F1355">
        <f>IFERROR([1]!s_stm07_is_103($A1355,TEXT($B$1,"yyyy/mm/dd"),1),"")</f>
        <v>44009417000</v>
      </c>
      <c r="G1355">
        <f>IFERROR([1]!s_stm07_is_104($A1355,TEXT($B$1,"yyyy/mm/dd"),1),"")</f>
        <v>19810305000</v>
      </c>
      <c r="H1355">
        <f>IFERROR([1]!s_stm07_is_105($A1355,TEXT($B$1,"yyyy/mm/dd"),1),"")</f>
        <v>3962278000</v>
      </c>
      <c r="I1355">
        <f>IFERROR([1]!s_stm07_is($A1355,"W72946623",TEXT($B$1,"yyyy/mm/dd"),1),"")</f>
        <v>70221649000</v>
      </c>
      <c r="J1355">
        <f>IFERROR([1]!s_stm07_is($A1355,"W30028333",TEXT($B$1,"yyyy/mm/dd"),1),"")</f>
        <v>39069002000</v>
      </c>
      <c r="K1355">
        <f>IFERROR([1]!s_stm07_cs($A1355,"W77130581",TEXT($B$1,"yyyy/mm/dd"),1),"")</f>
        <v>20537132000</v>
      </c>
      <c r="L1355">
        <f>IFERROR([1]!s_stm07_cs($A1355,"W77745895",TEXT($B$1,"yyyy/mm/dd"),1),"")</f>
        <v>26226719000</v>
      </c>
      <c r="M1355">
        <f>IFERROR([1]!S_FA_EPS_basic2($A1355,$B$1,"Cur=CNY"),"")</f>
        <v>0.94</v>
      </c>
      <c r="N1355">
        <f>IFERROR([1]!s_fa_arturndays($A1355,TEXT($B$1,"yyyy/mm/dd")),"")</f>
        <v>63.337899999999998</v>
      </c>
      <c r="O1355" t="str">
        <f>IFERROR([1]!fa_apturndays($A1355,TEXT($B$1,"yyyy/mm/dd")),"")</f>
        <v>Fetch...</v>
      </c>
      <c r="P1355">
        <f>IFERROR([1]!s_fa_invturndays($A1355,TEXT($B$1,"yyyy/mm/dd")),"")</f>
        <v>251.60749999999999</v>
      </c>
    </row>
    <row r="1356" spans="1:16">
      <c r="A1356" t="s">
        <v>1369</v>
      </c>
      <c r="B1356">
        <f>IFERROR([1]!s_stm07_is($A1356,"W70156729",TEXT($B$1,"yyyy/mm/dd"),1),"")</f>
        <v>646237283223.31995</v>
      </c>
      <c r="C1356">
        <f>IFERROR([1]!s_stm07_is($A1356,"W75682424",TEXT($B$1,"yyyy/mm/dd"),1),"")</f>
        <v>565375260905.45996</v>
      </c>
      <c r="D1356">
        <f>IFERROR([1]!s_stm07_is($A1356,"W76031679",TEXT($B$1,"yyyy/mm/dd"),1),"")</f>
        <v>1564030826.1099999</v>
      </c>
      <c r="E1356">
        <f>IFERROR([1]!s_stm07_is($A1356,"W70752487",TEXT($B$1,"yyyy/mm/dd"),1),"")</f>
        <v>19736729422.279999</v>
      </c>
      <c r="F1356">
        <f>IFERROR([1]!s_stm07_is_103($A1356,TEXT($B$1,"yyyy/mm/dd"),1),"")</f>
        <v>23798754658.48</v>
      </c>
      <c r="G1356">
        <f>IFERROR([1]!s_stm07_is_104($A1356,TEXT($B$1,"yyyy/mm/dd"),1),"")</f>
        <v>14709650904.24</v>
      </c>
      <c r="H1356">
        <f>IFERROR([1]!s_stm07_is_105($A1356,TEXT($B$1,"yyyy/mm/dd"),1),"")</f>
        <v>4387088629.5500002</v>
      </c>
      <c r="I1356">
        <f>IFERROR([1]!s_stm07_is($A1356,"W72946623",TEXT($B$1,"yyyy/mm/dd"),1),"")</f>
        <v>17248313034.740002</v>
      </c>
      <c r="J1356">
        <f>IFERROR([1]!s_stm07_is($A1356,"W30028333",TEXT($B$1,"yyyy/mm/dd"),1),"")</f>
        <v>10007143581.450001</v>
      </c>
      <c r="K1356">
        <f>IFERROR([1]!s_stm07_cs($A1356,"W77130581",TEXT($B$1,"yyyy/mm/dd"),1),"")</f>
        <v>30696651139</v>
      </c>
      <c r="L1356">
        <f>IFERROR([1]!s_stm07_cs($A1356,"W77745895",TEXT($B$1,"yyyy/mm/dd"),1),"")</f>
        <v>44346133876.580002</v>
      </c>
      <c r="M1356">
        <f>IFERROR([1]!S_FA_EPS_basic2($A1356,$B$1,"Cur=CNY"),"")</f>
        <v>0.52759999999999996</v>
      </c>
      <c r="N1356">
        <f>IFERROR([1]!s_fa_arturndays($A1356,TEXT($B$1,"yyyy/mm/dd")),"")</f>
        <v>71.251900000000006</v>
      </c>
      <c r="O1356" t="str">
        <f>IFERROR([1]!fa_apturndays($A1356,TEXT($B$1,"yyyy/mm/dd")),"")</f>
        <v>Fetch...</v>
      </c>
      <c r="P1356">
        <f>IFERROR([1]!s_fa_invturndays($A1356,TEXT($B$1,"yyyy/mm/dd")),"")</f>
        <v>119.03579999999999</v>
      </c>
    </row>
    <row r="1357" spans="1:16">
      <c r="A1357" t="s">
        <v>1370</v>
      </c>
      <c r="B1357">
        <f>IFERROR([1]!s_stm07_is($A1357,"W70156729",TEXT($B$1,"yyyy/mm/dd"),1),"")</f>
        <v>35135280828.739998</v>
      </c>
      <c r="C1357">
        <f>IFERROR([1]!s_stm07_is($A1357,"W75682424",TEXT($B$1,"yyyy/mm/dd"),1),"")</f>
        <v>32649252799.849998</v>
      </c>
      <c r="D1357">
        <f>IFERROR([1]!s_stm07_is($A1357,"W76031679",TEXT($B$1,"yyyy/mm/dd"),1),"")</f>
        <v>90526954.939999998</v>
      </c>
      <c r="E1357">
        <f>IFERROR([1]!s_stm07_is($A1357,"W70752487",TEXT($B$1,"yyyy/mm/dd"),1),"")</f>
        <v>283015458.94999999</v>
      </c>
      <c r="F1357">
        <f>IFERROR([1]!s_stm07_is_103($A1357,TEXT($B$1,"yyyy/mm/dd"),1),"")</f>
        <v>385107653.00999999</v>
      </c>
      <c r="G1357">
        <f>IFERROR([1]!s_stm07_is_104($A1357,TEXT($B$1,"yyyy/mm/dd"),1),"")</f>
        <v>0</v>
      </c>
      <c r="H1357">
        <f>IFERROR([1]!s_stm07_is_105($A1357,TEXT($B$1,"yyyy/mm/dd"),1),"")</f>
        <v>20661075.559999999</v>
      </c>
      <c r="I1357">
        <f>IFERROR([1]!s_stm07_is($A1357,"W72946623",TEXT($B$1,"yyyy/mm/dd"),1),"")</f>
        <v>2299328772.1700001</v>
      </c>
      <c r="J1357">
        <f>IFERROR([1]!s_stm07_is($A1357,"W30028333",TEXT($B$1,"yyyy/mm/dd"),1),"")</f>
        <v>1959958704.8099999</v>
      </c>
      <c r="K1357">
        <f>IFERROR([1]!s_stm07_cs($A1357,"W77130581",TEXT($B$1,"yyyy/mm/dd"),1),"")</f>
        <v>1438277161.6199999</v>
      </c>
      <c r="L1357">
        <f>IFERROR([1]!s_stm07_cs($A1357,"W77745895",TEXT($B$1,"yyyy/mm/dd"),1),"")</f>
        <v>747895870.25</v>
      </c>
      <c r="M1357">
        <f>IFERROR([1]!S_FA_EPS_basic2($A1357,$B$1,"Cur=CNY"),"")</f>
        <v>1.55</v>
      </c>
      <c r="N1357">
        <f>IFERROR([1]!s_fa_arturndays($A1357,TEXT($B$1,"yyyy/mm/dd")),"")</f>
        <v>18.907900000000001</v>
      </c>
      <c r="O1357" t="str">
        <f>IFERROR([1]!fa_apturndays($A1357,TEXT($B$1,"yyyy/mm/dd")),"")</f>
        <v>Fetch...</v>
      </c>
      <c r="P1357">
        <f>IFERROR([1]!s_fa_invturndays($A1357,TEXT($B$1,"yyyy/mm/dd")),"")</f>
        <v>58.2864</v>
      </c>
    </row>
    <row r="1358" spans="1:16">
      <c r="A1358" t="s">
        <v>1371</v>
      </c>
      <c r="B1358">
        <f>IFERROR([1]!s_stm07_is($A1358,"W70156729",TEXT($B$1,"yyyy/mm/dd"),1),"")</f>
        <v>14836441799.959999</v>
      </c>
      <c r="C1358">
        <f>IFERROR([1]!s_stm07_is($A1358,"W75682424",TEXT($B$1,"yyyy/mm/dd"),1),"")</f>
        <v>13305438284.08</v>
      </c>
      <c r="D1358">
        <f>IFERROR([1]!s_stm07_is($A1358,"W76031679",TEXT($B$1,"yyyy/mm/dd"),1),"")</f>
        <v>25593953.25</v>
      </c>
      <c r="E1358">
        <f>IFERROR([1]!s_stm07_is($A1358,"W70752487",TEXT($B$1,"yyyy/mm/dd"),1),"")</f>
        <v>449913502.64999998</v>
      </c>
      <c r="F1358">
        <f>IFERROR([1]!s_stm07_is_103($A1358,TEXT($B$1,"yyyy/mm/dd"),1),"")</f>
        <v>173192652.75999999</v>
      </c>
      <c r="G1358">
        <f>IFERROR([1]!s_stm07_is_104($A1358,TEXT($B$1,"yyyy/mm/dd"),1),"")</f>
        <v>310534340.79000002</v>
      </c>
      <c r="H1358">
        <f>IFERROR([1]!s_stm07_is_105($A1358,TEXT($B$1,"yyyy/mm/dd"),1),"")</f>
        <v>13332046.84</v>
      </c>
      <c r="I1358">
        <f>IFERROR([1]!s_stm07_is($A1358,"W72946623",TEXT($B$1,"yyyy/mm/dd"),1),"")</f>
        <v>342767111.16000003</v>
      </c>
      <c r="J1358">
        <f>IFERROR([1]!s_stm07_is($A1358,"W30028333",TEXT($B$1,"yyyy/mm/dd"),1),"")</f>
        <v>225280998.03999999</v>
      </c>
      <c r="K1358">
        <f>IFERROR([1]!s_stm07_cs($A1358,"W77130581",TEXT($B$1,"yyyy/mm/dd"),1),"")</f>
        <v>2865408477.8899999</v>
      </c>
      <c r="L1358">
        <f>IFERROR([1]!s_stm07_cs($A1358,"W77745895",TEXT($B$1,"yyyy/mm/dd"),1),"")</f>
        <v>828963945.61000001</v>
      </c>
      <c r="M1358">
        <f>IFERROR([1]!S_FA_EPS_basic2($A1358,$B$1,"Cur=CNY"),"")</f>
        <v>0.11</v>
      </c>
      <c r="N1358">
        <f>IFERROR([1]!s_fa_arturndays($A1358,TEXT($B$1,"yyyy/mm/dd")),"")</f>
        <v>7.7362000000000002</v>
      </c>
      <c r="O1358" t="str">
        <f>IFERROR([1]!fa_apturndays($A1358,TEXT($B$1,"yyyy/mm/dd")),"")</f>
        <v>Fetch...</v>
      </c>
      <c r="P1358">
        <f>IFERROR([1]!s_fa_invturndays($A1358,TEXT($B$1,"yyyy/mm/dd")),"")</f>
        <v>32.855400000000003</v>
      </c>
    </row>
    <row r="1359" spans="1:16">
      <c r="A1359" t="s">
        <v>1372</v>
      </c>
      <c r="B1359">
        <f>IFERROR([1]!s_stm07_is($A1359,"W70156729",TEXT($B$1,"yyyy/mm/dd"),1),"")</f>
        <v>35809920255.160004</v>
      </c>
      <c r="C1359">
        <f>IFERROR([1]!s_stm07_is($A1359,"W75682424",TEXT($B$1,"yyyy/mm/dd"),1),"")</f>
        <v>0</v>
      </c>
      <c r="D1359">
        <f>IFERROR([1]!s_stm07_is($A1359,"W76031679",TEXT($B$1,"yyyy/mm/dd"),1),"")</f>
        <v>0</v>
      </c>
      <c r="E1359">
        <f>IFERROR([1]!s_stm07_is($A1359,"W70752487",TEXT($B$1,"yyyy/mm/dd"),1),"")</f>
        <v>16041561198.549999</v>
      </c>
      <c r="F1359">
        <f>IFERROR([1]!s_stm07_is_103($A1359,TEXT($B$1,"yyyy/mm/dd"),1),"")</f>
        <v>0</v>
      </c>
      <c r="G1359">
        <f>IFERROR([1]!s_stm07_is_104($A1359,TEXT($B$1,"yyyy/mm/dd"),1),"")</f>
        <v>0</v>
      </c>
      <c r="H1359">
        <f>IFERROR([1]!s_stm07_is_105($A1359,TEXT($B$1,"yyyy/mm/dd"),1),"")</f>
        <v>0</v>
      </c>
      <c r="I1359">
        <f>IFERROR([1]!s_stm07_is($A1359,"W72946623",TEXT($B$1,"yyyy/mm/dd"),1),"")</f>
        <v>18404639988.84</v>
      </c>
      <c r="J1359">
        <f>IFERROR([1]!s_stm07_is($A1359,"W30028333",TEXT($B$1,"yyyy/mm/dd"),1),"")</f>
        <v>16383497118.1</v>
      </c>
      <c r="K1359">
        <f>IFERROR([1]!s_stm07_cs($A1359,"W77130581",TEXT($B$1,"yyyy/mm/dd"),1),"")</f>
        <v>-12601571386.35</v>
      </c>
      <c r="L1359">
        <f>IFERROR([1]!s_stm07_cs($A1359,"W77745895",TEXT($B$1,"yyyy/mm/dd"),1),"")</f>
        <v>1221754124.1800001</v>
      </c>
      <c r="M1359">
        <f>IFERROR([1]!S_FA_EPS_basic2($A1359,$B$1,"Cur=CNY"),"")</f>
        <v>1.73</v>
      </c>
      <c r="N1359">
        <f>IFERROR([1]!s_fa_arturndays($A1359,TEXT($B$1,"yyyy/mm/dd")),"")</f>
        <v>0</v>
      </c>
      <c r="O1359" t="str">
        <f>IFERROR([1]!fa_apturndays($A1359,TEXT($B$1,"yyyy/mm/dd")),"")</f>
        <v>Fetch...</v>
      </c>
      <c r="P1359">
        <f>IFERROR([1]!s_fa_invturndays($A1359,TEXT($B$1,"yyyy/mm/dd")),"")</f>
        <v>0</v>
      </c>
    </row>
    <row r="1360" spans="1:16">
      <c r="A1360" t="s">
        <v>1373</v>
      </c>
      <c r="B1360">
        <f>IFERROR([1]!s_stm07_is($A1360,"W70156729",TEXT($B$1,"yyyy/mm/dd"),1),"")</f>
        <v>29581458675.27</v>
      </c>
      <c r="C1360">
        <f>IFERROR([1]!s_stm07_is($A1360,"W75682424",TEXT($B$1,"yyyy/mm/dd"),1),"")</f>
        <v>23834162657.099998</v>
      </c>
      <c r="D1360">
        <f>IFERROR([1]!s_stm07_is($A1360,"W76031679",TEXT($B$1,"yyyy/mm/dd"),1),"")</f>
        <v>276658216.27999997</v>
      </c>
      <c r="E1360">
        <f>IFERROR([1]!s_stm07_is($A1360,"W70752487",TEXT($B$1,"yyyy/mm/dd"),1),"")</f>
        <v>768354983.24000001</v>
      </c>
      <c r="F1360">
        <f>IFERROR([1]!s_stm07_is_103($A1360,TEXT($B$1,"yyyy/mm/dd"),1),"")</f>
        <v>1496041042.3099999</v>
      </c>
      <c r="G1360">
        <f>IFERROR([1]!s_stm07_is_104($A1360,TEXT($B$1,"yyyy/mm/dd"),1),"")</f>
        <v>159850333.97</v>
      </c>
      <c r="H1360">
        <f>IFERROR([1]!s_stm07_is_105($A1360,TEXT($B$1,"yyyy/mm/dd"),1),"")</f>
        <v>38072374.729999997</v>
      </c>
      <c r="I1360">
        <f>IFERROR([1]!s_stm07_is($A1360,"W72946623",TEXT($B$1,"yyyy/mm/dd"),1),"")</f>
        <v>3151599221.6999998</v>
      </c>
      <c r="J1360">
        <f>IFERROR([1]!s_stm07_is($A1360,"W30028333",TEXT($B$1,"yyyy/mm/dd"),1),"")</f>
        <v>2779071103.3400002</v>
      </c>
      <c r="K1360">
        <f>IFERROR([1]!s_stm07_cs($A1360,"W77130581",TEXT($B$1,"yyyy/mm/dd"),1),"")</f>
        <v>4482090128.2600002</v>
      </c>
      <c r="L1360">
        <f>IFERROR([1]!s_stm07_cs($A1360,"W77745895",TEXT($B$1,"yyyy/mm/dd"),1),"")</f>
        <v>3497176813.6300001</v>
      </c>
      <c r="M1360">
        <f>IFERROR([1]!S_FA_EPS_basic2($A1360,$B$1,"Cur=CNY"),"")</f>
        <v>1.61</v>
      </c>
      <c r="N1360">
        <f>IFERROR([1]!s_fa_arturndays($A1360,TEXT($B$1,"yyyy/mm/dd")),"")</f>
        <v>83.676199999999994</v>
      </c>
      <c r="O1360" t="str">
        <f>IFERROR([1]!fa_apturndays($A1360,TEXT($B$1,"yyyy/mm/dd")),"")</f>
        <v>Fetch...</v>
      </c>
      <c r="P1360">
        <f>IFERROR([1]!s_fa_invturndays($A1360,TEXT($B$1,"yyyy/mm/dd")),"")</f>
        <v>65.831599999999995</v>
      </c>
    </row>
    <row r="1361" spans="1:16">
      <c r="A1361" t="s">
        <v>1374</v>
      </c>
      <c r="B1361">
        <f>IFERROR([1]!s_stm07_is($A1361,"W70156729",TEXT($B$1,"yyyy/mm/dd"),1),"")</f>
        <v>3390049018.1999998</v>
      </c>
      <c r="C1361">
        <f>IFERROR([1]!s_stm07_is($A1361,"W75682424",TEXT($B$1,"yyyy/mm/dd"),1),"")</f>
        <v>0</v>
      </c>
      <c r="D1361">
        <f>IFERROR([1]!s_stm07_is($A1361,"W76031679",TEXT($B$1,"yyyy/mm/dd"),1),"")</f>
        <v>0</v>
      </c>
      <c r="E1361">
        <f>IFERROR([1]!s_stm07_is($A1361,"W70752487",TEXT($B$1,"yyyy/mm/dd"),1),"")</f>
        <v>2069898482.0899999</v>
      </c>
      <c r="F1361">
        <f>IFERROR([1]!s_stm07_is_103($A1361,TEXT($B$1,"yyyy/mm/dd"),1),"")</f>
        <v>0</v>
      </c>
      <c r="G1361">
        <f>IFERROR([1]!s_stm07_is_104($A1361,TEXT($B$1,"yyyy/mm/dd"),1),"")</f>
        <v>0</v>
      </c>
      <c r="H1361">
        <f>IFERROR([1]!s_stm07_is_105($A1361,TEXT($B$1,"yyyy/mm/dd"),1),"")</f>
        <v>0</v>
      </c>
      <c r="I1361">
        <f>IFERROR([1]!s_stm07_is($A1361,"W72946623",TEXT($B$1,"yyyy/mm/dd"),1),"")</f>
        <v>1292975258.6400001</v>
      </c>
      <c r="J1361">
        <f>IFERROR([1]!s_stm07_is($A1361,"W30028333",TEXT($B$1,"yyyy/mm/dd"),1),"")</f>
        <v>1045285044.73</v>
      </c>
      <c r="K1361">
        <f>IFERROR([1]!s_stm07_cs($A1361,"W77130581",TEXT($B$1,"yyyy/mm/dd"),1),"")</f>
        <v>2757923937.5999999</v>
      </c>
      <c r="L1361">
        <f>IFERROR([1]!s_stm07_cs($A1361,"W77745895",TEXT($B$1,"yyyy/mm/dd"),1),"")</f>
        <v>65487567.759999998</v>
      </c>
      <c r="M1361">
        <f>IFERROR([1]!S_FA_EPS_basic2($A1361,$B$1,"Cur=CNY"),"")</f>
        <v>0.38</v>
      </c>
      <c r="N1361">
        <f>IFERROR([1]!s_fa_arturndays($A1361,TEXT($B$1,"yyyy/mm/dd")),"")</f>
        <v>0</v>
      </c>
      <c r="O1361" t="str">
        <f>IFERROR([1]!fa_apturndays($A1361,TEXT($B$1,"yyyy/mm/dd")),"")</f>
        <v>Fetch...</v>
      </c>
      <c r="P1361">
        <f>IFERROR([1]!s_fa_invturndays($A1361,TEXT($B$1,"yyyy/mm/dd")),"")</f>
        <v>0</v>
      </c>
    </row>
    <row r="1362" spans="1:16">
      <c r="A1362" t="s">
        <v>1375</v>
      </c>
      <c r="B1362">
        <f>IFERROR([1]!s_stm07_is($A1362,"W70156729",TEXT($B$1,"yyyy/mm/dd"),1),"")</f>
        <v>2644781668.5700002</v>
      </c>
      <c r="C1362">
        <f>IFERROR([1]!s_stm07_is($A1362,"W75682424",TEXT($B$1,"yyyy/mm/dd"),1),"")</f>
        <v>1865888269.8299999</v>
      </c>
      <c r="D1362">
        <f>IFERROR([1]!s_stm07_is($A1362,"W76031679",TEXT($B$1,"yyyy/mm/dd"),1),"")</f>
        <v>60758087.420000002</v>
      </c>
      <c r="E1362">
        <f>IFERROR([1]!s_stm07_is($A1362,"W70752487",TEXT($B$1,"yyyy/mm/dd"),1),"")</f>
        <v>211867593.59</v>
      </c>
      <c r="F1362">
        <f>IFERROR([1]!s_stm07_is_103($A1362,TEXT($B$1,"yyyy/mm/dd"),1),"")</f>
        <v>76203560.859999999</v>
      </c>
      <c r="G1362">
        <f>IFERROR([1]!s_stm07_is_104($A1362,TEXT($B$1,"yyyy/mm/dd"),1),"")</f>
        <v>5171225.0199999996</v>
      </c>
      <c r="H1362">
        <f>IFERROR([1]!s_stm07_is_105($A1362,TEXT($B$1,"yyyy/mm/dd"),1),"")</f>
        <v>158279444.34999999</v>
      </c>
      <c r="I1362">
        <f>IFERROR([1]!s_stm07_is($A1362,"W72946623",TEXT($B$1,"yyyy/mm/dd"),1),"")</f>
        <v>612199536.96000004</v>
      </c>
      <c r="J1362">
        <f>IFERROR([1]!s_stm07_is($A1362,"W30028333",TEXT($B$1,"yyyy/mm/dd"),1),"")</f>
        <v>441236300.08999997</v>
      </c>
      <c r="K1362">
        <f>IFERROR([1]!s_stm07_cs($A1362,"W77130581",TEXT($B$1,"yyyy/mm/dd"),1),"")</f>
        <v>1366790412.52</v>
      </c>
      <c r="L1362">
        <f>IFERROR([1]!s_stm07_cs($A1362,"W77745895",TEXT($B$1,"yyyy/mm/dd"),1),"")</f>
        <v>1170574530.1099999</v>
      </c>
      <c r="M1362">
        <f>IFERROR([1]!S_FA_EPS_basic2($A1362,$B$1,"Cur=CNY"),"")</f>
        <v>0.10440000000000001</v>
      </c>
      <c r="N1362">
        <f>IFERROR([1]!s_fa_arturndays($A1362,TEXT($B$1,"yyyy/mm/dd")),"")</f>
        <v>73.233199999999997</v>
      </c>
      <c r="O1362" t="str">
        <f>IFERROR([1]!fa_apturndays($A1362,TEXT($B$1,"yyyy/mm/dd")),"")</f>
        <v>Fetch...</v>
      </c>
      <c r="P1362">
        <f>IFERROR([1]!s_fa_invturndays($A1362,TEXT($B$1,"yyyy/mm/dd")),"")</f>
        <v>5.2549000000000001</v>
      </c>
    </row>
    <row r="1363" spans="1:16">
      <c r="A1363" t="s">
        <v>1376</v>
      </c>
      <c r="B1363">
        <f>IFERROR([1]!s_stm07_is($A1363,"W70156729",TEXT($B$1,"yyyy/mm/dd"),1),"")</f>
        <v>27820028155.610001</v>
      </c>
      <c r="C1363">
        <f>IFERROR([1]!s_stm07_is($A1363,"W75682424",TEXT($B$1,"yyyy/mm/dd"),1),"")</f>
        <v>18642445073.84</v>
      </c>
      <c r="D1363">
        <f>IFERROR([1]!s_stm07_is($A1363,"W76031679",TEXT($B$1,"yyyy/mm/dd"),1),"")</f>
        <v>150566807.84999999</v>
      </c>
      <c r="E1363">
        <f>IFERROR([1]!s_stm07_is($A1363,"W70752487",TEXT($B$1,"yyyy/mm/dd"),1),"")</f>
        <v>3539278677.6399999</v>
      </c>
      <c r="F1363">
        <f>IFERROR([1]!s_stm07_is_103($A1363,TEXT($B$1,"yyyy/mm/dd"),1),"")</f>
        <v>1140854620.1900001</v>
      </c>
      <c r="G1363">
        <f>IFERROR([1]!s_stm07_is_104($A1363,TEXT($B$1,"yyyy/mm/dd"),1),"")</f>
        <v>324983126.69999999</v>
      </c>
      <c r="H1363">
        <f>IFERROR([1]!s_stm07_is_105($A1363,TEXT($B$1,"yyyy/mm/dd"),1),"")</f>
        <v>113211216.40000001</v>
      </c>
      <c r="I1363">
        <f>IFERROR([1]!s_stm07_is($A1363,"W72946623",TEXT($B$1,"yyyy/mm/dd"),1),"")</f>
        <v>1194463075.5599999</v>
      </c>
      <c r="J1363">
        <f>IFERROR([1]!s_stm07_is($A1363,"W30028333",TEXT($B$1,"yyyy/mm/dd"),1),"")</f>
        <v>1115154665.3499999</v>
      </c>
      <c r="K1363">
        <f>IFERROR([1]!s_stm07_cs($A1363,"W77130581",TEXT($B$1,"yyyy/mm/dd"),1),"")</f>
        <v>5001354776.3000002</v>
      </c>
      <c r="L1363">
        <f>IFERROR([1]!s_stm07_cs($A1363,"W77745895",TEXT($B$1,"yyyy/mm/dd"),1),"")</f>
        <v>202024360.81999999</v>
      </c>
      <c r="M1363">
        <f>IFERROR([1]!S_FA_EPS_basic2($A1363,$B$1,"Cur=CNY"),"")</f>
        <v>0.37</v>
      </c>
      <c r="N1363">
        <f>IFERROR([1]!s_fa_arturndays($A1363,TEXT($B$1,"yyyy/mm/dd")),"")</f>
        <v>38.167099999999998</v>
      </c>
      <c r="O1363" t="str">
        <f>IFERROR([1]!fa_apturndays($A1363,TEXT($B$1,"yyyy/mm/dd")),"")</f>
        <v>Fetch...</v>
      </c>
      <c r="P1363">
        <f>IFERROR([1]!s_fa_invturndays($A1363,TEXT($B$1,"yyyy/mm/dd")),"")</f>
        <v>14.4777</v>
      </c>
    </row>
    <row r="1364" spans="1:16">
      <c r="A1364" t="s">
        <v>1377</v>
      </c>
      <c r="B1364">
        <f>IFERROR([1]!s_stm07_is($A1364,"W70156729",TEXT($B$1,"yyyy/mm/dd"),1),"")</f>
        <v>12486679008.370001</v>
      </c>
      <c r="C1364">
        <f>IFERROR([1]!s_stm07_is($A1364,"W75682424",TEXT($B$1,"yyyy/mm/dd"),1),"")</f>
        <v>10774899412.33</v>
      </c>
      <c r="D1364">
        <f>IFERROR([1]!s_stm07_is($A1364,"W76031679",TEXT($B$1,"yyyy/mm/dd"),1),"")</f>
        <v>49665946.520000003</v>
      </c>
      <c r="E1364">
        <f>IFERROR([1]!s_stm07_is($A1364,"W70752487",TEXT($B$1,"yyyy/mm/dd"),1),"")</f>
        <v>138621949.59999999</v>
      </c>
      <c r="F1364">
        <f>IFERROR([1]!s_stm07_is_103($A1364,TEXT($B$1,"yyyy/mm/dd"),1),"")</f>
        <v>188273456.13999999</v>
      </c>
      <c r="G1364">
        <f>IFERROR([1]!s_stm07_is_104($A1364,TEXT($B$1,"yyyy/mm/dd"),1),"")</f>
        <v>33336803.199999999</v>
      </c>
      <c r="H1364">
        <f>IFERROR([1]!s_stm07_is_105($A1364,TEXT($B$1,"yyyy/mm/dd"),1),"")</f>
        <v>11168141.82</v>
      </c>
      <c r="I1364">
        <f>IFERROR([1]!s_stm07_is($A1364,"W72946623",TEXT($B$1,"yyyy/mm/dd"),1),"")</f>
        <v>1366948941.96</v>
      </c>
      <c r="J1364">
        <f>IFERROR([1]!s_stm07_is($A1364,"W30028333",TEXT($B$1,"yyyy/mm/dd"),1),"")</f>
        <v>1201860008.05</v>
      </c>
      <c r="K1364">
        <f>IFERROR([1]!s_stm07_cs($A1364,"W77130581",TEXT($B$1,"yyyy/mm/dd"),1),"")</f>
        <v>160380478.21000001</v>
      </c>
      <c r="L1364">
        <f>IFERROR([1]!s_stm07_cs($A1364,"W77745895",TEXT($B$1,"yyyy/mm/dd"),1),"")</f>
        <v>476805565.14999998</v>
      </c>
      <c r="M1364">
        <f>IFERROR([1]!S_FA_EPS_basic2($A1364,$B$1,"Cur=CNY"),"")</f>
        <v>1.2</v>
      </c>
      <c r="N1364">
        <f>IFERROR([1]!s_fa_arturndays($A1364,TEXT($B$1,"yyyy/mm/dd")),"")</f>
        <v>54.755400000000002</v>
      </c>
      <c r="O1364" t="str">
        <f>IFERROR([1]!fa_apturndays($A1364,TEXT($B$1,"yyyy/mm/dd")),"")</f>
        <v>Fetch...</v>
      </c>
      <c r="P1364">
        <f>IFERROR([1]!s_fa_invturndays($A1364,TEXT($B$1,"yyyy/mm/dd")),"")</f>
        <v>95.192800000000005</v>
      </c>
    </row>
    <row r="1365" spans="1:16">
      <c r="A1365" t="s">
        <v>1378</v>
      </c>
      <c r="B1365">
        <f>IFERROR([1]!s_stm07_is($A1365,"W70156729",TEXT($B$1,"yyyy/mm/dd"),1),"")</f>
        <v>41385128009.239998</v>
      </c>
      <c r="C1365">
        <f>IFERROR([1]!s_stm07_is($A1365,"W75682424",TEXT($B$1,"yyyy/mm/dd"),1),"")</f>
        <v>31983831018.419998</v>
      </c>
      <c r="D1365">
        <f>IFERROR([1]!s_stm07_is($A1365,"W76031679",TEXT($B$1,"yyyy/mm/dd"),1),"")</f>
        <v>921354279.84000003</v>
      </c>
      <c r="E1365">
        <f>IFERROR([1]!s_stm07_is($A1365,"W70752487",TEXT($B$1,"yyyy/mm/dd"),1),"")</f>
        <v>1530545241.4300001</v>
      </c>
      <c r="F1365">
        <f>IFERROR([1]!s_stm07_is_103($A1365,TEXT($B$1,"yyyy/mm/dd"),1),"")</f>
        <v>1625999068.3800001</v>
      </c>
      <c r="G1365">
        <f>IFERROR([1]!s_stm07_is_104($A1365,TEXT($B$1,"yyyy/mm/dd"),1),"")</f>
        <v>211585013.99000001</v>
      </c>
      <c r="H1365">
        <f>IFERROR([1]!s_stm07_is_105($A1365,TEXT($B$1,"yyyy/mm/dd"),1),"")</f>
        <v>58801440.869999997</v>
      </c>
      <c r="I1365">
        <f>IFERROR([1]!s_stm07_is($A1365,"W72946623",TEXT($B$1,"yyyy/mm/dd"),1),"")</f>
        <v>5108244099.7299995</v>
      </c>
      <c r="J1365">
        <f>IFERROR([1]!s_stm07_is($A1365,"W30028333",TEXT($B$1,"yyyy/mm/dd"),1),"")</f>
        <v>4293392302.8400002</v>
      </c>
      <c r="K1365">
        <f>IFERROR([1]!s_stm07_cs($A1365,"W77130581",TEXT($B$1,"yyyy/mm/dd"),1),"")</f>
        <v>2404162654.0999999</v>
      </c>
      <c r="L1365">
        <f>IFERROR([1]!s_stm07_cs($A1365,"W77745895",TEXT($B$1,"yyyy/mm/dd"),1),"")</f>
        <v>1555214836.8599999</v>
      </c>
      <c r="M1365">
        <f>IFERROR([1]!S_FA_EPS_basic2($A1365,$B$1,"Cur=CNY"),"")</f>
        <v>2.4470000000000001</v>
      </c>
      <c r="N1365">
        <f>IFERROR([1]!s_fa_arturndays($A1365,TEXT($B$1,"yyyy/mm/dd")),"")</f>
        <v>100.51649999999999</v>
      </c>
      <c r="O1365" t="str">
        <f>IFERROR([1]!fa_apturndays($A1365,TEXT($B$1,"yyyy/mm/dd")),"")</f>
        <v>Fetch...</v>
      </c>
      <c r="P1365">
        <f>IFERROR([1]!s_fa_invturndays($A1365,TEXT($B$1,"yyyy/mm/dd")),"")</f>
        <v>91.8977</v>
      </c>
    </row>
    <row r="1366" spans="1:16">
      <c r="A1366" t="s">
        <v>1379</v>
      </c>
      <c r="B1366">
        <f>IFERROR([1]!s_stm07_is($A1366,"W70156729",TEXT($B$1,"yyyy/mm/dd"),1),"")</f>
        <v>523924731368.75</v>
      </c>
      <c r="C1366">
        <f>IFERROR([1]!s_stm07_is($A1366,"W75682424",TEXT($B$1,"yyyy/mm/dd"),1),"")</f>
        <v>371561570703.75</v>
      </c>
      <c r="D1366">
        <f>IFERROR([1]!s_stm07_is($A1366,"W76031679",TEXT($B$1,"yyyy/mm/dd"),1),"")</f>
        <v>53896763648.309998</v>
      </c>
      <c r="E1366">
        <f>IFERROR([1]!s_stm07_is($A1366,"W70752487",TEXT($B$1,"yyyy/mm/dd"),1),"")</f>
        <v>36412734062.230003</v>
      </c>
      <c r="F1366">
        <f>IFERROR([1]!s_stm07_is_103($A1366,TEXT($B$1,"yyyy/mm/dd"),1),"")</f>
        <v>15594212398.790001</v>
      </c>
      <c r="G1366">
        <f>IFERROR([1]!s_stm07_is_104($A1366,TEXT($B$1,"yyyy/mm/dd"),1),"")</f>
        <v>2053873360.8800001</v>
      </c>
      <c r="H1366">
        <f>IFERROR([1]!s_stm07_is_105($A1366,TEXT($B$1,"yyyy/mm/dd"),1),"")</f>
        <v>1824872325.8099999</v>
      </c>
      <c r="I1366">
        <f>IFERROR([1]!s_stm07_is($A1366,"W72946623",TEXT($B$1,"yyyy/mm/dd"),1),"")</f>
        <v>42680162827.720001</v>
      </c>
      <c r="J1366">
        <f>IFERROR([1]!s_stm07_is($A1366,"W30028333",TEXT($B$1,"yyyy/mm/dd"),1),"")</f>
        <v>33184733428.279999</v>
      </c>
      <c r="K1366">
        <f>IFERROR([1]!s_stm07_cs($A1366,"W77130581",TEXT($B$1,"yyyy/mm/dd"),1),"")</f>
        <v>124518913220.91</v>
      </c>
      <c r="L1366">
        <f>IFERROR([1]!s_stm07_cs($A1366,"W77745895",TEXT($B$1,"yyyy/mm/dd"),1),"")</f>
        <v>73148181381.580002</v>
      </c>
      <c r="M1366">
        <f>IFERROR([1]!S_FA_EPS_basic2($A1366,$B$1,"Cur=CNY"),"")</f>
        <v>0.36</v>
      </c>
      <c r="N1366">
        <f>IFERROR([1]!s_fa_arturndays($A1366,TEXT($B$1,"yyyy/mm/dd")),"")</f>
        <v>30.8565</v>
      </c>
      <c r="O1366" t="str">
        <f>IFERROR([1]!fa_apturndays($A1366,TEXT($B$1,"yyyy/mm/dd")),"")</f>
        <v>Fetch...</v>
      </c>
      <c r="P1366">
        <f>IFERROR([1]!s_fa_invturndays($A1366,TEXT($B$1,"yyyy/mm/dd")),"")</f>
        <v>7.5340999999999996</v>
      </c>
    </row>
    <row r="1367" spans="1:16">
      <c r="A1367" t="s">
        <v>1380</v>
      </c>
      <c r="B1367">
        <f>IFERROR([1]!s_stm07_is($A1367,"W70156729",TEXT($B$1,"yyyy/mm/dd"),1),"")</f>
        <v>273063098000</v>
      </c>
      <c r="C1367">
        <f>IFERROR([1]!s_stm07_is($A1367,"W75682424",TEXT($B$1,"yyyy/mm/dd"),1),"")</f>
        <v>214684021000</v>
      </c>
      <c r="D1367">
        <f>IFERROR([1]!s_stm07_is($A1367,"W76031679",TEXT($B$1,"yyyy/mm/dd"),1),"")</f>
        <v>5866517000</v>
      </c>
      <c r="E1367">
        <f>IFERROR([1]!s_stm07_is($A1367,"W70752487",TEXT($B$1,"yyyy/mm/dd"),1),"")</f>
        <v>16007131000</v>
      </c>
      <c r="F1367">
        <f>IFERROR([1]!s_stm07_is_103($A1367,TEXT($B$1,"yyyy/mm/dd"),1),"")</f>
        <v>17640973000</v>
      </c>
      <c r="G1367">
        <f>IFERROR([1]!s_stm07_is_104($A1367,TEXT($B$1,"yyyy/mm/dd"),1),"")</f>
        <v>1006351000</v>
      </c>
      <c r="H1367">
        <f>IFERROR([1]!s_stm07_is_105($A1367,TEXT($B$1,"yyyy/mm/dd"),1),"")</f>
        <v>1201437000</v>
      </c>
      <c r="I1367">
        <f>IFERROR([1]!s_stm07_is($A1367,"W72946623",TEXT($B$1,"yyyy/mm/dd"),1),"")</f>
        <v>19318631000</v>
      </c>
      <c r="J1367">
        <f>IFERROR([1]!s_stm07_is($A1367,"W30028333",TEXT($B$1,"yyyy/mm/dd"),1),"")</f>
        <v>13181015000</v>
      </c>
      <c r="K1367">
        <f>IFERROR([1]!s_stm07_cs($A1367,"W77130581",TEXT($B$1,"yyyy/mm/dd"),1),"")</f>
        <v>24185716000</v>
      </c>
      <c r="L1367">
        <f>IFERROR([1]!s_stm07_cs($A1367,"W77745895",TEXT($B$1,"yyyy/mm/dd"),1),"")</f>
        <v>9382515000</v>
      </c>
      <c r="M1367">
        <f>IFERROR([1]!S_FA_EPS_basic2($A1367,$B$1,"Cur=CNY"),"")</f>
        <v>0.46</v>
      </c>
      <c r="N1367">
        <f>IFERROR([1]!s_fa_arturndays($A1367,TEXT($B$1,"yyyy/mm/dd")),"")</f>
        <v>149.86259999999999</v>
      </c>
      <c r="O1367" t="str">
        <f>IFERROR([1]!fa_apturndays($A1367,TEXT($B$1,"yyyy/mm/dd")),"")</f>
        <v>Fetch...</v>
      </c>
      <c r="P1367">
        <f>IFERROR([1]!s_fa_invturndays($A1367,TEXT($B$1,"yyyy/mm/dd")),"")</f>
        <v>202.47470000000001</v>
      </c>
    </row>
    <row r="1368" spans="1:16">
      <c r="A1368" t="s">
        <v>1381</v>
      </c>
      <c r="B1368">
        <f>IFERROR([1]!s_stm07_is($A1368,"W70156729",TEXT($B$1,"yyyy/mm/dd"),1),"")</f>
        <v>9999122674.3999996</v>
      </c>
      <c r="C1368">
        <f>IFERROR([1]!s_stm07_is($A1368,"W75682424",TEXT($B$1,"yyyy/mm/dd"),1),"")</f>
        <v>8983168419.6100006</v>
      </c>
      <c r="D1368">
        <f>IFERROR([1]!s_stm07_is($A1368,"W76031679",TEXT($B$1,"yyyy/mm/dd"),1),"")</f>
        <v>296386295.60000002</v>
      </c>
      <c r="E1368">
        <f>IFERROR([1]!s_stm07_is($A1368,"W70752487",TEXT($B$1,"yyyy/mm/dd"),1),"")</f>
        <v>352042415.08999997</v>
      </c>
      <c r="F1368">
        <f>IFERROR([1]!s_stm07_is_103($A1368,TEXT($B$1,"yyyy/mm/dd"),1),"")</f>
        <v>821801252.70000005</v>
      </c>
      <c r="G1368">
        <f>IFERROR([1]!s_stm07_is_104($A1368,TEXT($B$1,"yyyy/mm/dd"),1),"")</f>
        <v>72450019.189999998</v>
      </c>
      <c r="H1368">
        <f>IFERROR([1]!s_stm07_is_105($A1368,TEXT($B$1,"yyyy/mm/dd"),1),"")</f>
        <v>83779593.620000005</v>
      </c>
      <c r="I1368">
        <f>IFERROR([1]!s_stm07_is($A1368,"W72946623",TEXT($B$1,"yyyy/mm/dd"),1),"")</f>
        <v>-137270825.06999999</v>
      </c>
      <c r="J1368">
        <f>IFERROR([1]!s_stm07_is($A1368,"W30028333",TEXT($B$1,"yyyy/mm/dd"),1),"")</f>
        <v>84408214.230000004</v>
      </c>
      <c r="K1368">
        <f>IFERROR([1]!s_stm07_cs($A1368,"W77130581",TEXT($B$1,"yyyy/mm/dd"),1),"")</f>
        <v>2134773492.03</v>
      </c>
      <c r="L1368">
        <f>IFERROR([1]!s_stm07_cs($A1368,"W77745895",TEXT($B$1,"yyyy/mm/dd"),1),"")</f>
        <v>544498158.14999998</v>
      </c>
      <c r="M1368">
        <f>IFERROR([1]!S_FA_EPS_basic2($A1368,$B$1,"Cur=CNY"),"")</f>
        <v>0.02</v>
      </c>
      <c r="N1368">
        <f>IFERROR([1]!s_fa_arturndays($A1368,TEXT($B$1,"yyyy/mm/dd")),"")</f>
        <v>47.196399999999997</v>
      </c>
      <c r="O1368" t="str">
        <f>IFERROR([1]!fa_apturndays($A1368,TEXT($B$1,"yyyy/mm/dd")),"")</f>
        <v>Fetch...</v>
      </c>
      <c r="P1368">
        <f>IFERROR([1]!s_fa_invturndays($A1368,TEXT($B$1,"yyyy/mm/dd")),"")</f>
        <v>82.7149</v>
      </c>
    </row>
    <row r="1369" spans="1:16">
      <c r="A1369" t="s">
        <v>1382</v>
      </c>
      <c r="B1369">
        <f>IFERROR([1]!s_stm07_is($A1369,"W70156729",TEXT($B$1,"yyyy/mm/dd"),1),"")</f>
        <v>3900143090.0799999</v>
      </c>
      <c r="C1369">
        <f>IFERROR([1]!s_stm07_is($A1369,"W75682424",TEXT($B$1,"yyyy/mm/dd"),1),"")</f>
        <v>2269008344.1999998</v>
      </c>
      <c r="D1369">
        <f>IFERROR([1]!s_stm07_is($A1369,"W76031679",TEXT($B$1,"yyyy/mm/dd"),1),"")</f>
        <v>97762220.769999996</v>
      </c>
      <c r="E1369">
        <f>IFERROR([1]!s_stm07_is($A1369,"W70752487",TEXT($B$1,"yyyy/mm/dd"),1),"")</f>
        <v>440171169.95999998</v>
      </c>
      <c r="F1369">
        <f>IFERROR([1]!s_stm07_is_103($A1369,TEXT($B$1,"yyyy/mm/dd"),1),"")</f>
        <v>2727205.28</v>
      </c>
      <c r="G1369">
        <f>IFERROR([1]!s_stm07_is_104($A1369,TEXT($B$1,"yyyy/mm/dd"),1),"")</f>
        <v>805494009.69000006</v>
      </c>
      <c r="H1369">
        <f>IFERROR([1]!s_stm07_is_105($A1369,TEXT($B$1,"yyyy/mm/dd"),1),"")</f>
        <v>41038161.579999998</v>
      </c>
      <c r="I1369">
        <f>IFERROR([1]!s_stm07_is($A1369,"W72946623",TEXT($B$1,"yyyy/mm/dd"),1),"")</f>
        <v>454319442.86000001</v>
      </c>
      <c r="J1369">
        <f>IFERROR([1]!s_stm07_is($A1369,"W30028333",TEXT($B$1,"yyyy/mm/dd"),1),"")</f>
        <v>329850522.74000001</v>
      </c>
      <c r="K1369">
        <f>IFERROR([1]!s_stm07_cs($A1369,"W77130581",TEXT($B$1,"yyyy/mm/dd"),1),"")</f>
        <v>3871170747.6399999</v>
      </c>
      <c r="L1369">
        <f>IFERROR([1]!s_stm07_cs($A1369,"W77745895",TEXT($B$1,"yyyy/mm/dd"),1),"")</f>
        <v>2492976995.2199998</v>
      </c>
      <c r="M1369">
        <f>IFERROR([1]!S_FA_EPS_basic2($A1369,$B$1,"Cur=CNY"),"")</f>
        <v>0.09</v>
      </c>
      <c r="N1369">
        <f>IFERROR([1]!s_fa_arturndays($A1369,TEXT($B$1,"yyyy/mm/dd")),"")</f>
        <v>603.21720000000005</v>
      </c>
      <c r="O1369" t="str">
        <f>IFERROR([1]!fa_apturndays($A1369,TEXT($B$1,"yyyy/mm/dd")),"")</f>
        <v>Fetch...</v>
      </c>
      <c r="P1369">
        <f>IFERROR([1]!s_fa_invturndays($A1369,TEXT($B$1,"yyyy/mm/dd")),"")</f>
        <v>669.89210000000003</v>
      </c>
    </row>
    <row r="1370" spans="1:16">
      <c r="A1370" t="s">
        <v>1383</v>
      </c>
      <c r="B1370">
        <f>IFERROR([1]!s_stm07_is($A1370,"W70156729",TEXT($B$1,"yyyy/mm/dd"),1),"")</f>
        <v>10851821801.07</v>
      </c>
      <c r="C1370">
        <f>IFERROR([1]!s_stm07_is($A1370,"W75682424",TEXT($B$1,"yyyy/mm/dd"),1),"")</f>
        <v>0</v>
      </c>
      <c r="D1370">
        <f>IFERROR([1]!s_stm07_is($A1370,"W76031679",TEXT($B$1,"yyyy/mm/dd"),1),"")</f>
        <v>0</v>
      </c>
      <c r="E1370">
        <f>IFERROR([1]!s_stm07_is($A1370,"W70752487",TEXT($B$1,"yyyy/mm/dd"),1),"")</f>
        <v>5925524612.3599997</v>
      </c>
      <c r="F1370">
        <f>IFERROR([1]!s_stm07_is_103($A1370,TEXT($B$1,"yyyy/mm/dd"),1),"")</f>
        <v>0</v>
      </c>
      <c r="G1370">
        <f>IFERROR([1]!s_stm07_is_104($A1370,TEXT($B$1,"yyyy/mm/dd"),1),"")</f>
        <v>0</v>
      </c>
      <c r="H1370">
        <f>IFERROR([1]!s_stm07_is_105($A1370,TEXT($B$1,"yyyy/mm/dd"),1),"")</f>
        <v>0</v>
      </c>
      <c r="I1370">
        <f>IFERROR([1]!s_stm07_is($A1370,"W72946623",TEXT($B$1,"yyyy/mm/dd"),1),"")</f>
        <v>4678322522.8000002</v>
      </c>
      <c r="J1370">
        <f>IFERROR([1]!s_stm07_is($A1370,"W30028333",TEXT($B$1,"yyyy/mm/dd"),1),"")</f>
        <v>3724190527.9099998</v>
      </c>
      <c r="K1370">
        <f>IFERROR([1]!s_stm07_cs($A1370,"W77130581",TEXT($B$1,"yyyy/mm/dd"),1),"")</f>
        <v>13906584556.98</v>
      </c>
      <c r="L1370">
        <f>IFERROR([1]!s_stm07_cs($A1370,"W77745895",TEXT($B$1,"yyyy/mm/dd"),1),"")</f>
        <v>269133305.23000002</v>
      </c>
      <c r="M1370">
        <f>IFERROR([1]!S_FA_EPS_basic2($A1370,$B$1,"Cur=CNY"),"")</f>
        <v>0.73</v>
      </c>
      <c r="N1370">
        <f>IFERROR([1]!s_fa_arturndays($A1370,TEXT($B$1,"yyyy/mm/dd")),"")</f>
        <v>0</v>
      </c>
      <c r="O1370" t="str">
        <f>IFERROR([1]!fa_apturndays($A1370,TEXT($B$1,"yyyy/mm/dd")),"")</f>
        <v>Fetch...</v>
      </c>
      <c r="P1370">
        <f>IFERROR([1]!s_fa_invturndays($A1370,TEXT($B$1,"yyyy/mm/dd")),"")</f>
        <v>0</v>
      </c>
    </row>
    <row r="1371" spans="1:16">
      <c r="A1371" t="s">
        <v>1384</v>
      </c>
      <c r="B1371">
        <f>IFERROR([1]!s_stm07_is($A1371,"W70156729",TEXT($B$1,"yyyy/mm/dd"),1),"")</f>
        <v>15256665866.59</v>
      </c>
      <c r="C1371">
        <f>IFERROR([1]!s_stm07_is($A1371,"W75682424",TEXT($B$1,"yyyy/mm/dd"),1),"")</f>
        <v>12258946238.23</v>
      </c>
      <c r="D1371">
        <f>IFERROR([1]!s_stm07_is($A1371,"W76031679",TEXT($B$1,"yyyy/mm/dd"),1),"")</f>
        <v>62495052.280000001</v>
      </c>
      <c r="E1371">
        <f>IFERROR([1]!s_stm07_is($A1371,"W70752487",TEXT($B$1,"yyyy/mm/dd"),1),"")</f>
        <v>352672515.26999998</v>
      </c>
      <c r="F1371">
        <f>IFERROR([1]!s_stm07_is_103($A1371,TEXT($B$1,"yyyy/mm/dd"),1),"")</f>
        <v>883711835.98000002</v>
      </c>
      <c r="G1371">
        <f>IFERROR([1]!s_stm07_is_104($A1371,TEXT($B$1,"yyyy/mm/dd"),1),"")</f>
        <v>6903261.7999999998</v>
      </c>
      <c r="H1371">
        <f>IFERROR([1]!s_stm07_is_105($A1371,TEXT($B$1,"yyyy/mm/dd"),1),"")</f>
        <v>9567377.3800000008</v>
      </c>
      <c r="I1371">
        <f>IFERROR([1]!s_stm07_is($A1371,"W72946623",TEXT($B$1,"yyyy/mm/dd"),1),"")</f>
        <v>1813235585.97</v>
      </c>
      <c r="J1371">
        <f>IFERROR([1]!s_stm07_is($A1371,"W30028333",TEXT($B$1,"yyyy/mm/dd"),1),"")</f>
        <v>1624090601.0899999</v>
      </c>
      <c r="K1371">
        <f>IFERROR([1]!s_stm07_cs($A1371,"W77130581",TEXT($B$1,"yyyy/mm/dd"),1),"")</f>
        <v>2436690466.04</v>
      </c>
      <c r="L1371">
        <f>IFERROR([1]!s_stm07_cs($A1371,"W77745895",TEXT($B$1,"yyyy/mm/dd"),1),"")</f>
        <v>930969399.12</v>
      </c>
      <c r="M1371">
        <f>IFERROR([1]!S_FA_EPS_basic2($A1371,$B$1,"Cur=CNY"),"")</f>
        <v>5.7072000000000003</v>
      </c>
      <c r="N1371">
        <f>IFERROR([1]!s_fa_arturndays($A1371,TEXT($B$1,"yyyy/mm/dd")),"")</f>
        <v>106.49630000000001</v>
      </c>
      <c r="O1371" t="str">
        <f>IFERROR([1]!fa_apturndays($A1371,TEXT($B$1,"yyyy/mm/dd")),"")</f>
        <v>Fetch...</v>
      </c>
      <c r="P1371">
        <f>IFERROR([1]!s_fa_invturndays($A1371,TEXT($B$1,"yyyy/mm/dd")),"")</f>
        <v>76.415300000000002</v>
      </c>
    </row>
    <row r="1372" spans="1:16">
      <c r="A1372" t="s">
        <v>1385</v>
      </c>
      <c r="B1372">
        <f>IFERROR([1]!s_stm07_is($A1372,"W70156729",TEXT($B$1,"yyyy/mm/dd"),1),"")</f>
        <v>731108751343</v>
      </c>
      <c r="C1372">
        <f>IFERROR([1]!s_stm07_is($A1372,"W75682424",TEXT($B$1,"yyyy/mm/dd"),1),"")</f>
        <v>647975015055</v>
      </c>
      <c r="D1372">
        <f>IFERROR([1]!s_stm07_is($A1372,"W76031679",TEXT($B$1,"yyyy/mm/dd"),1),"")</f>
        <v>3299425684</v>
      </c>
      <c r="E1372">
        <f>IFERROR([1]!s_stm07_is($A1372,"W70752487",TEXT($B$1,"yyyy/mm/dd"),1),"")</f>
        <v>16175961595</v>
      </c>
      <c r="F1372">
        <f>IFERROR([1]!s_stm07_is_103($A1372,TEXT($B$1,"yyyy/mm/dd"),1),"")</f>
        <v>24703322034</v>
      </c>
      <c r="G1372">
        <f>IFERROR([1]!s_stm07_is_104($A1372,TEXT($B$1,"yyyy/mm/dd"),1),"")</f>
        <v>20672799893</v>
      </c>
      <c r="H1372">
        <f>IFERROR([1]!s_stm07_is_105($A1372,TEXT($B$1,"yyyy/mm/dd"),1),"")</f>
        <v>22845348877</v>
      </c>
      <c r="I1372">
        <f>IFERROR([1]!s_stm07_is($A1372,"W72946623",TEXT($B$1,"yyyy/mm/dd"),1),"")</f>
        <v>26978804404</v>
      </c>
      <c r="J1372">
        <f>IFERROR([1]!s_stm07_is($A1372,"W30028333",TEXT($B$1,"yyyy/mm/dd"),1),"")</f>
        <v>14751374779</v>
      </c>
      <c r="K1372">
        <f>IFERROR([1]!s_stm07_cs($A1372,"W77130581",TEXT($B$1,"yyyy/mm/dd"),1),"")</f>
        <v>15333042142</v>
      </c>
      <c r="L1372">
        <f>IFERROR([1]!s_stm07_cs($A1372,"W77745895",TEXT($B$1,"yyyy/mm/dd"),1),"")</f>
        <v>36846820737</v>
      </c>
      <c r="M1372">
        <f>IFERROR([1]!S_FA_EPS_basic2($A1372,$B$1,"Cur=CNY"),"")</f>
        <v>0.85</v>
      </c>
      <c r="N1372">
        <f>IFERROR([1]!s_fa_arturndays($A1372,TEXT($B$1,"yyyy/mm/dd")),"")</f>
        <v>72.814099999999996</v>
      </c>
      <c r="O1372" t="str">
        <f>IFERROR([1]!fa_apturndays($A1372,TEXT($B$1,"yyyy/mm/dd")),"")</f>
        <v>Fetch...</v>
      </c>
      <c r="P1372">
        <f>IFERROR([1]!s_fa_invturndays($A1372,TEXT($B$1,"yyyy/mm/dd")),"")</f>
        <v>185.1661</v>
      </c>
    </row>
    <row r="1373" spans="1:16">
      <c r="A1373" t="s">
        <v>1386</v>
      </c>
      <c r="B1373">
        <f>IFERROR([1]!s_stm07_is($A1373,"W70156729",TEXT($B$1,"yyyy/mm/dd"),1),"")</f>
        <v>8001783824.1800003</v>
      </c>
      <c r="C1373">
        <f>IFERROR([1]!s_stm07_is($A1373,"W75682424",TEXT($B$1,"yyyy/mm/dd"),1),"")</f>
        <v>6068928668.1199999</v>
      </c>
      <c r="D1373">
        <f>IFERROR([1]!s_stm07_is($A1373,"W76031679",TEXT($B$1,"yyyy/mm/dd"),1),"")</f>
        <v>680169210.85000002</v>
      </c>
      <c r="E1373">
        <f>IFERROR([1]!s_stm07_is($A1373,"W70752487",TEXT($B$1,"yyyy/mm/dd"),1),"")</f>
        <v>539851002.75</v>
      </c>
      <c r="F1373">
        <f>IFERROR([1]!s_stm07_is_103($A1373,TEXT($B$1,"yyyy/mm/dd"),1),"")</f>
        <v>22929184.649999999</v>
      </c>
      <c r="G1373">
        <f>IFERROR([1]!s_stm07_is_104($A1373,TEXT($B$1,"yyyy/mm/dd"),1),"")</f>
        <v>57625801.880000003</v>
      </c>
      <c r="H1373">
        <f>IFERROR([1]!s_stm07_is_105($A1373,TEXT($B$1,"yyyy/mm/dd"),1),"")</f>
        <v>200887404.87</v>
      </c>
      <c r="I1373">
        <f>IFERROR([1]!s_stm07_is($A1373,"W72946623",TEXT($B$1,"yyyy/mm/dd"),1),"")</f>
        <v>816527519.63999999</v>
      </c>
      <c r="J1373">
        <f>IFERROR([1]!s_stm07_is($A1373,"W30028333",TEXT($B$1,"yyyy/mm/dd"),1),"")</f>
        <v>801120216.75999999</v>
      </c>
      <c r="K1373">
        <f>IFERROR([1]!s_stm07_cs($A1373,"W77130581",TEXT($B$1,"yyyy/mm/dd"),1),"")</f>
        <v>1262511351.1900001</v>
      </c>
      <c r="L1373">
        <f>IFERROR([1]!s_stm07_cs($A1373,"W77745895",TEXT($B$1,"yyyy/mm/dd"),1),"")</f>
        <v>217679039.97999999</v>
      </c>
      <c r="M1373">
        <f>IFERROR([1]!S_FA_EPS_basic2($A1373,$B$1,"Cur=CNY"),"")</f>
        <v>0.41</v>
      </c>
      <c r="N1373">
        <f>IFERROR([1]!s_fa_arturndays($A1373,TEXT($B$1,"yyyy/mm/dd")),"")</f>
        <v>45.197699999999998</v>
      </c>
      <c r="O1373" t="str">
        <f>IFERROR([1]!fa_apturndays($A1373,TEXT($B$1,"yyyy/mm/dd")),"")</f>
        <v>Fetch...</v>
      </c>
      <c r="P1373">
        <f>IFERROR([1]!s_fa_invturndays($A1373,TEXT($B$1,"yyyy/mm/dd")),"")</f>
        <v>81.887</v>
      </c>
    </row>
    <row r="1374" spans="1:16">
      <c r="A1374" t="s">
        <v>1387</v>
      </c>
      <c r="B1374">
        <f>IFERROR([1]!s_stm07_is($A1374,"W70156729",TEXT($B$1,"yyyy/mm/dd"),1),"")</f>
        <v>50282477420</v>
      </c>
      <c r="C1374">
        <f>IFERROR([1]!s_stm07_is($A1374,"W75682424",TEXT($B$1,"yyyy/mm/dd"),1),"")</f>
        <v>41540067142</v>
      </c>
      <c r="D1374">
        <f>IFERROR([1]!s_stm07_is($A1374,"W76031679",TEXT($B$1,"yyyy/mm/dd"),1),"")</f>
        <v>3504988</v>
      </c>
      <c r="E1374">
        <f>IFERROR([1]!s_stm07_is($A1374,"W70752487",TEXT($B$1,"yyyy/mm/dd"),1),"")</f>
        <v>1067385935</v>
      </c>
      <c r="F1374">
        <f>IFERROR([1]!s_stm07_is_103($A1374,TEXT($B$1,"yyyy/mm/dd"),1),"")</f>
        <v>1501377762</v>
      </c>
      <c r="G1374">
        <f>IFERROR([1]!s_stm07_is_104($A1374,TEXT($B$1,"yyyy/mm/dd"),1),"")</f>
        <v>636403316</v>
      </c>
      <c r="H1374">
        <f>IFERROR([1]!s_stm07_is_105($A1374,TEXT($B$1,"yyyy/mm/dd"),1),"")</f>
        <v>94806686</v>
      </c>
      <c r="I1374">
        <f>IFERROR([1]!s_stm07_is($A1374,"W72946623",TEXT($B$1,"yyyy/mm/dd"),1),"")</f>
        <v>5113768683</v>
      </c>
      <c r="J1374">
        <f>IFERROR([1]!s_stm07_is($A1374,"W30028333",TEXT($B$1,"yyyy/mm/dd"),1),"")</f>
        <v>3841740965</v>
      </c>
      <c r="K1374">
        <f>IFERROR([1]!s_stm07_cs($A1374,"W77130581",TEXT($B$1,"yyyy/mm/dd"),1),"")</f>
        <v>11289935638</v>
      </c>
      <c r="L1374">
        <f>IFERROR([1]!s_stm07_cs($A1374,"W77745895",TEXT($B$1,"yyyy/mm/dd"),1),"")</f>
        <v>5890283523</v>
      </c>
      <c r="M1374">
        <f>IFERROR([1]!S_FA_EPS_basic2($A1374,$B$1,"Cur=CNY"),"")</f>
        <v>0.80510000000000004</v>
      </c>
      <c r="N1374">
        <f>IFERROR([1]!s_fa_arturndays($A1374,TEXT($B$1,"yyyy/mm/dd")),"")</f>
        <v>103.8811</v>
      </c>
      <c r="O1374" t="str">
        <f>IFERROR([1]!fa_apturndays($A1374,TEXT($B$1,"yyyy/mm/dd")),"")</f>
        <v>Fetch...</v>
      </c>
      <c r="P1374">
        <f>IFERROR([1]!s_fa_invturndays($A1374,TEXT($B$1,"yyyy/mm/dd")),"")</f>
        <v>20.8062</v>
      </c>
    </row>
    <row r="1375" spans="1:16">
      <c r="A1375" t="s">
        <v>1388</v>
      </c>
      <c r="B1375">
        <f>IFERROR([1]!s_stm07_is($A1375,"W70156729",TEXT($B$1,"yyyy/mm/dd"),1),"")</f>
        <v>11731677466.92</v>
      </c>
      <c r="C1375">
        <f>IFERROR([1]!s_stm07_is($A1375,"W75682424",TEXT($B$1,"yyyy/mm/dd"),1),"")</f>
        <v>7555178468.9700003</v>
      </c>
      <c r="D1375">
        <f>IFERROR([1]!s_stm07_is($A1375,"W76031679",TEXT($B$1,"yyyy/mm/dd"),1),"")</f>
        <v>1383001873.9400001</v>
      </c>
      <c r="E1375">
        <f>IFERROR([1]!s_stm07_is($A1375,"W70752487",TEXT($B$1,"yyyy/mm/dd"),1),"")</f>
        <v>1624855897.1600001</v>
      </c>
      <c r="F1375">
        <f>IFERROR([1]!s_stm07_is_103($A1375,TEXT($B$1,"yyyy/mm/dd"),1),"")</f>
        <v>38776229.090000004</v>
      </c>
      <c r="G1375">
        <f>IFERROR([1]!s_stm07_is_104($A1375,TEXT($B$1,"yyyy/mm/dd"),1),"")</f>
        <v>14765402.880000001</v>
      </c>
      <c r="H1375">
        <f>IFERROR([1]!s_stm07_is_105($A1375,TEXT($B$1,"yyyy/mm/dd"),1),"")</f>
        <v>236287981.87</v>
      </c>
      <c r="I1375">
        <f>IFERROR([1]!s_stm07_is($A1375,"W72946623",TEXT($B$1,"yyyy/mm/dd"),1),"")</f>
        <v>1636927123.3299999</v>
      </c>
      <c r="J1375">
        <f>IFERROR([1]!s_stm07_is($A1375,"W30028333",TEXT($B$1,"yyyy/mm/dd"),1),"")</f>
        <v>1568450497.6600001</v>
      </c>
      <c r="K1375">
        <f>IFERROR([1]!s_stm07_cs($A1375,"W77130581",TEXT($B$1,"yyyy/mm/dd"),1),"")</f>
        <v>1508458892.0599999</v>
      </c>
      <c r="L1375">
        <f>IFERROR([1]!s_stm07_cs($A1375,"W77745895",TEXT($B$1,"yyyy/mm/dd"),1),"")</f>
        <v>178961810.43000001</v>
      </c>
      <c r="M1375">
        <f>IFERROR([1]!S_FA_EPS_basic2($A1375,$B$1,"Cur=CNY"),"")</f>
        <v>1.27</v>
      </c>
      <c r="N1375">
        <f>IFERROR([1]!s_fa_arturndays($A1375,TEXT($B$1,"yyyy/mm/dd")),"")</f>
        <v>48.459400000000002</v>
      </c>
      <c r="O1375" t="str">
        <f>IFERROR([1]!fa_apturndays($A1375,TEXT($B$1,"yyyy/mm/dd")),"")</f>
        <v>Fetch...</v>
      </c>
      <c r="P1375">
        <f>IFERROR([1]!s_fa_invturndays($A1375,TEXT($B$1,"yyyy/mm/dd")),"")</f>
        <v>112.4157</v>
      </c>
    </row>
    <row r="1376" spans="1:16">
      <c r="A1376" t="s">
        <v>1389</v>
      </c>
      <c r="B1376">
        <f>IFERROR([1]!s_stm07_is($A1376,"W70156729",TEXT($B$1,"yyyy/mm/dd"),1),"")</f>
        <v>43062041486.980003</v>
      </c>
      <c r="C1376">
        <f>IFERROR([1]!s_stm07_is($A1376,"W75682424",TEXT($B$1,"yyyy/mm/dd"),1),"")</f>
        <v>22873982833.540001</v>
      </c>
      <c r="D1376">
        <f>IFERROR([1]!s_stm07_is($A1376,"W76031679",TEXT($B$1,"yyyy/mm/dd"),1),"")</f>
        <v>0</v>
      </c>
      <c r="E1376">
        <f>IFERROR([1]!s_stm07_is($A1376,"W70752487",TEXT($B$1,"yyyy/mm/dd"),1),"")</f>
        <v>829026554.59000003</v>
      </c>
      <c r="F1376">
        <f>IFERROR([1]!s_stm07_is_103($A1376,TEXT($B$1,"yyyy/mm/dd"),1),"")</f>
        <v>14809350.310000001</v>
      </c>
      <c r="G1376">
        <f>IFERROR([1]!s_stm07_is_104($A1376,TEXT($B$1,"yyyy/mm/dd"),1),"")</f>
        <v>1586157088.9300001</v>
      </c>
      <c r="H1376">
        <f>IFERROR([1]!s_stm07_is_105($A1376,TEXT($B$1,"yyyy/mm/dd"),1),"")</f>
        <v>179177435.49000001</v>
      </c>
      <c r="I1376">
        <f>IFERROR([1]!s_stm07_is($A1376,"W72946623",TEXT($B$1,"yyyy/mm/dd"),1),"")</f>
        <v>17673441706.619999</v>
      </c>
      <c r="J1376">
        <f>IFERROR([1]!s_stm07_is($A1376,"W30028333",TEXT($B$1,"yyyy/mm/dd"),1),"")</f>
        <v>13171912357.24</v>
      </c>
      <c r="K1376">
        <f>IFERROR([1]!s_stm07_cs($A1376,"W77130581",TEXT($B$1,"yyyy/mm/dd"),1),"")</f>
        <v>21204669893.360001</v>
      </c>
      <c r="L1376">
        <f>IFERROR([1]!s_stm07_cs($A1376,"W77745895",TEXT($B$1,"yyyy/mm/dd"),1),"")</f>
        <v>754759968.30999994</v>
      </c>
      <c r="M1376">
        <f>IFERROR([1]!S_FA_EPS_basic2($A1376,$B$1,"Cur=CNY"),"")</f>
        <v>0.26900000000000002</v>
      </c>
      <c r="N1376">
        <f>IFERROR([1]!s_fa_arturndays($A1376,TEXT($B$1,"yyyy/mm/dd")),"")</f>
        <v>9.6734000000000009</v>
      </c>
      <c r="O1376" t="str">
        <f>IFERROR([1]!fa_apturndays($A1376,TEXT($B$1,"yyyy/mm/dd")),"")</f>
        <v>Fetch...</v>
      </c>
      <c r="P1376">
        <f>IFERROR([1]!s_fa_invturndays($A1376,TEXT($B$1,"yyyy/mm/dd")),"")</f>
        <v>0</v>
      </c>
    </row>
    <row r="1377" spans="1:16">
      <c r="A1377" t="s">
        <v>1390</v>
      </c>
      <c r="B1377">
        <f>IFERROR([1]!s_stm07_is($A1377,"W70156729",TEXT($B$1,"yyyy/mm/dd"),1),"")</f>
        <v>126311000000</v>
      </c>
      <c r="C1377">
        <f>IFERROR([1]!s_stm07_is($A1377,"W75682424",TEXT($B$1,"yyyy/mm/dd"),1),"")</f>
        <v>0</v>
      </c>
      <c r="D1377">
        <f>IFERROR([1]!s_stm07_is($A1377,"W76031679",TEXT($B$1,"yyyy/mm/dd"),1),"")</f>
        <v>0</v>
      </c>
      <c r="E1377">
        <f>IFERROR([1]!s_stm07_is($A1377,"W70752487",TEXT($B$1,"yyyy/mm/dd"),1),"")</f>
        <v>36800000000</v>
      </c>
      <c r="F1377">
        <f>IFERROR([1]!s_stm07_is_103($A1377,TEXT($B$1,"yyyy/mm/dd"),1),"")</f>
        <v>0</v>
      </c>
      <c r="G1377">
        <f>IFERROR([1]!s_stm07_is_104($A1377,TEXT($B$1,"yyyy/mm/dd"),1),"")</f>
        <v>0</v>
      </c>
      <c r="H1377">
        <f>IFERROR([1]!s_stm07_is_105($A1377,TEXT($B$1,"yyyy/mm/dd"),1),"")</f>
        <v>0</v>
      </c>
      <c r="I1377">
        <f>IFERROR([1]!s_stm07_is($A1377,"W72946623",TEXT($B$1,"yyyy/mm/dd"),1),"")</f>
        <v>49687000000</v>
      </c>
      <c r="J1377">
        <f>IFERROR([1]!s_stm07_is($A1377,"W30028333",TEXT($B$1,"yyyy/mm/dd"),1),"")</f>
        <v>38826000000</v>
      </c>
      <c r="K1377">
        <f>IFERROR([1]!s_stm07_cs($A1377,"W77130581",TEXT($B$1,"yyyy/mm/dd"),1),"")</f>
        <v>162907000000</v>
      </c>
      <c r="L1377">
        <f>IFERROR([1]!s_stm07_cs($A1377,"W77745895",TEXT($B$1,"yyyy/mm/dd"),1),"")</f>
        <v>7512000000</v>
      </c>
      <c r="M1377">
        <f>IFERROR([1]!S_FA_EPS_basic2($A1377,$B$1,"Cur=CNY"),"")</f>
        <v>0.57999999999999996</v>
      </c>
      <c r="N1377">
        <f>IFERROR([1]!s_fa_arturndays($A1377,TEXT($B$1,"yyyy/mm/dd")),"")</f>
        <v>0</v>
      </c>
      <c r="O1377" t="str">
        <f>IFERROR([1]!fa_apturndays($A1377,TEXT($B$1,"yyyy/mm/dd")),"")</f>
        <v>Fetch...</v>
      </c>
      <c r="P1377">
        <f>IFERROR([1]!s_fa_invturndays($A1377,TEXT($B$1,"yyyy/mm/dd")),"")</f>
        <v>0</v>
      </c>
    </row>
    <row r="1378" spans="1:16">
      <c r="A1378" t="s">
        <v>1391</v>
      </c>
      <c r="B1378">
        <f>IFERROR([1]!s_stm07_is($A1378,"W70156729",TEXT($B$1,"yyyy/mm/dd"),1),"")</f>
        <v>25870489000</v>
      </c>
      <c r="C1378">
        <f>IFERROR([1]!s_stm07_is($A1378,"W75682424",TEXT($B$1,"yyyy/mm/dd"),1),"")</f>
        <v>0</v>
      </c>
      <c r="D1378">
        <f>IFERROR([1]!s_stm07_is($A1378,"W76031679",TEXT($B$1,"yyyy/mm/dd"),1),"")</f>
        <v>0</v>
      </c>
      <c r="E1378">
        <f>IFERROR([1]!s_stm07_is($A1378,"W70752487",TEXT($B$1,"yyyy/mm/dd"),1),"")</f>
        <v>8519455000</v>
      </c>
      <c r="F1378">
        <f>IFERROR([1]!s_stm07_is_103($A1378,TEXT($B$1,"yyyy/mm/dd"),1),"")</f>
        <v>0</v>
      </c>
      <c r="G1378">
        <f>IFERROR([1]!s_stm07_is_104($A1378,TEXT($B$1,"yyyy/mm/dd"),1),"")</f>
        <v>0</v>
      </c>
      <c r="H1378">
        <f>IFERROR([1]!s_stm07_is_105($A1378,TEXT($B$1,"yyyy/mm/dd"),1),"")</f>
        <v>0</v>
      </c>
      <c r="I1378">
        <f>IFERROR([1]!s_stm07_is($A1378,"W72946623",TEXT($B$1,"yyyy/mm/dd"),1),"")</f>
        <v>14973220000</v>
      </c>
      <c r="J1378">
        <f>IFERROR([1]!s_stm07_is($A1378,"W30028333",TEXT($B$1,"yyyy/mm/dd"),1),"")</f>
        <v>12312825000</v>
      </c>
      <c r="K1378">
        <f>IFERROR([1]!s_stm07_cs($A1378,"W77130581",TEXT($B$1,"yyyy/mm/dd"),1),"")</f>
        <v>-11371368000</v>
      </c>
      <c r="L1378">
        <f>IFERROR([1]!s_stm07_cs($A1378,"W77745895",TEXT($B$1,"yyyy/mm/dd"),1),"")</f>
        <v>1085567000</v>
      </c>
      <c r="M1378">
        <f>IFERROR([1]!S_FA_EPS_basic2($A1378,$B$1,"Cur=CNY"),"")</f>
        <v>1.28</v>
      </c>
      <c r="N1378">
        <f>IFERROR([1]!s_fa_arturndays($A1378,TEXT($B$1,"yyyy/mm/dd")),"")</f>
        <v>0</v>
      </c>
      <c r="O1378" t="str">
        <f>IFERROR([1]!fa_apturndays($A1378,TEXT($B$1,"yyyy/mm/dd")),"")</f>
        <v>Fetch...</v>
      </c>
      <c r="P1378">
        <f>IFERROR([1]!s_fa_invturndays($A1378,TEXT($B$1,"yyyy/mm/dd")),"")</f>
        <v>0</v>
      </c>
    </row>
    <row r="1379" spans="1:16">
      <c r="A1379" t="s">
        <v>1392</v>
      </c>
      <c r="B1379">
        <f>IFERROR([1]!s_stm07_is($A1379,"W70156729",TEXT($B$1,"yyyy/mm/dd"),1),"")</f>
        <v>23602625000</v>
      </c>
      <c r="C1379">
        <f>IFERROR([1]!s_stm07_is($A1379,"W75682424",TEXT($B$1,"yyyy/mm/dd"),1),"")</f>
        <v>0</v>
      </c>
      <c r="D1379">
        <f>IFERROR([1]!s_stm07_is($A1379,"W76031679",TEXT($B$1,"yyyy/mm/dd"),1),"")</f>
        <v>0</v>
      </c>
      <c r="E1379">
        <f>IFERROR([1]!s_stm07_is($A1379,"W70752487",TEXT($B$1,"yyyy/mm/dd"),1),"")</f>
        <v>5600014000</v>
      </c>
      <c r="F1379">
        <f>IFERROR([1]!s_stm07_is_103($A1379,TEXT($B$1,"yyyy/mm/dd"),1),"")</f>
        <v>0</v>
      </c>
      <c r="G1379">
        <f>IFERROR([1]!s_stm07_is_104($A1379,TEXT($B$1,"yyyy/mm/dd"),1),"")</f>
        <v>0</v>
      </c>
      <c r="H1379">
        <f>IFERROR([1]!s_stm07_is_105($A1379,TEXT($B$1,"yyyy/mm/dd"),1),"")</f>
        <v>0</v>
      </c>
      <c r="I1379">
        <f>IFERROR([1]!s_stm07_is($A1379,"W72946623",TEXT($B$1,"yyyy/mm/dd"),1),"")</f>
        <v>15667907000</v>
      </c>
      <c r="J1379">
        <f>IFERROR([1]!s_stm07_is($A1379,"W30028333",TEXT($B$1,"yyyy/mm/dd"),1),"")</f>
        <v>13283492000</v>
      </c>
      <c r="K1379">
        <f>IFERROR([1]!s_stm07_cs($A1379,"W77130581",TEXT($B$1,"yyyy/mm/dd"),1),"")</f>
        <v>74859801000</v>
      </c>
      <c r="L1379">
        <f>IFERROR([1]!s_stm07_cs($A1379,"W77745895",TEXT($B$1,"yyyy/mm/dd"),1),"")</f>
        <v>477987000</v>
      </c>
      <c r="M1379">
        <f>IFERROR([1]!S_FA_EPS_basic2($A1379,$B$1,"Cur=CNY"),"")</f>
        <v>3.07</v>
      </c>
      <c r="N1379">
        <f>IFERROR([1]!s_fa_arturndays($A1379,TEXT($B$1,"yyyy/mm/dd")),"")</f>
        <v>0</v>
      </c>
      <c r="O1379" t="str">
        <f>IFERROR([1]!fa_apturndays($A1379,TEXT($B$1,"yyyy/mm/dd")),"")</f>
        <v>Fetch...</v>
      </c>
      <c r="P1379">
        <f>IFERROR([1]!s_fa_invturndays($A1379,TEXT($B$1,"yyyy/mm/dd")),"")</f>
        <v>0</v>
      </c>
    </row>
    <row r="1380" spans="1:16">
      <c r="A1380" t="s">
        <v>1393</v>
      </c>
      <c r="B1380">
        <f>IFERROR([1]!s_stm07_is($A1380,"W70156729",TEXT($B$1,"yyyy/mm/dd"),1),"")</f>
        <v>2864469000000</v>
      </c>
      <c r="C1380">
        <f>IFERROR([1]!s_stm07_is($A1380,"W75682424",TEXT($B$1,"yyyy/mm/dd"),1),"")</f>
        <v>2246121000000</v>
      </c>
      <c r="D1380">
        <f>IFERROR([1]!s_stm07_is($A1380,"W76031679",TEXT($B$1,"yyyy/mm/dd"),1),"")</f>
        <v>60291000000</v>
      </c>
      <c r="E1380">
        <f>IFERROR([1]!s_stm07_is($A1380,"W70752487",TEXT($B$1,"yyyy/mm/dd"),1),"")</f>
        <v>69122000000</v>
      </c>
      <c r="F1380">
        <f>IFERROR([1]!s_stm07_is_103($A1380,TEXT($B$1,"yyyy/mm/dd"),1),"")</f>
        <v>23552000000</v>
      </c>
      <c r="G1380">
        <f>IFERROR([1]!s_stm07_is_104($A1380,TEXT($B$1,"yyyy/mm/dd"),1),"")</f>
        <v>17567000000</v>
      </c>
      <c r="H1380">
        <f>IFERROR([1]!s_stm07_is_105($A1380,TEXT($B$1,"yyyy/mm/dd"),1),"")</f>
        <v>7760000000</v>
      </c>
      <c r="I1380">
        <f>IFERROR([1]!s_stm07_is($A1380,"W72946623",TEXT($B$1,"yyyy/mm/dd"),1),"")</f>
        <v>226149000000</v>
      </c>
      <c r="J1380">
        <f>IFERROR([1]!s_stm07_is($A1380,"W30028333",TEXT($B$1,"yyyy/mm/dd"),1),"")</f>
        <v>157302000000</v>
      </c>
      <c r="K1380">
        <f>IFERROR([1]!s_stm07_cs($A1380,"W77130581",TEXT($B$1,"yyyy/mm/dd"),1),"")</f>
        <v>412510000000</v>
      </c>
      <c r="L1380">
        <f>IFERROR([1]!s_stm07_cs($A1380,"W77745895",TEXT($B$1,"yyyy/mm/dd"),1),"")</f>
        <v>292789000000</v>
      </c>
      <c r="M1380">
        <f>IFERROR([1]!S_FA_EPS_basic2($A1380,$B$1,"Cur=CNY"),"")</f>
        <v>0.86</v>
      </c>
      <c r="N1380">
        <f>IFERROR([1]!s_fa_arturndays($A1380,TEXT($B$1,"yyyy/mm/dd")),"")</f>
        <v>9.3969000000000005</v>
      </c>
      <c r="O1380" t="str">
        <f>IFERROR([1]!fa_apturndays($A1380,TEXT($B$1,"yyyy/mm/dd")),"")</f>
        <v>Fetch...</v>
      </c>
      <c r="P1380">
        <f>IFERROR([1]!s_fa_invturndays($A1380,TEXT($B$1,"yyyy/mm/dd")),"")</f>
        <v>25.555299999999999</v>
      </c>
    </row>
    <row r="1381" spans="1:16">
      <c r="A1381" t="s">
        <v>1394</v>
      </c>
      <c r="B1381">
        <f>IFERROR([1]!s_stm07_is($A1381,"W70156729",TEXT($B$1,"yyyy/mm/dd"),1),"")</f>
        <v>3012567854.1399999</v>
      </c>
      <c r="C1381">
        <f>IFERROR([1]!s_stm07_is($A1381,"W75682424",TEXT($B$1,"yyyy/mm/dd"),1),"")</f>
        <v>2206870114.5900002</v>
      </c>
      <c r="D1381">
        <f>IFERROR([1]!s_stm07_is($A1381,"W76031679",TEXT($B$1,"yyyy/mm/dd"),1),"")</f>
        <v>151848082.69999999</v>
      </c>
      <c r="E1381">
        <f>IFERROR([1]!s_stm07_is($A1381,"W70752487",TEXT($B$1,"yyyy/mm/dd"),1),"")</f>
        <v>263783274</v>
      </c>
      <c r="F1381">
        <f>IFERROR([1]!s_stm07_is_103($A1381,TEXT($B$1,"yyyy/mm/dd"),1),"")</f>
        <v>3324141.19</v>
      </c>
      <c r="G1381">
        <f>IFERROR([1]!s_stm07_is_104($A1381,TEXT($B$1,"yyyy/mm/dd"),1),"")</f>
        <v>1023361.87</v>
      </c>
      <c r="H1381">
        <f>IFERROR([1]!s_stm07_is_105($A1381,TEXT($B$1,"yyyy/mm/dd"),1),"")</f>
        <v>103773302.31999999</v>
      </c>
      <c r="I1381">
        <f>IFERROR([1]!s_stm07_is($A1381,"W72946623",TEXT($B$1,"yyyy/mm/dd"),1),"")</f>
        <v>509856416.17000002</v>
      </c>
      <c r="J1381">
        <f>IFERROR([1]!s_stm07_is($A1381,"W30028333",TEXT($B$1,"yyyy/mm/dd"),1),"")</f>
        <v>483918061.30000001</v>
      </c>
      <c r="K1381">
        <f>IFERROR([1]!s_stm07_cs($A1381,"W77130581",TEXT($B$1,"yyyy/mm/dd"),1),"")</f>
        <v>592085959.85000002</v>
      </c>
      <c r="L1381">
        <f>IFERROR([1]!s_stm07_cs($A1381,"W77745895",TEXT($B$1,"yyyy/mm/dd"),1),"")</f>
        <v>42780052.479999997</v>
      </c>
      <c r="M1381">
        <f>IFERROR([1]!S_FA_EPS_basic2($A1381,$B$1,"Cur=CNY"),"")</f>
        <v>0.61</v>
      </c>
      <c r="N1381">
        <f>IFERROR([1]!s_fa_arturndays($A1381,TEXT($B$1,"yyyy/mm/dd")),"")</f>
        <v>16.7697</v>
      </c>
      <c r="O1381" t="str">
        <f>IFERROR([1]!fa_apturndays($A1381,TEXT($B$1,"yyyy/mm/dd")),"")</f>
        <v>Fetch...</v>
      </c>
      <c r="P1381">
        <f>IFERROR([1]!s_fa_invturndays($A1381,TEXT($B$1,"yyyy/mm/dd")),"")</f>
        <v>81.636399999999995</v>
      </c>
    </row>
    <row r="1382" spans="1:16">
      <c r="A1382" t="s">
        <v>1395</v>
      </c>
      <c r="B1382">
        <f>IFERROR([1]!s_stm07_is($A1382,"W70156729",TEXT($B$1,"yyyy/mm/dd"),1),"")</f>
        <v>4118290000</v>
      </c>
      <c r="C1382">
        <f>IFERROR([1]!s_stm07_is($A1382,"W75682424",TEXT($B$1,"yyyy/mm/dd"),1),"")</f>
        <v>0</v>
      </c>
      <c r="D1382">
        <f>IFERROR([1]!s_stm07_is($A1382,"W76031679",TEXT($B$1,"yyyy/mm/dd"),1),"")</f>
        <v>0</v>
      </c>
      <c r="E1382">
        <f>IFERROR([1]!s_stm07_is($A1382,"W70752487",TEXT($B$1,"yyyy/mm/dd"),1),"")</f>
        <v>1512694000</v>
      </c>
      <c r="F1382">
        <f>IFERROR([1]!s_stm07_is_103($A1382,TEXT($B$1,"yyyy/mm/dd"),1),"")</f>
        <v>0</v>
      </c>
      <c r="G1382">
        <f>IFERROR([1]!s_stm07_is_104($A1382,TEXT($B$1,"yyyy/mm/dd"),1),"")</f>
        <v>0</v>
      </c>
      <c r="H1382">
        <f>IFERROR([1]!s_stm07_is_105($A1382,TEXT($B$1,"yyyy/mm/dd"),1),"")</f>
        <v>0</v>
      </c>
      <c r="I1382">
        <f>IFERROR([1]!s_stm07_is($A1382,"W72946623",TEXT($B$1,"yyyy/mm/dd"),1),"")</f>
        <v>1428278000</v>
      </c>
      <c r="J1382">
        <f>IFERROR([1]!s_stm07_is($A1382,"W30028333",TEXT($B$1,"yyyy/mm/dd"),1),"")</f>
        <v>1244457000</v>
      </c>
      <c r="K1382">
        <f>IFERROR([1]!s_stm07_cs($A1382,"W77130581",TEXT($B$1,"yyyy/mm/dd"),1),"")</f>
        <v>18481024000</v>
      </c>
      <c r="L1382">
        <f>IFERROR([1]!s_stm07_cs($A1382,"W77745895",TEXT($B$1,"yyyy/mm/dd"),1),"")</f>
        <v>43944000</v>
      </c>
      <c r="M1382">
        <f>IFERROR([1]!S_FA_EPS_basic2($A1382,$B$1,"Cur=CNY"),"")</f>
        <v>0.34</v>
      </c>
      <c r="N1382">
        <f>IFERROR([1]!s_fa_arturndays($A1382,TEXT($B$1,"yyyy/mm/dd")),"")</f>
        <v>0</v>
      </c>
      <c r="O1382" t="str">
        <f>IFERROR([1]!fa_apturndays($A1382,TEXT($B$1,"yyyy/mm/dd")),"")</f>
        <v>Fetch...</v>
      </c>
      <c r="P1382">
        <f>IFERROR([1]!s_fa_invturndays($A1382,TEXT($B$1,"yyyy/mm/dd")),"")</f>
        <v>0</v>
      </c>
    </row>
    <row r="1383" spans="1:16">
      <c r="A1383" t="s">
        <v>1396</v>
      </c>
      <c r="B1383">
        <f>IFERROR([1]!s_stm07_is($A1383,"W70156729",TEXT($B$1,"yyyy/mm/dd"),1),"")</f>
        <v>15566788573.360001</v>
      </c>
      <c r="C1383">
        <f>IFERROR([1]!s_stm07_is($A1383,"W75682424",TEXT($B$1,"yyyy/mm/dd"),1),"")</f>
        <v>12934724797.629999</v>
      </c>
      <c r="D1383">
        <f>IFERROR([1]!s_stm07_is($A1383,"W76031679",TEXT($B$1,"yyyy/mm/dd"),1),"")</f>
        <v>69465428.930000007</v>
      </c>
      <c r="E1383">
        <f>IFERROR([1]!s_stm07_is($A1383,"W70752487",TEXT($B$1,"yyyy/mm/dd"),1),"")</f>
        <v>336100941.29000002</v>
      </c>
      <c r="F1383">
        <f>IFERROR([1]!s_stm07_is_103($A1383,TEXT($B$1,"yyyy/mm/dd"),1),"")</f>
        <v>430683427.95999998</v>
      </c>
      <c r="G1383">
        <f>IFERROR([1]!s_stm07_is_104($A1383,TEXT($B$1,"yyyy/mm/dd"),1),"")</f>
        <v>514688309.56</v>
      </c>
      <c r="H1383">
        <f>IFERROR([1]!s_stm07_is_105($A1383,TEXT($B$1,"yyyy/mm/dd"),1),"")</f>
        <v>78544869.159999996</v>
      </c>
      <c r="I1383">
        <f>IFERROR([1]!s_stm07_is($A1383,"W72946623",TEXT($B$1,"yyyy/mm/dd"),1),"")</f>
        <v>1080235744.3499999</v>
      </c>
      <c r="J1383">
        <f>IFERROR([1]!s_stm07_is($A1383,"W30028333",TEXT($B$1,"yyyy/mm/dd"),1),"")</f>
        <v>980574130.35000002</v>
      </c>
      <c r="K1383">
        <f>IFERROR([1]!s_stm07_cs($A1383,"W77130581",TEXT($B$1,"yyyy/mm/dd"),1),"")</f>
        <v>2911113956.3200002</v>
      </c>
      <c r="L1383">
        <f>IFERROR([1]!s_stm07_cs($A1383,"W77745895",TEXT($B$1,"yyyy/mm/dd"),1),"")</f>
        <v>2879537781.5</v>
      </c>
      <c r="M1383">
        <f>IFERROR([1]!S_FA_EPS_basic2($A1383,$B$1,"Cur=CNY"),"")</f>
        <v>0.42</v>
      </c>
      <c r="N1383">
        <f>IFERROR([1]!s_fa_arturndays($A1383,TEXT($B$1,"yyyy/mm/dd")),"")</f>
        <v>58.092599999999997</v>
      </c>
      <c r="O1383" t="str">
        <f>IFERROR([1]!fa_apturndays($A1383,TEXT($B$1,"yyyy/mm/dd")),"")</f>
        <v>Fetch...</v>
      </c>
      <c r="P1383">
        <f>IFERROR([1]!s_fa_invturndays($A1383,TEXT($B$1,"yyyy/mm/dd")),"")</f>
        <v>48.260599999999997</v>
      </c>
    </row>
    <row r="1384" spans="1:16">
      <c r="A1384" t="s">
        <v>1397</v>
      </c>
      <c r="B1384">
        <f>IFERROR([1]!s_stm07_is($A1384,"W70156729",TEXT($B$1,"yyyy/mm/dd"),1),"")</f>
        <v>25200749650.139999</v>
      </c>
      <c r="C1384">
        <f>IFERROR([1]!s_stm07_is($A1384,"W75682424",TEXT($B$1,"yyyy/mm/dd"),1),"")</f>
        <v>20366847324.52</v>
      </c>
      <c r="D1384">
        <f>IFERROR([1]!s_stm07_is($A1384,"W76031679",TEXT($B$1,"yyyy/mm/dd"),1),"")</f>
        <v>8690583.1199999992</v>
      </c>
      <c r="E1384">
        <f>IFERROR([1]!s_stm07_is($A1384,"W70752487",TEXT($B$1,"yyyy/mm/dd"),1),"")</f>
        <v>1162229101.3699999</v>
      </c>
      <c r="F1384">
        <f>IFERROR([1]!s_stm07_is_103($A1384,TEXT($B$1,"yyyy/mm/dd"),1),"")</f>
        <v>39036541.359999999</v>
      </c>
      <c r="G1384">
        <f>IFERROR([1]!s_stm07_is_104($A1384,TEXT($B$1,"yyyy/mm/dd"),1),"")</f>
        <v>3624267931.8099999</v>
      </c>
      <c r="H1384">
        <f>IFERROR([1]!s_stm07_is_105($A1384,TEXT($B$1,"yyyy/mm/dd"),1),"")</f>
        <v>118523016.86</v>
      </c>
      <c r="I1384">
        <f>IFERROR([1]!s_stm07_is($A1384,"W72946623",TEXT($B$1,"yyyy/mm/dd"),1),"")</f>
        <v>2067090069.27</v>
      </c>
      <c r="J1384">
        <f>IFERROR([1]!s_stm07_is($A1384,"W30028333",TEXT($B$1,"yyyy/mm/dd"),1),"")</f>
        <v>1609401085.3299999</v>
      </c>
      <c r="K1384">
        <f>IFERROR([1]!s_stm07_cs($A1384,"W77130581",TEXT($B$1,"yyyy/mm/dd"),1),"")</f>
        <v>5188417388.2200003</v>
      </c>
      <c r="L1384">
        <f>IFERROR([1]!s_stm07_cs($A1384,"W77745895",TEXT($B$1,"yyyy/mm/dd"),1),"")</f>
        <v>9634578960.7900009</v>
      </c>
      <c r="M1384">
        <f>IFERROR([1]!S_FA_EPS_basic2($A1384,$B$1,"Cur=CNY"),"")</f>
        <v>0.12139999999999999</v>
      </c>
      <c r="N1384">
        <f>IFERROR([1]!s_fa_arturndays($A1384,TEXT($B$1,"yyyy/mm/dd")),"")</f>
        <v>33.005699999999997</v>
      </c>
      <c r="O1384" t="str">
        <f>IFERROR([1]!fa_apturndays($A1384,TEXT($B$1,"yyyy/mm/dd")),"")</f>
        <v>Fetch...</v>
      </c>
      <c r="P1384">
        <f>IFERROR([1]!s_fa_invturndays($A1384,TEXT($B$1,"yyyy/mm/dd")),"")</f>
        <v>45.514899999999997</v>
      </c>
    </row>
    <row r="1385" spans="1:16">
      <c r="A1385" t="s">
        <v>1398</v>
      </c>
      <c r="B1385">
        <f>IFERROR([1]!s_stm07_is($A1385,"W70156729",TEXT($B$1,"yyyy/mm/dd"),1),"")</f>
        <v>452929608000</v>
      </c>
      <c r="C1385">
        <f>IFERROR([1]!s_stm07_is($A1385,"W75682424",TEXT($B$1,"yyyy/mm/dd"),1),"")</f>
        <v>397710514000</v>
      </c>
      <c r="D1385">
        <f>IFERROR([1]!s_stm07_is($A1385,"W76031679",TEXT($B$1,"yyyy/mm/dd"),1),"")</f>
        <v>2386524000</v>
      </c>
      <c r="E1385">
        <f>IFERROR([1]!s_stm07_is($A1385,"W70752487",TEXT($B$1,"yyyy/mm/dd"),1),"")</f>
        <v>13723418000</v>
      </c>
      <c r="F1385">
        <f>IFERROR([1]!s_stm07_is_103($A1385,TEXT($B$1,"yyyy/mm/dd"),1),"")</f>
        <v>14748909000</v>
      </c>
      <c r="G1385">
        <f>IFERROR([1]!s_stm07_is_104($A1385,TEXT($B$1,"yyyy/mm/dd"),1),"")</f>
        <v>6954227000</v>
      </c>
      <c r="H1385">
        <f>IFERROR([1]!s_stm07_is_105($A1385,TEXT($B$1,"yyyy/mm/dd"),1),"")</f>
        <v>1352402000</v>
      </c>
      <c r="I1385">
        <f>IFERROR([1]!s_stm07_is($A1385,"W72946623",TEXT($B$1,"yyyy/mm/dd"),1),"")</f>
        <v>13394532000</v>
      </c>
      <c r="J1385">
        <f>IFERROR([1]!s_stm07_is($A1385,"W30028333",TEXT($B$1,"yyyy/mm/dd"),1),"")</f>
        <v>5840294000</v>
      </c>
      <c r="K1385">
        <f>IFERROR([1]!s_stm07_cs($A1385,"W77130581",TEXT($B$1,"yyyy/mm/dd"),1),"")</f>
        <v>11549705000</v>
      </c>
      <c r="L1385">
        <f>IFERROR([1]!s_stm07_cs($A1385,"W77745895",TEXT($B$1,"yyyy/mm/dd"),1),"")</f>
        <v>41681060000</v>
      </c>
      <c r="M1385">
        <f>IFERROR([1]!S_FA_EPS_basic2($A1385,$B$1,"Cur=CNY"),"")</f>
        <v>0.13</v>
      </c>
      <c r="N1385">
        <f>IFERROR([1]!s_fa_arturndays($A1385,TEXT($B$1,"yyyy/mm/dd")),"")</f>
        <v>67.827299999999994</v>
      </c>
      <c r="O1385" t="str">
        <f>IFERROR([1]!fa_apturndays($A1385,TEXT($B$1,"yyyy/mm/dd")),"")</f>
        <v>Fetch...</v>
      </c>
      <c r="P1385">
        <f>IFERROR([1]!s_fa_invturndays($A1385,TEXT($B$1,"yyyy/mm/dd")),"")</f>
        <v>165.5934</v>
      </c>
    </row>
    <row r="1386" spans="1:16">
      <c r="A1386" t="s">
        <v>1399</v>
      </c>
      <c r="B1386">
        <f>IFERROR([1]!s_stm07_is($A1386,"W70156729",TEXT($B$1,"yyyy/mm/dd"),1),"")</f>
        <v>14252103033</v>
      </c>
      <c r="C1386">
        <f>IFERROR([1]!s_stm07_is($A1386,"W75682424",TEXT($B$1,"yyyy/mm/dd"),1),"")</f>
        <v>9871784902</v>
      </c>
      <c r="D1386">
        <f>IFERROR([1]!s_stm07_is($A1386,"W76031679",TEXT($B$1,"yyyy/mm/dd"),1),"")</f>
        <v>586433693</v>
      </c>
      <c r="E1386">
        <f>IFERROR([1]!s_stm07_is($A1386,"W70752487",TEXT($B$1,"yyyy/mm/dd"),1),"")</f>
        <v>1164172377</v>
      </c>
      <c r="F1386">
        <f>IFERROR([1]!s_stm07_is_103($A1386,TEXT($B$1,"yyyy/mm/dd"),1),"")</f>
        <v>894327738</v>
      </c>
      <c r="G1386">
        <f>IFERROR([1]!s_stm07_is_104($A1386,TEXT($B$1,"yyyy/mm/dd"),1),"")</f>
        <v>271771601</v>
      </c>
      <c r="H1386">
        <f>IFERROR([1]!s_stm07_is_105($A1386,TEXT($B$1,"yyyy/mm/dd"),1),"")</f>
        <v>74057349</v>
      </c>
      <c r="I1386">
        <f>IFERROR([1]!s_stm07_is($A1386,"W72946623",TEXT($B$1,"yyyy/mm/dd"),1),"")</f>
        <v>1145143476</v>
      </c>
      <c r="J1386">
        <f>IFERROR([1]!s_stm07_is($A1386,"W30028333",TEXT($B$1,"yyyy/mm/dd"),1),"")</f>
        <v>813737266</v>
      </c>
      <c r="K1386">
        <f>IFERROR([1]!s_stm07_cs($A1386,"W77130581",TEXT($B$1,"yyyy/mm/dd"),1),"")</f>
        <v>3652897527</v>
      </c>
      <c r="L1386">
        <f>IFERROR([1]!s_stm07_cs($A1386,"W77745895",TEXT($B$1,"yyyy/mm/dd"),1),"")</f>
        <v>1422249128</v>
      </c>
      <c r="M1386">
        <f>IFERROR([1]!S_FA_EPS_basic2($A1386,$B$1,"Cur=CNY"),"")</f>
        <v>1.07</v>
      </c>
      <c r="N1386">
        <f>IFERROR([1]!s_fa_arturndays($A1386,TEXT($B$1,"yyyy/mm/dd")),"")</f>
        <v>141.60409999999999</v>
      </c>
      <c r="O1386" t="str">
        <f>IFERROR([1]!fa_apturndays($A1386,TEXT($B$1,"yyyy/mm/dd")),"")</f>
        <v>Fetch...</v>
      </c>
      <c r="P1386">
        <f>IFERROR([1]!s_fa_invturndays($A1386,TEXT($B$1,"yyyy/mm/dd")),"")</f>
        <v>115.4068</v>
      </c>
    </row>
    <row r="1387" spans="1:16">
      <c r="A1387" t="s">
        <v>1400</v>
      </c>
      <c r="B1387">
        <f>IFERROR([1]!s_stm07_is($A1387,"W70156729",TEXT($B$1,"yyyy/mm/dd"),1),"")</f>
        <v>28177211131.950001</v>
      </c>
      <c r="C1387">
        <f>IFERROR([1]!s_stm07_is($A1387,"W75682424",TEXT($B$1,"yyyy/mm/dd"),1),"")</f>
        <v>20717507250.470001</v>
      </c>
      <c r="D1387">
        <f>IFERROR([1]!s_stm07_is($A1387,"W76031679",TEXT($B$1,"yyyy/mm/dd"),1),"")</f>
        <v>113835157.63</v>
      </c>
      <c r="E1387">
        <f>IFERROR([1]!s_stm07_is($A1387,"W70752487",TEXT($B$1,"yyyy/mm/dd"),1),"")</f>
        <v>976123179.32000005</v>
      </c>
      <c r="F1387">
        <f>IFERROR([1]!s_stm07_is_103($A1387,TEXT($B$1,"yyyy/mm/dd"),1),"")</f>
        <v>27580622.370000001</v>
      </c>
      <c r="G1387">
        <f>IFERROR([1]!s_stm07_is_104($A1387,TEXT($B$1,"yyyy/mm/dd"),1),"")</f>
        <v>1133226150.74</v>
      </c>
      <c r="H1387">
        <f>IFERROR([1]!s_stm07_is_105($A1387,TEXT($B$1,"yyyy/mm/dd"),1),"")</f>
        <v>113948948.73</v>
      </c>
      <c r="I1387">
        <f>IFERROR([1]!s_stm07_is($A1387,"W72946623",TEXT($B$1,"yyyy/mm/dd"),1),"")</f>
        <v>6874638414.3000002</v>
      </c>
      <c r="J1387">
        <f>IFERROR([1]!s_stm07_is($A1387,"W30028333",TEXT($B$1,"yyyy/mm/dd"),1),"")</f>
        <v>6012096267.9700003</v>
      </c>
      <c r="K1387">
        <f>IFERROR([1]!s_stm07_cs($A1387,"W77130581",TEXT($B$1,"yyyy/mm/dd"),1),"")</f>
        <v>9054927611.2999992</v>
      </c>
      <c r="L1387">
        <f>IFERROR([1]!s_stm07_cs($A1387,"W77745895",TEXT($B$1,"yyyy/mm/dd"),1),"")</f>
        <v>7796879055.4200001</v>
      </c>
      <c r="M1387">
        <f>IFERROR([1]!S_FA_EPS_basic2($A1387,$B$1,"Cur=CNY"),"")</f>
        <v>0.74</v>
      </c>
      <c r="N1387">
        <f>IFERROR([1]!s_fa_arturndays($A1387,TEXT($B$1,"yyyy/mm/dd")),"")</f>
        <v>16.184100000000001</v>
      </c>
      <c r="O1387" t="str">
        <f>IFERROR([1]!fa_apturndays($A1387,TEXT($B$1,"yyyy/mm/dd")),"")</f>
        <v>Fetch...</v>
      </c>
      <c r="P1387">
        <f>IFERROR([1]!s_fa_invturndays($A1387,TEXT($B$1,"yyyy/mm/dd")),"")</f>
        <v>50.998699999999999</v>
      </c>
    </row>
    <row r="1388" spans="1:16">
      <c r="A1388" t="s">
        <v>1401</v>
      </c>
      <c r="B1388">
        <f>IFERROR([1]!s_stm07_is($A1388,"W70156729",TEXT($B$1,"yyyy/mm/dd"),1),"")</f>
        <v>59144847908.43</v>
      </c>
      <c r="C1388">
        <f>IFERROR([1]!s_stm07_is($A1388,"W75682424",TEXT($B$1,"yyyy/mm/dd"),1),"")</f>
        <v>43765898571.919998</v>
      </c>
      <c r="D1388">
        <f>IFERROR([1]!s_stm07_is($A1388,"W76031679",TEXT($B$1,"yyyy/mm/dd"),1),"")</f>
        <v>2572341726.0999999</v>
      </c>
      <c r="E1388">
        <f>IFERROR([1]!s_stm07_is($A1388,"W70752487",TEXT($B$1,"yyyy/mm/dd"),1),"")</f>
        <v>2389306250.27</v>
      </c>
      <c r="F1388">
        <f>IFERROR([1]!s_stm07_is_103($A1388,TEXT($B$1,"yyyy/mm/dd"),1),"")</f>
        <v>1325959187.1500001</v>
      </c>
      <c r="G1388">
        <f>IFERROR([1]!s_stm07_is_104($A1388,TEXT($B$1,"yyyy/mm/dd"),1),"")</f>
        <v>1977049145.1600001</v>
      </c>
      <c r="H1388">
        <f>IFERROR([1]!s_stm07_is_105($A1388,TEXT($B$1,"yyyy/mm/dd"),1),"")</f>
        <v>129603557.73999999</v>
      </c>
      <c r="I1388">
        <f>IFERROR([1]!s_stm07_is($A1388,"W72946623",TEXT($B$1,"yyyy/mm/dd"),1),"")</f>
        <v>7612362253.4200001</v>
      </c>
      <c r="J1388">
        <f>IFERROR([1]!s_stm07_is($A1388,"W30028333",TEXT($B$1,"yyyy/mm/dd"),1),"")</f>
        <v>4501407070.0799999</v>
      </c>
      <c r="K1388">
        <f>IFERROR([1]!s_stm07_cs($A1388,"W77130581",TEXT($B$1,"yyyy/mm/dd"),1),"")</f>
        <v>23090219257.310001</v>
      </c>
      <c r="L1388">
        <f>IFERROR([1]!s_stm07_cs($A1388,"W77745895",TEXT($B$1,"yyyy/mm/dd"),1),"")</f>
        <v>1885144718.1199999</v>
      </c>
      <c r="M1388">
        <f>IFERROR([1]!S_FA_EPS_basic2($A1388,$B$1,"Cur=CNY"),"")</f>
        <v>2.1</v>
      </c>
      <c r="N1388">
        <f>IFERROR([1]!s_fa_arturndays($A1388,TEXT($B$1,"yyyy/mm/dd")),"")</f>
        <v>81.827500000000001</v>
      </c>
      <c r="O1388" t="str">
        <f>IFERROR([1]!fa_apturndays($A1388,TEXT($B$1,"yyyy/mm/dd")),"")</f>
        <v>Fetch...</v>
      </c>
      <c r="P1388">
        <f>IFERROR([1]!s_fa_invturndays($A1388,TEXT($B$1,"yyyy/mm/dd")),"")</f>
        <v>426.94499999999999</v>
      </c>
    </row>
    <row r="1389" spans="1:16">
      <c r="A1389" t="s">
        <v>1402</v>
      </c>
      <c r="B1389">
        <f>IFERROR([1]!s_stm07_is($A1389,"W70156729",TEXT($B$1,"yyyy/mm/dd"),1),"")</f>
        <v>8840865555.5900002</v>
      </c>
      <c r="C1389">
        <f>IFERROR([1]!s_stm07_is($A1389,"W75682424",TEXT($B$1,"yyyy/mm/dd"),1),"")</f>
        <v>0</v>
      </c>
      <c r="D1389">
        <f>IFERROR([1]!s_stm07_is($A1389,"W76031679",TEXT($B$1,"yyyy/mm/dd"),1),"")</f>
        <v>0</v>
      </c>
      <c r="E1389">
        <f>IFERROR([1]!s_stm07_is($A1389,"W70752487",TEXT($B$1,"yyyy/mm/dd"),1),"")</f>
        <v>5263747285.3599997</v>
      </c>
      <c r="F1389">
        <f>IFERROR([1]!s_stm07_is_103($A1389,TEXT($B$1,"yyyy/mm/dd"),1),"")</f>
        <v>0</v>
      </c>
      <c r="G1389">
        <f>IFERROR([1]!s_stm07_is_104($A1389,TEXT($B$1,"yyyy/mm/dd"),1),"")</f>
        <v>0</v>
      </c>
      <c r="H1389">
        <f>IFERROR([1]!s_stm07_is_105($A1389,TEXT($B$1,"yyyy/mm/dd"),1),"")</f>
        <v>0</v>
      </c>
      <c r="I1389">
        <f>IFERROR([1]!s_stm07_is($A1389,"W72946623",TEXT($B$1,"yyyy/mm/dd"),1),"")</f>
        <v>3460172648.9699998</v>
      </c>
      <c r="J1389">
        <f>IFERROR([1]!s_stm07_is($A1389,"W30028333",TEXT($B$1,"yyyy/mm/dd"),1),"")</f>
        <v>2412423938.6700001</v>
      </c>
      <c r="K1389">
        <f>IFERROR([1]!s_stm07_cs($A1389,"W77130581",TEXT($B$1,"yyyy/mm/dd"),1),"")</f>
        <v>-3289744751.8200002</v>
      </c>
      <c r="L1389">
        <f>IFERROR([1]!s_stm07_cs($A1389,"W77745895",TEXT($B$1,"yyyy/mm/dd"),1),"")</f>
        <v>495654434.31</v>
      </c>
      <c r="M1389">
        <f>IFERROR([1]!S_FA_EPS_basic2($A1389,$B$1,"Cur=CNY"),"")</f>
        <v>0.53</v>
      </c>
      <c r="N1389">
        <f>IFERROR([1]!s_fa_arturndays($A1389,TEXT($B$1,"yyyy/mm/dd")),"")</f>
        <v>0</v>
      </c>
      <c r="O1389" t="str">
        <f>IFERROR([1]!fa_apturndays($A1389,TEXT($B$1,"yyyy/mm/dd")),"")</f>
        <v>Fetch...</v>
      </c>
      <c r="P1389">
        <f>IFERROR([1]!s_fa_invturndays($A1389,TEXT($B$1,"yyyy/mm/dd")),"")</f>
        <v>0</v>
      </c>
    </row>
    <row r="1390" spans="1:16">
      <c r="A1390" t="s">
        <v>1403</v>
      </c>
      <c r="B1390">
        <f>IFERROR([1]!s_stm07_is($A1390,"W70156729",TEXT($B$1,"yyyy/mm/dd"),1),"")</f>
        <v>11358910887.75</v>
      </c>
      <c r="C1390">
        <f>IFERROR([1]!s_stm07_is($A1390,"W75682424",TEXT($B$1,"yyyy/mm/dd"),1),"")</f>
        <v>8108483620.3100004</v>
      </c>
      <c r="D1390">
        <f>IFERROR([1]!s_stm07_is($A1390,"W76031679",TEXT($B$1,"yyyy/mm/dd"),1),"")</f>
        <v>1261574.3400000001</v>
      </c>
      <c r="E1390">
        <f>IFERROR([1]!s_stm07_is($A1390,"W70752487",TEXT($B$1,"yyyy/mm/dd"),1),"")</f>
        <v>755284014.35000002</v>
      </c>
      <c r="F1390">
        <f>IFERROR([1]!s_stm07_is_103($A1390,TEXT($B$1,"yyyy/mm/dd"),1),"")</f>
        <v>24691685.510000002</v>
      </c>
      <c r="G1390">
        <f>IFERROR([1]!s_stm07_is_104($A1390,TEXT($B$1,"yyyy/mm/dd"),1),"")</f>
        <v>439550618.16000003</v>
      </c>
      <c r="H1390">
        <f>IFERROR([1]!s_stm07_is_105($A1390,TEXT($B$1,"yyyy/mm/dd"),1),"")</f>
        <v>52739035.899999999</v>
      </c>
      <c r="I1390">
        <f>IFERROR([1]!s_stm07_is($A1390,"W72946623",TEXT($B$1,"yyyy/mm/dd"),1),"")</f>
        <v>2173126563.5100002</v>
      </c>
      <c r="J1390">
        <f>IFERROR([1]!s_stm07_is($A1390,"W30028333",TEXT($B$1,"yyyy/mm/dd"),1),"")</f>
        <v>1306790239.4100001</v>
      </c>
      <c r="K1390">
        <f>IFERROR([1]!s_stm07_cs($A1390,"W77130581",TEXT($B$1,"yyyy/mm/dd"),1),"")</f>
        <v>5678072884.7200003</v>
      </c>
      <c r="L1390">
        <f>IFERROR([1]!s_stm07_cs($A1390,"W77745895",TEXT($B$1,"yyyy/mm/dd"),1),"")</f>
        <v>490464053.47000003</v>
      </c>
      <c r="M1390">
        <f>IFERROR([1]!S_FA_EPS_basic2($A1390,$B$1,"Cur=CNY"),"")</f>
        <v>5.4800000000000001E-2</v>
      </c>
      <c r="N1390">
        <f>IFERROR([1]!s_fa_arturndays($A1390,TEXT($B$1,"yyyy/mm/dd")),"")</f>
        <v>75.150300000000001</v>
      </c>
      <c r="O1390" t="str">
        <f>IFERROR([1]!fa_apturndays($A1390,TEXT($B$1,"yyyy/mm/dd")),"")</f>
        <v>Fetch...</v>
      </c>
      <c r="P1390">
        <f>IFERROR([1]!s_fa_invturndays($A1390,TEXT($B$1,"yyyy/mm/dd")),"")</f>
        <v>5.5602</v>
      </c>
    </row>
    <row r="1391" spans="1:16">
      <c r="A1391" t="s">
        <v>1404</v>
      </c>
      <c r="B1391">
        <f>IFERROR([1]!s_stm07_is($A1391,"W70156729",TEXT($B$1,"yyyy/mm/dd"),1),"")</f>
        <v>28302251724.470001</v>
      </c>
      <c r="C1391">
        <f>IFERROR([1]!s_stm07_is($A1391,"W75682424",TEXT($B$1,"yyyy/mm/dd"),1),"")</f>
        <v>0</v>
      </c>
      <c r="D1391">
        <f>IFERROR([1]!s_stm07_is($A1391,"W76031679",TEXT($B$1,"yyyy/mm/dd"),1),"")</f>
        <v>0</v>
      </c>
      <c r="E1391">
        <f>IFERROR([1]!s_stm07_is($A1391,"W70752487",TEXT($B$1,"yyyy/mm/dd"),1),"")</f>
        <v>12796066589.67</v>
      </c>
      <c r="F1391">
        <f>IFERROR([1]!s_stm07_is_103($A1391,TEXT($B$1,"yyyy/mm/dd"),1),"")</f>
        <v>0</v>
      </c>
      <c r="G1391">
        <f>IFERROR([1]!s_stm07_is_104($A1391,TEXT($B$1,"yyyy/mm/dd"),1),"")</f>
        <v>0</v>
      </c>
      <c r="H1391">
        <f>IFERROR([1]!s_stm07_is_105($A1391,TEXT($B$1,"yyyy/mm/dd"),1),"")</f>
        <v>0</v>
      </c>
      <c r="I1391">
        <f>IFERROR([1]!s_stm07_is($A1391,"W72946623",TEXT($B$1,"yyyy/mm/dd"),1),"")</f>
        <v>14413177989.26</v>
      </c>
      <c r="J1391">
        <f>IFERROR([1]!s_stm07_is($A1391,"W30028333",TEXT($B$1,"yyyy/mm/dd"),1),"")</f>
        <v>12519718792.040001</v>
      </c>
      <c r="K1391">
        <f>IFERROR([1]!s_stm07_cs($A1391,"W77130581",TEXT($B$1,"yyyy/mm/dd"),1),"")</f>
        <v>24935995656.200001</v>
      </c>
      <c r="L1391">
        <f>IFERROR([1]!s_stm07_cs($A1391,"W77745895",TEXT($B$1,"yyyy/mm/dd"),1),"")</f>
        <v>843533592.13</v>
      </c>
      <c r="M1391">
        <f>IFERROR([1]!S_FA_EPS_basic2($A1391,$B$1,"Cur=CNY"),"")</f>
        <v>1.03</v>
      </c>
      <c r="N1391">
        <f>IFERROR([1]!s_fa_arturndays($A1391,TEXT($B$1,"yyyy/mm/dd")),"")</f>
        <v>0</v>
      </c>
      <c r="O1391" t="str">
        <f>IFERROR([1]!fa_apturndays($A1391,TEXT($B$1,"yyyy/mm/dd")),"")</f>
        <v>Fetch...</v>
      </c>
      <c r="P1391">
        <f>IFERROR([1]!s_fa_invturndays($A1391,TEXT($B$1,"yyyy/mm/dd")),"")</f>
        <v>0</v>
      </c>
    </row>
    <row r="1392" spans="1:16">
      <c r="A1392" t="s">
        <v>1405</v>
      </c>
      <c r="B1392">
        <f>IFERROR([1]!s_stm07_is($A1392,"W70156729",TEXT($B$1,"yyyy/mm/dd"),1),"")</f>
        <v>3367919101.9699998</v>
      </c>
      <c r="C1392">
        <f>IFERROR([1]!s_stm07_is($A1392,"W75682424",TEXT($B$1,"yyyy/mm/dd"),1),"")</f>
        <v>2502457250.3600001</v>
      </c>
      <c r="D1392">
        <f>IFERROR([1]!s_stm07_is($A1392,"W76031679",TEXT($B$1,"yyyy/mm/dd"),1),"")</f>
        <v>157097588.69</v>
      </c>
      <c r="E1392">
        <f>IFERROR([1]!s_stm07_is($A1392,"W70752487",TEXT($B$1,"yyyy/mm/dd"),1),"")</f>
        <v>64958599.990000002</v>
      </c>
      <c r="F1392">
        <f>IFERROR([1]!s_stm07_is_103($A1392,TEXT($B$1,"yyyy/mm/dd"),1),"")</f>
        <v>153128526.41</v>
      </c>
      <c r="G1392">
        <f>IFERROR([1]!s_stm07_is_104($A1392,TEXT($B$1,"yyyy/mm/dd"),1),"")</f>
        <v>2372207.1</v>
      </c>
      <c r="H1392">
        <f>IFERROR([1]!s_stm07_is_105($A1392,TEXT($B$1,"yyyy/mm/dd"),1),"")</f>
        <v>16500952.41</v>
      </c>
      <c r="I1392">
        <f>IFERROR([1]!s_stm07_is($A1392,"W72946623",TEXT($B$1,"yyyy/mm/dd"),1),"")</f>
        <v>472034118.94</v>
      </c>
      <c r="J1392">
        <f>IFERROR([1]!s_stm07_is($A1392,"W30028333",TEXT($B$1,"yyyy/mm/dd"),1),"")</f>
        <v>428988729.04000002</v>
      </c>
      <c r="K1392">
        <f>IFERROR([1]!s_stm07_cs($A1392,"W77130581",TEXT($B$1,"yyyy/mm/dd"),1),"")</f>
        <v>592838065.75</v>
      </c>
      <c r="L1392">
        <f>IFERROR([1]!s_stm07_cs($A1392,"W77745895",TEXT($B$1,"yyyy/mm/dd"),1),"")</f>
        <v>226978607</v>
      </c>
      <c r="M1392">
        <f>IFERROR([1]!S_FA_EPS_basic2($A1392,$B$1,"Cur=CNY"),"")</f>
        <v>0.82</v>
      </c>
      <c r="N1392">
        <f>IFERROR([1]!s_fa_arturndays($A1392,TEXT($B$1,"yyyy/mm/dd")),"")</f>
        <v>56.3063</v>
      </c>
      <c r="O1392" t="str">
        <f>IFERROR([1]!fa_apturndays($A1392,TEXT($B$1,"yyyy/mm/dd")),"")</f>
        <v>Fetch...</v>
      </c>
      <c r="P1392">
        <f>IFERROR([1]!s_fa_invturndays($A1392,TEXT($B$1,"yyyy/mm/dd")),"")</f>
        <v>216.1773</v>
      </c>
    </row>
    <row r="1393" spans="1:16">
      <c r="A1393" t="s">
        <v>1406</v>
      </c>
      <c r="B1393">
        <f>IFERROR([1]!s_stm07_is($A1393,"W70156729",TEXT($B$1,"yyyy/mm/dd"),1),"")</f>
        <v>53693579201.519997</v>
      </c>
      <c r="C1393">
        <f>IFERROR([1]!s_stm07_is($A1393,"W75682424",TEXT($B$1,"yyyy/mm/dd"),1),"")</f>
        <v>36108717474.330002</v>
      </c>
      <c r="D1393">
        <f>IFERROR([1]!s_stm07_is($A1393,"W76031679",TEXT($B$1,"yyyy/mm/dd"),1),"")</f>
        <v>8683829728.1399994</v>
      </c>
      <c r="E1393">
        <f>IFERROR([1]!s_stm07_is($A1393,"W70752487",TEXT($B$1,"yyyy/mm/dd"),1),"")</f>
        <v>2204251712.5</v>
      </c>
      <c r="F1393">
        <f>IFERROR([1]!s_stm07_is_103($A1393,TEXT($B$1,"yyyy/mm/dd"),1),"")</f>
        <v>89978391.760000005</v>
      </c>
      <c r="G1393">
        <f>IFERROR([1]!s_stm07_is_104($A1393,TEXT($B$1,"yyyy/mm/dd"),1),"")</f>
        <v>178416482.65000001</v>
      </c>
      <c r="H1393">
        <f>IFERROR([1]!s_stm07_is_105($A1393,TEXT($B$1,"yyyy/mm/dd"),1),"")</f>
        <v>891138346.80999994</v>
      </c>
      <c r="I1393">
        <f>IFERROR([1]!s_stm07_is($A1393,"W72946623",TEXT($B$1,"yyyy/mm/dd"),1),"")</f>
        <v>5307466657.75</v>
      </c>
      <c r="J1393">
        <f>IFERROR([1]!s_stm07_is($A1393,"W30028333",TEXT($B$1,"yyyy/mm/dd"),1),"")</f>
        <v>3586177592.3600001</v>
      </c>
      <c r="K1393">
        <f>IFERROR([1]!s_stm07_cs($A1393,"W77130581",TEXT($B$1,"yyyy/mm/dd"),1),"")</f>
        <v>6058560224.2600002</v>
      </c>
      <c r="L1393">
        <f>IFERROR([1]!s_stm07_cs($A1393,"W77745895",TEXT($B$1,"yyyy/mm/dd"),1),"")</f>
        <v>1273061670.55</v>
      </c>
      <c r="M1393">
        <f>IFERROR([1]!S_FA_EPS_basic2($A1393,$B$1,"Cur=CNY"),"")</f>
        <v>1.7334000000000001</v>
      </c>
      <c r="N1393">
        <f>IFERROR([1]!s_fa_arturndays($A1393,TEXT($B$1,"yyyy/mm/dd")),"")</f>
        <v>0.4672</v>
      </c>
      <c r="O1393" t="str">
        <f>IFERROR([1]!fa_apturndays($A1393,TEXT($B$1,"yyyy/mm/dd")),"")</f>
        <v>Fetch...</v>
      </c>
      <c r="P1393">
        <f>IFERROR([1]!s_fa_invturndays($A1393,TEXT($B$1,"yyyy/mm/dd")),"")</f>
        <v>162.756</v>
      </c>
    </row>
    <row r="1394" spans="1:16">
      <c r="A1394" t="s">
        <v>1407</v>
      </c>
      <c r="B1394">
        <f>IFERROR([1]!s_stm07_is($A1394,"W70156729",TEXT($B$1,"yyyy/mm/dd"),1),"")</f>
        <v>2099188097.2</v>
      </c>
      <c r="C1394">
        <f>IFERROR([1]!s_stm07_is($A1394,"W75682424",TEXT($B$1,"yyyy/mm/dd"),1),"")</f>
        <v>1435263622.5699999</v>
      </c>
      <c r="D1394">
        <f>IFERROR([1]!s_stm07_is($A1394,"W76031679",TEXT($B$1,"yyyy/mm/dd"),1),"")</f>
        <v>69116468.140000001</v>
      </c>
      <c r="E1394">
        <f>IFERROR([1]!s_stm07_is($A1394,"W70752487",TEXT($B$1,"yyyy/mm/dd"),1),"")</f>
        <v>136746550.34999999</v>
      </c>
      <c r="F1394">
        <f>IFERROR([1]!s_stm07_is_103($A1394,TEXT($B$1,"yyyy/mm/dd"),1),"")</f>
        <v>132694389.38</v>
      </c>
      <c r="G1394">
        <f>IFERROR([1]!s_stm07_is_104($A1394,TEXT($B$1,"yyyy/mm/dd"),1),"")</f>
        <v>19591273.190000001</v>
      </c>
      <c r="H1394">
        <f>IFERROR([1]!s_stm07_is_105($A1394,TEXT($B$1,"yyyy/mm/dd"),1),"")</f>
        <v>35894042.210000001</v>
      </c>
      <c r="I1394">
        <f>IFERROR([1]!s_stm07_is($A1394,"W72946623",TEXT($B$1,"yyyy/mm/dd"),1),"")</f>
        <v>374713651.5</v>
      </c>
      <c r="J1394">
        <f>IFERROR([1]!s_stm07_is($A1394,"W30028333",TEXT($B$1,"yyyy/mm/dd"),1),"")</f>
        <v>317429467.85000002</v>
      </c>
      <c r="K1394">
        <f>IFERROR([1]!s_stm07_cs($A1394,"W77130581",TEXT($B$1,"yyyy/mm/dd"),1),"")</f>
        <v>256644840.86000001</v>
      </c>
      <c r="L1394">
        <f>IFERROR([1]!s_stm07_cs($A1394,"W77745895",TEXT($B$1,"yyyy/mm/dd"),1),"")</f>
        <v>167294853.22</v>
      </c>
      <c r="M1394">
        <f>IFERROR([1]!S_FA_EPS_basic2($A1394,$B$1,"Cur=CNY"),"")</f>
        <v>0.33100000000000002</v>
      </c>
      <c r="N1394">
        <f>IFERROR([1]!s_fa_arturndays($A1394,TEXT($B$1,"yyyy/mm/dd")),"")</f>
        <v>100.7698</v>
      </c>
      <c r="O1394" t="str">
        <f>IFERROR([1]!fa_apturndays($A1394,TEXT($B$1,"yyyy/mm/dd")),"")</f>
        <v>Fetch...</v>
      </c>
      <c r="P1394">
        <f>IFERROR([1]!s_fa_invturndays($A1394,TEXT($B$1,"yyyy/mm/dd")),"")</f>
        <v>225.11259999999999</v>
      </c>
    </row>
    <row r="1395" spans="1:16">
      <c r="A1395" t="s">
        <v>1408</v>
      </c>
      <c r="B1395">
        <f>IFERROR([1]!s_stm07_is($A1395,"W70156729",TEXT($B$1,"yyyy/mm/dd"),1),"")</f>
        <v>148056698000</v>
      </c>
      <c r="C1395">
        <f>IFERROR([1]!s_stm07_is($A1395,"W75682424",TEXT($B$1,"yyyy/mm/dd"),1),"")</f>
        <v>107357222000</v>
      </c>
      <c r="D1395">
        <f>IFERROR([1]!s_stm07_is($A1395,"W76031679",TEXT($B$1,"yyyy/mm/dd"),1),"")</f>
        <v>1060056000</v>
      </c>
      <c r="E1395">
        <f>IFERROR([1]!s_stm07_is($A1395,"W70752487",TEXT($B$1,"yyyy/mm/dd"),1),"")</f>
        <v>5303357000</v>
      </c>
      <c r="F1395">
        <f>IFERROR([1]!s_stm07_is_103($A1395,TEXT($B$1,"yyyy/mm/dd"),1),"")</f>
        <v>885996000</v>
      </c>
      <c r="G1395">
        <f>IFERROR([1]!s_stm07_is_104($A1395,TEXT($B$1,"yyyy/mm/dd"),1),"")</f>
        <v>2099062000</v>
      </c>
      <c r="H1395">
        <f>IFERROR([1]!s_stm07_is_105($A1395,TEXT($B$1,"yyyy/mm/dd"),1),"")</f>
        <v>146403000</v>
      </c>
      <c r="I1395">
        <f>IFERROR([1]!s_stm07_is($A1395,"W72946623",TEXT($B$1,"yyyy/mm/dd"),1),"")</f>
        <v>26589105000</v>
      </c>
      <c r="J1395">
        <f>IFERROR([1]!s_stm07_is($A1395,"W30028333",TEXT($B$1,"yyyy/mm/dd"),1),"")</f>
        <v>17883577000</v>
      </c>
      <c r="K1395">
        <f>IFERROR([1]!s_stm07_cs($A1395,"W77130581",TEXT($B$1,"yyyy/mm/dd"),1),"")</f>
        <v>29791934000</v>
      </c>
      <c r="L1395">
        <f>IFERROR([1]!s_stm07_cs($A1395,"W77745895",TEXT($B$1,"yyyy/mm/dd"),1),"")</f>
        <v>21787133000</v>
      </c>
      <c r="M1395">
        <f>IFERROR([1]!S_FA_EPS_basic2($A1395,$B$1,"Cur=CNY"),"")</f>
        <v>1.35</v>
      </c>
      <c r="N1395">
        <f>IFERROR([1]!s_fa_arturndays($A1395,TEXT($B$1,"yyyy/mm/dd")),"")</f>
        <v>19.0304</v>
      </c>
      <c r="O1395" t="str">
        <f>IFERROR([1]!fa_apturndays($A1395,TEXT($B$1,"yyyy/mm/dd")),"")</f>
        <v>Fetch...</v>
      </c>
      <c r="P1395">
        <f>IFERROR([1]!s_fa_invturndays($A1395,TEXT($B$1,"yyyy/mm/dd")),"")</f>
        <v>32.836799999999997</v>
      </c>
    </row>
    <row r="1396" spans="1:16">
      <c r="A1396" t="s">
        <v>1409</v>
      </c>
      <c r="B1396">
        <f>IFERROR([1]!s_stm07_is($A1396,"W70156729",TEXT($B$1,"yyyy/mm/dd"),1),"")</f>
        <v>349079082852</v>
      </c>
      <c r="C1396">
        <f>IFERROR([1]!s_stm07_is($A1396,"W75682424",TEXT($B$1,"yyyy/mm/dd"),1),"")</f>
        <v>252288843039</v>
      </c>
      <c r="D1396">
        <f>IFERROR([1]!s_stm07_is($A1396,"W76031679",TEXT($B$1,"yyyy/mm/dd"),1),"")</f>
        <v>849939455</v>
      </c>
      <c r="E1396">
        <f>IFERROR([1]!s_stm07_is($A1396,"W70752487",TEXT($B$1,"yyyy/mm/dd"),1),"")</f>
        <v>11159456237</v>
      </c>
      <c r="F1396">
        <f>IFERROR([1]!s_stm07_is_103($A1396,TEXT($B$1,"yyyy/mm/dd"),1),"")</f>
        <v>1714881582</v>
      </c>
      <c r="G1396">
        <f>IFERROR([1]!s_stm07_is_104($A1396,TEXT($B$1,"yyyy/mm/dd"),1),"")</f>
        <v>3932640491</v>
      </c>
      <c r="H1396">
        <f>IFERROR([1]!s_stm07_is_105($A1396,TEXT($B$1,"yyyy/mm/dd"),1),"")</f>
        <v>2616011605</v>
      </c>
      <c r="I1396">
        <f>IFERROR([1]!s_stm07_is($A1396,"W72946623",TEXT($B$1,"yyyy/mm/dd"),1),"")</f>
        <v>80752523141</v>
      </c>
      <c r="J1396">
        <f>IFERROR([1]!s_stm07_is($A1396,"W30028333",TEXT($B$1,"yyyy/mm/dd"),1),"")</f>
        <v>51777327785</v>
      </c>
      <c r="K1396">
        <f>IFERROR([1]!s_stm07_cs($A1396,"W77130581",TEXT($B$1,"yyyy/mm/dd"),1),"")</f>
        <v>75429516296</v>
      </c>
      <c r="L1396">
        <f>IFERROR([1]!s_stm07_cs($A1396,"W77745895",TEXT($B$1,"yyyy/mm/dd"),1),"")</f>
        <v>30982297763</v>
      </c>
      <c r="M1396">
        <f>IFERROR([1]!S_FA_EPS_basic2($A1396,$B$1,"Cur=CNY"),"")</f>
        <v>1.95</v>
      </c>
      <c r="N1396">
        <f>IFERROR([1]!s_fa_arturndays($A1396,TEXT($B$1,"yyyy/mm/dd")),"")</f>
        <v>8.3122000000000007</v>
      </c>
      <c r="O1396" t="str">
        <f>IFERROR([1]!fa_apturndays($A1396,TEXT($B$1,"yyyy/mm/dd")),"")</f>
        <v>Fetch...</v>
      </c>
      <c r="P1396">
        <f>IFERROR([1]!s_fa_invturndays($A1396,TEXT($B$1,"yyyy/mm/dd")),"")</f>
        <v>53.455300000000001</v>
      </c>
    </row>
    <row r="1397" spans="1:16">
      <c r="A1397" t="s">
        <v>1410</v>
      </c>
      <c r="B1397">
        <f>IFERROR([1]!s_stm07_is($A1397,"W70156729",TEXT($B$1,"yyyy/mm/dd"),1),"")</f>
        <v>8635268656.9699993</v>
      </c>
      <c r="C1397">
        <f>IFERROR([1]!s_stm07_is($A1397,"W75682424",TEXT($B$1,"yyyy/mm/dd"),1),"")</f>
        <v>5507773594.0299997</v>
      </c>
      <c r="D1397">
        <f>IFERROR([1]!s_stm07_is($A1397,"W76031679",TEXT($B$1,"yyyy/mm/dd"),1),"")</f>
        <v>868017218.30999994</v>
      </c>
      <c r="E1397">
        <f>IFERROR([1]!s_stm07_is($A1397,"W70752487",TEXT($B$1,"yyyy/mm/dd"),1),"")</f>
        <v>992086579.57000005</v>
      </c>
      <c r="F1397">
        <f>IFERROR([1]!s_stm07_is_103($A1397,TEXT($B$1,"yyyy/mm/dd"),1),"")</f>
        <v>30390184.129999999</v>
      </c>
      <c r="G1397">
        <f>IFERROR([1]!s_stm07_is_104($A1397,TEXT($B$1,"yyyy/mm/dd"),1),"")</f>
        <v>19614954.170000002</v>
      </c>
      <c r="H1397">
        <f>IFERROR([1]!s_stm07_is_105($A1397,TEXT($B$1,"yyyy/mm/dd"),1),"")</f>
        <v>46563925.369999997</v>
      </c>
      <c r="I1397">
        <f>IFERROR([1]!s_stm07_is($A1397,"W72946623",TEXT($B$1,"yyyy/mm/dd"),1),"")</f>
        <v>1249477182.03</v>
      </c>
      <c r="J1397">
        <f>IFERROR([1]!s_stm07_is($A1397,"W30028333",TEXT($B$1,"yyyy/mm/dd"),1),"")</f>
        <v>1042972131.36</v>
      </c>
      <c r="K1397">
        <f>IFERROR([1]!s_stm07_cs($A1397,"W77130581",TEXT($B$1,"yyyy/mm/dd"),1),"")</f>
        <v>1715533303.52</v>
      </c>
      <c r="L1397">
        <f>IFERROR([1]!s_stm07_cs($A1397,"W77745895",TEXT($B$1,"yyyy/mm/dd"),1),"")</f>
        <v>730297688.12</v>
      </c>
      <c r="M1397">
        <f>IFERROR([1]!S_FA_EPS_basic2($A1397,$B$1,"Cur=CNY"),"")</f>
        <v>1.18</v>
      </c>
      <c r="N1397">
        <f>IFERROR([1]!s_fa_arturndays($A1397,TEXT($B$1,"yyyy/mm/dd")),"")</f>
        <v>72.567499999999995</v>
      </c>
      <c r="O1397" t="str">
        <f>IFERROR([1]!fa_apturndays($A1397,TEXT($B$1,"yyyy/mm/dd")),"")</f>
        <v>Fetch...</v>
      </c>
      <c r="P1397">
        <f>IFERROR([1]!s_fa_invturndays($A1397,TEXT($B$1,"yyyy/mm/dd")),"")</f>
        <v>81.518000000000001</v>
      </c>
    </row>
    <row r="1398" spans="1:16">
      <c r="A1398" t="s">
        <v>1411</v>
      </c>
      <c r="B1398">
        <f>IFERROR([1]!s_stm07_is($A1398,"W70156729",TEXT($B$1,"yyyy/mm/dd"),1),"")</f>
        <v>10503548205.5</v>
      </c>
      <c r="C1398">
        <f>IFERROR([1]!s_stm07_is($A1398,"W75682424",TEXT($B$1,"yyyy/mm/dd"),1),"")</f>
        <v>0</v>
      </c>
      <c r="D1398">
        <f>IFERROR([1]!s_stm07_is($A1398,"W76031679",TEXT($B$1,"yyyy/mm/dd"),1),"")</f>
        <v>0</v>
      </c>
      <c r="E1398">
        <f>IFERROR([1]!s_stm07_is($A1398,"W70752487",TEXT($B$1,"yyyy/mm/dd"),1),"")</f>
        <v>5703054443.5500002</v>
      </c>
      <c r="F1398">
        <f>IFERROR([1]!s_stm07_is_103($A1398,TEXT($B$1,"yyyy/mm/dd"),1),"")</f>
        <v>0</v>
      </c>
      <c r="G1398">
        <f>IFERROR([1]!s_stm07_is_104($A1398,TEXT($B$1,"yyyy/mm/dd"),1),"")</f>
        <v>0</v>
      </c>
      <c r="H1398">
        <f>IFERROR([1]!s_stm07_is_105($A1398,TEXT($B$1,"yyyy/mm/dd"),1),"")</f>
        <v>0</v>
      </c>
      <c r="I1398">
        <f>IFERROR([1]!s_stm07_is($A1398,"W72946623",TEXT($B$1,"yyyy/mm/dd"),1),"")</f>
        <v>4766411037.4300003</v>
      </c>
      <c r="J1398">
        <f>IFERROR([1]!s_stm07_is($A1398,"W30028333",TEXT($B$1,"yyyy/mm/dd"),1),"")</f>
        <v>3970059037.1300001</v>
      </c>
      <c r="K1398">
        <f>IFERROR([1]!s_stm07_cs($A1398,"W77130581",TEXT($B$1,"yyyy/mm/dd"),1),"")</f>
        <v>1066319871.03</v>
      </c>
      <c r="L1398">
        <f>IFERROR([1]!s_stm07_cs($A1398,"W77745895",TEXT($B$1,"yyyy/mm/dd"),1),"")</f>
        <v>230924174.12</v>
      </c>
      <c r="M1398">
        <f>IFERROR([1]!S_FA_EPS_basic2($A1398,$B$1,"Cur=CNY"),"")</f>
        <v>0.48</v>
      </c>
      <c r="N1398">
        <f>IFERROR([1]!s_fa_arturndays($A1398,TEXT($B$1,"yyyy/mm/dd")),"")</f>
        <v>0</v>
      </c>
      <c r="O1398" t="str">
        <f>IFERROR([1]!fa_apturndays($A1398,TEXT($B$1,"yyyy/mm/dd")),"")</f>
        <v>Fetch...</v>
      </c>
      <c r="P1398">
        <f>IFERROR([1]!s_fa_invturndays($A1398,TEXT($B$1,"yyyy/mm/dd")),"")</f>
        <v>0</v>
      </c>
    </row>
    <row r="1399" spans="1:16">
      <c r="A1399" t="s">
        <v>1412</v>
      </c>
      <c r="B1399">
        <f>IFERROR([1]!s_stm07_is($A1399,"W70156729",TEXT($B$1,"yyyy/mm/dd"),1),"")</f>
        <v>3112632855.0599999</v>
      </c>
      <c r="C1399">
        <f>IFERROR([1]!s_stm07_is($A1399,"W75682424",TEXT($B$1,"yyyy/mm/dd"),1),"")</f>
        <v>2797499394.6399999</v>
      </c>
      <c r="D1399">
        <f>IFERROR([1]!s_stm07_is($A1399,"W76031679",TEXT($B$1,"yyyy/mm/dd"),1),"")</f>
        <v>16255818.83</v>
      </c>
      <c r="E1399">
        <f>IFERROR([1]!s_stm07_is($A1399,"W70752487",TEXT($B$1,"yyyy/mm/dd"),1),"")</f>
        <v>155215546.19</v>
      </c>
      <c r="F1399">
        <f>IFERROR([1]!s_stm07_is_103($A1399,TEXT($B$1,"yyyy/mm/dd"),1),"")</f>
        <v>37926920.030000001</v>
      </c>
      <c r="G1399">
        <f>IFERROR([1]!s_stm07_is_104($A1399,TEXT($B$1,"yyyy/mm/dd"),1),"")</f>
        <v>310656197.25999999</v>
      </c>
      <c r="H1399">
        <f>IFERROR([1]!s_stm07_is_105($A1399,TEXT($B$1,"yyyy/mm/dd"),1),"")</f>
        <v>18681824.530000001</v>
      </c>
      <c r="I1399">
        <f>IFERROR([1]!s_stm07_is($A1399,"W72946623",TEXT($B$1,"yyyy/mm/dd"),1),"")</f>
        <v>-1386055596.6900001</v>
      </c>
      <c r="J1399">
        <f>IFERROR([1]!s_stm07_is($A1399,"W30028333",TEXT($B$1,"yyyy/mm/dd"),1),"")</f>
        <v>-1480094342.97</v>
      </c>
      <c r="K1399">
        <f>IFERROR([1]!s_stm07_cs($A1399,"W77130581",TEXT($B$1,"yyyy/mm/dd"),1),"")</f>
        <v>857012352.17999995</v>
      </c>
      <c r="L1399">
        <f>IFERROR([1]!s_stm07_cs($A1399,"W77745895",TEXT($B$1,"yyyy/mm/dd"),1),"")</f>
        <v>18853192.850000001</v>
      </c>
      <c r="M1399">
        <f>IFERROR([1]!S_FA_EPS_basic2($A1399,$B$1,"Cur=CNY"),"")</f>
        <v>-0.61</v>
      </c>
      <c r="N1399">
        <f>IFERROR([1]!s_fa_arturndays($A1399,TEXT($B$1,"yyyy/mm/dd")),"")</f>
        <v>436.68119999999999</v>
      </c>
      <c r="O1399" t="str">
        <f>IFERROR([1]!fa_apturndays($A1399,TEXT($B$1,"yyyy/mm/dd")),"")</f>
        <v>Fetch...</v>
      </c>
      <c r="P1399">
        <f>IFERROR([1]!s_fa_invturndays($A1399,TEXT($B$1,"yyyy/mm/dd")),"")</f>
        <v>94.816699999999997</v>
      </c>
    </row>
    <row r="1400" spans="1:16">
      <c r="A1400" t="s">
        <v>1413</v>
      </c>
      <c r="B1400">
        <f>IFERROR([1]!s_stm07_is($A1400,"W70156729",TEXT($B$1,"yyyy/mm/dd"),1),"")</f>
        <v>62514000000</v>
      </c>
      <c r="C1400">
        <f>IFERROR([1]!s_stm07_is($A1400,"W75682424",TEXT($B$1,"yyyy/mm/dd"),1),"")</f>
        <v>0</v>
      </c>
      <c r="D1400">
        <f>IFERROR([1]!s_stm07_is($A1400,"W76031679",TEXT($B$1,"yyyy/mm/dd"),1),"")</f>
        <v>0</v>
      </c>
      <c r="E1400">
        <f>IFERROR([1]!s_stm07_is($A1400,"W70752487",TEXT($B$1,"yyyy/mm/dd"),1),"")</f>
        <v>20062000000</v>
      </c>
      <c r="F1400">
        <f>IFERROR([1]!s_stm07_is_103($A1400,TEXT($B$1,"yyyy/mm/dd"),1),"")</f>
        <v>0</v>
      </c>
      <c r="G1400">
        <f>IFERROR([1]!s_stm07_is_104($A1400,TEXT($B$1,"yyyy/mm/dd"),1),"")</f>
        <v>0</v>
      </c>
      <c r="H1400">
        <f>IFERROR([1]!s_stm07_is_105($A1400,TEXT($B$1,"yyyy/mm/dd"),1),"")</f>
        <v>0</v>
      </c>
      <c r="I1400">
        <f>IFERROR([1]!s_stm07_is($A1400,"W72946623",TEXT($B$1,"yyyy/mm/dd"),1),"")</f>
        <v>16129000000</v>
      </c>
      <c r="J1400">
        <f>IFERROR([1]!s_stm07_is($A1400,"W30028333",TEXT($B$1,"yyyy/mm/dd"),1),"")</f>
        <v>12931000000</v>
      </c>
      <c r="K1400">
        <f>IFERROR([1]!s_stm07_cs($A1400,"W77130581",TEXT($B$1,"yyyy/mm/dd"),1),"")</f>
        <v>-12743000000</v>
      </c>
      <c r="L1400">
        <f>IFERROR([1]!s_stm07_cs($A1400,"W77745895",TEXT($B$1,"yyyy/mm/dd"),1),"")</f>
        <v>9138000000</v>
      </c>
      <c r="M1400">
        <f>IFERROR([1]!S_FA_EPS_basic2($A1400,$B$1,"Cur=CNY"),"")</f>
        <v>0.44</v>
      </c>
      <c r="N1400">
        <f>IFERROR([1]!s_fa_arturndays($A1400,TEXT($B$1,"yyyy/mm/dd")),"")</f>
        <v>0</v>
      </c>
      <c r="O1400" t="str">
        <f>IFERROR([1]!fa_apturndays($A1400,TEXT($B$1,"yyyy/mm/dd")),"")</f>
        <v>Fetch...</v>
      </c>
      <c r="P1400">
        <f>IFERROR([1]!s_fa_invturndays($A1400,TEXT($B$1,"yyyy/mm/dd")),"")</f>
        <v>0</v>
      </c>
    </row>
    <row r="1401" spans="1:16">
      <c r="A1401" t="s">
        <v>1414</v>
      </c>
      <c r="B1401">
        <f>IFERROR([1]!s_stm07_is($A1401,"W70156729",TEXT($B$1,"yyyy/mm/dd"),1),"")</f>
        <v>12280256580.879999</v>
      </c>
      <c r="C1401">
        <f>IFERROR([1]!s_stm07_is($A1401,"W75682424",TEXT($B$1,"yyyy/mm/dd"),1),"")</f>
        <v>7365620594.6099997</v>
      </c>
      <c r="D1401">
        <f>IFERROR([1]!s_stm07_is($A1401,"W76031679",TEXT($B$1,"yyyy/mm/dd"),1),"")</f>
        <v>61025136.289999999</v>
      </c>
      <c r="E1401">
        <f>IFERROR([1]!s_stm07_is($A1401,"W70752487",TEXT($B$1,"yyyy/mm/dd"),1),"")</f>
        <v>831594446.95000005</v>
      </c>
      <c r="F1401">
        <f>IFERROR([1]!s_stm07_is_103($A1401,TEXT($B$1,"yyyy/mm/dd"),1),"")</f>
        <v>4948326.9400000004</v>
      </c>
      <c r="G1401">
        <f>IFERROR([1]!s_stm07_is_104($A1401,TEXT($B$1,"yyyy/mm/dd"),1),"")</f>
        <v>481189348.26999998</v>
      </c>
      <c r="H1401">
        <f>IFERROR([1]!s_stm07_is_105($A1401,TEXT($B$1,"yyyy/mm/dd"),1),"")</f>
        <v>15169278.68</v>
      </c>
      <c r="I1401">
        <f>IFERROR([1]!s_stm07_is($A1401,"W72946623",TEXT($B$1,"yyyy/mm/dd"),1),"")</f>
        <v>3058383847.1599998</v>
      </c>
      <c r="J1401">
        <f>IFERROR([1]!s_stm07_is($A1401,"W30028333",TEXT($B$1,"yyyy/mm/dd"),1),"")</f>
        <v>2136092612.96</v>
      </c>
      <c r="K1401">
        <f>IFERROR([1]!s_stm07_cs($A1401,"W77130581",TEXT($B$1,"yyyy/mm/dd"),1),"")</f>
        <v>3103598704.5700002</v>
      </c>
      <c r="L1401">
        <f>IFERROR([1]!s_stm07_cs($A1401,"W77745895",TEXT($B$1,"yyyy/mm/dd"),1),"")</f>
        <v>7292564376.5799999</v>
      </c>
      <c r="M1401">
        <f>IFERROR([1]!S_FA_EPS_basic2($A1401,$B$1,"Cur=CNY"),"")</f>
        <v>0.82499999999999996</v>
      </c>
      <c r="N1401">
        <f>IFERROR([1]!s_fa_arturndays($A1401,TEXT($B$1,"yyyy/mm/dd")),"")</f>
        <v>28.5397</v>
      </c>
      <c r="O1401" t="str">
        <f>IFERROR([1]!fa_apturndays($A1401,TEXT($B$1,"yyyy/mm/dd")),"")</f>
        <v>Fetch...</v>
      </c>
      <c r="P1401">
        <f>IFERROR([1]!s_fa_invturndays($A1401,TEXT($B$1,"yyyy/mm/dd")),"")</f>
        <v>16.715800000000002</v>
      </c>
    </row>
    <row r="1402" spans="1:16">
      <c r="A1402" t="s">
        <v>1415</v>
      </c>
      <c r="B1402">
        <f>IFERROR([1]!s_stm07_is($A1402,"W70156729",TEXT($B$1,"yyyy/mm/dd"),1),"")</f>
        <v>219503805222.70001</v>
      </c>
      <c r="C1402">
        <f>IFERROR([1]!s_stm07_is($A1402,"W75682424",TEXT($B$1,"yyyy/mm/dd"),1),"")</f>
        <v>175494573412.88</v>
      </c>
      <c r="D1402">
        <f>IFERROR([1]!s_stm07_is($A1402,"W76031679",TEXT($B$1,"yyyy/mm/dd"),1),"")</f>
        <v>825422692.67999995</v>
      </c>
      <c r="E1402">
        <f>IFERROR([1]!s_stm07_is($A1402,"W70752487",TEXT($B$1,"yyyy/mm/dd"),1),"")</f>
        <v>8243469490.2299995</v>
      </c>
      <c r="F1402">
        <f>IFERROR([1]!s_stm07_is_103($A1402,TEXT($B$1,"yyyy/mm/dd"),1),"")</f>
        <v>1101229884.73</v>
      </c>
      <c r="G1402">
        <f>IFERROR([1]!s_stm07_is_104($A1402,TEXT($B$1,"yyyy/mm/dd"),1),"")</f>
        <v>3013024427.2199998</v>
      </c>
      <c r="H1402">
        <f>IFERROR([1]!s_stm07_is_105($A1402,TEXT($B$1,"yyyy/mm/dd"),1),"")</f>
        <v>5377864438.4700003</v>
      </c>
      <c r="I1402">
        <f>IFERROR([1]!s_stm07_is($A1402,"W72946623",TEXT($B$1,"yyyy/mm/dd"),1),"")</f>
        <v>41999673526.879997</v>
      </c>
      <c r="J1402">
        <f>IFERROR([1]!s_stm07_is($A1402,"W30028333",TEXT($B$1,"yyyy/mm/dd"),1),"")</f>
        <v>30868147821.380001</v>
      </c>
      <c r="K1402">
        <f>IFERROR([1]!s_stm07_cs($A1402,"W77130581",TEXT($B$1,"yyyy/mm/dd"),1),"")</f>
        <v>45545770431.230003</v>
      </c>
      <c r="L1402">
        <f>IFERROR([1]!s_stm07_cs($A1402,"W77745895",TEXT($B$1,"yyyy/mm/dd"),1),"")</f>
        <v>25015551614.560001</v>
      </c>
      <c r="M1402">
        <f>IFERROR([1]!S_FA_EPS_basic2($A1402,$B$1,"Cur=CNY"),"")</f>
        <v>1.99</v>
      </c>
      <c r="N1402">
        <f>IFERROR([1]!s_fa_arturndays($A1402,TEXT($B$1,"yyyy/mm/dd")),"")</f>
        <v>13.790900000000001</v>
      </c>
      <c r="O1402" t="str">
        <f>IFERROR([1]!fa_apturndays($A1402,TEXT($B$1,"yyyy/mm/dd")),"")</f>
        <v>Fetch...</v>
      </c>
      <c r="P1402">
        <f>IFERROR([1]!s_fa_invturndays($A1402,TEXT($B$1,"yyyy/mm/dd")),"")</f>
        <v>13.4649</v>
      </c>
    </row>
    <row r="1403" spans="1:16">
      <c r="A1403" t="s">
        <v>1416</v>
      </c>
      <c r="B1403">
        <f>IFERROR([1]!s_stm07_is($A1403,"W70156729",TEXT($B$1,"yyyy/mm/dd"),1),"")</f>
        <v>10543646426.299999</v>
      </c>
      <c r="C1403">
        <f>IFERROR([1]!s_stm07_is($A1403,"W75682424",TEXT($B$1,"yyyy/mm/dd"),1),"")</f>
        <v>7449841739.8900003</v>
      </c>
      <c r="D1403">
        <f>IFERROR([1]!s_stm07_is($A1403,"W76031679",TEXT($B$1,"yyyy/mm/dd"),1),"")</f>
        <v>1235491269.01</v>
      </c>
      <c r="E1403">
        <f>IFERROR([1]!s_stm07_is($A1403,"W70752487",TEXT($B$1,"yyyy/mm/dd"),1),"")</f>
        <v>822410301.69000006</v>
      </c>
      <c r="F1403">
        <f>IFERROR([1]!s_stm07_is_103($A1403,TEXT($B$1,"yyyy/mm/dd"),1),"")</f>
        <v>23320982.91</v>
      </c>
      <c r="G1403">
        <f>IFERROR([1]!s_stm07_is_104($A1403,TEXT($B$1,"yyyy/mm/dd"),1),"")</f>
        <v>2748734.2</v>
      </c>
      <c r="H1403">
        <f>IFERROR([1]!s_stm07_is_105($A1403,TEXT($B$1,"yyyy/mm/dd"),1),"")</f>
        <v>110278795.54000001</v>
      </c>
      <c r="I1403">
        <f>IFERROR([1]!s_stm07_is($A1403,"W72946623",TEXT($B$1,"yyyy/mm/dd"),1),"")</f>
        <v>1301787136.6199999</v>
      </c>
      <c r="J1403">
        <f>IFERROR([1]!s_stm07_is($A1403,"W30028333",TEXT($B$1,"yyyy/mm/dd"),1),"")</f>
        <v>1285695925.95</v>
      </c>
      <c r="K1403">
        <f>IFERROR([1]!s_stm07_cs($A1403,"W77130581",TEXT($B$1,"yyyy/mm/dd"),1),"")</f>
        <v>850417775.58000004</v>
      </c>
      <c r="L1403">
        <f>IFERROR([1]!s_stm07_cs($A1403,"W77745895",TEXT($B$1,"yyyy/mm/dd"),1),"")</f>
        <v>211227880.27000001</v>
      </c>
      <c r="M1403">
        <f>IFERROR([1]!S_FA_EPS_basic2($A1403,$B$1,"Cur=CNY"),"")</f>
        <v>0.5786</v>
      </c>
      <c r="N1403">
        <f>IFERROR([1]!s_fa_arturndays($A1403,TEXT($B$1,"yyyy/mm/dd")),"")</f>
        <v>37.330500000000001</v>
      </c>
      <c r="O1403" t="str">
        <f>IFERROR([1]!fa_apturndays($A1403,TEXT($B$1,"yyyy/mm/dd")),"")</f>
        <v>Fetch...</v>
      </c>
      <c r="P1403">
        <f>IFERROR([1]!s_fa_invturndays($A1403,TEXT($B$1,"yyyy/mm/dd")),"")</f>
        <v>141.6542</v>
      </c>
    </row>
    <row r="1404" spans="1:16">
      <c r="A1404" t="s">
        <v>1417</v>
      </c>
      <c r="B1404">
        <f>IFERROR([1]!s_stm07_is($A1404,"W70156729",TEXT($B$1,"yyyy/mm/dd"),1),"")</f>
        <v>12346723810.27</v>
      </c>
      <c r="C1404">
        <f>IFERROR([1]!s_stm07_is($A1404,"W75682424",TEXT($B$1,"yyyy/mm/dd"),1),"")</f>
        <v>7394909043.3599997</v>
      </c>
      <c r="D1404">
        <f>IFERROR([1]!s_stm07_is($A1404,"W76031679",TEXT($B$1,"yyyy/mm/dd"),1),"")</f>
        <v>1614528948.46</v>
      </c>
      <c r="E1404">
        <f>IFERROR([1]!s_stm07_is($A1404,"W70752487",TEXT($B$1,"yyyy/mm/dd"),1),"")</f>
        <v>1738802475.8699999</v>
      </c>
      <c r="F1404">
        <f>IFERROR([1]!s_stm07_is_103($A1404,TEXT($B$1,"yyyy/mm/dd"),1),"")</f>
        <v>43021905.140000001</v>
      </c>
      <c r="G1404">
        <f>IFERROR([1]!s_stm07_is_104($A1404,TEXT($B$1,"yyyy/mm/dd"),1),"")</f>
        <v>12656561.08</v>
      </c>
      <c r="H1404">
        <f>IFERROR([1]!s_stm07_is_105($A1404,TEXT($B$1,"yyyy/mm/dd"),1),"")</f>
        <v>341227307.58999997</v>
      </c>
      <c r="I1404">
        <f>IFERROR([1]!s_stm07_is($A1404,"W72946623",TEXT($B$1,"yyyy/mm/dd"),1),"")</f>
        <v>1832303591.48</v>
      </c>
      <c r="J1404">
        <f>IFERROR([1]!s_stm07_is($A1404,"W30028333",TEXT($B$1,"yyyy/mm/dd"),1),"")</f>
        <v>1795138915.1199999</v>
      </c>
      <c r="K1404">
        <f>IFERROR([1]!s_stm07_cs($A1404,"W77130581",TEXT($B$1,"yyyy/mm/dd"),1),"")</f>
        <v>1536468206.0999999</v>
      </c>
      <c r="L1404">
        <f>IFERROR([1]!s_stm07_cs($A1404,"W77745895",TEXT($B$1,"yyyy/mm/dd"),1),"")</f>
        <v>197759154.65000001</v>
      </c>
      <c r="M1404">
        <f>IFERROR([1]!S_FA_EPS_basic2($A1404,$B$1,"Cur=CNY"),"")</f>
        <v>0.71</v>
      </c>
      <c r="N1404">
        <f>IFERROR([1]!s_fa_arturndays($A1404,TEXT($B$1,"yyyy/mm/dd")),"")</f>
        <v>19.240500000000001</v>
      </c>
      <c r="O1404" t="str">
        <f>IFERROR([1]!fa_apturndays($A1404,TEXT($B$1,"yyyy/mm/dd")),"")</f>
        <v>Fetch...</v>
      </c>
      <c r="P1404">
        <f>IFERROR([1]!s_fa_invturndays($A1404,TEXT($B$1,"yyyy/mm/dd")),"")</f>
        <v>88.875699999999995</v>
      </c>
    </row>
    <row r="1405" spans="1:16">
      <c r="A1405" t="s">
        <v>1418</v>
      </c>
      <c r="B1405">
        <f>IFERROR([1]!s_stm07_is($A1405,"W70156729",TEXT($B$1,"yyyy/mm/dd"),1),"")</f>
        <v>761049000000</v>
      </c>
      <c r="C1405">
        <f>IFERROR([1]!s_stm07_is($A1405,"W75682424",TEXT($B$1,"yyyy/mm/dd"),1),"")</f>
        <v>0</v>
      </c>
      <c r="D1405">
        <f>IFERROR([1]!s_stm07_is($A1405,"W76031679",TEXT($B$1,"yyyy/mm/dd"),1),"")</f>
        <v>0</v>
      </c>
      <c r="E1405">
        <f>IFERROR([1]!s_stm07_is($A1405,"W70752487",TEXT($B$1,"yyyy/mm/dd"),1),"")</f>
        <v>215678000000</v>
      </c>
      <c r="F1405">
        <f>IFERROR([1]!s_stm07_is_103($A1405,TEXT($B$1,"yyyy/mm/dd"),1),"")</f>
        <v>0</v>
      </c>
      <c r="G1405">
        <f>IFERROR([1]!s_stm07_is_104($A1405,TEXT($B$1,"yyyy/mm/dd"),1),"")</f>
        <v>0</v>
      </c>
      <c r="H1405">
        <f>IFERROR([1]!s_stm07_is_105($A1405,TEXT($B$1,"yyyy/mm/dd"),1),"")</f>
        <v>0</v>
      </c>
      <c r="I1405">
        <f>IFERROR([1]!s_stm07_is($A1405,"W72946623",TEXT($B$1,"yyyy/mm/dd"),1),"")</f>
        <v>380623000000</v>
      </c>
      <c r="J1405">
        <f>IFERROR([1]!s_stm07_is($A1405,"W30028333",TEXT($B$1,"yyyy/mm/dd"),1),"")</f>
        <v>338906000000</v>
      </c>
      <c r="K1405">
        <f>IFERROR([1]!s_stm07_cs($A1405,"W77130581",TEXT($B$1,"yyyy/mm/dd"),1),"")</f>
        <v>2101242000000</v>
      </c>
      <c r="L1405">
        <f>IFERROR([1]!s_stm07_cs($A1405,"W77745895",TEXT($B$1,"yyyy/mm/dd"),1),"")</f>
        <v>23564000000</v>
      </c>
      <c r="M1405">
        <f>IFERROR([1]!S_FA_EPS_basic2($A1405,$B$1,"Cur=CNY"),"")</f>
        <v>1.3</v>
      </c>
      <c r="N1405">
        <f>IFERROR([1]!s_fa_arturndays($A1405,TEXT($B$1,"yyyy/mm/dd")),"")</f>
        <v>0</v>
      </c>
      <c r="O1405" t="str">
        <f>IFERROR([1]!fa_apturndays($A1405,TEXT($B$1,"yyyy/mm/dd")),"")</f>
        <v>Fetch...</v>
      </c>
      <c r="P1405">
        <f>IFERROR([1]!s_fa_invturndays($A1405,TEXT($B$1,"yyyy/mm/dd")),"")</f>
        <v>0</v>
      </c>
    </row>
    <row r="1406" spans="1:16">
      <c r="A1406" t="s">
        <v>1419</v>
      </c>
      <c r="B1406">
        <f>IFERROR([1]!s_stm07_is($A1406,"W70156729",TEXT($B$1,"yyyy/mm/dd"),1),"")</f>
        <v>5334064934.5500002</v>
      </c>
      <c r="C1406">
        <f>IFERROR([1]!s_stm07_is($A1406,"W75682424",TEXT($B$1,"yyyy/mm/dd"),1),"")</f>
        <v>3476009167.9299998</v>
      </c>
      <c r="D1406">
        <f>IFERROR([1]!s_stm07_is($A1406,"W76031679",TEXT($B$1,"yyyy/mm/dd"),1),"")</f>
        <v>433158039.77999997</v>
      </c>
      <c r="E1406">
        <f>IFERROR([1]!s_stm07_is($A1406,"W70752487",TEXT($B$1,"yyyy/mm/dd"),1),"")</f>
        <v>914499478.01999998</v>
      </c>
      <c r="F1406">
        <f>IFERROR([1]!s_stm07_is_103($A1406,TEXT($B$1,"yyyy/mm/dd"),1),"")</f>
        <v>38447921.939999998</v>
      </c>
      <c r="G1406">
        <f>IFERROR([1]!s_stm07_is_104($A1406,TEXT($B$1,"yyyy/mm/dd"),1),"")</f>
        <v>9735551.1799999997</v>
      </c>
      <c r="H1406">
        <f>IFERROR([1]!s_stm07_is_105($A1406,TEXT($B$1,"yyyy/mm/dd"),1),"")</f>
        <v>37909682.119999997</v>
      </c>
      <c r="I1406">
        <f>IFERROR([1]!s_stm07_is($A1406,"W72946623",TEXT($B$1,"yyyy/mm/dd"),1),"")</f>
        <v>683208516.51999998</v>
      </c>
      <c r="J1406">
        <f>IFERROR([1]!s_stm07_is($A1406,"W30028333",TEXT($B$1,"yyyy/mm/dd"),1),"")</f>
        <v>647197452.52999997</v>
      </c>
      <c r="K1406">
        <f>IFERROR([1]!s_stm07_cs($A1406,"W77130581",TEXT($B$1,"yyyy/mm/dd"),1),"")</f>
        <v>802594710.53999996</v>
      </c>
      <c r="L1406">
        <f>IFERROR([1]!s_stm07_cs($A1406,"W77745895",TEXT($B$1,"yyyy/mm/dd"),1),"")</f>
        <v>179937723.18000001</v>
      </c>
      <c r="M1406">
        <f>IFERROR([1]!S_FA_EPS_basic2($A1406,$B$1,"Cur=CNY"),"")</f>
        <v>0.33989999999999998</v>
      </c>
      <c r="N1406">
        <f>IFERROR([1]!s_fa_arturndays($A1406,TEXT($B$1,"yyyy/mm/dd")),"")</f>
        <v>50.048699999999997</v>
      </c>
      <c r="O1406" t="str">
        <f>IFERROR([1]!fa_apturndays($A1406,TEXT($B$1,"yyyy/mm/dd")),"")</f>
        <v>Fetch...</v>
      </c>
      <c r="P1406">
        <f>IFERROR([1]!s_fa_invturndays($A1406,TEXT($B$1,"yyyy/mm/dd")),"")</f>
        <v>234.75710000000001</v>
      </c>
    </row>
    <row r="1407" spans="1:16">
      <c r="A1407" t="s">
        <v>1420</v>
      </c>
      <c r="B1407">
        <f>IFERROR([1]!s_stm07_is($A1407,"W70156729",TEXT($B$1,"yyyy/mm/dd"),1),"")</f>
        <v>10071255385.459999</v>
      </c>
      <c r="C1407">
        <f>IFERROR([1]!s_stm07_is($A1407,"W75682424",TEXT($B$1,"yyyy/mm/dd"),1),"")</f>
        <v>8737959453.1399994</v>
      </c>
      <c r="D1407">
        <f>IFERROR([1]!s_stm07_is($A1407,"W76031679",TEXT($B$1,"yyyy/mm/dd"),1),"")</f>
        <v>202668688.22</v>
      </c>
      <c r="E1407">
        <f>IFERROR([1]!s_stm07_is($A1407,"W70752487",TEXT($B$1,"yyyy/mm/dd"),1),"")</f>
        <v>557565456.87</v>
      </c>
      <c r="F1407">
        <f>IFERROR([1]!s_stm07_is_103($A1407,TEXT($B$1,"yyyy/mm/dd"),1),"")</f>
        <v>108378484.54000001</v>
      </c>
      <c r="G1407">
        <f>IFERROR([1]!s_stm07_is_104($A1407,TEXT($B$1,"yyyy/mm/dd"),1),"")</f>
        <v>214554547.30000001</v>
      </c>
      <c r="H1407">
        <f>IFERROR([1]!s_stm07_is_105($A1407,TEXT($B$1,"yyyy/mm/dd"),1),"")</f>
        <v>9922373.6199999992</v>
      </c>
      <c r="I1407">
        <f>IFERROR([1]!s_stm07_is($A1407,"W72946623",TEXT($B$1,"yyyy/mm/dd"),1),"")</f>
        <v>601897530.04999995</v>
      </c>
      <c r="J1407">
        <f>IFERROR([1]!s_stm07_is($A1407,"W30028333",TEXT($B$1,"yyyy/mm/dd"),1),"")</f>
        <v>547856631.82000005</v>
      </c>
      <c r="K1407">
        <f>IFERROR([1]!s_stm07_cs($A1407,"W77130581",TEXT($B$1,"yyyy/mm/dd"),1),"")</f>
        <v>2259343856.4899998</v>
      </c>
      <c r="L1407">
        <f>IFERROR([1]!s_stm07_cs($A1407,"W77745895",TEXT($B$1,"yyyy/mm/dd"),1),"")</f>
        <v>553042094.72000003</v>
      </c>
      <c r="M1407">
        <f>IFERROR([1]!S_FA_EPS_basic2($A1407,$B$1,"Cur=CNY"),"")</f>
        <v>0.4</v>
      </c>
      <c r="N1407">
        <f>IFERROR([1]!s_fa_arturndays($A1407,TEXT($B$1,"yyyy/mm/dd")),"")</f>
        <v>17.032</v>
      </c>
      <c r="O1407" t="str">
        <f>IFERROR([1]!fa_apturndays($A1407,TEXT($B$1,"yyyy/mm/dd")),"")</f>
        <v>Fetch...</v>
      </c>
      <c r="P1407">
        <f>IFERROR([1]!s_fa_invturndays($A1407,TEXT($B$1,"yyyy/mm/dd")),"")</f>
        <v>139.2704</v>
      </c>
    </row>
    <row r="1408" spans="1:16">
      <c r="A1408" t="s">
        <v>1421</v>
      </c>
      <c r="B1408">
        <f>IFERROR([1]!s_stm07_is($A1408,"W70156729",TEXT($B$1,"yyyy/mm/dd"),1),"")</f>
        <v>13834275518.74</v>
      </c>
      <c r="C1408">
        <f>IFERROR([1]!s_stm07_is($A1408,"W75682424",TEXT($B$1,"yyyy/mm/dd"),1),"")</f>
        <v>8144346858.5</v>
      </c>
      <c r="D1408">
        <f>IFERROR([1]!s_stm07_is($A1408,"W76031679",TEXT($B$1,"yyyy/mm/dd"),1),"")</f>
        <v>34906343.729999997</v>
      </c>
      <c r="E1408">
        <f>IFERROR([1]!s_stm07_is($A1408,"W70752487",TEXT($B$1,"yyyy/mm/dd"),1),"")</f>
        <v>537515307.75</v>
      </c>
      <c r="F1408">
        <f>IFERROR([1]!s_stm07_is_103($A1408,TEXT($B$1,"yyyy/mm/dd"),1),"")</f>
        <v>421881193.31999999</v>
      </c>
      <c r="G1408">
        <f>IFERROR([1]!s_stm07_is_104($A1408,TEXT($B$1,"yyyy/mm/dd"),1),"")</f>
        <v>14432310.99</v>
      </c>
      <c r="H1408">
        <f>IFERROR([1]!s_stm07_is_105($A1408,TEXT($B$1,"yyyy/mm/dd"),1),"")</f>
        <v>69586546.430000007</v>
      </c>
      <c r="I1408">
        <f>IFERROR([1]!s_stm07_is($A1408,"W72946623",TEXT($B$1,"yyyy/mm/dd"),1),"")</f>
        <v>4111544139.3299999</v>
      </c>
      <c r="J1408">
        <f>IFERROR([1]!s_stm07_is($A1408,"W30028333",TEXT($B$1,"yyyy/mm/dd"),1),"")</f>
        <v>3154805423.48</v>
      </c>
      <c r="K1408">
        <f>IFERROR([1]!s_stm07_cs($A1408,"W77130581",TEXT($B$1,"yyyy/mm/dd"),1),"")</f>
        <v>1627947057.01</v>
      </c>
      <c r="L1408">
        <f>IFERROR([1]!s_stm07_cs($A1408,"W77745895",TEXT($B$1,"yyyy/mm/dd"),1),"")</f>
        <v>199192298.44999999</v>
      </c>
      <c r="M1408">
        <f>IFERROR([1]!S_FA_EPS_basic2($A1408,$B$1,"Cur=CNY"),"")</f>
        <v>0.98</v>
      </c>
      <c r="N1408">
        <f>IFERROR([1]!s_fa_arturndays($A1408,TEXT($B$1,"yyyy/mm/dd")),"")</f>
        <v>3.0209000000000001</v>
      </c>
      <c r="O1408" t="str">
        <f>IFERROR([1]!fa_apturndays($A1408,TEXT($B$1,"yyyy/mm/dd")),"")</f>
        <v>Fetch...</v>
      </c>
      <c r="P1408">
        <f>IFERROR([1]!s_fa_invturndays($A1408,TEXT($B$1,"yyyy/mm/dd")),"")</f>
        <v>19.824000000000002</v>
      </c>
    </row>
    <row r="1409" spans="1:16">
      <c r="A1409" t="s">
        <v>1422</v>
      </c>
      <c r="B1409">
        <f>IFERROR([1]!s_stm07_is($A1409,"W70156729",TEXT($B$1,"yyyy/mm/dd"),1),"")</f>
        <v>15113456000</v>
      </c>
      <c r="C1409">
        <f>IFERROR([1]!s_stm07_is($A1409,"W75682424",TEXT($B$1,"yyyy/mm/dd"),1),"")</f>
        <v>0</v>
      </c>
      <c r="D1409">
        <f>IFERROR([1]!s_stm07_is($A1409,"W76031679",TEXT($B$1,"yyyy/mm/dd"),1),"")</f>
        <v>0</v>
      </c>
      <c r="E1409">
        <f>IFERROR([1]!s_stm07_is($A1409,"W70752487",TEXT($B$1,"yyyy/mm/dd"),1),"")</f>
        <v>4216083000</v>
      </c>
      <c r="F1409">
        <f>IFERROR([1]!s_stm07_is_103($A1409,TEXT($B$1,"yyyy/mm/dd"),1),"")</f>
        <v>0</v>
      </c>
      <c r="G1409">
        <f>IFERROR([1]!s_stm07_is_104($A1409,TEXT($B$1,"yyyy/mm/dd"),1),"")</f>
        <v>0</v>
      </c>
      <c r="H1409">
        <f>IFERROR([1]!s_stm07_is_105($A1409,TEXT($B$1,"yyyy/mm/dd"),1),"")</f>
        <v>0</v>
      </c>
      <c r="I1409">
        <f>IFERROR([1]!s_stm07_is($A1409,"W72946623",TEXT($B$1,"yyyy/mm/dd"),1),"")</f>
        <v>6752675000</v>
      </c>
      <c r="J1409">
        <f>IFERROR([1]!s_stm07_is($A1409,"W30028333",TEXT($B$1,"yyyy/mm/dd"),1),"")</f>
        <v>5654218000</v>
      </c>
      <c r="K1409">
        <f>IFERROR([1]!s_stm07_cs($A1409,"W77130581",TEXT($B$1,"yyyy/mm/dd"),1),"")</f>
        <v>49435593000</v>
      </c>
      <c r="L1409">
        <f>IFERROR([1]!s_stm07_cs($A1409,"W77745895",TEXT($B$1,"yyyy/mm/dd"),1),"")</f>
        <v>1320119000</v>
      </c>
      <c r="M1409">
        <f>IFERROR([1]!S_FA_EPS_basic2($A1409,$B$1,"Cur=CNY"),"")</f>
        <v>1.53</v>
      </c>
      <c r="N1409">
        <f>IFERROR([1]!s_fa_arturndays($A1409,TEXT($B$1,"yyyy/mm/dd")),"")</f>
        <v>0</v>
      </c>
      <c r="O1409" t="str">
        <f>IFERROR([1]!fa_apturndays($A1409,TEXT($B$1,"yyyy/mm/dd")),"")</f>
        <v>Fetch...</v>
      </c>
      <c r="P1409">
        <f>IFERROR([1]!s_fa_invturndays($A1409,TEXT($B$1,"yyyy/mm/dd")),"")</f>
        <v>0</v>
      </c>
    </row>
    <row r="1410" spans="1:16">
      <c r="A1410" t="s">
        <v>1423</v>
      </c>
      <c r="B1410">
        <f>IFERROR([1]!s_stm07_is($A1410,"W70156729",TEXT($B$1,"yyyy/mm/dd"),1),"")</f>
        <v>4966679182.3500004</v>
      </c>
      <c r="C1410">
        <f>IFERROR([1]!s_stm07_is($A1410,"W75682424",TEXT($B$1,"yyyy/mm/dd"),1),"")</f>
        <v>2687980160.9200001</v>
      </c>
      <c r="D1410">
        <f>IFERROR([1]!s_stm07_is($A1410,"W76031679",TEXT($B$1,"yyyy/mm/dd"),1),"")</f>
        <v>189373641.84999999</v>
      </c>
      <c r="E1410">
        <f>IFERROR([1]!s_stm07_is($A1410,"W70752487",TEXT($B$1,"yyyy/mm/dd"),1),"")</f>
        <v>400154440.30000001</v>
      </c>
      <c r="F1410">
        <f>IFERROR([1]!s_stm07_is_103($A1410,TEXT($B$1,"yyyy/mm/dd"),1),"")</f>
        <v>346549520.22000003</v>
      </c>
      <c r="G1410">
        <f>IFERROR([1]!s_stm07_is_104($A1410,TEXT($B$1,"yyyy/mm/dd"),1),"")</f>
        <v>25946301.949999999</v>
      </c>
      <c r="H1410">
        <f>IFERROR([1]!s_stm07_is_105($A1410,TEXT($B$1,"yyyy/mm/dd"),1),"")</f>
        <v>10723289.779999999</v>
      </c>
      <c r="I1410">
        <f>IFERROR([1]!s_stm07_is($A1410,"W72946623",TEXT($B$1,"yyyy/mm/dd"),1),"")</f>
        <v>1341817836.5799999</v>
      </c>
      <c r="J1410">
        <f>IFERROR([1]!s_stm07_is($A1410,"W30028333",TEXT($B$1,"yyyy/mm/dd"),1),"")</f>
        <v>1057677423.3200001</v>
      </c>
      <c r="K1410">
        <f>IFERROR([1]!s_stm07_cs($A1410,"W77130581",TEXT($B$1,"yyyy/mm/dd"),1),"")</f>
        <v>1227200783.6800001</v>
      </c>
      <c r="L1410">
        <f>IFERROR([1]!s_stm07_cs($A1410,"W77745895",TEXT($B$1,"yyyy/mm/dd"),1),"")</f>
        <v>972100555.89999998</v>
      </c>
      <c r="M1410">
        <f>IFERROR([1]!S_FA_EPS_basic2($A1410,$B$1,"Cur=CNY"),"")</f>
        <v>1.06</v>
      </c>
      <c r="N1410">
        <f>IFERROR([1]!s_fa_arturndays($A1410,TEXT($B$1,"yyyy/mm/dd")),"")</f>
        <v>141.8272</v>
      </c>
      <c r="O1410" t="str">
        <f>IFERROR([1]!fa_apturndays($A1410,TEXT($B$1,"yyyy/mm/dd")),"")</f>
        <v>Fetch...</v>
      </c>
      <c r="P1410">
        <f>IFERROR([1]!s_fa_invturndays($A1410,TEXT($B$1,"yyyy/mm/dd")),"")</f>
        <v>61.2151</v>
      </c>
    </row>
    <row r="1411" spans="1:16">
      <c r="A1411" t="s">
        <v>1424</v>
      </c>
      <c r="B1411">
        <f>IFERROR([1]!s_stm07_is($A1411,"W70156729",TEXT($B$1,"yyyy/mm/dd"),1),"")</f>
        <v>24642157744</v>
      </c>
      <c r="C1411">
        <f>IFERROR([1]!s_stm07_is($A1411,"W75682424",TEXT($B$1,"yyyy/mm/dd"),1),"")</f>
        <v>20445464450</v>
      </c>
      <c r="D1411">
        <f>IFERROR([1]!s_stm07_is($A1411,"W76031679",TEXT($B$1,"yyyy/mm/dd"),1),"")</f>
        <v>862084950</v>
      </c>
      <c r="E1411">
        <f>IFERROR([1]!s_stm07_is($A1411,"W70752487",TEXT($B$1,"yyyy/mm/dd"),1),"")</f>
        <v>747079595</v>
      </c>
      <c r="F1411">
        <f>IFERROR([1]!s_stm07_is_103($A1411,TEXT($B$1,"yyyy/mm/dd"),1),"")</f>
        <v>978131177</v>
      </c>
      <c r="G1411">
        <f>IFERROR([1]!s_stm07_is_104($A1411,TEXT($B$1,"yyyy/mm/dd"),1),"")</f>
        <v>290895987</v>
      </c>
      <c r="H1411">
        <f>IFERROR([1]!s_stm07_is_105($A1411,TEXT($B$1,"yyyy/mm/dd"),1),"")</f>
        <v>99725414</v>
      </c>
      <c r="I1411">
        <f>IFERROR([1]!s_stm07_is($A1411,"W72946623",TEXT($B$1,"yyyy/mm/dd"),1),"")</f>
        <v>1542485350</v>
      </c>
      <c r="J1411">
        <f>IFERROR([1]!s_stm07_is($A1411,"W30028333",TEXT($B$1,"yyyy/mm/dd"),1),"")</f>
        <v>1368870960</v>
      </c>
      <c r="K1411">
        <f>IFERROR([1]!s_stm07_cs($A1411,"W77130581",TEXT($B$1,"yyyy/mm/dd"),1),"")</f>
        <v>1988798172</v>
      </c>
      <c r="L1411">
        <f>IFERROR([1]!s_stm07_cs($A1411,"W77745895",TEXT($B$1,"yyyy/mm/dd"),1),"")</f>
        <v>1765059102</v>
      </c>
      <c r="M1411">
        <f>IFERROR([1]!S_FA_EPS_basic2($A1411,$B$1,"Cur=CNY"),"")</f>
        <v>0.94</v>
      </c>
      <c r="N1411">
        <f>IFERROR([1]!s_fa_arturndays($A1411,TEXT($B$1,"yyyy/mm/dd")),"")</f>
        <v>68.326800000000006</v>
      </c>
      <c r="O1411" t="str">
        <f>IFERROR([1]!fa_apturndays($A1411,TEXT($B$1,"yyyy/mm/dd")),"")</f>
        <v>Fetch...</v>
      </c>
      <c r="P1411">
        <f>IFERROR([1]!s_fa_invturndays($A1411,TEXT($B$1,"yyyy/mm/dd")),"")</f>
        <v>99.140799999999999</v>
      </c>
    </row>
    <row r="1412" spans="1:16">
      <c r="A1412" t="s">
        <v>1425</v>
      </c>
      <c r="B1412">
        <f>IFERROR([1]!s_stm07_is($A1412,"W70156729",TEXT($B$1,"yyyy/mm/dd"),1),"")</f>
        <v>4416014510</v>
      </c>
      <c r="C1412">
        <f>IFERROR([1]!s_stm07_is($A1412,"W75682424",TEXT($B$1,"yyyy/mm/dd"),1),"")</f>
        <v>3273641340</v>
      </c>
      <c r="D1412">
        <f>IFERROR([1]!s_stm07_is($A1412,"W76031679",TEXT($B$1,"yyyy/mm/dd"),1),"")</f>
        <v>10004760</v>
      </c>
      <c r="E1412">
        <f>IFERROR([1]!s_stm07_is($A1412,"W70752487",TEXT($B$1,"yyyy/mm/dd"),1),"")</f>
        <v>389727000</v>
      </c>
      <c r="F1412">
        <f>IFERROR([1]!s_stm07_is_103($A1412,TEXT($B$1,"yyyy/mm/dd"),1),"")</f>
        <v>52486460</v>
      </c>
      <c r="G1412">
        <f>IFERROR([1]!s_stm07_is_104($A1412,TEXT($B$1,"yyyy/mm/dd"),1),"")</f>
        <v>115200840</v>
      </c>
      <c r="H1412">
        <f>IFERROR([1]!s_stm07_is_105($A1412,TEXT($B$1,"yyyy/mm/dd"),1),"")</f>
        <v>39805820</v>
      </c>
      <c r="I1412">
        <f>IFERROR([1]!s_stm07_is($A1412,"W72946623",TEXT($B$1,"yyyy/mm/dd"),1),"")</f>
        <v>532310600</v>
      </c>
      <c r="J1412">
        <f>IFERROR([1]!s_stm07_is($A1412,"W30028333",TEXT($B$1,"yyyy/mm/dd"),1),"")</f>
        <v>431026320</v>
      </c>
      <c r="K1412">
        <f>IFERROR([1]!s_stm07_cs($A1412,"W77130581",TEXT($B$1,"yyyy/mm/dd"),1),"")</f>
        <v>1637102610</v>
      </c>
      <c r="L1412">
        <f>IFERROR([1]!s_stm07_cs($A1412,"W77745895",TEXT($B$1,"yyyy/mm/dd"),1),"")</f>
        <v>1314574320</v>
      </c>
      <c r="M1412">
        <f>IFERROR([1]!S_FA_EPS_basic2($A1412,$B$1,"Cur=CNY"),"")</f>
        <v>0.22</v>
      </c>
      <c r="N1412">
        <f>IFERROR([1]!s_fa_arturndays($A1412,TEXT($B$1,"yyyy/mm/dd")),"")</f>
        <v>42.053600000000003</v>
      </c>
      <c r="O1412" t="str">
        <f>IFERROR([1]!fa_apturndays($A1412,TEXT($B$1,"yyyy/mm/dd")),"")</f>
        <v>Fetch...</v>
      </c>
      <c r="P1412">
        <f>IFERROR([1]!s_fa_invturndays($A1412,TEXT($B$1,"yyyy/mm/dd")),"")</f>
        <v>61.6723</v>
      </c>
    </row>
    <row r="1413" spans="1:16">
      <c r="A1413" t="s">
        <v>1426</v>
      </c>
      <c r="B1413">
        <f>IFERROR([1]!s_stm07_is($A1413,"W70156729",TEXT($B$1,"yyyy/mm/dd"),1),"")</f>
        <v>5819541032.4700003</v>
      </c>
      <c r="C1413">
        <f>IFERROR([1]!s_stm07_is($A1413,"W75682424",TEXT($B$1,"yyyy/mm/dd"),1),"")</f>
        <v>4139614701.9499998</v>
      </c>
      <c r="D1413">
        <f>IFERROR([1]!s_stm07_is($A1413,"W76031679",TEXT($B$1,"yyyy/mm/dd"),1),"")</f>
        <v>37289540.310000002</v>
      </c>
      <c r="E1413">
        <f>IFERROR([1]!s_stm07_is($A1413,"W70752487",TEXT($B$1,"yyyy/mm/dd"),1),"")</f>
        <v>99486664.290000007</v>
      </c>
      <c r="F1413">
        <f>IFERROR([1]!s_stm07_is_103($A1413,TEXT($B$1,"yyyy/mm/dd"),1),"")</f>
        <v>810849.05</v>
      </c>
      <c r="G1413">
        <f>IFERROR([1]!s_stm07_is_104($A1413,TEXT($B$1,"yyyy/mm/dd"),1),"")</f>
        <v>24710968.27</v>
      </c>
      <c r="H1413">
        <f>IFERROR([1]!s_stm07_is_105($A1413,TEXT($B$1,"yyyy/mm/dd"),1),"")</f>
        <v>92781413.069999993</v>
      </c>
      <c r="I1413">
        <f>IFERROR([1]!s_stm07_is($A1413,"W72946623",TEXT($B$1,"yyyy/mm/dd"),1),"")</f>
        <v>1574343863.6500001</v>
      </c>
      <c r="J1413">
        <f>IFERROR([1]!s_stm07_is($A1413,"W30028333",TEXT($B$1,"yyyy/mm/dd"),1),"")</f>
        <v>1311487189.7</v>
      </c>
      <c r="K1413">
        <f>IFERROR([1]!s_stm07_cs($A1413,"W77130581",TEXT($B$1,"yyyy/mm/dd"),1),"")</f>
        <v>2084244856.6300001</v>
      </c>
      <c r="L1413">
        <f>IFERROR([1]!s_stm07_cs($A1413,"W77745895",TEXT($B$1,"yyyy/mm/dd"),1),"")</f>
        <v>877098746.29999995</v>
      </c>
      <c r="M1413">
        <f>IFERROR([1]!S_FA_EPS_basic2($A1413,$B$1,"Cur=CNY"),"")</f>
        <v>0.27439999999999998</v>
      </c>
      <c r="N1413">
        <f>IFERROR([1]!s_fa_arturndays($A1413,TEXT($B$1,"yyyy/mm/dd")),"")</f>
        <v>14.0701</v>
      </c>
      <c r="O1413" t="str">
        <f>IFERROR([1]!fa_apturndays($A1413,TEXT($B$1,"yyyy/mm/dd")),"")</f>
        <v>Fetch...</v>
      </c>
      <c r="P1413">
        <f>IFERROR([1]!s_fa_invturndays($A1413,TEXT($B$1,"yyyy/mm/dd")),"")</f>
        <v>62.995399999999997</v>
      </c>
    </row>
    <row r="1414" spans="1:16">
      <c r="A1414" t="s">
        <v>1427</v>
      </c>
      <c r="B1414">
        <f>IFERROR([1]!s_stm07_is($A1414,"W70156729",TEXT($B$1,"yyyy/mm/dd"),1),"")</f>
        <v>82075495244.949997</v>
      </c>
      <c r="C1414">
        <f>IFERROR([1]!s_stm07_is($A1414,"W75682424",TEXT($B$1,"yyyy/mm/dd"),1),"")</f>
        <v>48161106764.309998</v>
      </c>
      <c r="D1414">
        <f>IFERROR([1]!s_stm07_is($A1414,"W76031679",TEXT($B$1,"yyyy/mm/dd"),1),"")</f>
        <v>99677501.569999993</v>
      </c>
      <c r="E1414">
        <f>IFERROR([1]!s_stm07_is($A1414,"W70752487",TEXT($B$1,"yyyy/mm/dd"),1),"")</f>
        <v>4118634067.3400002</v>
      </c>
      <c r="F1414">
        <f>IFERROR([1]!s_stm07_is_103($A1414,TEXT($B$1,"yyyy/mm/dd"),1),"")</f>
        <v>1439607763.0599999</v>
      </c>
      <c r="G1414">
        <f>IFERROR([1]!s_stm07_is_104($A1414,TEXT($B$1,"yyyy/mm/dd"),1),"")</f>
        <v>6539822152.0799999</v>
      </c>
      <c r="H1414">
        <f>IFERROR([1]!s_stm07_is_105($A1414,TEXT($B$1,"yyyy/mm/dd"),1),"")</f>
        <v>144919797.34999999</v>
      </c>
      <c r="I1414">
        <f>IFERROR([1]!s_stm07_is($A1414,"W72946623",TEXT($B$1,"yyyy/mm/dd"),1),"")</f>
        <v>23289068043.099998</v>
      </c>
      <c r="J1414">
        <f>IFERROR([1]!s_stm07_is($A1414,"W30028333",TEXT($B$1,"yyyy/mm/dd"),1),"")</f>
        <v>9304211536.7399998</v>
      </c>
      <c r="K1414">
        <f>IFERROR([1]!s_stm07_cs($A1414,"W77130581",TEXT($B$1,"yyyy/mm/dd"),1),"")</f>
        <v>37408396868.529999</v>
      </c>
      <c r="L1414">
        <f>IFERROR([1]!s_stm07_cs($A1414,"W77745895",TEXT($B$1,"yyyy/mm/dd"),1),"")</f>
        <v>93683638145.110001</v>
      </c>
      <c r="M1414">
        <f>IFERROR([1]!S_FA_EPS_basic2($A1414,$B$1,"Cur=CNY"),"")</f>
        <v>0.45300000000000001</v>
      </c>
      <c r="N1414">
        <f>IFERROR([1]!s_fa_arturndays($A1414,TEXT($B$1,"yyyy/mm/dd")),"")</f>
        <v>109.7093</v>
      </c>
      <c r="O1414" t="str">
        <f>IFERROR([1]!fa_apturndays($A1414,TEXT($B$1,"yyyy/mm/dd")),"")</f>
        <v>Fetch...</v>
      </c>
      <c r="P1414">
        <f>IFERROR([1]!s_fa_invturndays($A1414,TEXT($B$1,"yyyy/mm/dd")),"")</f>
        <v>252.50749999999999</v>
      </c>
    </row>
    <row r="1415" spans="1:16">
      <c r="A1415" t="s">
        <v>1428</v>
      </c>
      <c r="B1415">
        <f>IFERROR([1]!s_stm07_is($A1415,"W70156729",TEXT($B$1,"yyyy/mm/dd"),1),"")</f>
        <v>658310000000</v>
      </c>
      <c r="C1415">
        <f>IFERROR([1]!s_stm07_is($A1415,"W75682424",TEXT($B$1,"yyyy/mm/dd"),1),"")</f>
        <v>0</v>
      </c>
      <c r="D1415">
        <f>IFERROR([1]!s_stm07_is($A1415,"W76031679",TEXT($B$1,"yyyy/mm/dd"),1),"")</f>
        <v>0</v>
      </c>
      <c r="E1415">
        <f>IFERROR([1]!s_stm07_is($A1415,"W70752487",TEXT($B$1,"yyyy/mm/dd"),1),"")</f>
        <v>183270000000</v>
      </c>
      <c r="F1415">
        <f>IFERROR([1]!s_stm07_is_103($A1415,TEXT($B$1,"yyyy/mm/dd"),1),"")</f>
        <v>0</v>
      </c>
      <c r="G1415">
        <f>IFERROR([1]!s_stm07_is_104($A1415,TEXT($B$1,"yyyy/mm/dd"),1),"")</f>
        <v>0</v>
      </c>
      <c r="H1415">
        <f>IFERROR([1]!s_stm07_is_105($A1415,TEXT($B$1,"yyyy/mm/dd"),1),"")</f>
        <v>0</v>
      </c>
      <c r="I1415">
        <f>IFERROR([1]!s_stm07_is($A1415,"W72946623",TEXT($B$1,"yyyy/mm/dd"),1),"")</f>
        <v>301288000000</v>
      </c>
      <c r="J1415">
        <f>IFERROR([1]!s_stm07_is($A1415,"W30028333",TEXT($B$1,"yyyy/mm/dd"),1),"")</f>
        <v>243021000000</v>
      </c>
      <c r="K1415">
        <f>IFERROR([1]!s_stm07_cs($A1415,"W77130581",TEXT($B$1,"yyyy/mm/dd"),1),"")</f>
        <v>812030000000</v>
      </c>
      <c r="L1415">
        <f>IFERROR([1]!s_stm07_cs($A1415,"W77745895",TEXT($B$1,"yyyy/mm/dd"),1),"")</f>
        <v>51273000000</v>
      </c>
      <c r="M1415">
        <f>IFERROR([1]!S_FA_EPS_basic2($A1415,$B$1,"Cur=CNY"),"")</f>
        <v>0.74</v>
      </c>
      <c r="N1415">
        <f>IFERROR([1]!s_fa_arturndays($A1415,TEXT($B$1,"yyyy/mm/dd")),"")</f>
        <v>0</v>
      </c>
      <c r="O1415" t="str">
        <f>IFERROR([1]!fa_apturndays($A1415,TEXT($B$1,"yyyy/mm/dd")),"")</f>
        <v>Fetch...</v>
      </c>
      <c r="P1415">
        <f>IFERROR([1]!s_fa_invturndays($A1415,TEXT($B$1,"yyyy/mm/dd")),"")</f>
        <v>0</v>
      </c>
    </row>
    <row r="1416" spans="1:16">
      <c r="A1416" t="s">
        <v>1429</v>
      </c>
      <c r="B1416">
        <f>IFERROR([1]!s_stm07_is($A1416,"W70156729",TEXT($B$1,"yyyy/mm/dd"),1),"")</f>
        <v>2805733627.4699998</v>
      </c>
      <c r="C1416">
        <f>IFERROR([1]!s_stm07_is($A1416,"W75682424",TEXT($B$1,"yyyy/mm/dd"),1),"")</f>
        <v>0</v>
      </c>
      <c r="D1416">
        <f>IFERROR([1]!s_stm07_is($A1416,"W76031679",TEXT($B$1,"yyyy/mm/dd"),1),"")</f>
        <v>0</v>
      </c>
      <c r="E1416">
        <f>IFERROR([1]!s_stm07_is($A1416,"W70752487",TEXT($B$1,"yyyy/mm/dd"),1),"")</f>
        <v>1436755409.48</v>
      </c>
      <c r="F1416">
        <f>IFERROR([1]!s_stm07_is_103($A1416,TEXT($B$1,"yyyy/mm/dd"),1),"")</f>
        <v>0</v>
      </c>
      <c r="G1416">
        <f>IFERROR([1]!s_stm07_is_104($A1416,TEXT($B$1,"yyyy/mm/dd"),1),"")</f>
        <v>0</v>
      </c>
      <c r="H1416">
        <f>IFERROR([1]!s_stm07_is_105($A1416,TEXT($B$1,"yyyy/mm/dd"),1),"")</f>
        <v>0</v>
      </c>
      <c r="I1416">
        <f>IFERROR([1]!s_stm07_is($A1416,"W72946623",TEXT($B$1,"yyyy/mm/dd"),1),"")</f>
        <v>1334032695.75</v>
      </c>
      <c r="J1416">
        <f>IFERROR([1]!s_stm07_is($A1416,"W30028333",TEXT($B$1,"yyyy/mm/dd"),1),"")</f>
        <v>1077653543.98</v>
      </c>
      <c r="K1416">
        <f>IFERROR([1]!s_stm07_cs($A1416,"W77130581",TEXT($B$1,"yyyy/mm/dd"),1),"")</f>
        <v>-3318737384.3000002</v>
      </c>
      <c r="L1416">
        <f>IFERROR([1]!s_stm07_cs($A1416,"W77745895",TEXT($B$1,"yyyy/mm/dd"),1),"")</f>
        <v>89167622.010000005</v>
      </c>
      <c r="M1416">
        <f>IFERROR([1]!S_FA_EPS_basic2($A1416,$B$1,"Cur=CNY"),"")</f>
        <v>0.28999999999999998</v>
      </c>
      <c r="N1416">
        <f>IFERROR([1]!s_fa_arturndays($A1416,TEXT($B$1,"yyyy/mm/dd")),"")</f>
        <v>0</v>
      </c>
      <c r="O1416" t="str">
        <f>IFERROR([1]!fa_apturndays($A1416,TEXT($B$1,"yyyy/mm/dd")),"")</f>
        <v>Fetch...</v>
      </c>
      <c r="P1416">
        <f>IFERROR([1]!s_fa_invturndays($A1416,TEXT($B$1,"yyyy/mm/dd")),"")</f>
        <v>0</v>
      </c>
    </row>
    <row r="1417" spans="1:16">
      <c r="A1417" t="s">
        <v>1430</v>
      </c>
      <c r="B1417">
        <f>IFERROR([1]!s_stm07_is($A1417,"W70156729",TEXT($B$1,"yyyy/mm/dd"),1),"")</f>
        <v>121255419000</v>
      </c>
      <c r="C1417">
        <f>IFERROR([1]!s_stm07_is($A1417,"W75682424",TEXT($B$1,"yyyy/mm/dd"),1),"")</f>
        <v>98117734000</v>
      </c>
      <c r="D1417">
        <f>IFERROR([1]!s_stm07_is($A1417,"W76031679",TEXT($B$1,"yyyy/mm/dd"),1),"")</f>
        <v>154509000</v>
      </c>
      <c r="E1417">
        <f>IFERROR([1]!s_stm07_is($A1417,"W70752487",TEXT($B$1,"yyyy/mm/dd"),1),"")</f>
        <v>4288342000</v>
      </c>
      <c r="F1417">
        <f>IFERROR([1]!s_stm07_is_103($A1417,TEXT($B$1,"yyyy/mm/dd"),1),"")</f>
        <v>17372000</v>
      </c>
      <c r="G1417">
        <f>IFERROR([1]!s_stm07_is_104($A1417,TEXT($B$1,"yyyy/mm/dd"),1),"")</f>
        <v>4386254000</v>
      </c>
      <c r="H1417">
        <f>IFERROR([1]!s_stm07_is_105($A1417,TEXT($B$1,"yyyy/mm/dd"),1),"")</f>
        <v>26826000</v>
      </c>
      <c r="I1417">
        <f>IFERROR([1]!s_stm07_is($A1417,"W72946623",TEXT($B$1,"yyyy/mm/dd"),1),"")</f>
        <v>12846887000</v>
      </c>
      <c r="J1417">
        <f>IFERROR([1]!s_stm07_is($A1417,"W30028333",TEXT($B$1,"yyyy/mm/dd"),1),"")</f>
        <v>7386256000</v>
      </c>
      <c r="K1417">
        <f>IFERROR([1]!s_stm07_cs($A1417,"W77130581",TEXT($B$1,"yyyy/mm/dd"),1),"")</f>
        <v>37835693000</v>
      </c>
      <c r="L1417">
        <f>IFERROR([1]!s_stm07_cs($A1417,"W77745895",TEXT($B$1,"yyyy/mm/dd"),1),"")</f>
        <v>28308624000</v>
      </c>
      <c r="M1417">
        <f>IFERROR([1]!S_FA_EPS_basic2($A1417,$B$1,"Cur=CNY"),"")</f>
        <v>0.3155</v>
      </c>
      <c r="N1417">
        <f>IFERROR([1]!s_fa_arturndays($A1417,TEXT($B$1,"yyyy/mm/dd")),"")</f>
        <v>61.8504</v>
      </c>
      <c r="O1417" t="str">
        <f>IFERROR([1]!fa_apturndays($A1417,TEXT($B$1,"yyyy/mm/dd")),"")</f>
        <v>Fetch...</v>
      </c>
      <c r="P1417">
        <f>IFERROR([1]!s_fa_invturndays($A1417,TEXT($B$1,"yyyy/mm/dd")),"")</f>
        <v>16.767399999999999</v>
      </c>
    </row>
    <row r="1418" spans="1:16">
      <c r="A1418" t="s">
        <v>1431</v>
      </c>
      <c r="B1418">
        <f>IFERROR([1]!s_stm07_is($A1418,"W70156729",TEXT($B$1,"yyyy/mm/dd"),1),"")</f>
        <v>28481073842</v>
      </c>
      <c r="C1418">
        <f>IFERROR([1]!s_stm07_is($A1418,"W75682424",TEXT($B$1,"yyyy/mm/dd"),1),"")</f>
        <v>0</v>
      </c>
      <c r="D1418">
        <f>IFERROR([1]!s_stm07_is($A1418,"W76031679",TEXT($B$1,"yyyy/mm/dd"),1),"")</f>
        <v>0</v>
      </c>
      <c r="E1418">
        <f>IFERROR([1]!s_stm07_is($A1418,"W70752487",TEXT($B$1,"yyyy/mm/dd"),1),"")</f>
        <v>16419523397</v>
      </c>
      <c r="F1418">
        <f>IFERROR([1]!s_stm07_is_103($A1418,TEXT($B$1,"yyyy/mm/dd"),1),"")</f>
        <v>0</v>
      </c>
      <c r="G1418">
        <f>IFERROR([1]!s_stm07_is_104($A1418,TEXT($B$1,"yyyy/mm/dd"),1),"")</f>
        <v>0</v>
      </c>
      <c r="H1418">
        <f>IFERROR([1]!s_stm07_is_105($A1418,TEXT($B$1,"yyyy/mm/dd"),1),"")</f>
        <v>0</v>
      </c>
      <c r="I1418">
        <f>IFERROR([1]!s_stm07_is($A1418,"W72946623",TEXT($B$1,"yyyy/mm/dd"),1),"")</f>
        <v>11712746737</v>
      </c>
      <c r="J1418">
        <f>IFERROR([1]!s_stm07_is($A1418,"W30028333",TEXT($B$1,"yyyy/mm/dd"),1),"")</f>
        <v>9790532489</v>
      </c>
      <c r="K1418">
        <f>IFERROR([1]!s_stm07_cs($A1418,"W77130581",TEXT($B$1,"yyyy/mm/dd"),1),"")</f>
        <v>71076330224</v>
      </c>
      <c r="L1418">
        <f>IFERROR([1]!s_stm07_cs($A1418,"W77745895",TEXT($B$1,"yyyy/mm/dd"),1),"")</f>
        <v>765329260</v>
      </c>
      <c r="M1418">
        <f>IFERROR([1]!S_FA_EPS_basic2($A1418,$B$1,"Cur=CNY"),"")</f>
        <v>1.8759999999999999</v>
      </c>
      <c r="N1418">
        <f>IFERROR([1]!s_fa_arturndays($A1418,TEXT($B$1,"yyyy/mm/dd")),"")</f>
        <v>0</v>
      </c>
      <c r="O1418" t="str">
        <f>IFERROR([1]!fa_apturndays($A1418,TEXT($B$1,"yyyy/mm/dd")),"")</f>
        <v>Fetch...</v>
      </c>
      <c r="P1418">
        <f>IFERROR([1]!s_fa_invturndays($A1418,TEXT($B$1,"yyyy/mm/dd")),"")</f>
        <v>0</v>
      </c>
    </row>
    <row r="1419" spans="1:16">
      <c r="A1419" t="s">
        <v>1432</v>
      </c>
      <c r="B1419">
        <f>IFERROR([1]!s_stm07_is($A1419,"W70156729",TEXT($B$1,"yyyy/mm/dd"),1),"")</f>
        <v>12998900000</v>
      </c>
      <c r="C1419">
        <f>IFERROR([1]!s_stm07_is($A1419,"W75682424",TEXT($B$1,"yyyy/mm/dd"),1),"")</f>
        <v>0</v>
      </c>
      <c r="D1419">
        <f>IFERROR([1]!s_stm07_is($A1419,"W76031679",TEXT($B$1,"yyyy/mm/dd"),1),"")</f>
        <v>0</v>
      </c>
      <c r="E1419">
        <f>IFERROR([1]!s_stm07_is($A1419,"W70752487",TEXT($B$1,"yyyy/mm/dd"),1),"")</f>
        <v>3875055000</v>
      </c>
      <c r="F1419">
        <f>IFERROR([1]!s_stm07_is_103($A1419,TEXT($B$1,"yyyy/mm/dd"),1),"")</f>
        <v>0</v>
      </c>
      <c r="G1419">
        <f>IFERROR([1]!s_stm07_is_104($A1419,TEXT($B$1,"yyyy/mm/dd"),1),"")</f>
        <v>0</v>
      </c>
      <c r="H1419">
        <f>IFERROR([1]!s_stm07_is_105($A1419,TEXT($B$1,"yyyy/mm/dd"),1),"")</f>
        <v>0</v>
      </c>
      <c r="I1419">
        <f>IFERROR([1]!s_stm07_is($A1419,"W72946623",TEXT($B$1,"yyyy/mm/dd"),1),"")</f>
        <v>5624333000</v>
      </c>
      <c r="J1419">
        <f>IFERROR([1]!s_stm07_is($A1419,"W30028333",TEXT($B$1,"yyyy/mm/dd"),1),"")</f>
        <v>5249222000</v>
      </c>
      <c r="K1419">
        <f>IFERROR([1]!s_stm07_cs($A1419,"W77130581",TEXT($B$1,"yyyy/mm/dd"),1),"")</f>
        <v>9470458000</v>
      </c>
      <c r="L1419">
        <f>IFERROR([1]!s_stm07_cs($A1419,"W77745895",TEXT($B$1,"yyyy/mm/dd"),1),"")</f>
        <v>3363550000</v>
      </c>
      <c r="M1419">
        <f>IFERROR([1]!S_FA_EPS_basic2($A1419,$B$1,"Cur=CNY"),"")</f>
        <v>1.37</v>
      </c>
      <c r="N1419">
        <f>IFERROR([1]!s_fa_arturndays($A1419,TEXT($B$1,"yyyy/mm/dd")),"")</f>
        <v>0</v>
      </c>
      <c r="O1419" t="str">
        <f>IFERROR([1]!fa_apturndays($A1419,TEXT($B$1,"yyyy/mm/dd")),"")</f>
        <v>Fetch...</v>
      </c>
      <c r="P1419">
        <f>IFERROR([1]!s_fa_invturndays($A1419,TEXT($B$1,"yyyy/mm/dd")),"")</f>
        <v>0</v>
      </c>
    </row>
    <row r="1420" spans="1:16">
      <c r="A1420" t="s">
        <v>1433</v>
      </c>
      <c r="B1420">
        <f>IFERROR([1]!s_stm07_is($A1420,"W70156729",TEXT($B$1,"yyyy/mm/dd"),1),"")</f>
        <v>212475000000</v>
      </c>
      <c r="C1420">
        <f>IFERROR([1]!s_stm07_is($A1420,"W75682424",TEXT($B$1,"yyyy/mm/dd"),1),"")</f>
        <v>0</v>
      </c>
      <c r="D1420">
        <f>IFERROR([1]!s_stm07_is($A1420,"W76031679",TEXT($B$1,"yyyy/mm/dd"),1),"")</f>
        <v>0</v>
      </c>
      <c r="E1420">
        <f>IFERROR([1]!s_stm07_is($A1420,"W70752487",TEXT($B$1,"yyyy/mm/dd"),1),"")</f>
        <v>67159000000</v>
      </c>
      <c r="F1420">
        <f>IFERROR([1]!s_stm07_is_103($A1420,TEXT($B$1,"yyyy/mm/dd"),1),"")</f>
        <v>0</v>
      </c>
      <c r="G1420">
        <f>IFERROR([1]!s_stm07_is_104($A1420,TEXT($B$1,"yyyy/mm/dd"),1),"")</f>
        <v>0</v>
      </c>
      <c r="H1420">
        <f>IFERROR([1]!s_stm07_is_105($A1420,TEXT($B$1,"yyyy/mm/dd"),1),"")</f>
        <v>0</v>
      </c>
      <c r="I1420">
        <f>IFERROR([1]!s_stm07_is($A1420,"W72946623",TEXT($B$1,"yyyy/mm/dd"),1),"")</f>
        <v>84043000000</v>
      </c>
      <c r="J1420">
        <f>IFERROR([1]!s_stm07_is($A1420,"W30028333",TEXT($B$1,"yyyy/mm/dd"),1),"")</f>
        <v>70618000000</v>
      </c>
      <c r="K1420">
        <f>IFERROR([1]!s_stm07_cs($A1420,"W77130581",TEXT($B$1,"yyyy/mm/dd"),1),"")</f>
        <v>443082000000</v>
      </c>
      <c r="L1420">
        <f>IFERROR([1]!s_stm07_cs($A1420,"W77745895",TEXT($B$1,"yyyy/mm/dd"),1),"")</f>
        <v>37820000000</v>
      </c>
      <c r="M1420">
        <f>IFERROR([1]!S_FA_EPS_basic2($A1420,$B$1,"Cur=CNY"),"")</f>
        <v>1.2</v>
      </c>
      <c r="N1420">
        <f>IFERROR([1]!s_fa_arturndays($A1420,TEXT($B$1,"yyyy/mm/dd")),"")</f>
        <v>0</v>
      </c>
      <c r="O1420" t="str">
        <f>IFERROR([1]!fa_apturndays($A1420,TEXT($B$1,"yyyy/mm/dd")),"")</f>
        <v>Fetch...</v>
      </c>
      <c r="P1420">
        <f>IFERROR([1]!s_fa_invturndays($A1420,TEXT($B$1,"yyyy/mm/dd")),"")</f>
        <v>0</v>
      </c>
    </row>
    <row r="1421" spans="1:16">
      <c r="A1421" t="s">
        <v>1434</v>
      </c>
      <c r="B1421">
        <f>IFERROR([1]!s_stm07_is($A1421,"W70156729",TEXT($B$1,"yyyy/mm/dd"),1),"")</f>
        <v>2074918149.4300001</v>
      </c>
      <c r="C1421">
        <f>IFERROR([1]!s_stm07_is($A1421,"W75682424",TEXT($B$1,"yyyy/mm/dd"),1),"")</f>
        <v>1049392487.83</v>
      </c>
      <c r="D1421">
        <f>IFERROR([1]!s_stm07_is($A1421,"W76031679",TEXT($B$1,"yyyy/mm/dd"),1),"")</f>
        <v>350598986.02999997</v>
      </c>
      <c r="E1421">
        <f>IFERROR([1]!s_stm07_is($A1421,"W70752487",TEXT($B$1,"yyyy/mm/dd"),1),"")</f>
        <v>255906271.81</v>
      </c>
      <c r="F1421">
        <f>IFERROR([1]!s_stm07_is_103($A1421,TEXT($B$1,"yyyy/mm/dd"),1),"")</f>
        <v>111396239.53</v>
      </c>
      <c r="G1421">
        <f>IFERROR([1]!s_stm07_is_104($A1421,TEXT($B$1,"yyyy/mm/dd"),1),"")</f>
        <v>5459165.6699999999</v>
      </c>
      <c r="H1421">
        <f>IFERROR([1]!s_stm07_is_105($A1421,TEXT($B$1,"yyyy/mm/dd"),1),"")</f>
        <v>13501740.42</v>
      </c>
      <c r="I1421">
        <f>IFERROR([1]!s_stm07_is($A1421,"W72946623",TEXT($B$1,"yyyy/mm/dd"),1),"")</f>
        <v>255574504.21000001</v>
      </c>
      <c r="J1421">
        <f>IFERROR([1]!s_stm07_is($A1421,"W30028333",TEXT($B$1,"yyyy/mm/dd"),1),"")</f>
        <v>212718617.75999999</v>
      </c>
      <c r="K1421">
        <f>IFERROR([1]!s_stm07_cs($A1421,"W77130581",TEXT($B$1,"yyyy/mm/dd"),1),"")</f>
        <v>434061703.05000001</v>
      </c>
      <c r="L1421">
        <f>IFERROR([1]!s_stm07_cs($A1421,"W77745895",TEXT($B$1,"yyyy/mm/dd"),1),"")</f>
        <v>44180404.359999999</v>
      </c>
      <c r="M1421">
        <f>IFERROR([1]!S_FA_EPS_basic2($A1421,$B$1,"Cur=CNY"),"")</f>
        <v>0.19239999999999999</v>
      </c>
      <c r="N1421">
        <f>IFERROR([1]!s_fa_arturndays($A1421,TEXT($B$1,"yyyy/mm/dd")),"")</f>
        <v>85.287800000000004</v>
      </c>
      <c r="O1421" t="str">
        <f>IFERROR([1]!fa_apturndays($A1421,TEXT($B$1,"yyyy/mm/dd")),"")</f>
        <v>Fetch...</v>
      </c>
      <c r="P1421">
        <f>IFERROR([1]!s_fa_invturndays($A1421,TEXT($B$1,"yyyy/mm/dd")),"")</f>
        <v>80.9298</v>
      </c>
    </row>
    <row r="1422" spans="1:16">
      <c r="A1422" t="s">
        <v>1435</v>
      </c>
      <c r="B1422">
        <f>IFERROR([1]!s_stm07_is($A1422,"W70156729",TEXT($B$1,"yyyy/mm/dd"),1),"")</f>
        <v>1473887081.78</v>
      </c>
      <c r="C1422">
        <f>IFERROR([1]!s_stm07_is($A1422,"W75682424",TEXT($B$1,"yyyy/mm/dd"),1),"")</f>
        <v>779647640.37</v>
      </c>
      <c r="D1422">
        <f>IFERROR([1]!s_stm07_is($A1422,"W76031679",TEXT($B$1,"yyyy/mm/dd"),1),"")</f>
        <v>8277835.1900000004</v>
      </c>
      <c r="E1422">
        <f>IFERROR([1]!s_stm07_is($A1422,"W70752487",TEXT($B$1,"yyyy/mm/dd"),1),"")</f>
        <v>103306457.61</v>
      </c>
      <c r="F1422">
        <f>IFERROR([1]!s_stm07_is_103($A1422,TEXT($B$1,"yyyy/mm/dd"),1),"")</f>
        <v>153118940.21000001</v>
      </c>
      <c r="G1422">
        <f>IFERROR([1]!s_stm07_is_104($A1422,TEXT($B$1,"yyyy/mm/dd"),1),"")</f>
        <v>8216536.7800000003</v>
      </c>
      <c r="H1422">
        <f>IFERROR([1]!s_stm07_is_105($A1422,TEXT($B$1,"yyyy/mm/dd"),1),"")</f>
        <v>22612250.48</v>
      </c>
      <c r="I1422">
        <f>IFERROR([1]!s_stm07_is($A1422,"W72946623",TEXT($B$1,"yyyy/mm/dd"),1),"")</f>
        <v>418264949.57999998</v>
      </c>
      <c r="J1422">
        <f>IFERROR([1]!s_stm07_is($A1422,"W30028333",TEXT($B$1,"yyyy/mm/dd"),1),"")</f>
        <v>369617694.92000002</v>
      </c>
      <c r="K1422">
        <f>IFERROR([1]!s_stm07_cs($A1422,"W77130581",TEXT($B$1,"yyyy/mm/dd"),1),"")</f>
        <v>483929390.85000002</v>
      </c>
      <c r="L1422">
        <f>IFERROR([1]!s_stm07_cs($A1422,"W77745895",TEXT($B$1,"yyyy/mm/dd"),1),"")</f>
        <v>552388963.42999995</v>
      </c>
      <c r="M1422">
        <f>IFERROR([1]!S_FA_EPS_basic2($A1422,$B$1,"Cur=CNY"),"")</f>
        <v>0.56999999999999995</v>
      </c>
      <c r="N1422">
        <f>IFERROR([1]!s_fa_arturndays($A1422,TEXT($B$1,"yyyy/mm/dd")),"")</f>
        <v>37.056100000000001</v>
      </c>
      <c r="O1422" t="str">
        <f>IFERROR([1]!fa_apturndays($A1422,TEXT($B$1,"yyyy/mm/dd")),"")</f>
        <v>Fetch...</v>
      </c>
      <c r="P1422">
        <f>IFERROR([1]!s_fa_invturndays($A1422,TEXT($B$1,"yyyy/mm/dd")),"")</f>
        <v>46.427700000000002</v>
      </c>
    </row>
    <row r="1423" spans="1:16">
      <c r="A1423" t="s">
        <v>1436</v>
      </c>
      <c r="B1423">
        <f>IFERROR([1]!s_stm07_is($A1423,"W70156729",TEXT($B$1,"yyyy/mm/dd"),1),"")</f>
        <v>2322810237.8699999</v>
      </c>
      <c r="C1423">
        <f>IFERROR([1]!s_stm07_is($A1423,"W75682424",TEXT($B$1,"yyyy/mm/dd"),1),"")</f>
        <v>1855361901.9200001</v>
      </c>
      <c r="D1423">
        <f>IFERROR([1]!s_stm07_is($A1423,"W76031679",TEXT($B$1,"yyyy/mm/dd"),1),"")</f>
        <v>47444133.469999999</v>
      </c>
      <c r="E1423">
        <f>IFERROR([1]!s_stm07_is($A1423,"W70752487",TEXT($B$1,"yyyy/mm/dd"),1),"")</f>
        <v>117784166.06999999</v>
      </c>
      <c r="F1423">
        <f>IFERROR([1]!s_stm07_is_103($A1423,TEXT($B$1,"yyyy/mm/dd"),1),"")</f>
        <v>109806601.93000001</v>
      </c>
      <c r="G1423">
        <f>IFERROR([1]!s_stm07_is_104($A1423,TEXT($B$1,"yyyy/mm/dd"),1),"")</f>
        <v>28553611.809999999</v>
      </c>
      <c r="H1423">
        <f>IFERROR([1]!s_stm07_is_105($A1423,TEXT($B$1,"yyyy/mm/dd"),1),"")</f>
        <v>955294.12</v>
      </c>
      <c r="I1423">
        <f>IFERROR([1]!s_stm07_is($A1423,"W72946623",TEXT($B$1,"yyyy/mm/dd"),1),"")</f>
        <v>142669569.31</v>
      </c>
      <c r="J1423">
        <f>IFERROR([1]!s_stm07_is($A1423,"W30028333",TEXT($B$1,"yyyy/mm/dd"),1),"")</f>
        <v>119548819.09999999</v>
      </c>
      <c r="K1423">
        <f>IFERROR([1]!s_stm07_cs($A1423,"W77130581",TEXT($B$1,"yyyy/mm/dd"),1),"")</f>
        <v>188628953.13</v>
      </c>
      <c r="L1423">
        <f>IFERROR([1]!s_stm07_cs($A1423,"W77745895",TEXT($B$1,"yyyy/mm/dd"),1),"")</f>
        <v>158516011.58000001</v>
      </c>
      <c r="M1423">
        <f>IFERROR([1]!S_FA_EPS_basic2($A1423,$B$1,"Cur=CNY"),"")</f>
        <v>0.35</v>
      </c>
      <c r="N1423">
        <f>IFERROR([1]!s_fa_arturndays($A1423,TEXT($B$1,"yyyy/mm/dd")),"")</f>
        <v>99.447500000000005</v>
      </c>
      <c r="O1423" t="str">
        <f>IFERROR([1]!fa_apturndays($A1423,TEXT($B$1,"yyyy/mm/dd")),"")</f>
        <v>Fetch...</v>
      </c>
      <c r="P1423">
        <f>IFERROR([1]!s_fa_invturndays($A1423,TEXT($B$1,"yyyy/mm/dd")),"")</f>
        <v>107.61369999999999</v>
      </c>
    </row>
    <row r="1424" spans="1:16">
      <c r="A1424" t="s">
        <v>1437</v>
      </c>
      <c r="B1424">
        <f>IFERROR([1]!s_stm07_is($A1424,"W70156729",TEXT($B$1,"yyyy/mm/dd"),1),"")</f>
        <v>9133196053.5699997</v>
      </c>
      <c r="C1424">
        <f>IFERROR([1]!s_stm07_is($A1424,"W75682424",TEXT($B$1,"yyyy/mm/dd"),1),"")</f>
        <v>7754397028.7299995</v>
      </c>
      <c r="D1424">
        <f>IFERROR([1]!s_stm07_is($A1424,"W76031679",TEXT($B$1,"yyyy/mm/dd"),1),"")</f>
        <v>58893163.920000002</v>
      </c>
      <c r="E1424">
        <f>IFERROR([1]!s_stm07_is($A1424,"W70752487",TEXT($B$1,"yyyy/mm/dd"),1),"")</f>
        <v>313246228.63999999</v>
      </c>
      <c r="F1424">
        <f>IFERROR([1]!s_stm07_is_103($A1424,TEXT($B$1,"yyyy/mm/dd"),1),"")</f>
        <v>337611135.19999999</v>
      </c>
      <c r="G1424">
        <f>IFERROR([1]!s_stm07_is_104($A1424,TEXT($B$1,"yyyy/mm/dd"),1),"")</f>
        <v>8494234.0299999993</v>
      </c>
      <c r="H1424">
        <f>IFERROR([1]!s_stm07_is_105($A1424,TEXT($B$1,"yyyy/mm/dd"),1),"")</f>
        <v>65342545.350000001</v>
      </c>
      <c r="I1424">
        <f>IFERROR([1]!s_stm07_is($A1424,"W72946623",TEXT($B$1,"yyyy/mm/dd"),1),"")</f>
        <v>697548930.65999997</v>
      </c>
      <c r="J1424">
        <f>IFERROR([1]!s_stm07_is($A1424,"W30028333",TEXT($B$1,"yyyy/mm/dd"),1),"")</f>
        <v>528211936.70999998</v>
      </c>
      <c r="K1424">
        <f>IFERROR([1]!s_stm07_cs($A1424,"W77130581",TEXT($B$1,"yyyy/mm/dd"),1),"")</f>
        <v>744791267.89999998</v>
      </c>
      <c r="L1424">
        <f>IFERROR([1]!s_stm07_cs($A1424,"W77745895",TEXT($B$1,"yyyy/mm/dd"),1),"")</f>
        <v>432880888.63</v>
      </c>
      <c r="M1424">
        <f>IFERROR([1]!S_FA_EPS_basic2($A1424,$B$1,"Cur=CNY"),"")</f>
        <v>1.03</v>
      </c>
      <c r="N1424">
        <f>IFERROR([1]!s_fa_arturndays($A1424,TEXT($B$1,"yyyy/mm/dd")),"")</f>
        <v>54.369199999999999</v>
      </c>
      <c r="O1424" t="str">
        <f>IFERROR([1]!fa_apturndays($A1424,TEXT($B$1,"yyyy/mm/dd")),"")</f>
        <v>Fetch...</v>
      </c>
      <c r="P1424">
        <f>IFERROR([1]!s_fa_invturndays($A1424,TEXT($B$1,"yyyy/mm/dd")),"")</f>
        <v>56.831600000000002</v>
      </c>
    </row>
    <row r="1425" spans="1:16">
      <c r="A1425" t="s">
        <v>1438</v>
      </c>
      <c r="B1425">
        <f>IFERROR([1]!s_stm07_is($A1425,"W70156729",TEXT($B$1,"yyyy/mm/dd"),1),"")</f>
        <v>3768719939.3800001</v>
      </c>
      <c r="C1425">
        <f>IFERROR([1]!s_stm07_is($A1425,"W75682424",TEXT($B$1,"yyyy/mm/dd"),1),"")</f>
        <v>2252667429.8299999</v>
      </c>
      <c r="D1425">
        <f>IFERROR([1]!s_stm07_is($A1425,"W76031679",TEXT($B$1,"yyyy/mm/dd"),1),"")</f>
        <v>622464077.09000003</v>
      </c>
      <c r="E1425">
        <f>IFERROR([1]!s_stm07_is($A1425,"W70752487",TEXT($B$1,"yyyy/mm/dd"),1),"")</f>
        <v>167331096.28</v>
      </c>
      <c r="F1425">
        <f>IFERROR([1]!s_stm07_is_103($A1425,TEXT($B$1,"yyyy/mm/dd"),1),"")</f>
        <v>143860502.75</v>
      </c>
      <c r="G1425">
        <f>IFERROR([1]!s_stm07_is_104($A1425,TEXT($B$1,"yyyy/mm/dd"),1),"")</f>
        <v>743115.28</v>
      </c>
      <c r="H1425">
        <f>IFERROR([1]!s_stm07_is_105($A1425,TEXT($B$1,"yyyy/mm/dd"),1),"")</f>
        <v>2135383.1</v>
      </c>
      <c r="I1425">
        <f>IFERROR([1]!s_stm07_is($A1425,"W72946623",TEXT($B$1,"yyyy/mm/dd"),1),"")</f>
        <v>575821940.73000002</v>
      </c>
      <c r="J1425">
        <f>IFERROR([1]!s_stm07_is($A1425,"W30028333",TEXT($B$1,"yyyy/mm/dd"),1),"")</f>
        <v>482296672.52999997</v>
      </c>
      <c r="K1425">
        <f>IFERROR([1]!s_stm07_cs($A1425,"W77130581",TEXT($B$1,"yyyy/mm/dd"),1),"")</f>
        <v>793714264.70000005</v>
      </c>
      <c r="L1425">
        <f>IFERROR([1]!s_stm07_cs($A1425,"W77745895",TEXT($B$1,"yyyy/mm/dd"),1),"")</f>
        <v>159849409.99000001</v>
      </c>
      <c r="M1425">
        <f>IFERROR([1]!S_FA_EPS_basic2($A1425,$B$1,"Cur=CNY"),"")</f>
        <v>1.22</v>
      </c>
      <c r="N1425">
        <f>IFERROR([1]!s_fa_arturndays($A1425,TEXT($B$1,"yyyy/mm/dd")),"")</f>
        <v>84.165199999999999</v>
      </c>
      <c r="O1425" t="str">
        <f>IFERROR([1]!fa_apturndays($A1425,TEXT($B$1,"yyyy/mm/dd")),"")</f>
        <v>Fetch...</v>
      </c>
      <c r="P1425">
        <f>IFERROR([1]!s_fa_invturndays($A1425,TEXT($B$1,"yyyy/mm/dd")),"")</f>
        <v>126.27589999999999</v>
      </c>
    </row>
    <row r="1426" spans="1:16">
      <c r="A1426" t="s">
        <v>1439</v>
      </c>
      <c r="B1426">
        <f>IFERROR([1]!s_stm07_is($A1426,"W70156729",TEXT($B$1,"yyyy/mm/dd"),1),"")</f>
        <v>14963644356.950001</v>
      </c>
      <c r="C1426">
        <f>IFERROR([1]!s_stm07_is($A1426,"W75682424",TEXT($B$1,"yyyy/mm/dd"),1),"")</f>
        <v>10387242297.65</v>
      </c>
      <c r="D1426">
        <f>IFERROR([1]!s_stm07_is($A1426,"W76031679",TEXT($B$1,"yyyy/mm/dd"),1),"")</f>
        <v>702740219.69000006</v>
      </c>
      <c r="E1426">
        <f>IFERROR([1]!s_stm07_is($A1426,"W70752487",TEXT($B$1,"yyyy/mm/dd"),1),"")</f>
        <v>377389316.47000003</v>
      </c>
      <c r="F1426">
        <f>IFERROR([1]!s_stm07_is_103($A1426,TEXT($B$1,"yyyy/mm/dd"),1),"")</f>
        <v>1671296953.7</v>
      </c>
      <c r="G1426">
        <f>IFERROR([1]!s_stm07_is_104($A1426,TEXT($B$1,"yyyy/mm/dd"),1),"")</f>
        <v>14527430.310000001</v>
      </c>
      <c r="H1426">
        <f>IFERROR([1]!s_stm07_is_105($A1426,TEXT($B$1,"yyyy/mm/dd"),1),"")</f>
        <v>91549334.019999996</v>
      </c>
      <c r="I1426">
        <f>IFERROR([1]!s_stm07_is($A1426,"W72946623",TEXT($B$1,"yyyy/mm/dd"),1),"")</f>
        <v>2485389917.8899999</v>
      </c>
      <c r="J1426">
        <f>IFERROR([1]!s_stm07_is($A1426,"W30028333",TEXT($B$1,"yyyy/mm/dd"),1),"")</f>
        <v>2176292865.25</v>
      </c>
      <c r="K1426">
        <f>IFERROR([1]!s_stm07_cs($A1426,"W77130581",TEXT($B$1,"yyyy/mm/dd"),1),"")</f>
        <v>1313355634.49</v>
      </c>
      <c r="L1426">
        <f>IFERROR([1]!s_stm07_cs($A1426,"W77745895",TEXT($B$1,"yyyy/mm/dd"),1),"")</f>
        <v>917238940.23000002</v>
      </c>
      <c r="M1426">
        <f>IFERROR([1]!S_FA_EPS_basic2($A1426,$B$1,"Cur=CNY"),"")</f>
        <v>1.49</v>
      </c>
      <c r="N1426">
        <f>IFERROR([1]!s_fa_arturndays($A1426,TEXT($B$1,"yyyy/mm/dd")),"")</f>
        <v>60.433100000000003</v>
      </c>
      <c r="O1426" t="str">
        <f>IFERROR([1]!fa_apturndays($A1426,TEXT($B$1,"yyyy/mm/dd")),"")</f>
        <v>Fetch...</v>
      </c>
      <c r="P1426">
        <f>IFERROR([1]!s_fa_invturndays($A1426,TEXT($B$1,"yyyy/mm/dd")),"")</f>
        <v>128.60820000000001</v>
      </c>
    </row>
    <row r="1427" spans="1:16">
      <c r="A1427" t="s">
        <v>1440</v>
      </c>
      <c r="B1427">
        <f>IFERROR([1]!s_stm07_is($A1427,"W70156729",TEXT($B$1,"yyyy/mm/dd"),1),"")</f>
        <v>3001735645</v>
      </c>
      <c r="C1427">
        <f>IFERROR([1]!s_stm07_is($A1427,"W75682424",TEXT($B$1,"yyyy/mm/dd"),1),"")</f>
        <v>1699773703.6700001</v>
      </c>
      <c r="D1427">
        <f>IFERROR([1]!s_stm07_is($A1427,"W76031679",TEXT($B$1,"yyyy/mm/dd"),1),"")</f>
        <v>86735132.359999999</v>
      </c>
      <c r="E1427">
        <f>IFERROR([1]!s_stm07_is($A1427,"W70752487",TEXT($B$1,"yyyy/mm/dd"),1),"")</f>
        <v>109638676.36</v>
      </c>
      <c r="F1427">
        <f>IFERROR([1]!s_stm07_is_103($A1427,TEXT($B$1,"yyyy/mm/dd"),1),"")</f>
        <v>212520761.63999999</v>
      </c>
      <c r="G1427">
        <f>IFERROR([1]!s_stm07_is_104($A1427,TEXT($B$1,"yyyy/mm/dd"),1),"")</f>
        <v>28276792.260000002</v>
      </c>
      <c r="H1427">
        <f>IFERROR([1]!s_stm07_is_105($A1427,TEXT($B$1,"yyyy/mm/dd"),1),"")</f>
        <v>13426795.65</v>
      </c>
      <c r="I1427">
        <f>IFERROR([1]!s_stm07_is($A1427,"W72946623",TEXT($B$1,"yyyy/mm/dd"),1),"")</f>
        <v>869475200.82000005</v>
      </c>
      <c r="J1427">
        <f>IFERROR([1]!s_stm07_is($A1427,"W30028333",TEXT($B$1,"yyyy/mm/dd"),1),"")</f>
        <v>710116301.55999994</v>
      </c>
      <c r="K1427">
        <f>IFERROR([1]!s_stm07_cs($A1427,"W77130581",TEXT($B$1,"yyyy/mm/dd"),1),"")</f>
        <v>382560547.47000003</v>
      </c>
      <c r="L1427">
        <f>IFERROR([1]!s_stm07_cs($A1427,"W77745895",TEXT($B$1,"yyyy/mm/dd"),1),"")</f>
        <v>56125342.020000003</v>
      </c>
      <c r="M1427">
        <f>IFERROR([1]!S_FA_EPS_basic2($A1427,$B$1,"Cur=CNY"),"")</f>
        <v>0.64</v>
      </c>
      <c r="N1427">
        <f>IFERROR([1]!s_fa_arturndays($A1427,TEXT($B$1,"yyyy/mm/dd")),"")</f>
        <v>87.478399999999993</v>
      </c>
      <c r="O1427" t="str">
        <f>IFERROR([1]!fa_apturndays($A1427,TEXT($B$1,"yyyy/mm/dd")),"")</f>
        <v>Fetch...</v>
      </c>
      <c r="P1427">
        <f>IFERROR([1]!s_fa_invturndays($A1427,TEXT($B$1,"yyyy/mm/dd")),"")</f>
        <v>121.9636</v>
      </c>
    </row>
    <row r="1428" spans="1:16">
      <c r="A1428" t="s">
        <v>1441</v>
      </c>
      <c r="B1428">
        <f>IFERROR([1]!s_stm07_is($A1428,"W70156729",TEXT($B$1,"yyyy/mm/dd"),1),"")</f>
        <v>6808387574.2200003</v>
      </c>
      <c r="C1428">
        <f>IFERROR([1]!s_stm07_is($A1428,"W75682424",TEXT($B$1,"yyyy/mm/dd"),1),"")</f>
        <v>6333128528.2799997</v>
      </c>
      <c r="D1428">
        <f>IFERROR([1]!s_stm07_is($A1428,"W76031679",TEXT($B$1,"yyyy/mm/dd"),1),"")</f>
        <v>85320359.230000004</v>
      </c>
      <c r="E1428">
        <f>IFERROR([1]!s_stm07_is($A1428,"W70752487",TEXT($B$1,"yyyy/mm/dd"),1),"")</f>
        <v>120208048.40000001</v>
      </c>
      <c r="F1428">
        <f>IFERROR([1]!s_stm07_is_103($A1428,TEXT($B$1,"yyyy/mm/dd"),1),"")</f>
        <v>271039093.48000002</v>
      </c>
      <c r="G1428">
        <f>IFERROR([1]!s_stm07_is_104($A1428,TEXT($B$1,"yyyy/mm/dd"),1),"")</f>
        <v>75148884.269999996</v>
      </c>
      <c r="H1428">
        <f>IFERROR([1]!s_stm07_is_105($A1428,TEXT($B$1,"yyyy/mm/dd"),1),"")</f>
        <v>31167634.010000002</v>
      </c>
      <c r="I1428">
        <f>IFERROR([1]!s_stm07_is($A1428,"W72946623",TEXT($B$1,"yyyy/mm/dd"),1),"")</f>
        <v>-63923867.909999996</v>
      </c>
      <c r="J1428">
        <f>IFERROR([1]!s_stm07_is($A1428,"W30028333",TEXT($B$1,"yyyy/mm/dd"),1),"")</f>
        <v>15898472.27</v>
      </c>
      <c r="K1428">
        <f>IFERROR([1]!s_stm07_cs($A1428,"W77130581",TEXT($B$1,"yyyy/mm/dd"),1),"")</f>
        <v>-1290451682.3599999</v>
      </c>
      <c r="L1428">
        <f>IFERROR([1]!s_stm07_cs($A1428,"W77745895",TEXT($B$1,"yyyy/mm/dd"),1),"")</f>
        <v>168722826.65000001</v>
      </c>
      <c r="M1428">
        <f>IFERROR([1]!S_FA_EPS_basic2($A1428,$B$1,"Cur=CNY"),"")</f>
        <v>7.0000000000000007E-2</v>
      </c>
      <c r="N1428">
        <f>IFERROR([1]!s_fa_arturndays($A1428,TEXT($B$1,"yyyy/mm/dd")),"")</f>
        <v>97.9405</v>
      </c>
      <c r="O1428" t="str">
        <f>IFERROR([1]!fa_apturndays($A1428,TEXT($B$1,"yyyy/mm/dd")),"")</f>
        <v>Fetch...</v>
      </c>
      <c r="P1428">
        <f>IFERROR([1]!s_fa_invturndays($A1428,TEXT($B$1,"yyyy/mm/dd")),"")</f>
        <v>36.540799999999997</v>
      </c>
    </row>
    <row r="1429" spans="1:16">
      <c r="A1429" t="s">
        <v>1442</v>
      </c>
      <c r="B1429">
        <f>IFERROR([1]!s_stm07_is($A1429,"W70156729",TEXT($B$1,"yyyy/mm/dd"),1),"")</f>
        <v>2571900544.3800001</v>
      </c>
      <c r="C1429">
        <f>IFERROR([1]!s_stm07_is($A1429,"W75682424",TEXT($B$1,"yyyy/mm/dd"),1),"")</f>
        <v>1598918147.5999999</v>
      </c>
      <c r="D1429">
        <f>IFERROR([1]!s_stm07_is($A1429,"W76031679",TEXT($B$1,"yyyy/mm/dd"),1),"")</f>
        <v>443720781.47000003</v>
      </c>
      <c r="E1429">
        <f>IFERROR([1]!s_stm07_is($A1429,"W70752487",TEXT($B$1,"yyyy/mm/dd"),1),"")</f>
        <v>68603843.180000007</v>
      </c>
      <c r="F1429">
        <f>IFERROR([1]!s_stm07_is_103($A1429,TEXT($B$1,"yyyy/mm/dd"),1),"")</f>
        <v>83548363.569999993</v>
      </c>
      <c r="G1429">
        <f>IFERROR([1]!s_stm07_is_104($A1429,TEXT($B$1,"yyyy/mm/dd"),1),"")</f>
        <v>5354611.2300000004</v>
      </c>
      <c r="H1429">
        <f>IFERROR([1]!s_stm07_is_105($A1429,TEXT($B$1,"yyyy/mm/dd"),1),"")</f>
        <v>36680299.119999997</v>
      </c>
      <c r="I1429">
        <f>IFERROR([1]!s_stm07_is($A1429,"W72946623",TEXT($B$1,"yyyy/mm/dd"),1),"")</f>
        <v>408544169.12</v>
      </c>
      <c r="J1429">
        <f>IFERROR([1]!s_stm07_is($A1429,"W30028333",TEXT($B$1,"yyyy/mm/dd"),1),"")</f>
        <v>347576077.51999998</v>
      </c>
      <c r="K1429">
        <f>IFERROR([1]!s_stm07_cs($A1429,"W77130581",TEXT($B$1,"yyyy/mm/dd"),1),"")</f>
        <v>443009031.57999998</v>
      </c>
      <c r="L1429">
        <f>IFERROR([1]!s_stm07_cs($A1429,"W77745895",TEXT($B$1,"yyyy/mm/dd"),1),"")</f>
        <v>185953919.31999999</v>
      </c>
      <c r="M1429">
        <f>IFERROR([1]!S_FA_EPS_basic2($A1429,$B$1,"Cur=CNY"),"")</f>
        <v>0.26119999999999999</v>
      </c>
      <c r="N1429">
        <f>IFERROR([1]!s_fa_arturndays($A1429,TEXT($B$1,"yyyy/mm/dd")),"")</f>
        <v>16.653199999999998</v>
      </c>
      <c r="O1429" t="str">
        <f>IFERROR([1]!fa_apturndays($A1429,TEXT($B$1,"yyyy/mm/dd")),"")</f>
        <v>Fetch...</v>
      </c>
      <c r="P1429">
        <f>IFERROR([1]!s_fa_invturndays($A1429,TEXT($B$1,"yyyy/mm/dd")),"")</f>
        <v>209.7902</v>
      </c>
    </row>
    <row r="1430" spans="1:16">
      <c r="A1430" t="s">
        <v>1443</v>
      </c>
      <c r="B1430">
        <f>IFERROR([1]!s_stm07_is($A1430,"W70156729",TEXT($B$1,"yyyy/mm/dd"),1),"")</f>
        <v>4664868489.5100002</v>
      </c>
      <c r="C1430">
        <f>IFERROR([1]!s_stm07_is($A1430,"W75682424",TEXT($B$1,"yyyy/mm/dd"),1),"")</f>
        <v>4561701659.7600002</v>
      </c>
      <c r="D1430">
        <f>IFERROR([1]!s_stm07_is($A1430,"W76031679",TEXT($B$1,"yyyy/mm/dd"),1),"")</f>
        <v>42372031.729999997</v>
      </c>
      <c r="E1430">
        <f>IFERROR([1]!s_stm07_is($A1430,"W70752487",TEXT($B$1,"yyyy/mm/dd"),1),"")</f>
        <v>160008143.99000001</v>
      </c>
      <c r="F1430">
        <f>IFERROR([1]!s_stm07_is_103($A1430,TEXT($B$1,"yyyy/mm/dd"),1),"")</f>
        <v>45338837.140000001</v>
      </c>
      <c r="G1430">
        <f>IFERROR([1]!s_stm07_is_104($A1430,TEXT($B$1,"yyyy/mm/dd"),1),"")</f>
        <v>170848387.93000001</v>
      </c>
      <c r="H1430">
        <f>IFERROR([1]!s_stm07_is_105($A1430,TEXT($B$1,"yyyy/mm/dd"),1),"")</f>
        <v>1874998.17</v>
      </c>
      <c r="I1430">
        <f>IFERROR([1]!s_stm07_is($A1430,"W72946623",TEXT($B$1,"yyyy/mm/dd"),1),"")</f>
        <v>-348315063.45999998</v>
      </c>
      <c r="J1430">
        <f>IFERROR([1]!s_stm07_is($A1430,"W30028333",TEXT($B$1,"yyyy/mm/dd"),1),"")</f>
        <v>-377858734.66000003</v>
      </c>
      <c r="K1430">
        <f>IFERROR([1]!s_stm07_cs($A1430,"W77130581",TEXT($B$1,"yyyy/mm/dd"),1),"")</f>
        <v>260608199.58000001</v>
      </c>
      <c r="L1430">
        <f>IFERROR([1]!s_stm07_cs($A1430,"W77745895",TEXT($B$1,"yyyy/mm/dd"),1),"")</f>
        <v>233686462.37</v>
      </c>
      <c r="M1430">
        <f>IFERROR([1]!S_FA_EPS_basic2($A1430,$B$1,"Cur=CNY"),"")</f>
        <v>-0.37</v>
      </c>
      <c r="N1430">
        <f>IFERROR([1]!s_fa_arturndays($A1430,TEXT($B$1,"yyyy/mm/dd")),"")</f>
        <v>78.621499999999997</v>
      </c>
      <c r="O1430" t="str">
        <f>IFERROR([1]!fa_apturndays($A1430,TEXT($B$1,"yyyy/mm/dd")),"")</f>
        <v>Fetch...</v>
      </c>
      <c r="P1430">
        <f>IFERROR([1]!s_fa_invturndays($A1430,TEXT($B$1,"yyyy/mm/dd")),"")</f>
        <v>42.424799999999998</v>
      </c>
    </row>
    <row r="1431" spans="1:16">
      <c r="A1431" t="s">
        <v>1444</v>
      </c>
      <c r="B1431">
        <f>IFERROR([1]!s_stm07_is($A1431,"W70156729",TEXT($B$1,"yyyy/mm/dd"),1),"")</f>
        <v>2286847588.8400002</v>
      </c>
      <c r="C1431">
        <f>IFERROR([1]!s_stm07_is($A1431,"W75682424",TEXT($B$1,"yyyy/mm/dd"),1),"")</f>
        <v>143033960.19999999</v>
      </c>
      <c r="D1431">
        <f>IFERROR([1]!s_stm07_is($A1431,"W76031679",TEXT($B$1,"yyyy/mm/dd"),1),"")</f>
        <v>1523304478.6700001</v>
      </c>
      <c r="E1431">
        <f>IFERROR([1]!s_stm07_is($A1431,"W70752487",TEXT($B$1,"yyyy/mm/dd"),1),"")</f>
        <v>78460678.730000004</v>
      </c>
      <c r="F1431">
        <f>IFERROR([1]!s_stm07_is_103($A1431,TEXT($B$1,"yyyy/mm/dd"),1),"")</f>
        <v>307198002.62</v>
      </c>
      <c r="G1431">
        <f>IFERROR([1]!s_stm07_is_104($A1431,TEXT($B$1,"yyyy/mm/dd"),1),"")</f>
        <v>211636.68</v>
      </c>
      <c r="H1431">
        <f>IFERROR([1]!s_stm07_is_105($A1431,TEXT($B$1,"yyyy/mm/dd"),1),"")</f>
        <v>33896206.130000003</v>
      </c>
      <c r="I1431">
        <f>IFERROR([1]!s_stm07_is($A1431,"W72946623",TEXT($B$1,"yyyy/mm/dd"),1),"")</f>
        <v>290645939.57999998</v>
      </c>
      <c r="J1431">
        <f>IFERROR([1]!s_stm07_is($A1431,"W30028333",TEXT($B$1,"yyyy/mm/dd"),1),"")</f>
        <v>288691788.83999997</v>
      </c>
      <c r="K1431">
        <f>IFERROR([1]!s_stm07_cs($A1431,"W77130581",TEXT($B$1,"yyyy/mm/dd"),1),"")</f>
        <v>282969841.63</v>
      </c>
      <c r="L1431">
        <f>IFERROR([1]!s_stm07_cs($A1431,"W77745895",TEXT($B$1,"yyyy/mm/dd"),1),"")</f>
        <v>91498199.370000005</v>
      </c>
      <c r="M1431">
        <f>IFERROR([1]!S_FA_EPS_basic2($A1431,$B$1,"Cur=CNY"),"")</f>
        <v>1.1399999999999999</v>
      </c>
      <c r="N1431">
        <f>IFERROR([1]!s_fa_arturndays($A1431,TEXT($B$1,"yyyy/mm/dd")),"")</f>
        <v>44.478499999999997</v>
      </c>
      <c r="O1431" t="str">
        <f>IFERROR([1]!fa_apturndays($A1431,TEXT($B$1,"yyyy/mm/dd")),"")</f>
        <v>Fetch...</v>
      </c>
      <c r="P1431">
        <f>IFERROR([1]!s_fa_invturndays($A1431,TEXT($B$1,"yyyy/mm/dd")),"")</f>
        <v>312.1207</v>
      </c>
    </row>
    <row r="1432" spans="1:16">
      <c r="A1432" t="s">
        <v>1445</v>
      </c>
      <c r="B1432">
        <f>IFERROR([1]!s_stm07_is($A1432,"W70156729",TEXT($B$1,"yyyy/mm/dd"),1),"")</f>
        <v>5381833993.7600002</v>
      </c>
      <c r="C1432">
        <f>IFERROR([1]!s_stm07_is($A1432,"W75682424",TEXT($B$1,"yyyy/mm/dd"),1),"")</f>
        <v>3681057964.5</v>
      </c>
      <c r="D1432">
        <f>IFERROR([1]!s_stm07_is($A1432,"W76031679",TEXT($B$1,"yyyy/mm/dd"),1),"")</f>
        <v>544340988.05999994</v>
      </c>
      <c r="E1432">
        <f>IFERROR([1]!s_stm07_is($A1432,"W70752487",TEXT($B$1,"yyyy/mm/dd"),1),"")</f>
        <v>457675560.73000002</v>
      </c>
      <c r="F1432">
        <f>IFERROR([1]!s_stm07_is_103($A1432,TEXT($B$1,"yyyy/mm/dd"),1),"")</f>
        <v>78033063.680000007</v>
      </c>
      <c r="G1432">
        <f>IFERROR([1]!s_stm07_is_104($A1432,TEXT($B$1,"yyyy/mm/dd"),1),"")</f>
        <v>33424739</v>
      </c>
      <c r="H1432">
        <f>IFERROR([1]!s_stm07_is_105($A1432,TEXT($B$1,"yyyy/mm/dd"),1),"")</f>
        <v>68529232.799999997</v>
      </c>
      <c r="I1432">
        <f>IFERROR([1]!s_stm07_is($A1432,"W72946623",TEXT($B$1,"yyyy/mm/dd"),1),"")</f>
        <v>662175836.45000005</v>
      </c>
      <c r="J1432">
        <f>IFERROR([1]!s_stm07_is($A1432,"W30028333",TEXT($B$1,"yyyy/mm/dd"),1),"")</f>
        <v>487980751.38</v>
      </c>
      <c r="K1432">
        <f>IFERROR([1]!s_stm07_cs($A1432,"W77130581",TEXT($B$1,"yyyy/mm/dd"),1),"")</f>
        <v>745577733.66999996</v>
      </c>
      <c r="L1432">
        <f>IFERROR([1]!s_stm07_cs($A1432,"W77745895",TEXT($B$1,"yyyy/mm/dd"),1),"")</f>
        <v>290821882.35000002</v>
      </c>
      <c r="M1432">
        <f>IFERROR([1]!S_FA_EPS_basic2($A1432,$B$1,"Cur=CNY"),"")</f>
        <v>0.85799999999999998</v>
      </c>
      <c r="N1432">
        <f>IFERROR([1]!s_fa_arturndays($A1432,TEXT($B$1,"yyyy/mm/dd")),"")</f>
        <v>7.3193000000000001</v>
      </c>
      <c r="O1432" t="str">
        <f>IFERROR([1]!fa_apturndays($A1432,TEXT($B$1,"yyyy/mm/dd")),"")</f>
        <v>Fetch...</v>
      </c>
      <c r="P1432">
        <f>IFERROR([1]!s_fa_invturndays($A1432,TEXT($B$1,"yyyy/mm/dd")),"")</f>
        <v>29.7209</v>
      </c>
    </row>
    <row r="1433" spans="1:16">
      <c r="A1433" t="s">
        <v>1446</v>
      </c>
      <c r="B1433">
        <f>IFERROR([1]!s_stm07_is($A1433,"W70156729",TEXT($B$1,"yyyy/mm/dd"),1),"")</f>
        <v>44956230268.68</v>
      </c>
      <c r="C1433">
        <f>IFERROR([1]!s_stm07_is($A1433,"W75682424",TEXT($B$1,"yyyy/mm/dd"),1),"")</f>
        <v>36118781393.480003</v>
      </c>
      <c r="D1433">
        <f>IFERROR([1]!s_stm07_is($A1433,"W76031679",TEXT($B$1,"yyyy/mm/dd"),1),"")</f>
        <v>1524395868.4000001</v>
      </c>
      <c r="E1433">
        <f>IFERROR([1]!s_stm07_is($A1433,"W70752487",TEXT($B$1,"yyyy/mm/dd"),1),"")</f>
        <v>1002255146.22</v>
      </c>
      <c r="F1433">
        <f>IFERROR([1]!s_stm07_is_103($A1433,TEXT($B$1,"yyyy/mm/dd"),1),"")</f>
        <v>1542673322.45</v>
      </c>
      <c r="G1433">
        <f>IFERROR([1]!s_stm07_is_104($A1433,TEXT($B$1,"yyyy/mm/dd"),1),"")</f>
        <v>327975983.31</v>
      </c>
      <c r="H1433">
        <f>IFERROR([1]!s_stm07_is_105($A1433,TEXT($B$1,"yyyy/mm/dd"),1),"")</f>
        <v>88724644.980000004</v>
      </c>
      <c r="I1433">
        <f>IFERROR([1]!s_stm07_is($A1433,"W72946623",TEXT($B$1,"yyyy/mm/dd"),1),"")</f>
        <v>4287902174.77</v>
      </c>
      <c r="J1433">
        <f>IFERROR([1]!s_stm07_is($A1433,"W30028333",TEXT($B$1,"yyyy/mm/dd"),1),"")</f>
        <v>4147466448.1500001</v>
      </c>
      <c r="K1433">
        <f>IFERROR([1]!s_stm07_cs($A1433,"W77130581",TEXT($B$1,"yyyy/mm/dd"),1),"")</f>
        <v>1903845317.3399999</v>
      </c>
      <c r="L1433">
        <f>IFERROR([1]!s_stm07_cs($A1433,"W77745895",TEXT($B$1,"yyyy/mm/dd"),1),"")</f>
        <v>3505963646.6599998</v>
      </c>
      <c r="M1433">
        <f>IFERROR([1]!S_FA_EPS_basic2($A1433,$B$1,"Cur=CNY"),"")</f>
        <v>4.95</v>
      </c>
      <c r="N1433">
        <f>IFERROR([1]!s_fa_arturndays($A1433,TEXT($B$1,"yyyy/mm/dd")),"")</f>
        <v>54.431600000000003</v>
      </c>
      <c r="O1433" t="str">
        <f>IFERROR([1]!fa_apturndays($A1433,TEXT($B$1,"yyyy/mm/dd")),"")</f>
        <v>Fetch...</v>
      </c>
      <c r="P1433">
        <f>IFERROR([1]!s_fa_invturndays($A1433,TEXT($B$1,"yyyy/mm/dd")),"")</f>
        <v>92.697500000000005</v>
      </c>
    </row>
    <row r="1434" spans="1:16">
      <c r="A1434" t="s">
        <v>1447</v>
      </c>
      <c r="B1434">
        <f>IFERROR([1]!s_stm07_is($A1434,"W70156729",TEXT($B$1,"yyyy/mm/dd"),1),"")</f>
        <v>6407543854.2200003</v>
      </c>
      <c r="C1434">
        <f>IFERROR([1]!s_stm07_is($A1434,"W75682424",TEXT($B$1,"yyyy/mm/dd"),1),"")</f>
        <v>5077602066.4499998</v>
      </c>
      <c r="D1434">
        <f>IFERROR([1]!s_stm07_is($A1434,"W76031679",TEXT($B$1,"yyyy/mm/dd"),1),"")</f>
        <v>91274718.579999998</v>
      </c>
      <c r="E1434">
        <f>IFERROR([1]!s_stm07_is($A1434,"W70752487",TEXT($B$1,"yyyy/mm/dd"),1),"")</f>
        <v>258089294.5</v>
      </c>
      <c r="F1434">
        <f>IFERROR([1]!s_stm07_is_103($A1434,TEXT($B$1,"yyyy/mm/dd"),1),"")</f>
        <v>297715241.94999999</v>
      </c>
      <c r="G1434">
        <f>IFERROR([1]!s_stm07_is_104($A1434,TEXT($B$1,"yyyy/mm/dd"),1),"")</f>
        <v>145367327.66</v>
      </c>
      <c r="H1434">
        <f>IFERROR([1]!s_stm07_is_105($A1434,TEXT($B$1,"yyyy/mm/dd"),1),"")</f>
        <v>7957544.7400000002</v>
      </c>
      <c r="I1434">
        <f>IFERROR([1]!s_stm07_is($A1434,"W72946623",TEXT($B$1,"yyyy/mm/dd"),1),"")</f>
        <v>624998902.29999995</v>
      </c>
      <c r="J1434">
        <f>IFERROR([1]!s_stm07_is($A1434,"W30028333",TEXT($B$1,"yyyy/mm/dd"),1),"")</f>
        <v>531266513</v>
      </c>
      <c r="K1434">
        <f>IFERROR([1]!s_stm07_cs($A1434,"W77130581",TEXT($B$1,"yyyy/mm/dd"),1),"")</f>
        <v>1228368288.95</v>
      </c>
      <c r="L1434">
        <f>IFERROR([1]!s_stm07_cs($A1434,"W77745895",TEXT($B$1,"yyyy/mm/dd"),1),"")</f>
        <v>856737820.66999996</v>
      </c>
      <c r="M1434">
        <f>IFERROR([1]!S_FA_EPS_basic2($A1434,$B$1,"Cur=CNY"),"")</f>
        <v>0.6</v>
      </c>
      <c r="N1434">
        <f>IFERROR([1]!s_fa_arturndays($A1434,TEXT($B$1,"yyyy/mm/dd")),"")</f>
        <v>62.166499999999999</v>
      </c>
      <c r="O1434" t="str">
        <f>IFERROR([1]!fa_apturndays($A1434,TEXT($B$1,"yyyy/mm/dd")),"")</f>
        <v>Fetch...</v>
      </c>
      <c r="P1434">
        <f>IFERROR([1]!s_fa_invturndays($A1434,TEXT($B$1,"yyyy/mm/dd")),"")</f>
        <v>160.6712</v>
      </c>
    </row>
    <row r="1435" spans="1:16">
      <c r="A1435" t="s">
        <v>1448</v>
      </c>
      <c r="B1435">
        <f>IFERROR([1]!s_stm07_is($A1435,"W70156729",TEXT($B$1,"yyyy/mm/dd"),1),"")</f>
        <v>3238279371.2800002</v>
      </c>
      <c r="C1435">
        <f>IFERROR([1]!s_stm07_is($A1435,"W75682424",TEXT($B$1,"yyyy/mm/dd"),1),"")</f>
        <v>2507835637.3899999</v>
      </c>
      <c r="D1435">
        <f>IFERROR([1]!s_stm07_is($A1435,"W76031679",TEXT($B$1,"yyyy/mm/dd"),1),"")</f>
        <v>211197978.13999999</v>
      </c>
      <c r="E1435">
        <f>IFERROR([1]!s_stm07_is($A1435,"W70752487",TEXT($B$1,"yyyy/mm/dd"),1),"")</f>
        <v>186917584.52000001</v>
      </c>
      <c r="F1435">
        <f>IFERROR([1]!s_stm07_is_103($A1435,TEXT($B$1,"yyyy/mm/dd"),1),"")</f>
        <v>16979484.850000001</v>
      </c>
      <c r="G1435">
        <f>IFERROR([1]!s_stm07_is_104($A1435,TEXT($B$1,"yyyy/mm/dd"),1),"")</f>
        <v>16613935.890000001</v>
      </c>
      <c r="H1435">
        <f>IFERROR([1]!s_stm07_is_105($A1435,TEXT($B$1,"yyyy/mm/dd"),1),"")</f>
        <v>4238084.54</v>
      </c>
      <c r="I1435">
        <f>IFERROR([1]!s_stm07_is($A1435,"W72946623",TEXT($B$1,"yyyy/mm/dd"),1),"")</f>
        <v>309485652.89999998</v>
      </c>
      <c r="J1435">
        <f>IFERROR([1]!s_stm07_is($A1435,"W30028333",TEXT($B$1,"yyyy/mm/dd"),1),"")</f>
        <v>236143820.41999999</v>
      </c>
      <c r="K1435">
        <f>IFERROR([1]!s_stm07_cs($A1435,"W77130581",TEXT($B$1,"yyyy/mm/dd"),1),"")</f>
        <v>248101739.19999999</v>
      </c>
      <c r="L1435">
        <f>IFERROR([1]!s_stm07_cs($A1435,"W77745895",TEXT($B$1,"yyyy/mm/dd"),1),"")</f>
        <v>201111077.59999999</v>
      </c>
      <c r="M1435">
        <f>IFERROR([1]!S_FA_EPS_basic2($A1435,$B$1,"Cur=CNY"),"")</f>
        <v>0.57140000000000002</v>
      </c>
      <c r="N1435">
        <f>IFERROR([1]!s_fa_arturndays($A1435,TEXT($B$1,"yyyy/mm/dd")),"")</f>
        <v>14.9176</v>
      </c>
      <c r="O1435" t="str">
        <f>IFERROR([1]!fa_apturndays($A1435,TEXT($B$1,"yyyy/mm/dd")),"")</f>
        <v>Fetch...</v>
      </c>
      <c r="P1435">
        <f>IFERROR([1]!s_fa_invturndays($A1435,TEXT($B$1,"yyyy/mm/dd")),"")</f>
        <v>25.561800000000002</v>
      </c>
    </row>
    <row r="1436" spans="1:16">
      <c r="A1436" t="s">
        <v>1449</v>
      </c>
      <c r="B1436">
        <f>IFERROR([1]!s_stm07_is($A1436,"W70156729",TEXT($B$1,"yyyy/mm/dd"),1),"")</f>
        <v>4167918226.0100002</v>
      </c>
      <c r="C1436">
        <f>IFERROR([1]!s_stm07_is($A1436,"W75682424",TEXT($B$1,"yyyy/mm/dd"),1),"")</f>
        <v>2583606573.75</v>
      </c>
      <c r="D1436">
        <f>IFERROR([1]!s_stm07_is($A1436,"W76031679",TEXT($B$1,"yyyy/mm/dd"),1),"")</f>
        <v>383777009.43000001</v>
      </c>
      <c r="E1436">
        <f>IFERROR([1]!s_stm07_is($A1436,"W70752487",TEXT($B$1,"yyyy/mm/dd"),1),"")</f>
        <v>133187190.67</v>
      </c>
      <c r="F1436">
        <f>IFERROR([1]!s_stm07_is_103($A1436,TEXT($B$1,"yyyy/mm/dd"),1),"")</f>
        <v>368995319.25</v>
      </c>
      <c r="G1436">
        <f>IFERROR([1]!s_stm07_is_104($A1436,TEXT($B$1,"yyyy/mm/dd"),1),"")</f>
        <v>42625115.450000003</v>
      </c>
      <c r="H1436">
        <f>IFERROR([1]!s_stm07_is_105($A1436,TEXT($B$1,"yyyy/mm/dd"),1),"")</f>
        <v>6753400.2699999996</v>
      </c>
      <c r="I1436">
        <f>IFERROR([1]!s_stm07_is($A1436,"W72946623",TEXT($B$1,"yyyy/mm/dd"),1),"")</f>
        <v>579882299.61000001</v>
      </c>
      <c r="J1436">
        <f>IFERROR([1]!s_stm07_is($A1436,"W30028333",TEXT($B$1,"yyyy/mm/dd"),1),"")</f>
        <v>531023072.22000003</v>
      </c>
      <c r="K1436">
        <f>IFERROR([1]!s_stm07_cs($A1436,"W77130581",TEXT($B$1,"yyyy/mm/dd"),1),"")</f>
        <v>415858356.76999998</v>
      </c>
      <c r="L1436">
        <f>IFERROR([1]!s_stm07_cs($A1436,"W77745895",TEXT($B$1,"yyyy/mm/dd"),1),"")</f>
        <v>54244922.009999998</v>
      </c>
      <c r="M1436">
        <f>IFERROR([1]!S_FA_EPS_basic2($A1436,$B$1,"Cur=CNY"),"")</f>
        <v>1.17</v>
      </c>
      <c r="N1436">
        <f>IFERROR([1]!s_fa_arturndays($A1436,TEXT($B$1,"yyyy/mm/dd")),"")</f>
        <v>193.30930000000001</v>
      </c>
      <c r="O1436" t="str">
        <f>IFERROR([1]!fa_apturndays($A1436,TEXT($B$1,"yyyy/mm/dd")),"")</f>
        <v>Fetch...</v>
      </c>
      <c r="P1436">
        <f>IFERROR([1]!s_fa_invturndays($A1436,TEXT($B$1,"yyyy/mm/dd")),"")</f>
        <v>121.0125</v>
      </c>
    </row>
    <row r="1437" spans="1:16">
      <c r="A1437" t="s">
        <v>1450</v>
      </c>
      <c r="B1437">
        <f>IFERROR([1]!s_stm07_is($A1437,"W70156729",TEXT($B$1,"yyyy/mm/dd"),1),"")</f>
        <v>2344559482.04</v>
      </c>
      <c r="C1437">
        <f>IFERROR([1]!s_stm07_is($A1437,"W75682424",TEXT($B$1,"yyyy/mm/dd"),1),"")</f>
        <v>2013934775.6700001</v>
      </c>
      <c r="D1437">
        <f>IFERROR([1]!s_stm07_is($A1437,"W76031679",TEXT($B$1,"yyyy/mm/dd"),1),"")</f>
        <v>12531462.91</v>
      </c>
      <c r="E1437">
        <f>IFERROR([1]!s_stm07_is($A1437,"W70752487",TEXT($B$1,"yyyy/mm/dd"),1),"")</f>
        <v>49535296.789999999</v>
      </c>
      <c r="F1437">
        <f>IFERROR([1]!s_stm07_is_103($A1437,TEXT($B$1,"yyyy/mm/dd"),1),"")</f>
        <v>112321664.78</v>
      </c>
      <c r="G1437">
        <f>IFERROR([1]!s_stm07_is_104($A1437,TEXT($B$1,"yyyy/mm/dd"),1),"")</f>
        <v>11547399.640000001</v>
      </c>
      <c r="H1437">
        <f>IFERROR([1]!s_stm07_is_105($A1437,TEXT($B$1,"yyyy/mm/dd"),1),"")</f>
        <v>2374672.21</v>
      </c>
      <c r="I1437">
        <f>IFERROR([1]!s_stm07_is($A1437,"W72946623",TEXT($B$1,"yyyy/mm/dd"),1),"")</f>
        <v>170907472.55000001</v>
      </c>
      <c r="J1437">
        <f>IFERROR([1]!s_stm07_is($A1437,"W30028333",TEXT($B$1,"yyyy/mm/dd"),1),"")</f>
        <v>161160550.15000001</v>
      </c>
      <c r="K1437">
        <f>IFERROR([1]!s_stm07_cs($A1437,"W77130581",TEXT($B$1,"yyyy/mm/dd"),1),"")</f>
        <v>155198163.30000001</v>
      </c>
      <c r="L1437">
        <f>IFERROR([1]!s_stm07_cs($A1437,"W77745895",TEXT($B$1,"yyyy/mm/dd"),1),"")</f>
        <v>72428710.129999995</v>
      </c>
      <c r="M1437">
        <f>IFERROR([1]!S_FA_EPS_basic2($A1437,$B$1,"Cur=CNY"),"")</f>
        <v>0.61</v>
      </c>
      <c r="N1437">
        <f>IFERROR([1]!s_fa_arturndays($A1437,TEXT($B$1,"yyyy/mm/dd")),"")</f>
        <v>95.681100000000001</v>
      </c>
      <c r="O1437" t="str">
        <f>IFERROR([1]!fa_apturndays($A1437,TEXT($B$1,"yyyy/mm/dd")),"")</f>
        <v>Fetch...</v>
      </c>
      <c r="P1437">
        <f>IFERROR([1]!s_fa_invturndays($A1437,TEXT($B$1,"yyyy/mm/dd")),"")</f>
        <v>200.2225</v>
      </c>
    </row>
    <row r="1438" spans="1:16">
      <c r="A1438" t="s">
        <v>1451</v>
      </c>
      <c r="B1438">
        <f>IFERROR([1]!s_stm07_is($A1438,"W70156729",TEXT($B$1,"yyyy/mm/dd"),1),"")</f>
        <v>7187510832.5500002</v>
      </c>
      <c r="C1438">
        <f>IFERROR([1]!s_stm07_is($A1438,"W75682424",TEXT($B$1,"yyyy/mm/dd"),1),"")</f>
        <v>6359490472.79</v>
      </c>
      <c r="D1438">
        <f>IFERROR([1]!s_stm07_is($A1438,"W76031679",TEXT($B$1,"yyyy/mm/dd"),1),"")</f>
        <v>91289716.569999993</v>
      </c>
      <c r="E1438">
        <f>IFERROR([1]!s_stm07_is($A1438,"W70752487",TEXT($B$1,"yyyy/mm/dd"),1),"")</f>
        <v>407807069.89999998</v>
      </c>
      <c r="F1438">
        <f>IFERROR([1]!s_stm07_is_103($A1438,TEXT($B$1,"yyyy/mm/dd"),1),"")</f>
        <v>17313627.52</v>
      </c>
      <c r="G1438">
        <f>IFERROR([1]!s_stm07_is_104($A1438,TEXT($B$1,"yyyy/mm/dd"),1),"")</f>
        <v>125386654.84</v>
      </c>
      <c r="H1438">
        <f>IFERROR([1]!s_stm07_is_105($A1438,TEXT($B$1,"yyyy/mm/dd"),1),"")</f>
        <v>58799215.460000001</v>
      </c>
      <c r="I1438">
        <f>IFERROR([1]!s_stm07_is($A1438,"W72946623",TEXT($B$1,"yyyy/mm/dd"),1),"")</f>
        <v>-630842405.13999999</v>
      </c>
      <c r="J1438">
        <f>IFERROR([1]!s_stm07_is($A1438,"W30028333",TEXT($B$1,"yyyy/mm/dd"),1),"")</f>
        <v>-536406669.49000001</v>
      </c>
      <c r="K1438">
        <f>IFERROR([1]!s_stm07_cs($A1438,"W77130581",TEXT($B$1,"yyyy/mm/dd"),1),"")</f>
        <v>1076236611.1500001</v>
      </c>
      <c r="L1438">
        <f>IFERROR([1]!s_stm07_cs($A1438,"W77745895",TEXT($B$1,"yyyy/mm/dd"),1),"")</f>
        <v>1258913532.7</v>
      </c>
      <c r="M1438">
        <f>IFERROR([1]!S_FA_EPS_basic2($A1438,$B$1,"Cur=CNY"),"")</f>
        <v>-6.7199999999999996E-2</v>
      </c>
      <c r="N1438">
        <f>IFERROR([1]!s_fa_arturndays($A1438,TEXT($B$1,"yyyy/mm/dd")),"")</f>
        <v>35.9131</v>
      </c>
      <c r="O1438" t="str">
        <f>IFERROR([1]!fa_apturndays($A1438,TEXT($B$1,"yyyy/mm/dd")),"")</f>
        <v>Fetch...</v>
      </c>
      <c r="P1438">
        <f>IFERROR([1]!s_fa_invturndays($A1438,TEXT($B$1,"yyyy/mm/dd")),"")</f>
        <v>240.91550000000001</v>
      </c>
    </row>
    <row r="1439" spans="1:16">
      <c r="A1439" t="s">
        <v>1452</v>
      </c>
      <c r="B1439">
        <f>IFERROR([1]!s_stm07_is($A1439,"W70156729",TEXT($B$1,"yyyy/mm/dd"),1),"")</f>
        <v>4823405697.6400003</v>
      </c>
      <c r="C1439">
        <f>IFERROR([1]!s_stm07_is($A1439,"W75682424",TEXT($B$1,"yyyy/mm/dd"),1),"")</f>
        <v>3747519553.1799998</v>
      </c>
      <c r="D1439">
        <f>IFERROR([1]!s_stm07_is($A1439,"W76031679",TEXT($B$1,"yyyy/mm/dd"),1),"")</f>
        <v>110006908.11</v>
      </c>
      <c r="E1439">
        <f>IFERROR([1]!s_stm07_is($A1439,"W70752487",TEXT($B$1,"yyyy/mm/dd"),1),"")</f>
        <v>243731722.49000001</v>
      </c>
      <c r="F1439">
        <f>IFERROR([1]!s_stm07_is_103($A1439,TEXT($B$1,"yyyy/mm/dd"),1),"")</f>
        <v>354981732.42000002</v>
      </c>
      <c r="G1439">
        <f>IFERROR([1]!s_stm07_is_104($A1439,TEXT($B$1,"yyyy/mm/dd"),1),"")</f>
        <v>59455335.090000004</v>
      </c>
      <c r="H1439">
        <f>IFERROR([1]!s_stm07_is_105($A1439,TEXT($B$1,"yyyy/mm/dd"),1),"")</f>
        <v>21496916.800000001</v>
      </c>
      <c r="I1439">
        <f>IFERROR([1]!s_stm07_is($A1439,"W72946623",TEXT($B$1,"yyyy/mm/dd"),1),"")</f>
        <v>200224842.15000001</v>
      </c>
      <c r="J1439">
        <f>IFERROR([1]!s_stm07_is($A1439,"W30028333",TEXT($B$1,"yyyy/mm/dd"),1),"")</f>
        <v>263485209.59</v>
      </c>
      <c r="K1439">
        <f>IFERROR([1]!s_stm07_cs($A1439,"W77130581",TEXT($B$1,"yyyy/mm/dd"),1),"")</f>
        <v>-470648364.60000002</v>
      </c>
      <c r="L1439">
        <f>IFERROR([1]!s_stm07_cs($A1439,"W77745895",TEXT($B$1,"yyyy/mm/dd"),1),"")</f>
        <v>957566187.52999997</v>
      </c>
      <c r="M1439">
        <f>IFERROR([1]!S_FA_EPS_basic2($A1439,$B$1,"Cur=CNY"),"")</f>
        <v>0.94</v>
      </c>
      <c r="N1439">
        <f>IFERROR([1]!s_fa_arturndays($A1439,TEXT($B$1,"yyyy/mm/dd")),"")</f>
        <v>120.4577</v>
      </c>
      <c r="O1439" t="str">
        <f>IFERROR([1]!fa_apturndays($A1439,TEXT($B$1,"yyyy/mm/dd")),"")</f>
        <v>Fetch...</v>
      </c>
      <c r="P1439">
        <f>IFERROR([1]!s_fa_invturndays($A1439,TEXT($B$1,"yyyy/mm/dd")),"")</f>
        <v>195.06909999999999</v>
      </c>
    </row>
    <row r="1440" spans="1:16">
      <c r="A1440" t="s">
        <v>1453</v>
      </c>
      <c r="B1440">
        <f>IFERROR([1]!s_stm07_is($A1440,"W70156729",TEXT($B$1,"yyyy/mm/dd"),1),"")</f>
        <v>4052146959.5300002</v>
      </c>
      <c r="C1440">
        <f>IFERROR([1]!s_stm07_is($A1440,"W75682424",TEXT($B$1,"yyyy/mm/dd"),1),"")</f>
        <v>978951761.52999997</v>
      </c>
      <c r="D1440">
        <f>IFERROR([1]!s_stm07_is($A1440,"W76031679",TEXT($B$1,"yyyy/mm/dd"),1),"")</f>
        <v>1350426822.26</v>
      </c>
      <c r="E1440">
        <f>IFERROR([1]!s_stm07_is($A1440,"W70752487",TEXT($B$1,"yyyy/mm/dd"),1),"")</f>
        <v>268898684.64999998</v>
      </c>
      <c r="F1440">
        <f>IFERROR([1]!s_stm07_is_103($A1440,TEXT($B$1,"yyyy/mm/dd"),1),"")</f>
        <v>646974969.22000003</v>
      </c>
      <c r="G1440">
        <f>IFERROR([1]!s_stm07_is_104($A1440,TEXT($B$1,"yyyy/mm/dd"),1),"")</f>
        <v>0</v>
      </c>
      <c r="H1440">
        <f>IFERROR([1]!s_stm07_is_105($A1440,TEXT($B$1,"yyyy/mm/dd"),1),"")</f>
        <v>0</v>
      </c>
      <c r="I1440">
        <f>IFERROR([1]!s_stm07_is($A1440,"W72946623",TEXT($B$1,"yyyy/mm/dd"),1),"")</f>
        <v>1229805744.1400001</v>
      </c>
      <c r="J1440">
        <f>IFERROR([1]!s_stm07_is($A1440,"W30028333",TEXT($B$1,"yyyy/mm/dd"),1),"")</f>
        <v>1143583603.28</v>
      </c>
      <c r="K1440">
        <f>IFERROR([1]!s_stm07_cs($A1440,"W77130581",TEXT($B$1,"yyyy/mm/dd"),1),"")</f>
        <v>784275267.36000001</v>
      </c>
      <c r="L1440">
        <f>IFERROR([1]!s_stm07_cs($A1440,"W77745895",TEXT($B$1,"yyyy/mm/dd"),1),"")</f>
        <v>926089327.80999994</v>
      </c>
      <c r="M1440">
        <f>IFERROR([1]!S_FA_EPS_basic2($A1440,$B$1,"Cur=CNY"),"")</f>
        <v>1.93</v>
      </c>
      <c r="N1440">
        <f>IFERROR([1]!s_fa_arturndays($A1440,TEXT($B$1,"yyyy/mm/dd")),"")</f>
        <v>35.845100000000002</v>
      </c>
      <c r="O1440" t="str">
        <f>IFERROR([1]!fa_apturndays($A1440,TEXT($B$1,"yyyy/mm/dd")),"")</f>
        <v>Fetch...</v>
      </c>
      <c r="P1440">
        <f>IFERROR([1]!s_fa_invturndays($A1440,TEXT($B$1,"yyyy/mm/dd")),"")</f>
        <v>379.06709999999998</v>
      </c>
    </row>
    <row r="1441" spans="1:16">
      <c r="A1441" t="s">
        <v>1454</v>
      </c>
      <c r="B1441">
        <f>IFERROR([1]!s_stm07_is($A1441,"W70156729",TEXT($B$1,"yyyy/mm/dd"),1),"")</f>
        <v>1387505298.6099999</v>
      </c>
      <c r="C1441">
        <f>IFERROR([1]!s_stm07_is($A1441,"W75682424",TEXT($B$1,"yyyy/mm/dd"),1),"")</f>
        <v>0</v>
      </c>
      <c r="D1441">
        <f>IFERROR([1]!s_stm07_is($A1441,"W76031679",TEXT($B$1,"yyyy/mm/dd"),1),"")</f>
        <v>0</v>
      </c>
      <c r="E1441">
        <f>IFERROR([1]!s_stm07_is($A1441,"W70752487",TEXT($B$1,"yyyy/mm/dd"),1),"")</f>
        <v>754741273.33000004</v>
      </c>
      <c r="F1441">
        <f>IFERROR([1]!s_stm07_is_103($A1441,TEXT($B$1,"yyyy/mm/dd"),1),"")</f>
        <v>0</v>
      </c>
      <c r="G1441">
        <f>IFERROR([1]!s_stm07_is_104($A1441,TEXT($B$1,"yyyy/mm/dd"),1),"")</f>
        <v>0</v>
      </c>
      <c r="H1441">
        <f>IFERROR([1]!s_stm07_is_105($A1441,TEXT($B$1,"yyyy/mm/dd"),1),"")</f>
        <v>0</v>
      </c>
      <c r="I1441">
        <f>IFERROR([1]!s_stm07_is($A1441,"W72946623",TEXT($B$1,"yyyy/mm/dd"),1),"")</f>
        <v>545308247.25</v>
      </c>
      <c r="J1441">
        <f>IFERROR([1]!s_stm07_is($A1441,"W30028333",TEXT($B$1,"yyyy/mm/dd"),1),"")</f>
        <v>486263116.66000003</v>
      </c>
      <c r="K1441">
        <f>IFERROR([1]!s_stm07_cs($A1441,"W77130581",TEXT($B$1,"yyyy/mm/dd"),1),"")</f>
        <v>7000757946.25</v>
      </c>
      <c r="L1441">
        <f>IFERROR([1]!s_stm07_cs($A1441,"W77745895",TEXT($B$1,"yyyy/mm/dd"),1),"")</f>
        <v>32603010.460000001</v>
      </c>
      <c r="M1441">
        <f>IFERROR([1]!S_FA_EPS_basic2($A1441,$B$1,"Cur=CNY"),"")</f>
        <v>0.8</v>
      </c>
      <c r="N1441">
        <f>IFERROR([1]!s_fa_arturndays($A1441,TEXT($B$1,"yyyy/mm/dd")),"")</f>
        <v>0</v>
      </c>
      <c r="O1441" t="str">
        <f>IFERROR([1]!fa_apturndays($A1441,TEXT($B$1,"yyyy/mm/dd")),"")</f>
        <v>Fetch...</v>
      </c>
      <c r="P1441">
        <f>IFERROR([1]!s_fa_invturndays($A1441,TEXT($B$1,"yyyy/mm/dd")),"")</f>
        <v>0</v>
      </c>
    </row>
    <row r="1442" spans="1:16">
      <c r="A1442" t="s">
        <v>1455</v>
      </c>
      <c r="B1442">
        <f>IFERROR([1]!s_stm07_is($A1442,"W70156729",TEXT($B$1,"yyyy/mm/dd"),1),"")</f>
        <v>787783942.80999994</v>
      </c>
      <c r="C1442">
        <f>IFERROR([1]!s_stm07_is($A1442,"W75682424",TEXT($B$1,"yyyy/mm/dd"),1),"")</f>
        <v>492604066.95999998</v>
      </c>
      <c r="D1442">
        <f>IFERROR([1]!s_stm07_is($A1442,"W76031679",TEXT($B$1,"yyyy/mm/dd"),1),"")</f>
        <v>27749564.789999999</v>
      </c>
      <c r="E1442">
        <f>IFERROR([1]!s_stm07_is($A1442,"W70752487",TEXT($B$1,"yyyy/mm/dd"),1),"")</f>
        <v>80672103.980000004</v>
      </c>
      <c r="F1442">
        <f>IFERROR([1]!s_stm07_is_103($A1442,TEXT($B$1,"yyyy/mm/dd"),1),"")</f>
        <v>0</v>
      </c>
      <c r="G1442">
        <f>IFERROR([1]!s_stm07_is_104($A1442,TEXT($B$1,"yyyy/mm/dd"),1),"")</f>
        <v>4550578.8099999996</v>
      </c>
      <c r="H1442">
        <f>IFERROR([1]!s_stm07_is_105($A1442,TEXT($B$1,"yyyy/mm/dd"),1),"")</f>
        <v>1148923.6399999999</v>
      </c>
      <c r="I1442">
        <f>IFERROR([1]!s_stm07_is($A1442,"W72946623",TEXT($B$1,"yyyy/mm/dd"),1),"")</f>
        <v>175836303.03</v>
      </c>
      <c r="J1442">
        <f>IFERROR([1]!s_stm07_is($A1442,"W30028333",TEXT($B$1,"yyyy/mm/dd"),1),"")</f>
        <v>129347677.86</v>
      </c>
      <c r="K1442">
        <f>IFERROR([1]!s_stm07_cs($A1442,"W77130581",TEXT($B$1,"yyyy/mm/dd"),1),"")</f>
        <v>173143435.94999999</v>
      </c>
      <c r="L1442">
        <f>IFERROR([1]!s_stm07_cs($A1442,"W77745895",TEXT($B$1,"yyyy/mm/dd"),1),"")</f>
        <v>150294499.75</v>
      </c>
      <c r="M1442">
        <f>IFERROR([1]!S_FA_EPS_basic2($A1442,$B$1,"Cur=CNY"),"")</f>
        <v>0.48</v>
      </c>
      <c r="N1442">
        <f>IFERROR([1]!s_fa_arturndays($A1442,TEXT($B$1,"yyyy/mm/dd")),"")</f>
        <v>37.113399999999999</v>
      </c>
      <c r="O1442" t="str">
        <f>IFERROR([1]!fa_apturndays($A1442,TEXT($B$1,"yyyy/mm/dd")),"")</f>
        <v>Fetch...</v>
      </c>
      <c r="P1442">
        <f>IFERROR([1]!s_fa_invturndays($A1442,TEXT($B$1,"yyyy/mm/dd")),"")</f>
        <v>12.9862</v>
      </c>
    </row>
    <row r="1443" spans="1:16">
      <c r="A1443" t="s">
        <v>1456</v>
      </c>
      <c r="B1443">
        <f>IFERROR([1]!s_stm07_is($A1443,"W70156729",TEXT($B$1,"yyyy/mm/dd"),1),"")</f>
        <v>6804947111.0799999</v>
      </c>
      <c r="C1443">
        <f>IFERROR([1]!s_stm07_is($A1443,"W75682424",TEXT($B$1,"yyyy/mm/dd"),1),"")</f>
        <v>4469989658.8500004</v>
      </c>
      <c r="D1443">
        <f>IFERROR([1]!s_stm07_is($A1443,"W76031679",TEXT($B$1,"yyyy/mm/dd"),1),"")</f>
        <v>880400820.22000003</v>
      </c>
      <c r="E1443">
        <f>IFERROR([1]!s_stm07_is($A1443,"W70752487",TEXT($B$1,"yyyy/mm/dd"),1),"")</f>
        <v>360557536.92000002</v>
      </c>
      <c r="F1443">
        <f>IFERROR([1]!s_stm07_is_103($A1443,TEXT($B$1,"yyyy/mm/dd"),1),"")</f>
        <v>480088932.52999997</v>
      </c>
      <c r="G1443">
        <f>IFERROR([1]!s_stm07_is_104($A1443,TEXT($B$1,"yyyy/mm/dd"),1),"")</f>
        <v>6576823.71</v>
      </c>
      <c r="H1443">
        <f>IFERROR([1]!s_stm07_is_105($A1443,TEXT($B$1,"yyyy/mm/dd"),1),"")</f>
        <v>41740715.649999999</v>
      </c>
      <c r="I1443">
        <f>IFERROR([1]!s_stm07_is($A1443,"W72946623",TEXT($B$1,"yyyy/mm/dd"),1),"")</f>
        <v>716541424.99000001</v>
      </c>
      <c r="J1443">
        <f>IFERROR([1]!s_stm07_is($A1443,"W30028333",TEXT($B$1,"yyyy/mm/dd"),1),"")</f>
        <v>642546680.52999997</v>
      </c>
      <c r="K1443">
        <f>IFERROR([1]!s_stm07_cs($A1443,"W77130581",TEXT($B$1,"yyyy/mm/dd"),1),"")</f>
        <v>609706450.90999997</v>
      </c>
      <c r="L1443">
        <f>IFERROR([1]!s_stm07_cs($A1443,"W77745895",TEXT($B$1,"yyyy/mm/dd"),1),"")</f>
        <v>150768441.03999999</v>
      </c>
      <c r="M1443">
        <f>IFERROR([1]!S_FA_EPS_basic2($A1443,$B$1,"Cur=CNY"),"")</f>
        <v>1.26</v>
      </c>
      <c r="N1443">
        <f>IFERROR([1]!s_fa_arturndays($A1443,TEXT($B$1,"yyyy/mm/dd")),"")</f>
        <v>85.205100000000002</v>
      </c>
      <c r="O1443" t="str">
        <f>IFERROR([1]!fa_apturndays($A1443,TEXT($B$1,"yyyy/mm/dd")),"")</f>
        <v>Fetch...</v>
      </c>
      <c r="P1443">
        <f>IFERROR([1]!s_fa_invturndays($A1443,TEXT($B$1,"yyyy/mm/dd")),"")</f>
        <v>118.5029</v>
      </c>
    </row>
    <row r="1444" spans="1:16">
      <c r="A1444" t="s">
        <v>1457</v>
      </c>
      <c r="B1444">
        <f>IFERROR([1]!s_stm07_is($A1444,"W70156729",TEXT($B$1,"yyyy/mm/dd"),1),"")</f>
        <v>2297659864.75</v>
      </c>
      <c r="C1444">
        <f>IFERROR([1]!s_stm07_is($A1444,"W75682424",TEXT($B$1,"yyyy/mm/dd"),1),"")</f>
        <v>1956717574.0699999</v>
      </c>
      <c r="D1444">
        <f>IFERROR([1]!s_stm07_is($A1444,"W76031679",TEXT($B$1,"yyyy/mm/dd"),1),"")</f>
        <v>19071310.149999999</v>
      </c>
      <c r="E1444">
        <f>IFERROR([1]!s_stm07_is($A1444,"W70752487",TEXT($B$1,"yyyy/mm/dd"),1),"")</f>
        <v>71709548.239999995</v>
      </c>
      <c r="F1444">
        <f>IFERROR([1]!s_stm07_is_103($A1444,TEXT($B$1,"yyyy/mm/dd"),1),"")</f>
        <v>0</v>
      </c>
      <c r="G1444">
        <f>IFERROR([1]!s_stm07_is_104($A1444,TEXT($B$1,"yyyy/mm/dd"),1),"")</f>
        <v>78600331.040000007</v>
      </c>
      <c r="H1444">
        <f>IFERROR([1]!s_stm07_is_105($A1444,TEXT($B$1,"yyyy/mm/dd"),1),"")</f>
        <v>3999093.32</v>
      </c>
      <c r="I1444">
        <f>IFERROR([1]!s_stm07_is($A1444,"W72946623",TEXT($B$1,"yyyy/mm/dd"),1),"")</f>
        <v>159009232.97</v>
      </c>
      <c r="J1444">
        <f>IFERROR([1]!s_stm07_is($A1444,"W30028333",TEXT($B$1,"yyyy/mm/dd"),1),"")</f>
        <v>159212918.33000001</v>
      </c>
      <c r="K1444">
        <f>IFERROR([1]!s_stm07_cs($A1444,"W77130581",TEXT($B$1,"yyyy/mm/dd"),1),"")</f>
        <v>795862513.74000001</v>
      </c>
      <c r="L1444">
        <f>IFERROR([1]!s_stm07_cs($A1444,"W77745895",TEXT($B$1,"yyyy/mm/dd"),1),"")</f>
        <v>100023386.68000001</v>
      </c>
      <c r="M1444">
        <f>IFERROR([1]!S_FA_EPS_basic2($A1444,$B$1,"Cur=CNY"),"")</f>
        <v>0.25</v>
      </c>
      <c r="N1444">
        <f>IFERROR([1]!s_fa_arturndays($A1444,TEXT($B$1,"yyyy/mm/dd")),"")</f>
        <v>10.875400000000001</v>
      </c>
      <c r="O1444" t="str">
        <f>IFERROR([1]!fa_apturndays($A1444,TEXT($B$1,"yyyy/mm/dd")),"")</f>
        <v>Fetch...</v>
      </c>
      <c r="P1444">
        <f>IFERROR([1]!s_fa_invturndays($A1444,TEXT($B$1,"yyyy/mm/dd")),"")</f>
        <v>16.357800000000001</v>
      </c>
    </row>
    <row r="1445" spans="1:16">
      <c r="A1445" t="s">
        <v>1458</v>
      </c>
      <c r="B1445">
        <f>IFERROR([1]!s_stm07_is($A1445,"W70156729",TEXT($B$1,"yyyy/mm/dd"),1),"")</f>
        <v>6998529976.2600002</v>
      </c>
      <c r="C1445">
        <f>IFERROR([1]!s_stm07_is($A1445,"W75682424",TEXT($B$1,"yyyy/mm/dd"),1),"")</f>
        <v>5501628423.0100002</v>
      </c>
      <c r="D1445">
        <f>IFERROR([1]!s_stm07_is($A1445,"W76031679",TEXT($B$1,"yyyy/mm/dd"),1),"")</f>
        <v>748601097.64999998</v>
      </c>
      <c r="E1445">
        <f>IFERROR([1]!s_stm07_is($A1445,"W70752487",TEXT($B$1,"yyyy/mm/dd"),1),"")</f>
        <v>438515506.83999997</v>
      </c>
      <c r="F1445">
        <f>IFERROR([1]!s_stm07_is_103($A1445,TEXT($B$1,"yyyy/mm/dd"),1),"")</f>
        <v>108013762.47</v>
      </c>
      <c r="G1445">
        <f>IFERROR([1]!s_stm07_is_104($A1445,TEXT($B$1,"yyyy/mm/dd"),1),"")</f>
        <v>278931171.44999999</v>
      </c>
      <c r="H1445">
        <f>IFERROR([1]!s_stm07_is_105($A1445,TEXT($B$1,"yyyy/mm/dd"),1),"")</f>
        <v>10980948.029999999</v>
      </c>
      <c r="I1445">
        <f>IFERROR([1]!s_stm07_is($A1445,"W72946623",TEXT($B$1,"yyyy/mm/dd"),1),"")</f>
        <v>-460637227.99000001</v>
      </c>
      <c r="J1445">
        <f>IFERROR([1]!s_stm07_is($A1445,"W30028333",TEXT($B$1,"yyyy/mm/dd"),1),"")</f>
        <v>-548393978.50999999</v>
      </c>
      <c r="K1445">
        <f>IFERROR([1]!s_stm07_cs($A1445,"W77130581",TEXT($B$1,"yyyy/mm/dd"),1),"")</f>
        <v>637222210.76999998</v>
      </c>
      <c r="L1445">
        <f>IFERROR([1]!s_stm07_cs($A1445,"W77745895",TEXT($B$1,"yyyy/mm/dd"),1),"")</f>
        <v>250484597.63999999</v>
      </c>
      <c r="M1445">
        <f>IFERROR([1]!S_FA_EPS_basic2($A1445,$B$1,"Cur=CNY"),"")</f>
        <v>-0.91</v>
      </c>
      <c r="N1445">
        <f>IFERROR([1]!s_fa_arturndays($A1445,TEXT($B$1,"yyyy/mm/dd")),"")</f>
        <v>248.49870000000001</v>
      </c>
      <c r="O1445" t="str">
        <f>IFERROR([1]!fa_apturndays($A1445,TEXT($B$1,"yyyy/mm/dd")),"")</f>
        <v>Fetch...</v>
      </c>
      <c r="P1445">
        <f>IFERROR([1]!s_fa_invturndays($A1445,TEXT($B$1,"yyyy/mm/dd")),"")</f>
        <v>99.961100000000002</v>
      </c>
    </row>
    <row r="1446" spans="1:16">
      <c r="A1446" t="s">
        <v>1459</v>
      </c>
      <c r="B1446">
        <f>IFERROR([1]!s_stm07_is($A1446,"W70156729",TEXT($B$1,"yyyy/mm/dd"),1),"")</f>
        <v>9197735680.6399994</v>
      </c>
      <c r="C1446">
        <f>IFERROR([1]!s_stm07_is($A1446,"W75682424",TEXT($B$1,"yyyy/mm/dd"),1),"")</f>
        <v>8142574654.3999996</v>
      </c>
      <c r="D1446">
        <f>IFERROR([1]!s_stm07_is($A1446,"W76031679",TEXT($B$1,"yyyy/mm/dd"),1),"")</f>
        <v>130767958.37</v>
      </c>
      <c r="E1446">
        <f>IFERROR([1]!s_stm07_is($A1446,"W70752487",TEXT($B$1,"yyyy/mm/dd"),1),"")</f>
        <v>374331087</v>
      </c>
      <c r="F1446">
        <f>IFERROR([1]!s_stm07_is_103($A1446,TEXT($B$1,"yyyy/mm/dd"),1),"")</f>
        <v>272029848.32999998</v>
      </c>
      <c r="G1446">
        <f>IFERROR([1]!s_stm07_is_104($A1446,TEXT($B$1,"yyyy/mm/dd"),1),"")</f>
        <v>37974677</v>
      </c>
      <c r="H1446">
        <f>IFERROR([1]!s_stm07_is_105($A1446,TEXT($B$1,"yyyy/mm/dd"),1),"")</f>
        <v>68767021.340000004</v>
      </c>
      <c r="I1446">
        <f>IFERROR([1]!s_stm07_is($A1446,"W72946623",TEXT($B$1,"yyyy/mm/dd"),1),"")</f>
        <v>88352169.569999993</v>
      </c>
      <c r="J1446">
        <f>IFERROR([1]!s_stm07_is($A1446,"W30028333",TEXT($B$1,"yyyy/mm/dd"),1),"")</f>
        <v>77782782.409999996</v>
      </c>
      <c r="K1446">
        <f>IFERROR([1]!s_stm07_cs($A1446,"W77130581",TEXT($B$1,"yyyy/mm/dd"),1),"")</f>
        <v>198460712.52000001</v>
      </c>
      <c r="L1446">
        <f>IFERROR([1]!s_stm07_cs($A1446,"W77745895",TEXT($B$1,"yyyy/mm/dd"),1),"")</f>
        <v>327271586.27999997</v>
      </c>
      <c r="M1446">
        <f>IFERROR([1]!S_FA_EPS_basic2($A1446,$B$1,"Cur=CNY"),"")</f>
        <v>0.1</v>
      </c>
      <c r="N1446">
        <f>IFERROR([1]!s_fa_arturndays($A1446,TEXT($B$1,"yyyy/mm/dd")),"")</f>
        <v>74.3249</v>
      </c>
      <c r="O1446" t="str">
        <f>IFERROR([1]!fa_apturndays($A1446,TEXT($B$1,"yyyy/mm/dd")),"")</f>
        <v>Fetch...</v>
      </c>
      <c r="P1446">
        <f>IFERROR([1]!s_fa_invturndays($A1446,TEXT($B$1,"yyyy/mm/dd")),"")</f>
        <v>61.585799999999999</v>
      </c>
    </row>
    <row r="1447" spans="1:16">
      <c r="A1447" t="s">
        <v>1460</v>
      </c>
      <c r="B1447">
        <f>IFERROR([1]!s_stm07_is($A1447,"W70156729",TEXT($B$1,"yyyy/mm/dd"),1),"")</f>
        <v>1375754147.23</v>
      </c>
      <c r="C1447">
        <f>IFERROR([1]!s_stm07_is($A1447,"W75682424",TEXT($B$1,"yyyy/mm/dd"),1),"")</f>
        <v>896204030.47000003</v>
      </c>
      <c r="D1447">
        <f>IFERROR([1]!s_stm07_is($A1447,"W76031679",TEXT($B$1,"yyyy/mm/dd"),1),"")</f>
        <v>34595416.770000003</v>
      </c>
      <c r="E1447">
        <f>IFERROR([1]!s_stm07_is($A1447,"W70752487",TEXT($B$1,"yyyy/mm/dd"),1),"")</f>
        <v>69619306.549999997</v>
      </c>
      <c r="F1447">
        <f>IFERROR([1]!s_stm07_is_103($A1447,TEXT($B$1,"yyyy/mm/dd"),1),"")</f>
        <v>65471072.780000001</v>
      </c>
      <c r="G1447">
        <f>IFERROR([1]!s_stm07_is_104($A1447,TEXT($B$1,"yyyy/mm/dd"),1),"")</f>
        <v>8401547.6999999993</v>
      </c>
      <c r="H1447">
        <f>IFERROR([1]!s_stm07_is_105($A1447,TEXT($B$1,"yyyy/mm/dd"),1),"")</f>
        <v>6329492.6200000001</v>
      </c>
      <c r="I1447">
        <f>IFERROR([1]!s_stm07_is($A1447,"W72946623",TEXT($B$1,"yyyy/mm/dd"),1),"")</f>
        <v>319648895.31999999</v>
      </c>
      <c r="J1447">
        <f>IFERROR([1]!s_stm07_is($A1447,"W30028333",TEXT($B$1,"yyyy/mm/dd"),1),"")</f>
        <v>278380063.24000001</v>
      </c>
      <c r="K1447">
        <f>IFERROR([1]!s_stm07_cs($A1447,"W77130581",TEXT($B$1,"yyyy/mm/dd"),1),"")</f>
        <v>279096128.72000003</v>
      </c>
      <c r="L1447">
        <f>IFERROR([1]!s_stm07_cs($A1447,"W77745895",TEXT($B$1,"yyyy/mm/dd"),1),"")</f>
        <v>237886628.97</v>
      </c>
      <c r="M1447">
        <f>IFERROR([1]!S_FA_EPS_basic2($A1447,$B$1,"Cur=CNY"),"")</f>
        <v>0.77</v>
      </c>
      <c r="N1447">
        <f>IFERROR([1]!s_fa_arturndays($A1447,TEXT($B$1,"yyyy/mm/dd")),"")</f>
        <v>83.240799999999993</v>
      </c>
      <c r="O1447" t="str">
        <f>IFERROR([1]!fa_apturndays($A1447,TEXT($B$1,"yyyy/mm/dd")),"")</f>
        <v>Fetch...</v>
      </c>
      <c r="P1447">
        <f>IFERROR([1]!s_fa_invturndays($A1447,TEXT($B$1,"yyyy/mm/dd")),"")</f>
        <v>126.4311</v>
      </c>
    </row>
    <row r="1448" spans="1:16">
      <c r="A1448" t="s">
        <v>1461</v>
      </c>
      <c r="B1448">
        <f>IFERROR([1]!s_stm07_is($A1448,"W70156729",TEXT($B$1,"yyyy/mm/dd"),1),"")</f>
        <v>1657624302.72</v>
      </c>
      <c r="C1448">
        <f>IFERROR([1]!s_stm07_is($A1448,"W75682424",TEXT($B$1,"yyyy/mm/dd"),1),"")</f>
        <v>1314312169.51</v>
      </c>
      <c r="D1448">
        <f>IFERROR([1]!s_stm07_is($A1448,"W76031679",TEXT($B$1,"yyyy/mm/dd"),1),"")</f>
        <v>36911659.899999999</v>
      </c>
      <c r="E1448">
        <f>IFERROR([1]!s_stm07_is($A1448,"W70752487",TEXT($B$1,"yyyy/mm/dd"),1),"")</f>
        <v>282261376.13</v>
      </c>
      <c r="F1448">
        <f>IFERROR([1]!s_stm07_is_103($A1448,TEXT($B$1,"yyyy/mm/dd"),1),"")</f>
        <v>87428942.370000005</v>
      </c>
      <c r="G1448">
        <f>IFERROR([1]!s_stm07_is_104($A1448,TEXT($B$1,"yyyy/mm/dd"),1),"")</f>
        <v>1421665.35</v>
      </c>
      <c r="H1448">
        <f>IFERROR([1]!s_stm07_is_105($A1448,TEXT($B$1,"yyyy/mm/dd"),1),"")</f>
        <v>78186727.670000002</v>
      </c>
      <c r="I1448">
        <f>IFERROR([1]!s_stm07_is($A1448,"W72946623",TEXT($B$1,"yyyy/mm/dd"),1),"")</f>
        <v>337493264.97000003</v>
      </c>
      <c r="J1448">
        <f>IFERROR([1]!s_stm07_is($A1448,"W30028333",TEXT($B$1,"yyyy/mm/dd"),1),"")</f>
        <v>297841047.51999998</v>
      </c>
      <c r="K1448">
        <f>IFERROR([1]!s_stm07_cs($A1448,"W77130581",TEXT($B$1,"yyyy/mm/dd"),1),"")</f>
        <v>444566722.13</v>
      </c>
      <c r="L1448">
        <f>IFERROR([1]!s_stm07_cs($A1448,"W77745895",TEXT($B$1,"yyyy/mm/dd"),1),"")</f>
        <v>143602144.53</v>
      </c>
      <c r="M1448">
        <f>IFERROR([1]!S_FA_EPS_basic2($A1448,$B$1,"Cur=CNY"),"")</f>
        <v>0.4</v>
      </c>
      <c r="N1448">
        <f>IFERROR([1]!s_fa_arturndays($A1448,TEXT($B$1,"yyyy/mm/dd")),"")</f>
        <v>39.341299999999997</v>
      </c>
      <c r="O1448" t="str">
        <f>IFERROR([1]!fa_apturndays($A1448,TEXT($B$1,"yyyy/mm/dd")),"")</f>
        <v>Fetch...</v>
      </c>
      <c r="P1448">
        <f>IFERROR([1]!s_fa_invturndays($A1448,TEXT($B$1,"yyyy/mm/dd")),"")</f>
        <v>431.24099999999999</v>
      </c>
    </row>
    <row r="1449" spans="1:16">
      <c r="A1449" t="s">
        <v>1462</v>
      </c>
      <c r="B1449">
        <f>IFERROR([1]!s_stm07_is($A1449,"W70156729",TEXT($B$1,"yyyy/mm/dd"),1),"")</f>
        <v>17964066948.740002</v>
      </c>
      <c r="C1449">
        <f>IFERROR([1]!s_stm07_is($A1449,"W75682424",TEXT($B$1,"yyyy/mm/dd"),1),"")</f>
        <v>16349752480.17</v>
      </c>
      <c r="D1449">
        <f>IFERROR([1]!s_stm07_is($A1449,"W76031679",TEXT($B$1,"yyyy/mm/dd"),1),"")</f>
        <v>609781921.26999998</v>
      </c>
      <c r="E1449">
        <f>IFERROR([1]!s_stm07_is($A1449,"W70752487",TEXT($B$1,"yyyy/mm/dd"),1),"")</f>
        <v>442791040.24000001</v>
      </c>
      <c r="F1449">
        <f>IFERROR([1]!s_stm07_is_103($A1449,TEXT($B$1,"yyyy/mm/dd"),1),"")</f>
        <v>23401176.93</v>
      </c>
      <c r="G1449">
        <f>IFERROR([1]!s_stm07_is_104($A1449,TEXT($B$1,"yyyy/mm/dd"),1),"")</f>
        <v>50004173.420000002</v>
      </c>
      <c r="H1449">
        <f>IFERROR([1]!s_stm07_is_105($A1449,TEXT($B$1,"yyyy/mm/dd"),1),"")</f>
        <v>17106666.57</v>
      </c>
      <c r="I1449">
        <f>IFERROR([1]!s_stm07_is($A1449,"W72946623",TEXT($B$1,"yyyy/mm/dd"),1),"")</f>
        <v>633554820.51999998</v>
      </c>
      <c r="J1449">
        <f>IFERROR([1]!s_stm07_is($A1449,"W30028333",TEXT($B$1,"yyyy/mm/dd"),1),"")</f>
        <v>488352864.95999998</v>
      </c>
      <c r="K1449">
        <f>IFERROR([1]!s_stm07_cs($A1449,"W77130581",TEXT($B$1,"yyyy/mm/dd"),1),"")</f>
        <v>407039271.99000001</v>
      </c>
      <c r="L1449">
        <f>IFERROR([1]!s_stm07_cs($A1449,"W77745895",TEXT($B$1,"yyyy/mm/dd"),1),"")</f>
        <v>152037664.38</v>
      </c>
      <c r="M1449">
        <f>IFERROR([1]!S_FA_EPS_basic2($A1449,$B$1,"Cur=CNY"),"")</f>
        <v>0.37</v>
      </c>
      <c r="N1449">
        <f>IFERROR([1]!s_fa_arturndays($A1449,TEXT($B$1,"yyyy/mm/dd")),"")</f>
        <v>77.804199999999994</v>
      </c>
      <c r="O1449" t="str">
        <f>IFERROR([1]!fa_apturndays($A1449,TEXT($B$1,"yyyy/mm/dd")),"")</f>
        <v>Fetch...</v>
      </c>
      <c r="P1449">
        <f>IFERROR([1]!s_fa_invturndays($A1449,TEXT($B$1,"yyyy/mm/dd")),"")</f>
        <v>7.6981999999999999</v>
      </c>
    </row>
    <row r="1450" spans="1:16">
      <c r="A1450" t="s">
        <v>1463</v>
      </c>
      <c r="B1450">
        <f>IFERROR([1]!s_stm07_is($A1450,"W70156729",TEXT($B$1,"yyyy/mm/dd"),1),"")</f>
        <v>19745576117.939999</v>
      </c>
      <c r="C1450">
        <f>IFERROR([1]!s_stm07_is($A1450,"W75682424",TEXT($B$1,"yyyy/mm/dd"),1),"")</f>
        <v>14426694232.92</v>
      </c>
      <c r="D1450">
        <f>IFERROR([1]!s_stm07_is($A1450,"W76031679",TEXT($B$1,"yyyy/mm/dd"),1),"")</f>
        <v>1286193326.4300001</v>
      </c>
      <c r="E1450">
        <f>IFERROR([1]!s_stm07_is($A1450,"W70752487",TEXT($B$1,"yyyy/mm/dd"),1),"")</f>
        <v>785904084.37</v>
      </c>
      <c r="F1450">
        <f>IFERROR([1]!s_stm07_is_103($A1450,TEXT($B$1,"yyyy/mm/dd"),1),"")</f>
        <v>1219740140.5899999</v>
      </c>
      <c r="G1450">
        <f>IFERROR([1]!s_stm07_is_104($A1450,TEXT($B$1,"yyyy/mm/dd"),1),"")</f>
        <v>29111203.969999999</v>
      </c>
      <c r="H1450">
        <f>IFERROR([1]!s_stm07_is_105($A1450,TEXT($B$1,"yyyy/mm/dd"),1),"")</f>
        <v>305961439.80000001</v>
      </c>
      <c r="I1450">
        <f>IFERROR([1]!s_stm07_is($A1450,"W72946623",TEXT($B$1,"yyyy/mm/dd"),1),"")</f>
        <v>1878785670.1500001</v>
      </c>
      <c r="J1450">
        <f>IFERROR([1]!s_stm07_is($A1450,"W30028333",TEXT($B$1,"yyyy/mm/dd"),1),"")</f>
        <v>1675371241.24</v>
      </c>
      <c r="K1450">
        <f>IFERROR([1]!s_stm07_cs($A1450,"W77130581",TEXT($B$1,"yyyy/mm/dd"),1),"")</f>
        <v>3966268556.2800002</v>
      </c>
      <c r="L1450">
        <f>IFERROR([1]!s_stm07_cs($A1450,"W77745895",TEXT($B$1,"yyyy/mm/dd"),1),"")</f>
        <v>759415276.48000002</v>
      </c>
      <c r="M1450">
        <f>IFERROR([1]!S_FA_EPS_basic2($A1450,$B$1,"Cur=CNY"),"")</f>
        <v>10.99</v>
      </c>
      <c r="N1450">
        <f>IFERROR([1]!s_fa_arturndays($A1450,TEXT($B$1,"yyyy/mm/dd")),"")</f>
        <v>30.1556</v>
      </c>
      <c r="O1450" t="str">
        <f>IFERROR([1]!fa_apturndays($A1450,TEXT($B$1,"yyyy/mm/dd")),"")</f>
        <v>Fetch...</v>
      </c>
      <c r="P1450">
        <f>IFERROR([1]!s_fa_invturndays($A1450,TEXT($B$1,"yyyy/mm/dd")),"")</f>
        <v>67.417000000000002</v>
      </c>
    </row>
    <row r="1451" spans="1:16">
      <c r="A1451" t="s">
        <v>1464</v>
      </c>
      <c r="B1451">
        <f>IFERROR([1]!s_stm07_is($A1451,"W70156729",TEXT($B$1,"yyyy/mm/dd"),1),"")</f>
        <v>5335980791.6499996</v>
      </c>
      <c r="C1451">
        <f>IFERROR([1]!s_stm07_is($A1451,"W75682424",TEXT($B$1,"yyyy/mm/dd"),1),"")</f>
        <v>3050812451.9000001</v>
      </c>
      <c r="D1451">
        <f>IFERROR([1]!s_stm07_is($A1451,"W76031679",TEXT($B$1,"yyyy/mm/dd"),1),"")</f>
        <v>650088637.10000002</v>
      </c>
      <c r="E1451">
        <f>IFERROR([1]!s_stm07_is($A1451,"W70752487",TEXT($B$1,"yyyy/mm/dd"),1),"")</f>
        <v>95014880.510000005</v>
      </c>
      <c r="F1451">
        <f>IFERROR([1]!s_stm07_is_103($A1451,TEXT($B$1,"yyyy/mm/dd"),1),"")</f>
        <v>41250386.390000001</v>
      </c>
      <c r="G1451">
        <f>IFERROR([1]!s_stm07_is_104($A1451,TEXT($B$1,"yyyy/mm/dd"),1),"")</f>
        <v>11396097.220000001</v>
      </c>
      <c r="H1451">
        <f>IFERROR([1]!s_stm07_is_105($A1451,TEXT($B$1,"yyyy/mm/dd"),1),"")</f>
        <v>47175438.490000002</v>
      </c>
      <c r="I1451">
        <f>IFERROR([1]!s_stm07_is($A1451,"W72946623",TEXT($B$1,"yyyy/mm/dd"),1),"")</f>
        <v>1629153906.29</v>
      </c>
      <c r="J1451">
        <f>IFERROR([1]!s_stm07_is($A1451,"W30028333",TEXT($B$1,"yyyy/mm/dd"),1),"")</f>
        <v>1259848913.9200001</v>
      </c>
      <c r="K1451">
        <f>IFERROR([1]!s_stm07_cs($A1451,"W77130581",TEXT($B$1,"yyyy/mm/dd"),1),"")</f>
        <v>1953754490.6300001</v>
      </c>
      <c r="L1451">
        <f>IFERROR([1]!s_stm07_cs($A1451,"W77745895",TEXT($B$1,"yyyy/mm/dd"),1),"")</f>
        <v>33840932.82</v>
      </c>
      <c r="M1451">
        <f>IFERROR([1]!S_FA_EPS_basic2($A1451,$B$1,"Cur=CNY"),"")</f>
        <v>0.99970000000000003</v>
      </c>
      <c r="N1451">
        <f>IFERROR([1]!s_fa_arturndays($A1451,TEXT($B$1,"yyyy/mm/dd")),"")</f>
        <v>1.8201000000000001</v>
      </c>
      <c r="O1451" t="str">
        <f>IFERROR([1]!fa_apturndays($A1451,TEXT($B$1,"yyyy/mm/dd")),"")</f>
        <v>Fetch...</v>
      </c>
      <c r="P1451">
        <f>IFERROR([1]!s_fa_invturndays($A1451,TEXT($B$1,"yyyy/mm/dd")),"")</f>
        <v>91.759500000000003</v>
      </c>
    </row>
    <row r="1452" spans="1:16">
      <c r="A1452" t="s">
        <v>1465</v>
      </c>
      <c r="B1452">
        <f>IFERROR([1]!s_stm07_is($A1452,"W70156729",TEXT($B$1,"yyyy/mm/dd"),1),"")</f>
        <v>4735621058.4300003</v>
      </c>
      <c r="C1452">
        <f>IFERROR([1]!s_stm07_is($A1452,"W75682424",TEXT($B$1,"yyyy/mm/dd"),1),"")</f>
        <v>2737356200.0599999</v>
      </c>
      <c r="D1452">
        <f>IFERROR([1]!s_stm07_is($A1452,"W76031679",TEXT($B$1,"yyyy/mm/dd"),1),"")</f>
        <v>181437086.69</v>
      </c>
      <c r="E1452">
        <f>IFERROR([1]!s_stm07_is($A1452,"W70752487",TEXT($B$1,"yyyy/mm/dd"),1),"")</f>
        <v>180387018.36000001</v>
      </c>
      <c r="F1452">
        <f>IFERROR([1]!s_stm07_is_103($A1452,TEXT($B$1,"yyyy/mm/dd"),1),"")</f>
        <v>1097912474.47</v>
      </c>
      <c r="G1452">
        <f>IFERROR([1]!s_stm07_is_104($A1452,TEXT($B$1,"yyyy/mm/dd"),1),"")</f>
        <v>10280162.52</v>
      </c>
      <c r="H1452">
        <f>IFERROR([1]!s_stm07_is_105($A1452,TEXT($B$1,"yyyy/mm/dd"),1),"")</f>
        <v>108788585.68000001</v>
      </c>
      <c r="I1452">
        <f>IFERROR([1]!s_stm07_is($A1452,"W72946623",TEXT($B$1,"yyyy/mm/dd"),1),"")</f>
        <v>862565150.63</v>
      </c>
      <c r="J1452">
        <f>IFERROR([1]!s_stm07_is($A1452,"W30028333",TEXT($B$1,"yyyy/mm/dd"),1),"")</f>
        <v>837099258.25</v>
      </c>
      <c r="K1452">
        <f>IFERROR([1]!s_stm07_cs($A1452,"W77130581",TEXT($B$1,"yyyy/mm/dd"),1),"")</f>
        <v>1087737899.26</v>
      </c>
      <c r="L1452">
        <f>IFERROR([1]!s_stm07_cs($A1452,"W77745895",TEXT($B$1,"yyyy/mm/dd"),1),"")</f>
        <v>84870060.420000002</v>
      </c>
      <c r="M1452">
        <f>IFERROR([1]!S_FA_EPS_basic2($A1452,$B$1,"Cur=CNY"),"")</f>
        <v>1.82</v>
      </c>
      <c r="N1452">
        <f>IFERROR([1]!s_fa_arturndays($A1452,TEXT($B$1,"yyyy/mm/dd")),"")</f>
        <v>42.128900000000002</v>
      </c>
      <c r="O1452" t="str">
        <f>IFERROR([1]!fa_apturndays($A1452,TEXT($B$1,"yyyy/mm/dd")),"")</f>
        <v>Fetch...</v>
      </c>
      <c r="P1452">
        <f>IFERROR([1]!s_fa_invturndays($A1452,TEXT($B$1,"yyyy/mm/dd")),"")</f>
        <v>86.492699999999999</v>
      </c>
    </row>
    <row r="1453" spans="1:16">
      <c r="A1453" t="s">
        <v>1466</v>
      </c>
      <c r="B1453">
        <f>IFERROR([1]!s_stm07_is($A1453,"W70156729",TEXT($B$1,"yyyy/mm/dd"),1),"")</f>
        <v>4442994963.6400003</v>
      </c>
      <c r="C1453">
        <f>IFERROR([1]!s_stm07_is($A1453,"W75682424",TEXT($B$1,"yyyy/mm/dd"),1),"")</f>
        <v>3719208190.6199999</v>
      </c>
      <c r="D1453">
        <f>IFERROR([1]!s_stm07_is($A1453,"W76031679",TEXT($B$1,"yyyy/mm/dd"),1),"")</f>
        <v>81592895.569999993</v>
      </c>
      <c r="E1453">
        <f>IFERROR([1]!s_stm07_is($A1453,"W70752487",TEXT($B$1,"yyyy/mm/dd"),1),"")</f>
        <v>68027230.810000002</v>
      </c>
      <c r="F1453">
        <f>IFERROR([1]!s_stm07_is_103($A1453,TEXT($B$1,"yyyy/mm/dd"),1),"")</f>
        <v>29431.3</v>
      </c>
      <c r="G1453">
        <f>IFERROR([1]!s_stm07_is_104($A1453,TEXT($B$1,"yyyy/mm/dd"),1),"")</f>
        <v>103181220.53</v>
      </c>
      <c r="H1453">
        <f>IFERROR([1]!s_stm07_is_105($A1453,TEXT($B$1,"yyyy/mm/dd"),1),"")</f>
        <v>16984001.210000001</v>
      </c>
      <c r="I1453">
        <f>IFERROR([1]!s_stm07_is($A1453,"W72946623",TEXT($B$1,"yyyy/mm/dd"),1),"")</f>
        <v>478355547.24000001</v>
      </c>
      <c r="J1453">
        <f>IFERROR([1]!s_stm07_is($A1453,"W30028333",TEXT($B$1,"yyyy/mm/dd"),1),"")</f>
        <v>464999332.55000001</v>
      </c>
      <c r="K1453">
        <f>IFERROR([1]!s_stm07_cs($A1453,"W77130581",TEXT($B$1,"yyyy/mm/dd"),1),"")</f>
        <v>1311113176.28</v>
      </c>
      <c r="L1453">
        <f>IFERROR([1]!s_stm07_cs($A1453,"W77745895",TEXT($B$1,"yyyy/mm/dd"),1),"")</f>
        <v>1184401340.3199999</v>
      </c>
      <c r="M1453">
        <f>IFERROR([1]!S_FA_EPS_basic2($A1453,$B$1,"Cur=CNY"),"")</f>
        <v>0.51</v>
      </c>
      <c r="N1453">
        <f>IFERROR([1]!s_fa_arturndays($A1453,TEXT($B$1,"yyyy/mm/dd")),"")</f>
        <v>18.0124</v>
      </c>
      <c r="O1453" t="str">
        <f>IFERROR([1]!fa_apturndays($A1453,TEXT($B$1,"yyyy/mm/dd")),"")</f>
        <v>Fetch...</v>
      </c>
      <c r="P1453">
        <f>IFERROR([1]!s_fa_invturndays($A1453,TEXT($B$1,"yyyy/mm/dd")),"")</f>
        <v>14.4781</v>
      </c>
    </row>
    <row r="1454" spans="1:16">
      <c r="A1454" t="s">
        <v>1467</v>
      </c>
      <c r="B1454">
        <f>IFERROR([1]!s_stm07_is($A1454,"W70156729",TEXT($B$1,"yyyy/mm/dd"),1),"")</f>
        <v>6485719304.8599997</v>
      </c>
      <c r="C1454">
        <f>IFERROR([1]!s_stm07_is($A1454,"W75682424",TEXT($B$1,"yyyy/mm/dd"),1),"")</f>
        <v>5994164234.6599998</v>
      </c>
      <c r="D1454">
        <f>IFERROR([1]!s_stm07_is($A1454,"W76031679",TEXT($B$1,"yyyy/mm/dd"),1),"")</f>
        <v>86776939.560000002</v>
      </c>
      <c r="E1454">
        <f>IFERROR([1]!s_stm07_is($A1454,"W70752487",TEXT($B$1,"yyyy/mm/dd"),1),"")</f>
        <v>216477155.34</v>
      </c>
      <c r="F1454">
        <f>IFERROR([1]!s_stm07_is_103($A1454,TEXT($B$1,"yyyy/mm/dd"),1),"")</f>
        <v>289436859.97000003</v>
      </c>
      <c r="G1454">
        <f>IFERROR([1]!s_stm07_is_104($A1454,TEXT($B$1,"yyyy/mm/dd"),1),"")</f>
        <v>110337512.26000001</v>
      </c>
      <c r="H1454">
        <f>IFERROR([1]!s_stm07_is_105($A1454,TEXT($B$1,"yyyy/mm/dd"),1),"")</f>
        <v>6162595.4500000002</v>
      </c>
      <c r="I1454">
        <f>IFERROR([1]!s_stm07_is($A1454,"W72946623",TEXT($B$1,"yyyy/mm/dd"),1),"")</f>
        <v>-628482273.54999995</v>
      </c>
      <c r="J1454">
        <f>IFERROR([1]!s_stm07_is($A1454,"W30028333",TEXT($B$1,"yyyy/mm/dd"),1),"")</f>
        <v>-596098489.89999998</v>
      </c>
      <c r="K1454">
        <f>IFERROR([1]!s_stm07_cs($A1454,"W77130581",TEXT($B$1,"yyyy/mm/dd"),1),"")</f>
        <v>139664781.44</v>
      </c>
      <c r="L1454">
        <f>IFERROR([1]!s_stm07_cs($A1454,"W77745895",TEXT($B$1,"yyyy/mm/dd"),1),"")</f>
        <v>271979107.87</v>
      </c>
      <c r="M1454">
        <f>IFERROR([1]!S_FA_EPS_basic2($A1454,$B$1,"Cur=CNY"),"")</f>
        <v>-0.45629999999999998</v>
      </c>
      <c r="N1454">
        <f>IFERROR([1]!s_fa_arturndays($A1454,TEXT($B$1,"yyyy/mm/dd")),"")</f>
        <v>93.967799999999997</v>
      </c>
      <c r="O1454" t="str">
        <f>IFERROR([1]!fa_apturndays($A1454,TEXT($B$1,"yyyy/mm/dd")),"")</f>
        <v>Fetch...</v>
      </c>
      <c r="P1454">
        <f>IFERROR([1]!s_fa_invturndays($A1454,TEXT($B$1,"yyyy/mm/dd")),"")</f>
        <v>278.25009999999997</v>
      </c>
    </row>
    <row r="1455" spans="1:16">
      <c r="A1455" t="s">
        <v>1468</v>
      </c>
      <c r="B1455">
        <f>IFERROR([1]!s_stm07_is($A1455,"W70156729",TEXT($B$1,"yyyy/mm/dd"),1),"")</f>
        <v>2053751007.02</v>
      </c>
      <c r="C1455">
        <f>IFERROR([1]!s_stm07_is($A1455,"W75682424",TEXT($B$1,"yyyy/mm/dd"),1),"")</f>
        <v>876953952.65999997</v>
      </c>
      <c r="D1455">
        <f>IFERROR([1]!s_stm07_is($A1455,"W76031679",TEXT($B$1,"yyyy/mm/dd"),1),"")</f>
        <v>385070215.60000002</v>
      </c>
      <c r="E1455">
        <f>IFERROR([1]!s_stm07_is($A1455,"W70752487",TEXT($B$1,"yyyy/mm/dd"),1),"")</f>
        <v>252622816.69</v>
      </c>
      <c r="F1455">
        <f>IFERROR([1]!s_stm07_is_103($A1455,TEXT($B$1,"yyyy/mm/dd"),1),"")</f>
        <v>461669464.99000001</v>
      </c>
      <c r="G1455">
        <f>IFERROR([1]!s_stm07_is_104($A1455,TEXT($B$1,"yyyy/mm/dd"),1),"")</f>
        <v>8990167.9800000004</v>
      </c>
      <c r="H1455">
        <f>IFERROR([1]!s_stm07_is_105($A1455,TEXT($B$1,"yyyy/mm/dd"),1),"")</f>
        <v>37846384.909999996</v>
      </c>
      <c r="I1455">
        <f>IFERROR([1]!s_stm07_is($A1455,"W72946623",TEXT($B$1,"yyyy/mm/dd"),1),"")</f>
        <v>143549411.03</v>
      </c>
      <c r="J1455">
        <f>IFERROR([1]!s_stm07_is($A1455,"W30028333",TEXT($B$1,"yyyy/mm/dd"),1),"")</f>
        <v>136242024.18000001</v>
      </c>
      <c r="K1455">
        <f>IFERROR([1]!s_stm07_cs($A1455,"W77130581",TEXT($B$1,"yyyy/mm/dd"),1),"")</f>
        <v>250994346.09999999</v>
      </c>
      <c r="L1455">
        <f>IFERROR([1]!s_stm07_cs($A1455,"W77745895",TEXT($B$1,"yyyy/mm/dd"),1),"")</f>
        <v>179513060.94999999</v>
      </c>
      <c r="M1455">
        <f>IFERROR([1]!S_FA_EPS_basic2($A1455,$B$1,"Cur=CNY"),"")</f>
        <v>0.34</v>
      </c>
      <c r="N1455">
        <f>IFERROR([1]!s_fa_arturndays($A1455,TEXT($B$1,"yyyy/mm/dd")),"")</f>
        <v>34.372500000000002</v>
      </c>
      <c r="O1455" t="str">
        <f>IFERROR([1]!fa_apturndays($A1455,TEXT($B$1,"yyyy/mm/dd")),"")</f>
        <v>Fetch...</v>
      </c>
      <c r="P1455">
        <f>IFERROR([1]!s_fa_invturndays($A1455,TEXT($B$1,"yyyy/mm/dd")),"")</f>
        <v>63.176699999999997</v>
      </c>
    </row>
    <row r="1456" spans="1:16">
      <c r="A1456" t="s">
        <v>1469</v>
      </c>
      <c r="B1456">
        <f>IFERROR([1]!s_stm07_is($A1456,"W70156729",TEXT($B$1,"yyyy/mm/dd"),1),"")</f>
        <v>15524321623.379999</v>
      </c>
      <c r="C1456">
        <f>IFERROR([1]!s_stm07_is($A1456,"W75682424",TEXT($B$1,"yyyy/mm/dd"),1),"")</f>
        <v>12729222613.75</v>
      </c>
      <c r="D1456">
        <f>IFERROR([1]!s_stm07_is($A1456,"W76031679",TEXT($B$1,"yyyy/mm/dd"),1),"")</f>
        <v>99547826.040000007</v>
      </c>
      <c r="E1456">
        <f>IFERROR([1]!s_stm07_is($A1456,"W70752487",TEXT($B$1,"yyyy/mm/dd"),1),"")</f>
        <v>987744168.45000005</v>
      </c>
      <c r="F1456">
        <f>IFERROR([1]!s_stm07_is_103($A1456,TEXT($B$1,"yyyy/mm/dd"),1),"")</f>
        <v>690186858.90999997</v>
      </c>
      <c r="G1456">
        <f>IFERROR([1]!s_stm07_is_104($A1456,TEXT($B$1,"yyyy/mm/dd"),1),"")</f>
        <v>110671219.56999999</v>
      </c>
      <c r="H1456">
        <f>IFERROR([1]!s_stm07_is_105($A1456,TEXT($B$1,"yyyy/mm/dd"),1),"")</f>
        <v>9221212.3200000003</v>
      </c>
      <c r="I1456">
        <f>IFERROR([1]!s_stm07_is($A1456,"W72946623",TEXT($B$1,"yyyy/mm/dd"),1),"")</f>
        <v>896386106.37</v>
      </c>
      <c r="J1456">
        <f>IFERROR([1]!s_stm07_is($A1456,"W30028333",TEXT($B$1,"yyyy/mm/dd"),1),"")</f>
        <v>815070818.65999997</v>
      </c>
      <c r="K1456">
        <f>IFERROR([1]!s_stm07_cs($A1456,"W77130581",TEXT($B$1,"yyyy/mm/dd"),1),"")</f>
        <v>768233413.45000005</v>
      </c>
      <c r="L1456">
        <f>IFERROR([1]!s_stm07_cs($A1456,"W77745895",TEXT($B$1,"yyyy/mm/dd"),1),"")</f>
        <v>1127342313.6800001</v>
      </c>
      <c r="M1456">
        <f>IFERROR([1]!S_FA_EPS_basic2($A1456,$B$1,"Cur=CNY"),"")</f>
        <v>1.66</v>
      </c>
      <c r="N1456">
        <f>IFERROR([1]!s_fa_arturndays($A1456,TEXT($B$1,"yyyy/mm/dd")),"")</f>
        <v>91.035499999999999</v>
      </c>
      <c r="O1456" t="str">
        <f>IFERROR([1]!fa_apturndays($A1456,TEXT($B$1,"yyyy/mm/dd")),"")</f>
        <v>Fetch...</v>
      </c>
      <c r="P1456">
        <f>IFERROR([1]!s_fa_invturndays($A1456,TEXT($B$1,"yyyy/mm/dd")),"")</f>
        <v>79.630200000000002</v>
      </c>
    </row>
    <row r="1457" spans="1:16">
      <c r="A1457" t="s">
        <v>1470</v>
      </c>
      <c r="B1457">
        <f>IFERROR([1]!s_stm07_is($A1457,"W70156729",TEXT($B$1,"yyyy/mm/dd"),1),"")</f>
        <v>1544791099</v>
      </c>
      <c r="C1457">
        <f>IFERROR([1]!s_stm07_is($A1457,"W75682424",TEXT($B$1,"yyyy/mm/dd"),1),"")</f>
        <v>644035559.33000004</v>
      </c>
      <c r="D1457">
        <f>IFERROR([1]!s_stm07_is($A1457,"W76031679",TEXT($B$1,"yyyy/mm/dd"),1),"")</f>
        <v>486011480.51999998</v>
      </c>
      <c r="E1457">
        <f>IFERROR([1]!s_stm07_is($A1457,"W70752487",TEXT($B$1,"yyyy/mm/dd"),1),"")</f>
        <v>35022758.119999997</v>
      </c>
      <c r="F1457">
        <f>IFERROR([1]!s_stm07_is_103($A1457,TEXT($B$1,"yyyy/mm/dd"),1),"")</f>
        <v>37594208.880000003</v>
      </c>
      <c r="G1457">
        <f>IFERROR([1]!s_stm07_is_104($A1457,TEXT($B$1,"yyyy/mm/dd"),1),"")</f>
        <v>81264.800000000003</v>
      </c>
      <c r="H1457">
        <f>IFERROR([1]!s_stm07_is_105($A1457,TEXT($B$1,"yyyy/mm/dd"),1),"")</f>
        <v>11543456.800000001</v>
      </c>
      <c r="I1457">
        <f>IFERROR([1]!s_stm07_is($A1457,"W72946623",TEXT($B$1,"yyyy/mm/dd"),1),"")</f>
        <v>362251806.91000003</v>
      </c>
      <c r="J1457">
        <f>IFERROR([1]!s_stm07_is($A1457,"W30028333",TEXT($B$1,"yyyy/mm/dd"),1),"")</f>
        <v>314501633.07999998</v>
      </c>
      <c r="K1457">
        <f>IFERROR([1]!s_stm07_cs($A1457,"W77130581",TEXT($B$1,"yyyy/mm/dd"),1),"")</f>
        <v>275258637.81999999</v>
      </c>
      <c r="L1457">
        <f>IFERROR([1]!s_stm07_cs($A1457,"W77745895",TEXT($B$1,"yyyy/mm/dd"),1),"")</f>
        <v>87833972.079999998</v>
      </c>
      <c r="M1457">
        <f>IFERROR([1]!S_FA_EPS_basic2($A1457,$B$1,"Cur=CNY"),"")</f>
        <v>0.78</v>
      </c>
      <c r="N1457">
        <f>IFERROR([1]!s_fa_arturndays($A1457,TEXT($B$1,"yyyy/mm/dd")),"")</f>
        <v>3.6711</v>
      </c>
      <c r="O1457" t="str">
        <f>IFERROR([1]!fa_apturndays($A1457,TEXT($B$1,"yyyy/mm/dd")),"")</f>
        <v>Fetch...</v>
      </c>
      <c r="P1457">
        <f>IFERROR([1]!s_fa_invturndays($A1457,TEXT($B$1,"yyyy/mm/dd")),"")</f>
        <v>66.842399999999998</v>
      </c>
    </row>
    <row r="1458" spans="1:16">
      <c r="A1458" t="s">
        <v>1471</v>
      </c>
      <c r="B1458">
        <f>IFERROR([1]!s_stm07_is($A1458,"W70156729",TEXT($B$1,"yyyy/mm/dd"),1),"")</f>
        <v>7253587208.2799997</v>
      </c>
      <c r="C1458">
        <f>IFERROR([1]!s_stm07_is($A1458,"W75682424",TEXT($B$1,"yyyy/mm/dd"),1),"")</f>
        <v>5124760134.0100002</v>
      </c>
      <c r="D1458">
        <f>IFERROR([1]!s_stm07_is($A1458,"W76031679",TEXT($B$1,"yyyy/mm/dd"),1),"")</f>
        <v>447865955.72000003</v>
      </c>
      <c r="E1458">
        <f>IFERROR([1]!s_stm07_is($A1458,"W70752487",TEXT($B$1,"yyyy/mm/dd"),1),"")</f>
        <v>305118598.10000002</v>
      </c>
      <c r="F1458">
        <f>IFERROR([1]!s_stm07_is_103($A1458,TEXT($B$1,"yyyy/mm/dd"),1),"")</f>
        <v>301002289.61000001</v>
      </c>
      <c r="G1458">
        <f>IFERROR([1]!s_stm07_is_104($A1458,TEXT($B$1,"yyyy/mm/dd"),1),"")</f>
        <v>11369703.189999999</v>
      </c>
      <c r="H1458">
        <f>IFERROR([1]!s_stm07_is_105($A1458,TEXT($B$1,"yyyy/mm/dd"),1),"")</f>
        <v>10858591.560000001</v>
      </c>
      <c r="I1458">
        <f>IFERROR([1]!s_stm07_is($A1458,"W72946623",TEXT($B$1,"yyyy/mm/dd"),1),"")</f>
        <v>1048401199.15</v>
      </c>
      <c r="J1458">
        <f>IFERROR([1]!s_stm07_is($A1458,"W30028333",TEXT($B$1,"yyyy/mm/dd"),1),"")</f>
        <v>858606741.01999998</v>
      </c>
      <c r="K1458">
        <f>IFERROR([1]!s_stm07_cs($A1458,"W77130581",TEXT($B$1,"yyyy/mm/dd"),1),"")</f>
        <v>650881044.66999996</v>
      </c>
      <c r="L1458">
        <f>IFERROR([1]!s_stm07_cs($A1458,"W77745895",TEXT($B$1,"yyyy/mm/dd"),1),"")</f>
        <v>726013025.94000006</v>
      </c>
      <c r="M1458">
        <f>IFERROR([1]!S_FA_EPS_basic2($A1458,$B$1,"Cur=CNY"),"")</f>
        <v>2.14</v>
      </c>
      <c r="N1458">
        <f>IFERROR([1]!s_fa_arturndays($A1458,TEXT($B$1,"yyyy/mm/dd")),"")</f>
        <v>93.601299999999995</v>
      </c>
      <c r="O1458" t="str">
        <f>IFERROR([1]!fa_apturndays($A1458,TEXT($B$1,"yyyy/mm/dd")),"")</f>
        <v>Fetch...</v>
      </c>
      <c r="P1458">
        <f>IFERROR([1]!s_fa_invturndays($A1458,TEXT($B$1,"yyyy/mm/dd")),"")</f>
        <v>92.288799999999995</v>
      </c>
    </row>
    <row r="1459" spans="1:16">
      <c r="A1459" t="s">
        <v>1472</v>
      </c>
      <c r="B1459">
        <f>IFERROR([1]!s_stm07_is($A1459,"W70156729",TEXT($B$1,"yyyy/mm/dd"),1),"")</f>
        <v>16026312556.450001</v>
      </c>
      <c r="C1459">
        <f>IFERROR([1]!s_stm07_is($A1459,"W75682424",TEXT($B$1,"yyyy/mm/dd"),1),"")</f>
        <v>9113186646.3600006</v>
      </c>
      <c r="D1459">
        <f>IFERROR([1]!s_stm07_is($A1459,"W76031679",TEXT($B$1,"yyyy/mm/dd"),1),"")</f>
        <v>1183478613.5999999</v>
      </c>
      <c r="E1459">
        <f>IFERROR([1]!s_stm07_is($A1459,"W70752487",TEXT($B$1,"yyyy/mm/dd"),1),"")</f>
        <v>712375179.17999995</v>
      </c>
      <c r="F1459">
        <f>IFERROR([1]!s_stm07_is_103($A1459,TEXT($B$1,"yyyy/mm/dd"),1),"")</f>
        <v>643963783.60000002</v>
      </c>
      <c r="G1459">
        <f>IFERROR([1]!s_stm07_is_104($A1459,TEXT($B$1,"yyyy/mm/dd"),1),"")</f>
        <v>16216500.050000001</v>
      </c>
      <c r="H1459">
        <f>IFERROR([1]!s_stm07_is_105($A1459,TEXT($B$1,"yyyy/mm/dd"),1),"")</f>
        <v>112150814.86</v>
      </c>
      <c r="I1459">
        <f>IFERROR([1]!s_stm07_is($A1459,"W72946623",TEXT($B$1,"yyyy/mm/dd"),1),"")</f>
        <v>4905381965.0799999</v>
      </c>
      <c r="J1459">
        <f>IFERROR([1]!s_stm07_is($A1459,"W30028333",TEXT($B$1,"yyyy/mm/dd"),1),"")</f>
        <v>4070632747.77</v>
      </c>
      <c r="K1459">
        <f>IFERROR([1]!s_stm07_cs($A1459,"W77130581",TEXT($B$1,"yyyy/mm/dd"),1),"")</f>
        <v>4743692351.8400002</v>
      </c>
      <c r="L1459">
        <f>IFERROR([1]!s_stm07_cs($A1459,"W77745895",TEXT($B$1,"yyyy/mm/dd"),1),"")</f>
        <v>500139110.24000001</v>
      </c>
      <c r="M1459">
        <f>IFERROR([1]!S_FA_EPS_basic2($A1459,$B$1,"Cur=CNY"),"")</f>
        <v>2.2599999999999998</v>
      </c>
      <c r="N1459">
        <f>IFERROR([1]!s_fa_arturndays($A1459,TEXT($B$1,"yyyy/mm/dd")),"")</f>
        <v>6.8224999999999998</v>
      </c>
      <c r="O1459" t="str">
        <f>IFERROR([1]!fa_apturndays($A1459,TEXT($B$1,"yyyy/mm/dd")),"")</f>
        <v>Fetch...</v>
      </c>
      <c r="P1459">
        <f>IFERROR([1]!s_fa_invturndays($A1459,TEXT($B$1,"yyyy/mm/dd")),"")</f>
        <v>63.294499999999999</v>
      </c>
    </row>
    <row r="1460" spans="1:16">
      <c r="A1460" t="s">
        <v>1473</v>
      </c>
      <c r="B1460">
        <f>IFERROR([1]!s_stm07_is($A1460,"W70156729",TEXT($B$1,"yyyy/mm/dd"),1),"")</f>
        <v>8747278762.4300003</v>
      </c>
      <c r="C1460">
        <f>IFERROR([1]!s_stm07_is($A1460,"W75682424",TEXT($B$1,"yyyy/mm/dd"),1),"")</f>
        <v>6903222193.4700003</v>
      </c>
      <c r="D1460">
        <f>IFERROR([1]!s_stm07_is($A1460,"W76031679",TEXT($B$1,"yyyy/mm/dd"),1),"")</f>
        <v>259278409.94999999</v>
      </c>
      <c r="E1460">
        <f>IFERROR([1]!s_stm07_is($A1460,"W70752487",TEXT($B$1,"yyyy/mm/dd"),1),"")</f>
        <v>425148573.23000002</v>
      </c>
      <c r="F1460">
        <f>IFERROR([1]!s_stm07_is_103($A1460,TEXT($B$1,"yyyy/mm/dd"),1),"")</f>
        <v>632563144.97000003</v>
      </c>
      <c r="G1460">
        <f>IFERROR([1]!s_stm07_is_104($A1460,TEXT($B$1,"yyyy/mm/dd"),1),"")</f>
        <v>51613710.009999998</v>
      </c>
      <c r="H1460">
        <f>IFERROR([1]!s_stm07_is_105($A1460,TEXT($B$1,"yyyy/mm/dd"),1),"")</f>
        <v>4203863.82</v>
      </c>
      <c r="I1460">
        <f>IFERROR([1]!s_stm07_is($A1460,"W72946623",TEXT($B$1,"yyyy/mm/dd"),1),"")</f>
        <v>392704523.56</v>
      </c>
      <c r="J1460">
        <f>IFERROR([1]!s_stm07_is($A1460,"W30028333",TEXT($B$1,"yyyy/mm/dd"),1),"")</f>
        <v>212674203.38</v>
      </c>
      <c r="K1460">
        <f>IFERROR([1]!s_stm07_cs($A1460,"W77130581",TEXT($B$1,"yyyy/mm/dd"),1),"")</f>
        <v>555661144.02999997</v>
      </c>
      <c r="L1460">
        <f>IFERROR([1]!s_stm07_cs($A1460,"W77745895",TEXT($B$1,"yyyy/mm/dd"),1),"")</f>
        <v>836527586.89999998</v>
      </c>
      <c r="M1460">
        <f>IFERROR([1]!S_FA_EPS_basic2($A1460,$B$1,"Cur=CNY"),"")</f>
        <v>1</v>
      </c>
      <c r="N1460">
        <f>IFERROR([1]!s_fa_arturndays($A1460,TEXT($B$1,"yyyy/mm/dd")),"")</f>
        <v>91.638000000000005</v>
      </c>
      <c r="O1460" t="str">
        <f>IFERROR([1]!fa_apturndays($A1460,TEXT($B$1,"yyyy/mm/dd")),"")</f>
        <v>Fetch...</v>
      </c>
      <c r="P1460">
        <f>IFERROR([1]!s_fa_invturndays($A1460,TEXT($B$1,"yyyy/mm/dd")),"")</f>
        <v>121.5847</v>
      </c>
    </row>
    <row r="1461" spans="1:16">
      <c r="A1461" t="s">
        <v>1474</v>
      </c>
      <c r="B1461">
        <f>IFERROR([1]!s_stm07_is($A1461,"W70156729",TEXT($B$1,"yyyy/mm/dd"),1),"")</f>
        <v>3997546850.6199999</v>
      </c>
      <c r="C1461">
        <f>IFERROR([1]!s_stm07_is($A1461,"W75682424",TEXT($B$1,"yyyy/mm/dd"),1),"")</f>
        <v>2618139912.2199998</v>
      </c>
      <c r="D1461">
        <f>IFERROR([1]!s_stm07_is($A1461,"W76031679",TEXT($B$1,"yyyy/mm/dd"),1),"")</f>
        <v>133543356.23</v>
      </c>
      <c r="E1461">
        <f>IFERROR([1]!s_stm07_is($A1461,"W70752487",TEXT($B$1,"yyyy/mm/dd"),1),"")</f>
        <v>60267141.509999998</v>
      </c>
      <c r="F1461">
        <f>IFERROR([1]!s_stm07_is_103($A1461,TEXT($B$1,"yyyy/mm/dd"),1),"")</f>
        <v>234578474.68000001</v>
      </c>
      <c r="G1461">
        <f>IFERROR([1]!s_stm07_is_104($A1461,TEXT($B$1,"yyyy/mm/dd"),1),"")</f>
        <v>13892552.460000001</v>
      </c>
      <c r="H1461">
        <f>IFERROR([1]!s_stm07_is_105($A1461,TEXT($B$1,"yyyy/mm/dd"),1),"")</f>
        <v>81247914.790000007</v>
      </c>
      <c r="I1461">
        <f>IFERROR([1]!s_stm07_is($A1461,"W72946623",TEXT($B$1,"yyyy/mm/dd"),1),"")</f>
        <v>1058853804.84</v>
      </c>
      <c r="J1461">
        <f>IFERROR([1]!s_stm07_is($A1461,"W30028333",TEXT($B$1,"yyyy/mm/dd"),1),"")</f>
        <v>921928712.36000001</v>
      </c>
      <c r="K1461">
        <f>IFERROR([1]!s_stm07_cs($A1461,"W77130581",TEXT($B$1,"yyyy/mm/dd"),1),"")</f>
        <v>1067494545</v>
      </c>
      <c r="L1461">
        <f>IFERROR([1]!s_stm07_cs($A1461,"W77745895",TEXT($B$1,"yyyy/mm/dd"),1),"")</f>
        <v>420764712.37</v>
      </c>
      <c r="M1461">
        <f>IFERROR([1]!S_FA_EPS_basic2($A1461,$B$1,"Cur=CNY"),"")</f>
        <v>6.29</v>
      </c>
      <c r="N1461">
        <f>IFERROR([1]!s_fa_arturndays($A1461,TEXT($B$1,"yyyy/mm/dd")),"")</f>
        <v>89.472099999999998</v>
      </c>
      <c r="O1461" t="str">
        <f>IFERROR([1]!fa_apturndays($A1461,TEXT($B$1,"yyyy/mm/dd")),"")</f>
        <v>Fetch...</v>
      </c>
      <c r="P1461">
        <f>IFERROR([1]!s_fa_invturndays($A1461,TEXT($B$1,"yyyy/mm/dd")),"")</f>
        <v>122.6743</v>
      </c>
    </row>
    <row r="1462" spans="1:16">
      <c r="A1462" t="s">
        <v>1475</v>
      </c>
      <c r="B1462">
        <f>IFERROR([1]!s_stm07_is($A1462,"W70156729",TEXT($B$1,"yyyy/mm/dd"),1),"")</f>
        <v>6255639414</v>
      </c>
      <c r="C1462">
        <f>IFERROR([1]!s_stm07_is($A1462,"W75682424",TEXT($B$1,"yyyy/mm/dd"),1),"")</f>
        <v>5196303277.9200001</v>
      </c>
      <c r="D1462">
        <f>IFERROR([1]!s_stm07_is($A1462,"W76031679",TEXT($B$1,"yyyy/mm/dd"),1),"")</f>
        <v>13982165.779999999</v>
      </c>
      <c r="E1462">
        <f>IFERROR([1]!s_stm07_is($A1462,"W70752487",TEXT($B$1,"yyyy/mm/dd"),1),"")</f>
        <v>203115559.34999999</v>
      </c>
      <c r="F1462">
        <f>IFERROR([1]!s_stm07_is_103($A1462,TEXT($B$1,"yyyy/mm/dd"),1),"")</f>
        <v>265423285.47</v>
      </c>
      <c r="G1462">
        <f>IFERROR([1]!s_stm07_is_104($A1462,TEXT($B$1,"yyyy/mm/dd"),1),"")</f>
        <v>13254712.210000001</v>
      </c>
      <c r="H1462">
        <f>IFERROR([1]!s_stm07_is_105($A1462,TEXT($B$1,"yyyy/mm/dd"),1),"")</f>
        <v>77224090.340000004</v>
      </c>
      <c r="I1462">
        <f>IFERROR([1]!s_stm07_is($A1462,"W72946623",TEXT($B$1,"yyyy/mm/dd"),1),"")</f>
        <v>599366226.14999998</v>
      </c>
      <c r="J1462">
        <f>IFERROR([1]!s_stm07_is($A1462,"W30028333",TEXT($B$1,"yyyy/mm/dd"),1),"")</f>
        <v>553345370.54999995</v>
      </c>
      <c r="K1462">
        <f>IFERROR([1]!s_stm07_cs($A1462,"W77130581",TEXT($B$1,"yyyy/mm/dd"),1),"")</f>
        <v>752752445.66999996</v>
      </c>
      <c r="L1462">
        <f>IFERROR([1]!s_stm07_cs($A1462,"W77745895",TEXT($B$1,"yyyy/mm/dd"),1),"")</f>
        <v>421934031.22000003</v>
      </c>
      <c r="M1462">
        <f>IFERROR([1]!S_FA_EPS_basic2($A1462,$B$1,"Cur=CNY"),"")</f>
        <v>0.55000000000000004</v>
      </c>
      <c r="N1462">
        <f>IFERROR([1]!s_fa_arturndays($A1462,TEXT($B$1,"yyyy/mm/dd")),"")</f>
        <v>90.029300000000006</v>
      </c>
      <c r="O1462" t="str">
        <f>IFERROR([1]!fa_apturndays($A1462,TEXT($B$1,"yyyy/mm/dd")),"")</f>
        <v>Fetch...</v>
      </c>
      <c r="P1462">
        <f>IFERROR([1]!s_fa_invturndays($A1462,TEXT($B$1,"yyyy/mm/dd")),"")</f>
        <v>102.2814</v>
      </c>
    </row>
    <row r="1463" spans="1:16">
      <c r="A1463" t="s">
        <v>1476</v>
      </c>
      <c r="B1463">
        <f>IFERROR([1]!s_stm07_is($A1463,"W70156729",TEXT($B$1,"yyyy/mm/dd"),1),"")</f>
        <v>3197453825.6799998</v>
      </c>
      <c r="C1463">
        <f>IFERROR([1]!s_stm07_is($A1463,"W75682424",TEXT($B$1,"yyyy/mm/dd"),1),"")</f>
        <v>2747743364.0599999</v>
      </c>
      <c r="D1463">
        <f>IFERROR([1]!s_stm07_is($A1463,"W76031679",TEXT($B$1,"yyyy/mm/dd"),1),"")</f>
        <v>20309681.109999999</v>
      </c>
      <c r="E1463">
        <f>IFERROR([1]!s_stm07_is($A1463,"W70752487",TEXT($B$1,"yyyy/mm/dd"),1),"")</f>
        <v>112240778.26000001</v>
      </c>
      <c r="F1463">
        <f>IFERROR([1]!s_stm07_is_103($A1463,TEXT($B$1,"yyyy/mm/dd"),1),"")</f>
        <v>115968809.88</v>
      </c>
      <c r="G1463">
        <f>IFERROR([1]!s_stm07_is_104($A1463,TEXT($B$1,"yyyy/mm/dd"),1),"")</f>
        <v>5694733.1699999999</v>
      </c>
      <c r="H1463">
        <f>IFERROR([1]!s_stm07_is_105($A1463,TEXT($B$1,"yyyy/mm/dd"),1),"")</f>
        <v>13241325.99</v>
      </c>
      <c r="I1463">
        <f>IFERROR([1]!s_stm07_is($A1463,"W72946623",TEXT($B$1,"yyyy/mm/dd"),1),"")</f>
        <v>118428752.22</v>
      </c>
      <c r="J1463">
        <f>IFERROR([1]!s_stm07_is($A1463,"W30028333",TEXT($B$1,"yyyy/mm/dd"),1),"")</f>
        <v>107088627.59999999</v>
      </c>
      <c r="K1463">
        <f>IFERROR([1]!s_stm07_cs($A1463,"W77130581",TEXT($B$1,"yyyy/mm/dd"),1),"")</f>
        <v>73870822.379999995</v>
      </c>
      <c r="L1463">
        <f>IFERROR([1]!s_stm07_cs($A1463,"W77745895",TEXT($B$1,"yyyy/mm/dd"),1),"")</f>
        <v>204186639.59999999</v>
      </c>
      <c r="M1463">
        <f>IFERROR([1]!S_FA_EPS_basic2($A1463,$B$1,"Cur=CNY"),"")</f>
        <v>0.19</v>
      </c>
      <c r="N1463">
        <f>IFERROR([1]!s_fa_arturndays($A1463,TEXT($B$1,"yyyy/mm/dd")),"")</f>
        <v>86.998599999999996</v>
      </c>
      <c r="O1463" t="str">
        <f>IFERROR([1]!fa_apturndays($A1463,TEXT($B$1,"yyyy/mm/dd")),"")</f>
        <v>Fetch...</v>
      </c>
      <c r="P1463">
        <f>IFERROR([1]!s_fa_invturndays($A1463,TEXT($B$1,"yyyy/mm/dd")),"")</f>
        <v>62.848100000000002</v>
      </c>
    </row>
    <row r="1464" spans="1:16">
      <c r="A1464" t="s">
        <v>1477</v>
      </c>
      <c r="B1464">
        <f>IFERROR([1]!s_stm07_is($A1464,"W70156729",TEXT($B$1,"yyyy/mm/dd"),1),"")</f>
        <v>3245002164.21</v>
      </c>
      <c r="C1464">
        <f>IFERROR([1]!s_stm07_is($A1464,"W75682424",TEXT($B$1,"yyyy/mm/dd"),1),"")</f>
        <v>2606097128.9400001</v>
      </c>
      <c r="D1464">
        <f>IFERROR([1]!s_stm07_is($A1464,"W76031679",TEXT($B$1,"yyyy/mm/dd"),1),"")</f>
        <v>40985463.039999999</v>
      </c>
      <c r="E1464">
        <f>IFERROR([1]!s_stm07_is($A1464,"W70752487",TEXT($B$1,"yyyy/mm/dd"),1),"")</f>
        <v>134270629.53999999</v>
      </c>
      <c r="F1464">
        <f>IFERROR([1]!s_stm07_is_103($A1464,TEXT($B$1,"yyyy/mm/dd"),1),"")</f>
        <v>100627838.73</v>
      </c>
      <c r="G1464">
        <f>IFERROR([1]!s_stm07_is_104($A1464,TEXT($B$1,"yyyy/mm/dd"),1),"")</f>
        <v>155313472.06999999</v>
      </c>
      <c r="H1464">
        <f>IFERROR([1]!s_stm07_is_105($A1464,TEXT($B$1,"yyyy/mm/dd"),1),"")</f>
        <v>17933104.010000002</v>
      </c>
      <c r="I1464">
        <f>IFERROR([1]!s_stm07_is($A1464,"W72946623",TEXT($B$1,"yyyy/mm/dd"),1),"")</f>
        <v>104603456.94</v>
      </c>
      <c r="J1464">
        <f>IFERROR([1]!s_stm07_is($A1464,"W30028333",TEXT($B$1,"yyyy/mm/dd"),1),"")</f>
        <v>81369891.090000004</v>
      </c>
      <c r="K1464">
        <f>IFERROR([1]!s_stm07_cs($A1464,"W77130581",TEXT($B$1,"yyyy/mm/dd"),1),"")</f>
        <v>859182405.51999998</v>
      </c>
      <c r="L1464">
        <f>IFERROR([1]!s_stm07_cs($A1464,"W77745895",TEXT($B$1,"yyyy/mm/dd"),1),"")</f>
        <v>756465014.11000001</v>
      </c>
      <c r="M1464">
        <f>IFERROR([1]!S_FA_EPS_basic2($A1464,$B$1,"Cur=CNY"),"")</f>
        <v>0.18740000000000001</v>
      </c>
      <c r="N1464">
        <f>IFERROR([1]!s_fa_arturndays($A1464,TEXT($B$1,"yyyy/mm/dd")),"")</f>
        <v>234.40549999999999</v>
      </c>
      <c r="O1464" t="str">
        <f>IFERROR([1]!fa_apturndays($A1464,TEXT($B$1,"yyyy/mm/dd")),"")</f>
        <v>Fetch...</v>
      </c>
      <c r="P1464">
        <f>IFERROR([1]!s_fa_invturndays($A1464,TEXT($B$1,"yyyy/mm/dd")),"")</f>
        <v>75.454300000000003</v>
      </c>
    </row>
    <row r="1465" spans="1:16">
      <c r="A1465" t="s">
        <v>1478</v>
      </c>
      <c r="B1465">
        <f>IFERROR([1]!s_stm07_is($A1465,"W70156729",TEXT($B$1,"yyyy/mm/dd"),1),"")</f>
        <v>71556616631.229996</v>
      </c>
      <c r="C1465">
        <f>IFERROR([1]!s_stm07_is($A1465,"W75682424",TEXT($B$1,"yyyy/mm/dd"),1),"")</f>
        <v>67758122812.989998</v>
      </c>
      <c r="D1465">
        <f>IFERROR([1]!s_stm07_is($A1465,"W76031679",TEXT($B$1,"yyyy/mm/dd"),1),"")</f>
        <v>118386846.06</v>
      </c>
      <c r="E1465">
        <f>IFERROR([1]!s_stm07_is($A1465,"W70752487",TEXT($B$1,"yyyy/mm/dd"),1),"")</f>
        <v>784122508.16999996</v>
      </c>
      <c r="F1465">
        <f>IFERROR([1]!s_stm07_is_103($A1465,TEXT($B$1,"yyyy/mm/dd"),1),"")</f>
        <v>1349628224.3800001</v>
      </c>
      <c r="G1465">
        <f>IFERROR([1]!s_stm07_is_104($A1465,TEXT($B$1,"yyyy/mm/dd"),1),"")</f>
        <v>645374599.19000006</v>
      </c>
      <c r="H1465">
        <f>IFERROR([1]!s_stm07_is_105($A1465,TEXT($B$1,"yyyy/mm/dd"),1),"")</f>
        <v>235751805.97999999</v>
      </c>
      <c r="I1465">
        <f>IFERROR([1]!s_stm07_is($A1465,"W72946623",TEXT($B$1,"yyyy/mm/dd"),1),"")</f>
        <v>1089461034.6700001</v>
      </c>
      <c r="J1465">
        <f>IFERROR([1]!s_stm07_is($A1465,"W30028333",TEXT($B$1,"yyyy/mm/dd"),1),"")</f>
        <v>1018367110.83</v>
      </c>
      <c r="K1465">
        <f>IFERROR([1]!s_stm07_cs($A1465,"W77130581",TEXT($B$1,"yyyy/mm/dd"),1),"")</f>
        <v>4717003470.6099997</v>
      </c>
      <c r="L1465">
        <f>IFERROR([1]!s_stm07_cs($A1465,"W77745895",TEXT($B$1,"yyyy/mm/dd"),1),"")</f>
        <v>7409805545.0500002</v>
      </c>
      <c r="M1465">
        <f>IFERROR([1]!S_FA_EPS_basic2($A1465,$B$1,"Cur=CNY"),"")</f>
        <v>0.69</v>
      </c>
      <c r="N1465">
        <f>IFERROR([1]!s_fa_arturndays($A1465,TEXT($B$1,"yyyy/mm/dd")),"")</f>
        <v>5.3928000000000003</v>
      </c>
      <c r="O1465" t="str">
        <f>IFERROR([1]!fa_apturndays($A1465,TEXT($B$1,"yyyy/mm/dd")),"")</f>
        <v>Fetch...</v>
      </c>
      <c r="P1465">
        <f>IFERROR([1]!s_fa_invturndays($A1465,TEXT($B$1,"yyyy/mm/dd")),"")</f>
        <v>27.4194</v>
      </c>
    </row>
    <row r="1466" spans="1:16">
      <c r="A1466" t="s">
        <v>1479</v>
      </c>
      <c r="B1466">
        <f>IFERROR([1]!s_stm07_is($A1466,"W70156729",TEXT($B$1,"yyyy/mm/dd"),1),"")</f>
        <v>5563814680.2299995</v>
      </c>
      <c r="C1466">
        <f>IFERROR([1]!s_stm07_is($A1466,"W75682424",TEXT($B$1,"yyyy/mm/dd"),1),"")</f>
        <v>4321762181.8800001</v>
      </c>
      <c r="D1466">
        <f>IFERROR([1]!s_stm07_is($A1466,"W76031679",TEXT($B$1,"yyyy/mm/dd"),1),"")</f>
        <v>60749269.149999999</v>
      </c>
      <c r="E1466">
        <f>IFERROR([1]!s_stm07_is($A1466,"W70752487",TEXT($B$1,"yyyy/mm/dd"),1),"")</f>
        <v>349861653.13999999</v>
      </c>
      <c r="F1466">
        <f>IFERROR([1]!s_stm07_is_103($A1466,TEXT($B$1,"yyyy/mm/dd"),1),"")</f>
        <v>90848526.920000002</v>
      </c>
      <c r="G1466">
        <f>IFERROR([1]!s_stm07_is_104($A1466,TEXT($B$1,"yyyy/mm/dd"),1),"")</f>
        <v>13864309.01</v>
      </c>
      <c r="H1466">
        <f>IFERROR([1]!s_stm07_is_105($A1466,TEXT($B$1,"yyyy/mm/dd"),1),"")</f>
        <v>7092189.0199999996</v>
      </c>
      <c r="I1466">
        <f>IFERROR([1]!s_stm07_is($A1466,"W72946623",TEXT($B$1,"yyyy/mm/dd"),1),"")</f>
        <v>686343236.45000005</v>
      </c>
      <c r="J1466">
        <f>IFERROR([1]!s_stm07_is($A1466,"W30028333",TEXT($B$1,"yyyy/mm/dd"),1),"")</f>
        <v>503671351.52999997</v>
      </c>
      <c r="K1466">
        <f>IFERROR([1]!s_stm07_cs($A1466,"W77130581",TEXT($B$1,"yyyy/mm/dd"),1),"")</f>
        <v>418833718.56999999</v>
      </c>
      <c r="L1466">
        <f>IFERROR([1]!s_stm07_cs($A1466,"W77745895",TEXT($B$1,"yyyy/mm/dd"),1),"")</f>
        <v>168852422.63999999</v>
      </c>
      <c r="M1466">
        <f>IFERROR([1]!S_FA_EPS_basic2($A1466,$B$1,"Cur=CNY"),"")</f>
        <v>0.47</v>
      </c>
      <c r="N1466">
        <f>IFERROR([1]!s_fa_arturndays($A1466,TEXT($B$1,"yyyy/mm/dd")),"")</f>
        <v>68.817899999999995</v>
      </c>
      <c r="O1466" t="str">
        <f>IFERROR([1]!fa_apturndays($A1466,TEXT($B$1,"yyyy/mm/dd")),"")</f>
        <v>Fetch...</v>
      </c>
      <c r="P1466">
        <f>IFERROR([1]!s_fa_invturndays($A1466,TEXT($B$1,"yyyy/mm/dd")),"")</f>
        <v>52.1648</v>
      </c>
    </row>
    <row r="1467" spans="1:16">
      <c r="A1467" t="s">
        <v>1480</v>
      </c>
      <c r="B1467">
        <f>IFERROR([1]!s_stm07_is($A1467,"W70156729",TEXT($B$1,"yyyy/mm/dd"),1),"")</f>
        <v>15308052020.33</v>
      </c>
      <c r="C1467">
        <f>IFERROR([1]!s_stm07_is($A1467,"W75682424",TEXT($B$1,"yyyy/mm/dd"),1),"")</f>
        <v>12003162835.75</v>
      </c>
      <c r="D1467">
        <f>IFERROR([1]!s_stm07_is($A1467,"W76031679",TEXT($B$1,"yyyy/mm/dd"),1),"")</f>
        <v>288164241.23000002</v>
      </c>
      <c r="E1467">
        <f>IFERROR([1]!s_stm07_is($A1467,"W70752487",TEXT($B$1,"yyyy/mm/dd"),1),"")</f>
        <v>639886275.72000003</v>
      </c>
      <c r="F1467">
        <f>IFERROR([1]!s_stm07_is_103($A1467,TEXT($B$1,"yyyy/mm/dd"),1),"")</f>
        <v>929932405.03999996</v>
      </c>
      <c r="G1467">
        <f>IFERROR([1]!s_stm07_is_104($A1467,TEXT($B$1,"yyyy/mm/dd"),1),"")</f>
        <v>46658701.590000004</v>
      </c>
      <c r="H1467">
        <f>IFERROR([1]!s_stm07_is_105($A1467,TEXT($B$1,"yyyy/mm/dd"),1),"")</f>
        <v>41660466.100000001</v>
      </c>
      <c r="I1467">
        <f>IFERROR([1]!s_stm07_is($A1467,"W72946623",TEXT($B$1,"yyyy/mm/dd"),1),"")</f>
        <v>1464382932.24</v>
      </c>
      <c r="J1467">
        <f>IFERROR([1]!s_stm07_is($A1467,"W30028333",TEXT($B$1,"yyyy/mm/dd"),1),"")</f>
        <v>1230969813.3</v>
      </c>
      <c r="K1467">
        <f>IFERROR([1]!s_stm07_cs($A1467,"W77130581",TEXT($B$1,"yyyy/mm/dd"),1),"")</f>
        <v>1931224678.5899999</v>
      </c>
      <c r="L1467">
        <f>IFERROR([1]!s_stm07_cs($A1467,"W77745895",TEXT($B$1,"yyyy/mm/dd"),1),"")</f>
        <v>2767553439.98</v>
      </c>
      <c r="M1467">
        <f>IFERROR([1]!S_FA_EPS_basic2($A1467,$B$1,"Cur=CNY"),"")</f>
        <v>1.3</v>
      </c>
      <c r="N1467">
        <f>IFERROR([1]!s_fa_arturndays($A1467,TEXT($B$1,"yyyy/mm/dd")),"")</f>
        <v>104.10639999999999</v>
      </c>
      <c r="O1467" t="str">
        <f>IFERROR([1]!fa_apturndays($A1467,TEXT($B$1,"yyyy/mm/dd")),"")</f>
        <v>Fetch...</v>
      </c>
      <c r="P1467">
        <f>IFERROR([1]!s_fa_invturndays($A1467,TEXT($B$1,"yyyy/mm/dd")),"")</f>
        <v>63.8536</v>
      </c>
    </row>
    <row r="1468" spans="1:16">
      <c r="A1468" t="s">
        <v>1481</v>
      </c>
      <c r="B1468">
        <f>IFERROR([1]!s_stm07_is($A1468,"W70156729",TEXT($B$1,"yyyy/mm/dd"),1),"")</f>
        <v>792759011.85000002</v>
      </c>
      <c r="C1468">
        <f>IFERROR([1]!s_stm07_is($A1468,"W75682424",TEXT($B$1,"yyyy/mm/dd"),1),"")</f>
        <v>368562170.81</v>
      </c>
      <c r="D1468">
        <f>IFERROR([1]!s_stm07_is($A1468,"W76031679",TEXT($B$1,"yyyy/mm/dd"),1),"")</f>
        <v>20246198.460000001</v>
      </c>
      <c r="E1468">
        <f>IFERROR([1]!s_stm07_is($A1468,"W70752487",TEXT($B$1,"yyyy/mm/dd"),1),"")</f>
        <v>97735857.099999994</v>
      </c>
      <c r="F1468">
        <f>IFERROR([1]!s_stm07_is_103($A1468,TEXT($B$1,"yyyy/mm/dd"),1),"")</f>
        <v>167893049.19999999</v>
      </c>
      <c r="G1468">
        <f>IFERROR([1]!s_stm07_is_104($A1468,TEXT($B$1,"yyyy/mm/dd"),1),"")</f>
        <v>8087550.6200000001</v>
      </c>
      <c r="H1468">
        <f>IFERROR([1]!s_stm07_is_105($A1468,TEXT($B$1,"yyyy/mm/dd"),1),"")</f>
        <v>23877900.149999999</v>
      </c>
      <c r="I1468">
        <f>IFERROR([1]!s_stm07_is($A1468,"W72946623",TEXT($B$1,"yyyy/mm/dd"),1),"")</f>
        <v>137903857.47999999</v>
      </c>
      <c r="J1468">
        <f>IFERROR([1]!s_stm07_is($A1468,"W30028333",TEXT($B$1,"yyyy/mm/dd"),1),"")</f>
        <v>130570123.59999999</v>
      </c>
      <c r="K1468">
        <f>IFERROR([1]!s_stm07_cs($A1468,"W77130581",TEXT($B$1,"yyyy/mm/dd"),1),"")</f>
        <v>156508914.25</v>
      </c>
      <c r="L1468">
        <f>IFERROR([1]!s_stm07_cs($A1468,"W77745895",TEXT($B$1,"yyyy/mm/dd"),1),"")</f>
        <v>104445390.34</v>
      </c>
      <c r="M1468">
        <f>IFERROR([1]!S_FA_EPS_basic2($A1468,$B$1,"Cur=CNY"),"")</f>
        <v>0.16</v>
      </c>
      <c r="N1468">
        <f>IFERROR([1]!s_fa_arturndays($A1468,TEXT($B$1,"yyyy/mm/dd")),"")</f>
        <v>75.893299999999996</v>
      </c>
      <c r="O1468" t="str">
        <f>IFERROR([1]!fa_apturndays($A1468,TEXT($B$1,"yyyy/mm/dd")),"")</f>
        <v>Fetch...</v>
      </c>
      <c r="P1468">
        <f>IFERROR([1]!s_fa_invturndays($A1468,TEXT($B$1,"yyyy/mm/dd")),"")</f>
        <v>390.32850000000002</v>
      </c>
    </row>
    <row r="1469" spans="1:16">
      <c r="A1469" t="s">
        <v>1482</v>
      </c>
      <c r="B1469">
        <f>IFERROR([1]!s_stm07_is($A1469,"W70156729",TEXT($B$1,"yyyy/mm/dd"),1),"")</f>
        <v>27502188411.029999</v>
      </c>
      <c r="C1469">
        <f>IFERROR([1]!s_stm07_is($A1469,"W75682424",TEXT($B$1,"yyyy/mm/dd"),1),"")</f>
        <v>18064052810.82</v>
      </c>
      <c r="D1469">
        <f>IFERROR([1]!s_stm07_is($A1469,"W76031679",TEXT($B$1,"yyyy/mm/dd"),1),"")</f>
        <v>6019332445.8500004</v>
      </c>
      <c r="E1469">
        <f>IFERROR([1]!s_stm07_is($A1469,"W70752487",TEXT($B$1,"yyyy/mm/dd"),1),"")</f>
        <v>1195417652.72</v>
      </c>
      <c r="F1469">
        <f>IFERROR([1]!s_stm07_is_103($A1469,TEXT($B$1,"yyyy/mm/dd"),1),"")</f>
        <v>41268969.700000003</v>
      </c>
      <c r="G1469">
        <f>IFERROR([1]!s_stm07_is_104($A1469,TEXT($B$1,"yyyy/mm/dd"),1),"")</f>
        <v>189376885.44999999</v>
      </c>
      <c r="H1469">
        <f>IFERROR([1]!s_stm07_is_105($A1469,TEXT($B$1,"yyyy/mm/dd"),1),"")</f>
        <v>69273713.560000002</v>
      </c>
      <c r="I1469">
        <f>IFERROR([1]!s_stm07_is($A1469,"W72946623",TEXT($B$1,"yyyy/mm/dd"),1),"")</f>
        <v>1849447593.74</v>
      </c>
      <c r="J1469">
        <f>IFERROR([1]!s_stm07_is($A1469,"W30028333",TEXT($B$1,"yyyy/mm/dd"),1),"")</f>
        <v>1235246214.9000001</v>
      </c>
      <c r="K1469">
        <f>IFERROR([1]!s_stm07_cs($A1469,"W77130581",TEXT($B$1,"yyyy/mm/dd"),1),"")</f>
        <v>5350188615.0799999</v>
      </c>
      <c r="L1469">
        <f>IFERROR([1]!s_stm07_cs($A1469,"W77745895",TEXT($B$1,"yyyy/mm/dd"),1),"")</f>
        <v>484843122.42000002</v>
      </c>
      <c r="M1469">
        <f>IFERROR([1]!S_FA_EPS_basic2($A1469,$B$1,"Cur=CNY"),"")</f>
        <v>1.08</v>
      </c>
      <c r="N1469">
        <f>IFERROR([1]!s_fa_arturndays($A1469,TEXT($B$1,"yyyy/mm/dd")),"")</f>
        <v>16.6843</v>
      </c>
      <c r="O1469" t="str">
        <f>IFERROR([1]!fa_apturndays($A1469,TEXT($B$1,"yyyy/mm/dd")),"")</f>
        <v>Fetch...</v>
      </c>
      <c r="P1469">
        <f>IFERROR([1]!s_fa_invturndays($A1469,TEXT($B$1,"yyyy/mm/dd")),"")</f>
        <v>82.398700000000005</v>
      </c>
    </row>
    <row r="1470" spans="1:16">
      <c r="A1470" t="s">
        <v>1483</v>
      </c>
      <c r="B1470">
        <f>IFERROR([1]!s_stm07_is($A1470,"W70156729",TEXT($B$1,"yyyy/mm/dd"),1),"")</f>
        <v>24326466639.93</v>
      </c>
      <c r="C1470">
        <f>IFERROR([1]!s_stm07_is($A1470,"W75682424",TEXT($B$1,"yyyy/mm/dd"),1),"")</f>
        <v>20090245807.16</v>
      </c>
      <c r="D1470">
        <f>IFERROR([1]!s_stm07_is($A1470,"W76031679",TEXT($B$1,"yyyy/mm/dd"),1),"")</f>
        <v>603613006.32000005</v>
      </c>
      <c r="E1470">
        <f>IFERROR([1]!s_stm07_is($A1470,"W70752487",TEXT($B$1,"yyyy/mm/dd"),1),"")</f>
        <v>683788626.49000001</v>
      </c>
      <c r="F1470">
        <f>IFERROR([1]!s_stm07_is_103($A1470,TEXT($B$1,"yyyy/mm/dd"),1),"")</f>
        <v>1951386752.8199999</v>
      </c>
      <c r="G1470">
        <f>IFERROR([1]!s_stm07_is_104($A1470,TEXT($B$1,"yyyy/mm/dd"),1),"")</f>
        <v>57844785.18</v>
      </c>
      <c r="H1470">
        <f>IFERROR([1]!s_stm07_is_105($A1470,TEXT($B$1,"yyyy/mm/dd"),1),"")</f>
        <v>10867737.880000001</v>
      </c>
      <c r="I1470">
        <f>IFERROR([1]!s_stm07_is($A1470,"W72946623",TEXT($B$1,"yyyy/mm/dd"),1),"")</f>
        <v>814402027.35000002</v>
      </c>
      <c r="J1470">
        <f>IFERROR([1]!s_stm07_is($A1470,"W30028333",TEXT($B$1,"yyyy/mm/dd"),1),"")</f>
        <v>837071075.08000004</v>
      </c>
      <c r="K1470">
        <f>IFERROR([1]!s_stm07_cs($A1470,"W77130581",TEXT($B$1,"yyyy/mm/dd"),1),"")</f>
        <v>-658201710.80999994</v>
      </c>
      <c r="L1470">
        <f>IFERROR([1]!s_stm07_cs($A1470,"W77745895",TEXT($B$1,"yyyy/mm/dd"),1),"")</f>
        <v>668499408.88</v>
      </c>
      <c r="M1470">
        <f>IFERROR([1]!S_FA_EPS_basic2($A1470,$B$1,"Cur=CNY"),"")</f>
        <v>3.2</v>
      </c>
      <c r="N1470">
        <f>IFERROR([1]!s_fa_arturndays($A1470,TEXT($B$1,"yyyy/mm/dd")),"")</f>
        <v>48.801000000000002</v>
      </c>
      <c r="O1470" t="str">
        <f>IFERROR([1]!fa_apturndays($A1470,TEXT($B$1,"yyyy/mm/dd")),"")</f>
        <v>Fetch...</v>
      </c>
      <c r="P1470">
        <f>IFERROR([1]!s_fa_invturndays($A1470,TEXT($B$1,"yyyy/mm/dd")),"")</f>
        <v>78.707400000000007</v>
      </c>
    </row>
    <row r="1471" spans="1:16">
      <c r="A1471" t="s">
        <v>1484</v>
      </c>
      <c r="B1471">
        <f>IFERROR([1]!s_stm07_is($A1471,"W70156729",TEXT($B$1,"yyyy/mm/dd"),1),"")</f>
        <v>1171033778.05</v>
      </c>
      <c r="C1471">
        <f>IFERROR([1]!s_stm07_is($A1471,"W75682424",TEXT($B$1,"yyyy/mm/dd"),1),"")</f>
        <v>754468721.16999996</v>
      </c>
      <c r="D1471">
        <f>IFERROR([1]!s_stm07_is($A1471,"W76031679",TEXT($B$1,"yyyy/mm/dd"),1),"")</f>
        <v>8574647.2200000007</v>
      </c>
      <c r="E1471">
        <f>IFERROR([1]!s_stm07_is($A1471,"W70752487",TEXT($B$1,"yyyy/mm/dd"),1),"")</f>
        <v>83987954.450000003</v>
      </c>
      <c r="F1471">
        <f>IFERROR([1]!s_stm07_is_103($A1471,TEXT($B$1,"yyyy/mm/dd"),1),"")</f>
        <v>62916157.57</v>
      </c>
      <c r="G1471">
        <f>IFERROR([1]!s_stm07_is_104($A1471,TEXT($B$1,"yyyy/mm/dd"),1),"")</f>
        <v>30726872.239999998</v>
      </c>
      <c r="H1471">
        <f>IFERROR([1]!s_stm07_is_105($A1471,TEXT($B$1,"yyyy/mm/dd"),1),"")</f>
        <v>2537646.96</v>
      </c>
      <c r="I1471">
        <f>IFERROR([1]!s_stm07_is($A1471,"W72946623",TEXT($B$1,"yyyy/mm/dd"),1),"")</f>
        <v>224651558.78</v>
      </c>
      <c r="J1471">
        <f>IFERROR([1]!s_stm07_is($A1471,"W30028333",TEXT($B$1,"yyyy/mm/dd"),1),"")</f>
        <v>201913337.03</v>
      </c>
      <c r="K1471">
        <f>IFERROR([1]!s_stm07_cs($A1471,"W77130581",TEXT($B$1,"yyyy/mm/dd"),1),"")</f>
        <v>293786183.19</v>
      </c>
      <c r="L1471">
        <f>IFERROR([1]!s_stm07_cs($A1471,"W77745895",TEXT($B$1,"yyyy/mm/dd"),1),"")</f>
        <v>816645289.76999998</v>
      </c>
      <c r="M1471">
        <f>IFERROR([1]!S_FA_EPS_basic2($A1471,$B$1,"Cur=CNY"),"")</f>
        <v>0.23</v>
      </c>
      <c r="N1471">
        <f>IFERROR([1]!s_fa_arturndays($A1471,TEXT($B$1,"yyyy/mm/dd")),"")</f>
        <v>114.6022</v>
      </c>
      <c r="O1471" t="str">
        <f>IFERROR([1]!fa_apturndays($A1471,TEXT($B$1,"yyyy/mm/dd")),"")</f>
        <v>Fetch...</v>
      </c>
      <c r="P1471">
        <f>IFERROR([1]!s_fa_invturndays($A1471,TEXT($B$1,"yyyy/mm/dd")),"")</f>
        <v>88.343599999999995</v>
      </c>
    </row>
    <row r="1472" spans="1:16">
      <c r="A1472" t="s">
        <v>1485</v>
      </c>
      <c r="B1472">
        <f>IFERROR([1]!s_stm07_is($A1472,"W70156729",TEXT($B$1,"yyyy/mm/dd"),1),"")</f>
        <v>45456165774.18</v>
      </c>
      <c r="C1472">
        <f>IFERROR([1]!s_stm07_is($A1472,"W75682424",TEXT($B$1,"yyyy/mm/dd"),1),"")</f>
        <v>23801434557.939999</v>
      </c>
      <c r="D1472">
        <f>IFERROR([1]!s_stm07_is($A1472,"W76031679",TEXT($B$1,"yyyy/mm/dd"),1),"")</f>
        <v>806867421.27999997</v>
      </c>
      <c r="E1472">
        <f>IFERROR([1]!s_stm07_is($A1472,"W70752487",TEXT($B$1,"yyyy/mm/dd"),1),"")</f>
        <v>2660731035.8200002</v>
      </c>
      <c r="F1472">
        <f>IFERROR([1]!s_stm07_is_103($A1472,TEXT($B$1,"yyyy/mm/dd"),1),"")</f>
        <v>1119452992.76</v>
      </c>
      <c r="G1472">
        <f>IFERROR([1]!s_stm07_is_104($A1472,TEXT($B$1,"yyyy/mm/dd"),1),"")</f>
        <v>268379352.78</v>
      </c>
      <c r="H1472">
        <f>IFERROR([1]!s_stm07_is_105($A1472,TEXT($B$1,"yyyy/mm/dd"),1),"")</f>
        <v>938021864.11000001</v>
      </c>
      <c r="I1472">
        <f>IFERROR([1]!s_stm07_is($A1472,"W72946623",TEXT($B$1,"yyyy/mm/dd"),1),"")</f>
        <v>23906151246.450001</v>
      </c>
      <c r="J1472">
        <f>IFERROR([1]!s_stm07_is($A1472,"W30028333",TEXT($B$1,"yyyy/mm/dd"),1),"")</f>
        <v>19150582400.689999</v>
      </c>
      <c r="K1472">
        <f>IFERROR([1]!s_stm07_cs($A1472,"W77130581",TEXT($B$1,"yyyy/mm/dd"),1),"")</f>
        <v>17203161622</v>
      </c>
      <c r="L1472">
        <f>IFERROR([1]!s_stm07_cs($A1472,"W77745895",TEXT($B$1,"yyyy/mm/dd"),1),"")</f>
        <v>5538150829.9399996</v>
      </c>
      <c r="M1472">
        <f>IFERROR([1]!S_FA_EPS_basic2($A1472,$B$1,"Cur=CNY"),"")</f>
        <v>6.7</v>
      </c>
      <c r="N1472">
        <f>IFERROR([1]!s_fa_arturndays($A1472,TEXT($B$1,"yyyy/mm/dd")),"")</f>
        <v>60.247</v>
      </c>
      <c r="O1472" t="str">
        <f>IFERROR([1]!fa_apturndays($A1472,TEXT($B$1,"yyyy/mm/dd")),"")</f>
        <v>Fetch...</v>
      </c>
      <c r="P1472">
        <f>IFERROR([1]!s_fa_invturndays($A1472,TEXT($B$1,"yyyy/mm/dd")),"")</f>
        <v>119.87609999999999</v>
      </c>
    </row>
    <row r="1473" spans="1:16">
      <c r="A1473" t="s">
        <v>1486</v>
      </c>
      <c r="B1473">
        <f>IFERROR([1]!s_stm07_is($A1473,"W70156729",TEXT($B$1,"yyyy/mm/dd"),1),"")</f>
        <v>20498545487.939999</v>
      </c>
      <c r="C1473">
        <f>IFERROR([1]!s_stm07_is($A1473,"W75682424",TEXT($B$1,"yyyy/mm/dd"),1),"")</f>
        <v>19004725882.900002</v>
      </c>
      <c r="D1473">
        <f>IFERROR([1]!s_stm07_is($A1473,"W76031679",TEXT($B$1,"yyyy/mm/dd"),1),"")</f>
        <v>60799591.030000001</v>
      </c>
      <c r="E1473">
        <f>IFERROR([1]!s_stm07_is($A1473,"W70752487",TEXT($B$1,"yyyy/mm/dd"),1),"")</f>
        <v>702232590.39999998</v>
      </c>
      <c r="F1473">
        <f>IFERROR([1]!s_stm07_is_103($A1473,TEXT($B$1,"yyyy/mm/dd"),1),"")</f>
        <v>521314044.38999999</v>
      </c>
      <c r="G1473">
        <f>IFERROR([1]!s_stm07_is_104($A1473,TEXT($B$1,"yyyy/mm/dd"),1),"")</f>
        <v>1158502541.23</v>
      </c>
      <c r="H1473">
        <f>IFERROR([1]!s_stm07_is_105($A1473,TEXT($B$1,"yyyy/mm/dd"),1),"")</f>
        <v>7353383.2699999996</v>
      </c>
      <c r="I1473">
        <f>IFERROR([1]!s_stm07_is($A1473,"W72946623",TEXT($B$1,"yyyy/mm/dd"),1),"")</f>
        <v>-2802328773.3499999</v>
      </c>
      <c r="J1473">
        <f>IFERROR([1]!s_stm07_is($A1473,"W30028333",TEXT($B$1,"yyyy/mm/dd"),1),"")</f>
        <v>-2990853048.2600002</v>
      </c>
      <c r="K1473">
        <f>IFERROR([1]!s_stm07_cs($A1473,"W77130581",TEXT($B$1,"yyyy/mm/dd"),1),"")</f>
        <v>4013070908.3800001</v>
      </c>
      <c r="L1473">
        <f>IFERROR([1]!s_stm07_cs($A1473,"W77745895",TEXT($B$1,"yyyy/mm/dd"),1),"")</f>
        <v>1191989032.52</v>
      </c>
      <c r="M1473">
        <f>IFERROR([1]!S_FA_EPS_basic2($A1473,$B$1,"Cur=CNY"),"")</f>
        <v>-2.5499999999999998</v>
      </c>
      <c r="N1473">
        <f>IFERROR([1]!s_fa_arturndays($A1473,TEXT($B$1,"yyyy/mm/dd")),"")</f>
        <v>10.138400000000001</v>
      </c>
      <c r="O1473" t="str">
        <f>IFERROR([1]!fa_apturndays($A1473,TEXT($B$1,"yyyy/mm/dd")),"")</f>
        <v>Fetch...</v>
      </c>
      <c r="P1473">
        <f>IFERROR([1]!s_fa_invturndays($A1473,TEXT($B$1,"yyyy/mm/dd")),"")</f>
        <v>157.39080000000001</v>
      </c>
    </row>
    <row r="1474" spans="1:16">
      <c r="A1474" t="s">
        <v>1487</v>
      </c>
      <c r="B1474">
        <f>IFERROR([1]!s_stm07_is($A1474,"W70156729",TEXT($B$1,"yyyy/mm/dd"),1),"")</f>
        <v>1093046915.4000001</v>
      </c>
      <c r="C1474">
        <f>IFERROR([1]!s_stm07_is($A1474,"W75682424",TEXT($B$1,"yyyy/mm/dd"),1),"")</f>
        <v>628381894.46000004</v>
      </c>
      <c r="D1474">
        <f>IFERROR([1]!s_stm07_is($A1474,"W76031679",TEXT($B$1,"yyyy/mm/dd"),1),"")</f>
        <v>77699816.599999994</v>
      </c>
      <c r="E1474">
        <f>IFERROR([1]!s_stm07_is($A1474,"W70752487",TEXT($B$1,"yyyy/mm/dd"),1),"")</f>
        <v>160053615.15000001</v>
      </c>
      <c r="F1474">
        <f>IFERROR([1]!s_stm07_is_103($A1474,TEXT($B$1,"yyyy/mm/dd"),1),"")</f>
        <v>52490391.229999997</v>
      </c>
      <c r="G1474">
        <f>IFERROR([1]!s_stm07_is_104($A1474,TEXT($B$1,"yyyy/mm/dd"),1),"")</f>
        <v>2326994.19</v>
      </c>
      <c r="H1474">
        <f>IFERROR([1]!s_stm07_is_105($A1474,TEXT($B$1,"yyyy/mm/dd"),1),"")</f>
        <v>3262724.02</v>
      </c>
      <c r="I1474">
        <f>IFERROR([1]!s_stm07_is($A1474,"W72946623",TEXT($B$1,"yyyy/mm/dd"),1),"")</f>
        <v>152500435.06999999</v>
      </c>
      <c r="J1474">
        <f>IFERROR([1]!s_stm07_is($A1474,"W30028333",TEXT($B$1,"yyyy/mm/dd"),1),"")</f>
        <v>133690620.94</v>
      </c>
      <c r="K1474">
        <f>IFERROR([1]!s_stm07_cs($A1474,"W77130581",TEXT($B$1,"yyyy/mm/dd"),1),"")</f>
        <v>147046661.55000001</v>
      </c>
      <c r="L1474">
        <f>IFERROR([1]!s_stm07_cs($A1474,"W77745895",TEXT($B$1,"yyyy/mm/dd"),1),"")</f>
        <v>182178457.06</v>
      </c>
      <c r="M1474">
        <f>IFERROR([1]!S_FA_EPS_basic2($A1474,$B$1,"Cur=CNY"),"")</f>
        <v>0.36</v>
      </c>
      <c r="N1474">
        <f>IFERROR([1]!s_fa_arturndays($A1474,TEXT($B$1,"yyyy/mm/dd")),"")</f>
        <v>66.4452</v>
      </c>
      <c r="O1474" t="str">
        <f>IFERROR([1]!fa_apturndays($A1474,TEXT($B$1,"yyyy/mm/dd")),"")</f>
        <v>Fetch...</v>
      </c>
      <c r="P1474">
        <f>IFERROR([1]!s_fa_invturndays($A1474,TEXT($B$1,"yyyy/mm/dd")),"")</f>
        <v>123.2961</v>
      </c>
    </row>
    <row r="1475" spans="1:16">
      <c r="A1475" t="s">
        <v>1488</v>
      </c>
      <c r="B1475">
        <f>IFERROR([1]!s_stm07_is($A1475,"W70156729",TEXT($B$1,"yyyy/mm/dd"),1),"")</f>
        <v>1794274663.54</v>
      </c>
      <c r="C1475">
        <f>IFERROR([1]!s_stm07_is($A1475,"W75682424",TEXT($B$1,"yyyy/mm/dd"),1),"")</f>
        <v>997820838.50999999</v>
      </c>
      <c r="D1475">
        <f>IFERROR([1]!s_stm07_is($A1475,"W76031679",TEXT($B$1,"yyyy/mm/dd"),1),"")</f>
        <v>134857951.5</v>
      </c>
      <c r="E1475">
        <f>IFERROR([1]!s_stm07_is($A1475,"W70752487",TEXT($B$1,"yyyy/mm/dd"),1),"")</f>
        <v>154983035.13999999</v>
      </c>
      <c r="F1475">
        <f>IFERROR([1]!s_stm07_is_103($A1475,TEXT($B$1,"yyyy/mm/dd"),1),"")</f>
        <v>137487396.09999999</v>
      </c>
      <c r="G1475">
        <f>IFERROR([1]!s_stm07_is_104($A1475,TEXT($B$1,"yyyy/mm/dd"),1),"")</f>
        <v>9414080.6899999995</v>
      </c>
      <c r="H1475">
        <f>IFERROR([1]!s_stm07_is_105($A1475,TEXT($B$1,"yyyy/mm/dd"),1),"")</f>
        <v>14202722.800000001</v>
      </c>
      <c r="I1475">
        <f>IFERROR([1]!s_stm07_is($A1475,"W72946623",TEXT($B$1,"yyyy/mm/dd"),1),"")</f>
        <v>301037842.66000003</v>
      </c>
      <c r="J1475">
        <f>IFERROR([1]!s_stm07_is($A1475,"W30028333",TEXT($B$1,"yyyy/mm/dd"),1),"")</f>
        <v>249897831.37</v>
      </c>
      <c r="K1475">
        <f>IFERROR([1]!s_stm07_cs($A1475,"W77130581",TEXT($B$1,"yyyy/mm/dd"),1),"")</f>
        <v>158249930.71000001</v>
      </c>
      <c r="L1475">
        <f>IFERROR([1]!s_stm07_cs($A1475,"W77745895",TEXT($B$1,"yyyy/mm/dd"),1),"")</f>
        <v>85156242.219999999</v>
      </c>
      <c r="M1475">
        <f>IFERROR([1]!S_FA_EPS_basic2($A1475,$B$1,"Cur=CNY"),"")</f>
        <v>1.08</v>
      </c>
      <c r="N1475">
        <f>IFERROR([1]!s_fa_arturndays($A1475,TEXT($B$1,"yyyy/mm/dd")),"")</f>
        <v>251.9597</v>
      </c>
      <c r="O1475" t="str">
        <f>IFERROR([1]!fa_apturndays($A1475,TEXT($B$1,"yyyy/mm/dd")),"")</f>
        <v>Fetch...</v>
      </c>
      <c r="P1475">
        <f>IFERROR([1]!s_fa_invturndays($A1475,TEXT($B$1,"yyyy/mm/dd")),"")</f>
        <v>288.85500000000002</v>
      </c>
    </row>
    <row r="1476" spans="1:16">
      <c r="A1476" t="s">
        <v>1489</v>
      </c>
      <c r="B1476">
        <f>IFERROR([1]!s_stm07_is($A1476,"W70156729",TEXT($B$1,"yyyy/mm/dd"),1),"")</f>
        <v>5817659081.2799997</v>
      </c>
      <c r="C1476">
        <f>IFERROR([1]!s_stm07_is($A1476,"W75682424",TEXT($B$1,"yyyy/mm/dd"),1),"")</f>
        <v>4528014673.5</v>
      </c>
      <c r="D1476">
        <f>IFERROR([1]!s_stm07_is($A1476,"W76031679",TEXT($B$1,"yyyy/mm/dd"),1),"")</f>
        <v>276506141.81999999</v>
      </c>
      <c r="E1476">
        <f>IFERROR([1]!s_stm07_is($A1476,"W70752487",TEXT($B$1,"yyyy/mm/dd"),1),"")</f>
        <v>138249428.93000001</v>
      </c>
      <c r="F1476">
        <f>IFERROR([1]!s_stm07_is_103($A1476,TEXT($B$1,"yyyy/mm/dd"),1),"")</f>
        <v>114135767.94</v>
      </c>
      <c r="G1476">
        <f>IFERROR([1]!s_stm07_is_104($A1476,TEXT($B$1,"yyyy/mm/dd"),1),"")</f>
        <v>6878024.0199999996</v>
      </c>
      <c r="H1476">
        <f>IFERROR([1]!s_stm07_is_105($A1476,TEXT($B$1,"yyyy/mm/dd"),1),"")</f>
        <v>21222554.91</v>
      </c>
      <c r="I1476">
        <f>IFERROR([1]!s_stm07_is($A1476,"W72946623",TEXT($B$1,"yyyy/mm/dd"),1),"")</f>
        <v>688484295.41999996</v>
      </c>
      <c r="J1476">
        <f>IFERROR([1]!s_stm07_is($A1476,"W30028333",TEXT($B$1,"yyyy/mm/dd"),1),"")</f>
        <v>520563072.14999998</v>
      </c>
      <c r="K1476">
        <f>IFERROR([1]!s_stm07_cs($A1476,"W77130581",TEXT($B$1,"yyyy/mm/dd"),1),"")</f>
        <v>1097299245.8099999</v>
      </c>
      <c r="L1476">
        <f>IFERROR([1]!s_stm07_cs($A1476,"W77745895",TEXT($B$1,"yyyy/mm/dd"),1),"")</f>
        <v>144649096.47</v>
      </c>
      <c r="M1476">
        <f>IFERROR([1]!S_FA_EPS_basic2($A1476,$B$1,"Cur=CNY"),"")</f>
        <v>0.91</v>
      </c>
      <c r="N1476">
        <f>IFERROR([1]!s_fa_arturndays($A1476,TEXT($B$1,"yyyy/mm/dd")),"")</f>
        <v>49.572400000000002</v>
      </c>
      <c r="O1476" t="str">
        <f>IFERROR([1]!fa_apturndays($A1476,TEXT($B$1,"yyyy/mm/dd")),"")</f>
        <v>Fetch...</v>
      </c>
      <c r="P1476">
        <f>IFERROR([1]!s_fa_invturndays($A1476,TEXT($B$1,"yyyy/mm/dd")),"")</f>
        <v>203.55080000000001</v>
      </c>
    </row>
    <row r="1477" spans="1:16">
      <c r="A1477" t="s">
        <v>1490</v>
      </c>
      <c r="B1477">
        <f>IFERROR([1]!s_stm07_is($A1477,"W70156729",TEXT($B$1,"yyyy/mm/dd"),1),"")</f>
        <v>3385706449.4400001</v>
      </c>
      <c r="C1477">
        <f>IFERROR([1]!s_stm07_is($A1477,"W75682424",TEXT($B$1,"yyyy/mm/dd"),1),"")</f>
        <v>1861594221.0699999</v>
      </c>
      <c r="D1477">
        <f>IFERROR([1]!s_stm07_is($A1477,"W76031679",TEXT($B$1,"yyyy/mm/dd"),1),"")</f>
        <v>298189057.26999998</v>
      </c>
      <c r="E1477">
        <f>IFERROR([1]!s_stm07_is($A1477,"W70752487",TEXT($B$1,"yyyy/mm/dd"),1),"")</f>
        <v>196159981.93000001</v>
      </c>
      <c r="F1477">
        <f>IFERROR([1]!s_stm07_is_103($A1477,TEXT($B$1,"yyyy/mm/dd"),1),"")</f>
        <v>336733198.99000001</v>
      </c>
      <c r="G1477">
        <f>IFERROR([1]!s_stm07_is_104($A1477,TEXT($B$1,"yyyy/mm/dd"),1),"")</f>
        <v>18172165.280000001</v>
      </c>
      <c r="H1477">
        <f>IFERROR([1]!s_stm07_is_105($A1477,TEXT($B$1,"yyyy/mm/dd"),1),"")</f>
        <v>7107055.1100000003</v>
      </c>
      <c r="I1477">
        <f>IFERROR([1]!s_stm07_is($A1477,"W72946623",TEXT($B$1,"yyyy/mm/dd"),1),"")</f>
        <v>615752431.38999999</v>
      </c>
      <c r="J1477">
        <f>IFERROR([1]!s_stm07_is($A1477,"W30028333",TEXT($B$1,"yyyy/mm/dd"),1),"")</f>
        <v>485032820.82999998</v>
      </c>
      <c r="K1477">
        <f>IFERROR([1]!s_stm07_cs($A1477,"W77130581",TEXT($B$1,"yyyy/mm/dd"),1),"")</f>
        <v>329491126.17000002</v>
      </c>
      <c r="L1477">
        <f>IFERROR([1]!s_stm07_cs($A1477,"W77745895",TEXT($B$1,"yyyy/mm/dd"),1),"")</f>
        <v>278005242.56999999</v>
      </c>
      <c r="M1477">
        <f>IFERROR([1]!S_FA_EPS_basic2($A1477,$B$1,"Cur=CNY"),"")</f>
        <v>1.75</v>
      </c>
      <c r="N1477">
        <f>IFERROR([1]!s_fa_arturndays($A1477,TEXT($B$1,"yyyy/mm/dd")),"")</f>
        <v>208.51429999999999</v>
      </c>
      <c r="O1477" t="str">
        <f>IFERROR([1]!fa_apturndays($A1477,TEXT($B$1,"yyyy/mm/dd")),"")</f>
        <v>Fetch...</v>
      </c>
      <c r="P1477">
        <f>IFERROR([1]!s_fa_invturndays($A1477,TEXT($B$1,"yyyy/mm/dd")),"")</f>
        <v>258.75080000000003</v>
      </c>
    </row>
    <row r="1478" spans="1:16">
      <c r="A1478" t="s">
        <v>1491</v>
      </c>
      <c r="B1478">
        <f>IFERROR([1]!s_stm07_is($A1478,"W70156729",TEXT($B$1,"yyyy/mm/dd"),1),"")</f>
        <v>28873380466.759998</v>
      </c>
      <c r="C1478">
        <f>IFERROR([1]!s_stm07_is($A1478,"W75682424",TEXT($B$1,"yyyy/mm/dd"),1),"")</f>
        <v>17259677561.220001</v>
      </c>
      <c r="D1478">
        <f>IFERROR([1]!s_stm07_is($A1478,"W76031679",TEXT($B$1,"yyyy/mm/dd"),1),"")</f>
        <v>1933186180.8599999</v>
      </c>
      <c r="E1478">
        <f>IFERROR([1]!s_stm07_is($A1478,"W70752487",TEXT($B$1,"yyyy/mm/dd"),1),"")</f>
        <v>700003187.19000006</v>
      </c>
      <c r="F1478">
        <f>IFERROR([1]!s_stm07_is_103($A1478,TEXT($B$1,"yyyy/mm/dd"),1),"")</f>
        <v>914986298.29999995</v>
      </c>
      <c r="G1478">
        <f>IFERROR([1]!s_stm07_is_104($A1478,TEXT($B$1,"yyyy/mm/dd"),1),"")</f>
        <v>25520066.670000002</v>
      </c>
      <c r="H1478">
        <f>IFERROR([1]!s_stm07_is_105($A1478,TEXT($B$1,"yyyy/mm/dd"),1),"")</f>
        <v>687912578.28999996</v>
      </c>
      <c r="I1478">
        <f>IFERROR([1]!s_stm07_is($A1478,"W72946623",TEXT($B$1,"yyyy/mm/dd"),1),"")</f>
        <v>8595422129.4200001</v>
      </c>
      <c r="J1478">
        <f>IFERROR([1]!s_stm07_is($A1478,"W30028333",TEXT($B$1,"yyyy/mm/dd"),1),"")</f>
        <v>7038465194.1499996</v>
      </c>
      <c r="K1478">
        <f>IFERROR([1]!s_stm07_cs($A1478,"W77130581",TEXT($B$1,"yyyy/mm/dd"),1),"")</f>
        <v>7745950953.79</v>
      </c>
      <c r="L1478">
        <f>IFERROR([1]!s_stm07_cs($A1478,"W77745895",TEXT($B$1,"yyyy/mm/dd"),1),"")</f>
        <v>1283601482.1900001</v>
      </c>
      <c r="M1478">
        <f>IFERROR([1]!S_FA_EPS_basic2($A1478,$B$1,"Cur=CNY"),"")</f>
        <v>1.23</v>
      </c>
      <c r="N1478">
        <f>IFERROR([1]!s_fa_arturndays($A1478,TEXT($B$1,"yyyy/mm/dd")),"")</f>
        <v>3.3532000000000002</v>
      </c>
      <c r="O1478" t="str">
        <f>IFERROR([1]!fa_apturndays($A1478,TEXT($B$1,"yyyy/mm/dd")),"")</f>
        <v>Fetch...</v>
      </c>
      <c r="P1478">
        <f>IFERROR([1]!s_fa_invturndays($A1478,TEXT($B$1,"yyyy/mm/dd")),"")</f>
        <v>51.445500000000003</v>
      </c>
    </row>
    <row r="1479" spans="1:16">
      <c r="A1479" t="s">
        <v>1492</v>
      </c>
      <c r="B1479">
        <f>IFERROR([1]!s_stm07_is($A1479,"W70156729",TEXT($B$1,"yyyy/mm/dd"),1),"")</f>
        <v>4012395321.4899998</v>
      </c>
      <c r="C1479">
        <f>IFERROR([1]!s_stm07_is($A1479,"W75682424",TEXT($B$1,"yyyy/mm/dd"),1),"")</f>
        <v>2965735692.2800002</v>
      </c>
      <c r="D1479">
        <f>IFERROR([1]!s_stm07_is($A1479,"W76031679",TEXT($B$1,"yyyy/mm/dd"),1),"")</f>
        <v>35388417.289999999</v>
      </c>
      <c r="E1479">
        <f>IFERROR([1]!s_stm07_is($A1479,"W70752487",TEXT($B$1,"yyyy/mm/dd"),1),"")</f>
        <v>151290747.52000001</v>
      </c>
      <c r="F1479">
        <f>IFERROR([1]!s_stm07_is_103($A1479,TEXT($B$1,"yyyy/mm/dd"),1),"")</f>
        <v>481629370.52999997</v>
      </c>
      <c r="G1479">
        <f>IFERROR([1]!s_stm07_is_104($A1479,TEXT($B$1,"yyyy/mm/dd"),1),"")</f>
        <v>966774.15</v>
      </c>
      <c r="H1479">
        <f>IFERROR([1]!s_stm07_is_105($A1479,TEXT($B$1,"yyyy/mm/dd"),1),"")</f>
        <v>16789912.16</v>
      </c>
      <c r="I1479">
        <f>IFERROR([1]!s_stm07_is($A1479,"W72946623",TEXT($B$1,"yyyy/mm/dd"),1),"")</f>
        <v>442819349.75999999</v>
      </c>
      <c r="J1479">
        <f>IFERROR([1]!s_stm07_is($A1479,"W30028333",TEXT($B$1,"yyyy/mm/dd"),1),"")</f>
        <v>405233645.95999998</v>
      </c>
      <c r="K1479">
        <f>IFERROR([1]!s_stm07_cs($A1479,"W77130581",TEXT($B$1,"yyyy/mm/dd"),1),"")</f>
        <v>594839679.49000001</v>
      </c>
      <c r="L1479">
        <f>IFERROR([1]!s_stm07_cs($A1479,"W77745895",TEXT($B$1,"yyyy/mm/dd"),1),"")</f>
        <v>688343900.46000004</v>
      </c>
      <c r="M1479">
        <f>IFERROR([1]!S_FA_EPS_basic2($A1479,$B$1,"Cur=CNY"),"")</f>
        <v>1.69</v>
      </c>
      <c r="N1479">
        <f>IFERROR([1]!s_fa_arturndays($A1479,TEXT($B$1,"yyyy/mm/dd")),"")</f>
        <v>79.728899999999996</v>
      </c>
      <c r="O1479" t="str">
        <f>IFERROR([1]!fa_apturndays($A1479,TEXT($B$1,"yyyy/mm/dd")),"")</f>
        <v>Fetch...</v>
      </c>
      <c r="P1479">
        <f>IFERROR([1]!s_fa_invturndays($A1479,TEXT($B$1,"yyyy/mm/dd")),"")</f>
        <v>178.67779999999999</v>
      </c>
    </row>
    <row r="1480" spans="1:16">
      <c r="A1480" t="s">
        <v>1493</v>
      </c>
      <c r="B1480">
        <f>IFERROR([1]!s_stm07_is($A1480,"W70156729",TEXT($B$1,"yyyy/mm/dd"),1),"")</f>
        <v>171436926673.39999</v>
      </c>
      <c r="C1480">
        <f>IFERROR([1]!s_stm07_is($A1480,"W75682424",TEXT($B$1,"yyyy/mm/dd"),1),"")</f>
        <v>157768380631.26999</v>
      </c>
      <c r="D1480">
        <f>IFERROR([1]!s_stm07_is($A1480,"W76031679",TEXT($B$1,"yyyy/mm/dd"),1),"")</f>
        <v>338784263.50999999</v>
      </c>
      <c r="E1480">
        <f>IFERROR([1]!s_stm07_is($A1480,"W70752487",TEXT($B$1,"yyyy/mm/dd"),1),"")</f>
        <v>2965425810.6700001</v>
      </c>
      <c r="F1480">
        <f>IFERROR([1]!s_stm07_is_103($A1480,TEXT($B$1,"yyyy/mm/dd"),1),"")</f>
        <v>6363452699.8699999</v>
      </c>
      <c r="G1480">
        <f>IFERROR([1]!s_stm07_is_104($A1480,TEXT($B$1,"yyyy/mm/dd"),1),"")</f>
        <v>308359538.95999998</v>
      </c>
      <c r="H1480">
        <f>IFERROR([1]!s_stm07_is_105($A1480,TEXT($B$1,"yyyy/mm/dd"),1),"")</f>
        <v>400550096.19999999</v>
      </c>
      <c r="I1480">
        <f>IFERROR([1]!s_stm07_is($A1480,"W72946623",TEXT($B$1,"yyyy/mm/dd"),1),"")</f>
        <v>4448887112.9300003</v>
      </c>
      <c r="J1480">
        <f>IFERROR([1]!s_stm07_is($A1480,"W30028333",TEXT($B$1,"yyyy/mm/dd"),1),"")</f>
        <v>4054292460.5500002</v>
      </c>
      <c r="K1480">
        <f>IFERROR([1]!s_stm07_cs($A1480,"W77130581",TEXT($B$1,"yyyy/mm/dd"),1),"")</f>
        <v>-223312777.69999999</v>
      </c>
      <c r="L1480">
        <f>IFERROR([1]!s_stm07_cs($A1480,"W77745895",TEXT($B$1,"yyyy/mm/dd"),1),"")</f>
        <v>3431567361.4699998</v>
      </c>
      <c r="M1480">
        <f>IFERROR([1]!S_FA_EPS_basic2($A1480,$B$1,"Cur=CNY"),"")</f>
        <v>4.0199999999999996</v>
      </c>
      <c r="N1480">
        <f>IFERROR([1]!s_fa_arturndays($A1480,TEXT($B$1,"yyyy/mm/dd")),"")</f>
        <v>62.565199999999997</v>
      </c>
      <c r="O1480" t="str">
        <f>IFERROR([1]!fa_apturndays($A1480,TEXT($B$1,"yyyy/mm/dd")),"")</f>
        <v>Fetch...</v>
      </c>
      <c r="P1480">
        <f>IFERROR([1]!s_fa_invturndays($A1480,TEXT($B$1,"yyyy/mm/dd")),"")</f>
        <v>29.777899999999999</v>
      </c>
    </row>
    <row r="1481" spans="1:16">
      <c r="A1481" t="s">
        <v>1494</v>
      </c>
      <c r="B1481">
        <f>IFERROR([1]!s_stm07_is($A1481,"W70156729",TEXT($B$1,"yyyy/mm/dd"),1),"")</f>
        <v>965321754.62</v>
      </c>
      <c r="C1481">
        <f>IFERROR([1]!s_stm07_is($A1481,"W75682424",TEXT($B$1,"yyyy/mm/dd"),1),"")</f>
        <v>586124394.30999994</v>
      </c>
      <c r="D1481">
        <f>IFERROR([1]!s_stm07_is($A1481,"W76031679",TEXT($B$1,"yyyy/mm/dd"),1),"")</f>
        <v>45677488.340000004</v>
      </c>
      <c r="E1481">
        <f>IFERROR([1]!s_stm07_is($A1481,"W70752487",TEXT($B$1,"yyyy/mm/dd"),1),"")</f>
        <v>33596095.399999999</v>
      </c>
      <c r="F1481">
        <f>IFERROR([1]!s_stm07_is_103($A1481,TEXT($B$1,"yyyy/mm/dd"),1),"")</f>
        <v>93437221.269999996</v>
      </c>
      <c r="G1481">
        <f>IFERROR([1]!s_stm07_is_104($A1481,TEXT($B$1,"yyyy/mm/dd"),1),"")</f>
        <v>3243622.18</v>
      </c>
      <c r="H1481">
        <f>IFERROR([1]!s_stm07_is_105($A1481,TEXT($B$1,"yyyy/mm/dd"),1),"")</f>
        <v>33992714.18</v>
      </c>
      <c r="I1481">
        <f>IFERROR([1]!s_stm07_is($A1481,"W72946623",TEXT($B$1,"yyyy/mm/dd"),1),"")</f>
        <v>244805811.61000001</v>
      </c>
      <c r="J1481">
        <f>IFERROR([1]!s_stm07_is($A1481,"W30028333",TEXT($B$1,"yyyy/mm/dd"),1),"")</f>
        <v>219859224.58000001</v>
      </c>
      <c r="K1481">
        <f>IFERROR([1]!s_stm07_cs($A1481,"W77130581",TEXT($B$1,"yyyy/mm/dd"),1),"")</f>
        <v>227623893.03999999</v>
      </c>
      <c r="L1481">
        <f>IFERROR([1]!s_stm07_cs($A1481,"W77745895",TEXT($B$1,"yyyy/mm/dd"),1),"")</f>
        <v>74729353.739999995</v>
      </c>
      <c r="M1481">
        <f>IFERROR([1]!S_FA_EPS_basic2($A1481,$B$1,"Cur=CNY"),"")</f>
        <v>1.98</v>
      </c>
      <c r="N1481">
        <f>IFERROR([1]!s_fa_arturndays($A1481,TEXT($B$1,"yyyy/mm/dd")),"")</f>
        <v>76.090599999999995</v>
      </c>
      <c r="O1481" t="str">
        <f>IFERROR([1]!fa_apturndays($A1481,TEXT($B$1,"yyyy/mm/dd")),"")</f>
        <v>Fetch...</v>
      </c>
      <c r="P1481">
        <f>IFERROR([1]!s_fa_invturndays($A1481,TEXT($B$1,"yyyy/mm/dd")),"")</f>
        <v>124.6322</v>
      </c>
    </row>
    <row r="1482" spans="1:16">
      <c r="A1482" t="s">
        <v>1495</v>
      </c>
      <c r="B1482">
        <f>IFERROR([1]!s_stm07_is($A1482,"W70156729",TEXT($B$1,"yyyy/mm/dd"),1),"")</f>
        <v>17738651997.860001</v>
      </c>
      <c r="C1482">
        <f>IFERROR([1]!s_stm07_is($A1482,"W75682424",TEXT($B$1,"yyyy/mm/dd"),1),"")</f>
        <v>13342717775.809999</v>
      </c>
      <c r="D1482">
        <f>IFERROR([1]!s_stm07_is($A1482,"W76031679",TEXT($B$1,"yyyy/mm/dd"),1),"")</f>
        <v>889497442.78999996</v>
      </c>
      <c r="E1482">
        <f>IFERROR([1]!s_stm07_is($A1482,"W70752487",TEXT($B$1,"yyyy/mm/dd"),1),"")</f>
        <v>488776232.51999998</v>
      </c>
      <c r="F1482">
        <f>IFERROR([1]!s_stm07_is_103($A1482,TEXT($B$1,"yyyy/mm/dd"),1),"")</f>
        <v>858946791.62</v>
      </c>
      <c r="G1482">
        <f>IFERROR([1]!s_stm07_is_104($A1482,TEXT($B$1,"yyyy/mm/dd"),1),"")</f>
        <v>43043092.170000002</v>
      </c>
      <c r="H1482">
        <f>IFERROR([1]!s_stm07_is_105($A1482,TEXT($B$1,"yyyy/mm/dd"),1),"")</f>
        <v>29642658.039999999</v>
      </c>
      <c r="I1482">
        <f>IFERROR([1]!s_stm07_is($A1482,"W72946623",TEXT($B$1,"yyyy/mm/dd"),1),"")</f>
        <v>2599106925.7399998</v>
      </c>
      <c r="J1482">
        <f>IFERROR([1]!s_stm07_is($A1482,"W30028333",TEXT($B$1,"yyyy/mm/dd"),1),"")</f>
        <v>2191315695.9000001</v>
      </c>
      <c r="K1482">
        <f>IFERROR([1]!s_stm07_cs($A1482,"W77130581",TEXT($B$1,"yyyy/mm/dd"),1),"")</f>
        <v>1683901243.0699999</v>
      </c>
      <c r="L1482">
        <f>IFERROR([1]!s_stm07_cs($A1482,"W77745895",TEXT($B$1,"yyyy/mm/dd"),1),"")</f>
        <v>551712726.19000006</v>
      </c>
      <c r="M1482">
        <f>IFERROR([1]!S_FA_EPS_basic2($A1482,$B$1,"Cur=CNY"),"")</f>
        <v>1.67</v>
      </c>
      <c r="N1482">
        <f>IFERROR([1]!s_fa_arturndays($A1482,TEXT($B$1,"yyyy/mm/dd")),"")</f>
        <v>54.656399999999998</v>
      </c>
      <c r="O1482" t="str">
        <f>IFERROR([1]!fa_apturndays($A1482,TEXT($B$1,"yyyy/mm/dd")),"")</f>
        <v>Fetch...</v>
      </c>
      <c r="P1482">
        <f>IFERROR([1]!s_fa_invturndays($A1482,TEXT($B$1,"yyyy/mm/dd")),"")</f>
        <v>77.619699999999995</v>
      </c>
    </row>
    <row r="1483" spans="1:16">
      <c r="A1483" t="s">
        <v>1496</v>
      </c>
      <c r="B1483">
        <f>IFERROR([1]!s_stm07_is($A1483,"W70156729",TEXT($B$1,"yyyy/mm/dd"),1),"")</f>
        <v>4506156605.1700001</v>
      </c>
      <c r="C1483">
        <f>IFERROR([1]!s_stm07_is($A1483,"W75682424",TEXT($B$1,"yyyy/mm/dd"),1),"")</f>
        <v>2946577299.0999999</v>
      </c>
      <c r="D1483">
        <f>IFERROR([1]!s_stm07_is($A1483,"W76031679",TEXT($B$1,"yyyy/mm/dd"),1),"")</f>
        <v>433048572.17000002</v>
      </c>
      <c r="E1483">
        <f>IFERROR([1]!s_stm07_is($A1483,"W70752487",TEXT($B$1,"yyyy/mm/dd"),1),"")</f>
        <v>331627310.38</v>
      </c>
      <c r="F1483">
        <f>IFERROR([1]!s_stm07_is_103($A1483,TEXT($B$1,"yyyy/mm/dd"),1),"")</f>
        <v>255518107.49000001</v>
      </c>
      <c r="G1483">
        <f>IFERROR([1]!s_stm07_is_104($A1483,TEXT($B$1,"yyyy/mm/dd"),1),"")</f>
        <v>23164469.219999999</v>
      </c>
      <c r="H1483">
        <f>IFERROR([1]!s_stm07_is_105($A1483,TEXT($B$1,"yyyy/mm/dd"),1),"")</f>
        <v>32073558.25</v>
      </c>
      <c r="I1483">
        <f>IFERROR([1]!s_stm07_is($A1483,"W72946623",TEXT($B$1,"yyyy/mm/dd"),1),"")</f>
        <v>651793485.35000002</v>
      </c>
      <c r="J1483">
        <f>IFERROR([1]!s_stm07_is($A1483,"W30028333",TEXT($B$1,"yyyy/mm/dd"),1),"")</f>
        <v>522118019.29000002</v>
      </c>
      <c r="K1483">
        <f>IFERROR([1]!s_stm07_cs($A1483,"W77130581",TEXT($B$1,"yyyy/mm/dd"),1),"")</f>
        <v>359855255.42000002</v>
      </c>
      <c r="L1483">
        <f>IFERROR([1]!s_stm07_cs($A1483,"W77745895",TEXT($B$1,"yyyy/mm/dd"),1),"")</f>
        <v>1022426445.88</v>
      </c>
      <c r="M1483">
        <f>IFERROR([1]!S_FA_EPS_basic2($A1483,$B$1,"Cur=CNY"),"")</f>
        <v>0.66800000000000004</v>
      </c>
      <c r="N1483">
        <f>IFERROR([1]!s_fa_arturndays($A1483,TEXT($B$1,"yyyy/mm/dd")),"")</f>
        <v>18.153199999999998</v>
      </c>
      <c r="O1483" t="str">
        <f>IFERROR([1]!fa_apturndays($A1483,TEXT($B$1,"yyyy/mm/dd")),"")</f>
        <v>Fetch...</v>
      </c>
      <c r="P1483">
        <f>IFERROR([1]!s_fa_invturndays($A1483,TEXT($B$1,"yyyy/mm/dd")),"")</f>
        <v>55.274900000000002</v>
      </c>
    </row>
    <row r="1484" spans="1:16">
      <c r="A1484" t="s">
        <v>1497</v>
      </c>
      <c r="B1484">
        <f>IFERROR([1]!s_stm07_is($A1484,"W70156729",TEXT($B$1,"yyyy/mm/dd"),1),"")</f>
        <v>5985261982.8199997</v>
      </c>
      <c r="C1484">
        <f>IFERROR([1]!s_stm07_is($A1484,"W75682424",TEXT($B$1,"yyyy/mm/dd"),1),"")</f>
        <v>3701626925.54</v>
      </c>
      <c r="D1484">
        <f>IFERROR([1]!s_stm07_is($A1484,"W76031679",TEXT($B$1,"yyyy/mm/dd"),1),"")</f>
        <v>644615444.04999995</v>
      </c>
      <c r="E1484">
        <f>IFERROR([1]!s_stm07_is($A1484,"W70752487",TEXT($B$1,"yyyy/mm/dd"),1),"")</f>
        <v>215018132.13999999</v>
      </c>
      <c r="F1484">
        <f>IFERROR([1]!s_stm07_is_103($A1484,TEXT($B$1,"yyyy/mm/dd"),1),"")</f>
        <v>63284727.890000001</v>
      </c>
      <c r="G1484">
        <f>IFERROR([1]!s_stm07_is_104($A1484,TEXT($B$1,"yyyy/mm/dd"),1),"")</f>
        <v>704081017.11000001</v>
      </c>
      <c r="H1484">
        <f>IFERROR([1]!s_stm07_is_105($A1484,TEXT($B$1,"yyyy/mm/dd"),1),"")</f>
        <v>546661.85</v>
      </c>
      <c r="I1484">
        <f>IFERROR([1]!s_stm07_is($A1484,"W72946623",TEXT($B$1,"yyyy/mm/dd"),1),"")</f>
        <v>568604473.10000002</v>
      </c>
      <c r="J1484">
        <f>IFERROR([1]!s_stm07_is($A1484,"W30028333",TEXT($B$1,"yyyy/mm/dd"),1),"")</f>
        <v>527153296.64999998</v>
      </c>
      <c r="K1484">
        <f>IFERROR([1]!s_stm07_cs($A1484,"W77130581",TEXT($B$1,"yyyy/mm/dd"),1),"")</f>
        <v>3156801012</v>
      </c>
      <c r="L1484">
        <f>IFERROR([1]!s_stm07_cs($A1484,"W77745895",TEXT($B$1,"yyyy/mm/dd"),1),"")</f>
        <v>1809716140.25</v>
      </c>
      <c r="M1484">
        <f>IFERROR([1]!S_FA_EPS_basic2($A1484,$B$1,"Cur=CNY"),"")</f>
        <v>0.26</v>
      </c>
      <c r="N1484">
        <f>IFERROR([1]!s_fa_arturndays($A1484,TEXT($B$1,"yyyy/mm/dd")),"")</f>
        <v>253.89660000000001</v>
      </c>
      <c r="O1484" t="str">
        <f>IFERROR([1]!fa_apturndays($A1484,TEXT($B$1,"yyyy/mm/dd")),"")</f>
        <v>Fetch...</v>
      </c>
      <c r="P1484">
        <f>IFERROR([1]!s_fa_invturndays($A1484,TEXT($B$1,"yyyy/mm/dd")),"")</f>
        <v>11.083600000000001</v>
      </c>
    </row>
    <row r="1485" spans="1:16">
      <c r="A1485" t="s">
        <v>1498</v>
      </c>
      <c r="B1485">
        <f>IFERROR([1]!s_stm07_is($A1485,"W70156729",TEXT($B$1,"yyyy/mm/dd"),1),"")</f>
        <v>4449584218.5699997</v>
      </c>
      <c r="C1485">
        <f>IFERROR([1]!s_stm07_is($A1485,"W75682424",TEXT($B$1,"yyyy/mm/dd"),1),"")</f>
        <v>3544517600.6500001</v>
      </c>
      <c r="D1485">
        <f>IFERROR([1]!s_stm07_is($A1485,"W76031679",TEXT($B$1,"yyyy/mm/dd"),1),"")</f>
        <v>20603315.059999999</v>
      </c>
      <c r="E1485">
        <f>IFERROR([1]!s_stm07_is($A1485,"W70752487",TEXT($B$1,"yyyy/mm/dd"),1),"")</f>
        <v>199716736.80000001</v>
      </c>
      <c r="F1485">
        <f>IFERROR([1]!s_stm07_is_103($A1485,TEXT($B$1,"yyyy/mm/dd"),1),"")</f>
        <v>223970392.65000001</v>
      </c>
      <c r="G1485">
        <f>IFERROR([1]!s_stm07_is_104($A1485,TEXT($B$1,"yyyy/mm/dd"),1),"")</f>
        <v>124663655.19</v>
      </c>
      <c r="H1485">
        <f>IFERROR([1]!s_stm07_is_105($A1485,TEXT($B$1,"yyyy/mm/dd"),1),"")</f>
        <v>26878386.960000001</v>
      </c>
      <c r="I1485">
        <f>IFERROR([1]!s_stm07_is($A1485,"W72946623",TEXT($B$1,"yyyy/mm/dd"),1),"")</f>
        <v>412348768.80000001</v>
      </c>
      <c r="J1485">
        <f>IFERROR([1]!s_stm07_is($A1485,"W30028333",TEXT($B$1,"yyyy/mm/dd"),1),"")</f>
        <v>365124181.04000002</v>
      </c>
      <c r="K1485">
        <f>IFERROR([1]!s_stm07_cs($A1485,"W77130581",TEXT($B$1,"yyyy/mm/dd"),1),"")</f>
        <v>672894960.25999999</v>
      </c>
      <c r="L1485">
        <f>IFERROR([1]!s_stm07_cs($A1485,"W77745895",TEXT($B$1,"yyyy/mm/dd"),1),"")</f>
        <v>618742263.10000002</v>
      </c>
      <c r="M1485">
        <f>IFERROR([1]!S_FA_EPS_basic2($A1485,$B$1,"Cur=CNY"),"")</f>
        <v>0.38</v>
      </c>
      <c r="N1485">
        <f>IFERROR([1]!s_fa_arturndays($A1485,TEXT($B$1,"yyyy/mm/dd")),"")</f>
        <v>96.891400000000004</v>
      </c>
      <c r="O1485" t="str">
        <f>IFERROR([1]!fa_apturndays($A1485,TEXT($B$1,"yyyy/mm/dd")),"")</f>
        <v>Fetch...</v>
      </c>
      <c r="P1485">
        <f>IFERROR([1]!s_fa_invturndays($A1485,TEXT($B$1,"yyyy/mm/dd")),"")</f>
        <v>108.99509999999999</v>
      </c>
    </row>
    <row r="1486" spans="1:16">
      <c r="A1486" t="s">
        <v>1499</v>
      </c>
      <c r="B1486">
        <f>IFERROR([1]!s_stm07_is($A1486,"W70156729",TEXT($B$1,"yyyy/mm/dd"),1),"")</f>
        <v>2503457478.1599998</v>
      </c>
      <c r="C1486">
        <f>IFERROR([1]!s_stm07_is($A1486,"W75682424",TEXT($B$1,"yyyy/mm/dd"),1),"")</f>
        <v>1740193086.99</v>
      </c>
      <c r="D1486">
        <f>IFERROR([1]!s_stm07_is($A1486,"W76031679",TEXT($B$1,"yyyy/mm/dd"),1),"")</f>
        <v>30145353.079999998</v>
      </c>
      <c r="E1486">
        <f>IFERROR([1]!s_stm07_is($A1486,"W70752487",TEXT($B$1,"yyyy/mm/dd"),1),"")</f>
        <v>342833850.29000002</v>
      </c>
      <c r="F1486">
        <f>IFERROR([1]!s_stm07_is_103($A1486,TEXT($B$1,"yyyy/mm/dd"),1),"")</f>
        <v>119513035.8</v>
      </c>
      <c r="G1486">
        <f>IFERROR([1]!s_stm07_is_104($A1486,TEXT($B$1,"yyyy/mm/dd"),1),"")</f>
        <v>66458548.869999997</v>
      </c>
      <c r="H1486">
        <f>IFERROR([1]!s_stm07_is_105($A1486,TEXT($B$1,"yyyy/mm/dd"),1),"")</f>
        <v>13126026.24</v>
      </c>
      <c r="I1486">
        <f>IFERROR([1]!s_stm07_is($A1486,"W72946623",TEXT($B$1,"yyyy/mm/dd"),1),"")</f>
        <v>261662525.16999999</v>
      </c>
      <c r="J1486">
        <f>IFERROR([1]!s_stm07_is($A1486,"W30028333",TEXT($B$1,"yyyy/mm/dd"),1),"")</f>
        <v>217764807.24000001</v>
      </c>
      <c r="K1486">
        <f>IFERROR([1]!s_stm07_cs($A1486,"W77130581",TEXT($B$1,"yyyy/mm/dd"),1),"")</f>
        <v>420521485.69999999</v>
      </c>
      <c r="L1486">
        <f>IFERROR([1]!s_stm07_cs($A1486,"W77745895",TEXT($B$1,"yyyy/mm/dd"),1),"")</f>
        <v>419422611.42000002</v>
      </c>
      <c r="M1486">
        <f>IFERROR([1]!S_FA_EPS_basic2($A1486,$B$1,"Cur=CNY"),"")</f>
        <v>0.628</v>
      </c>
      <c r="N1486">
        <f>IFERROR([1]!s_fa_arturndays($A1486,TEXT($B$1,"yyyy/mm/dd")),"")</f>
        <v>117.1913</v>
      </c>
      <c r="O1486" t="str">
        <f>IFERROR([1]!fa_apturndays($A1486,TEXT($B$1,"yyyy/mm/dd")),"")</f>
        <v>Fetch...</v>
      </c>
      <c r="P1486">
        <f>IFERROR([1]!s_fa_invturndays($A1486,TEXT($B$1,"yyyy/mm/dd")),"")</f>
        <v>59.636200000000002</v>
      </c>
    </row>
    <row r="1487" spans="1:16">
      <c r="A1487" t="s">
        <v>1500</v>
      </c>
      <c r="B1487">
        <f>IFERROR([1]!s_stm07_is($A1487,"W70156729",TEXT($B$1,"yyyy/mm/dd"),1),"")</f>
        <v>2918826404.6799998</v>
      </c>
      <c r="C1487">
        <f>IFERROR([1]!s_stm07_is($A1487,"W75682424",TEXT($B$1,"yyyy/mm/dd"),1),"")</f>
        <v>1873994321.75</v>
      </c>
      <c r="D1487">
        <f>IFERROR([1]!s_stm07_is($A1487,"W76031679",TEXT($B$1,"yyyy/mm/dd"),1),"")</f>
        <v>40568585.950000003</v>
      </c>
      <c r="E1487">
        <f>IFERROR([1]!s_stm07_is($A1487,"W70752487",TEXT($B$1,"yyyy/mm/dd"),1),"")</f>
        <v>238682115.59999999</v>
      </c>
      <c r="F1487">
        <f>IFERROR([1]!s_stm07_is_103($A1487,TEXT($B$1,"yyyy/mm/dd"),1),"")</f>
        <v>325363545.07999998</v>
      </c>
      <c r="G1487">
        <f>IFERROR([1]!s_stm07_is_104($A1487,TEXT($B$1,"yyyy/mm/dd"),1),"")</f>
        <v>143409115.44</v>
      </c>
      <c r="H1487">
        <f>IFERROR([1]!s_stm07_is_105($A1487,TEXT($B$1,"yyyy/mm/dd"),1),"")</f>
        <v>4213957.37</v>
      </c>
      <c r="I1487">
        <f>IFERROR([1]!s_stm07_is($A1487,"W72946623",TEXT($B$1,"yyyy/mm/dd"),1),"")</f>
        <v>335364335.26999998</v>
      </c>
      <c r="J1487">
        <f>IFERROR([1]!s_stm07_is($A1487,"W30028333",TEXT($B$1,"yyyy/mm/dd"),1),"")</f>
        <v>348641494.57999998</v>
      </c>
      <c r="K1487">
        <f>IFERROR([1]!s_stm07_cs($A1487,"W77130581",TEXT($B$1,"yyyy/mm/dd"),1),"")</f>
        <v>256417409.63</v>
      </c>
      <c r="L1487">
        <f>IFERROR([1]!s_stm07_cs($A1487,"W77745895",TEXT($B$1,"yyyy/mm/dd"),1),"")</f>
        <v>625299196.64999998</v>
      </c>
      <c r="M1487">
        <f>IFERROR([1]!S_FA_EPS_basic2($A1487,$B$1,"Cur=CNY"),"")</f>
        <v>0.51</v>
      </c>
      <c r="N1487">
        <f>IFERROR([1]!s_fa_arturndays($A1487,TEXT($B$1,"yyyy/mm/dd")),"")</f>
        <v>127.2085</v>
      </c>
      <c r="O1487" t="str">
        <f>IFERROR([1]!fa_apturndays($A1487,TEXT($B$1,"yyyy/mm/dd")),"")</f>
        <v>Fetch...</v>
      </c>
      <c r="P1487">
        <f>IFERROR([1]!s_fa_invturndays($A1487,TEXT($B$1,"yyyy/mm/dd")),"")</f>
        <v>436.41649999999998</v>
      </c>
    </row>
    <row r="1488" spans="1:16">
      <c r="A1488" t="s">
        <v>1501</v>
      </c>
      <c r="B1488">
        <f>IFERROR([1]!s_stm07_is($A1488,"W70156729",TEXT($B$1,"yyyy/mm/dd"),1),"")</f>
        <v>3448662715.9000001</v>
      </c>
      <c r="C1488">
        <f>IFERROR([1]!s_stm07_is($A1488,"W75682424",TEXT($B$1,"yyyy/mm/dd"),1),"")</f>
        <v>2046080924.78</v>
      </c>
      <c r="D1488">
        <f>IFERROR([1]!s_stm07_is($A1488,"W76031679",TEXT($B$1,"yyyy/mm/dd"),1),"")</f>
        <v>490409755.57999998</v>
      </c>
      <c r="E1488">
        <f>IFERROR([1]!s_stm07_is($A1488,"W70752487",TEXT($B$1,"yyyy/mm/dd"),1),"")</f>
        <v>168088416.30000001</v>
      </c>
      <c r="F1488">
        <f>IFERROR([1]!s_stm07_is_103($A1488,TEXT($B$1,"yyyy/mm/dd"),1),"")</f>
        <v>37166605.899999999</v>
      </c>
      <c r="G1488">
        <f>IFERROR([1]!s_stm07_is_104($A1488,TEXT($B$1,"yyyy/mm/dd"),1),"")</f>
        <v>227069.63</v>
      </c>
      <c r="H1488">
        <f>IFERROR([1]!s_stm07_is_105($A1488,TEXT($B$1,"yyyy/mm/dd"),1),"")</f>
        <v>2253745.12</v>
      </c>
      <c r="I1488">
        <f>IFERROR([1]!s_stm07_is($A1488,"W72946623",TEXT($B$1,"yyyy/mm/dd"),1),"")</f>
        <v>734624698.14999998</v>
      </c>
      <c r="J1488">
        <f>IFERROR([1]!s_stm07_is($A1488,"W30028333",TEXT($B$1,"yyyy/mm/dd"),1),"")</f>
        <v>569711014.37</v>
      </c>
      <c r="K1488">
        <f>IFERROR([1]!s_stm07_cs($A1488,"W77130581",TEXT($B$1,"yyyy/mm/dd"),1),"")</f>
        <v>588213192.03999996</v>
      </c>
      <c r="L1488">
        <f>IFERROR([1]!s_stm07_cs($A1488,"W77745895",TEXT($B$1,"yyyy/mm/dd"),1),"")</f>
        <v>108801514.63</v>
      </c>
      <c r="M1488">
        <f>IFERROR([1]!S_FA_EPS_basic2($A1488,$B$1,"Cur=CNY"),"")</f>
        <v>0.53859999999999997</v>
      </c>
      <c r="N1488">
        <f>IFERROR([1]!s_fa_arturndays($A1488,TEXT($B$1,"yyyy/mm/dd")),"")</f>
        <v>11.514799999999999</v>
      </c>
      <c r="O1488" t="str">
        <f>IFERROR([1]!fa_apturndays($A1488,TEXT($B$1,"yyyy/mm/dd")),"")</f>
        <v>Fetch...</v>
      </c>
      <c r="P1488">
        <f>IFERROR([1]!s_fa_invturndays($A1488,TEXT($B$1,"yyyy/mm/dd")),"")</f>
        <v>28.8157</v>
      </c>
    </row>
    <row r="1489" spans="1:16">
      <c r="A1489" t="s">
        <v>1502</v>
      </c>
      <c r="B1489">
        <f>IFERROR([1]!s_stm07_is($A1489,"W70156729",TEXT($B$1,"yyyy/mm/dd"),1),"")</f>
        <v>4212599000</v>
      </c>
      <c r="C1489">
        <f>IFERROR([1]!s_stm07_is($A1489,"W75682424",TEXT($B$1,"yyyy/mm/dd"),1),"")</f>
        <v>0</v>
      </c>
      <c r="D1489">
        <f>IFERROR([1]!s_stm07_is($A1489,"W76031679",TEXT($B$1,"yyyy/mm/dd"),1),"")</f>
        <v>0</v>
      </c>
      <c r="E1489">
        <f>IFERROR([1]!s_stm07_is($A1489,"W70752487",TEXT($B$1,"yyyy/mm/dd"),1),"")</f>
        <v>1445136000</v>
      </c>
      <c r="F1489">
        <f>IFERROR([1]!s_stm07_is_103($A1489,TEXT($B$1,"yyyy/mm/dd"),1),"")</f>
        <v>0</v>
      </c>
      <c r="G1489">
        <f>IFERROR([1]!s_stm07_is_104($A1489,TEXT($B$1,"yyyy/mm/dd"),1),"")</f>
        <v>0</v>
      </c>
      <c r="H1489">
        <f>IFERROR([1]!s_stm07_is_105($A1489,TEXT($B$1,"yyyy/mm/dd"),1),"")</f>
        <v>0</v>
      </c>
      <c r="I1489">
        <f>IFERROR([1]!s_stm07_is($A1489,"W72946623",TEXT($B$1,"yyyy/mm/dd"),1),"")</f>
        <v>2349623000</v>
      </c>
      <c r="J1489">
        <f>IFERROR([1]!s_stm07_is($A1489,"W30028333",TEXT($B$1,"yyyy/mm/dd"),1),"")</f>
        <v>2043283000</v>
      </c>
      <c r="K1489">
        <f>IFERROR([1]!s_stm07_cs($A1489,"W77130581",TEXT($B$1,"yyyy/mm/dd"),1),"")</f>
        <v>7421394000</v>
      </c>
      <c r="L1489">
        <f>IFERROR([1]!s_stm07_cs($A1489,"W77745895",TEXT($B$1,"yyyy/mm/dd"),1),"")</f>
        <v>163749000</v>
      </c>
      <c r="M1489">
        <f>IFERROR([1]!S_FA_EPS_basic2($A1489,$B$1,"Cur=CNY"),"")</f>
        <v>1.01</v>
      </c>
      <c r="N1489">
        <f>IFERROR([1]!s_fa_arturndays($A1489,TEXT($B$1,"yyyy/mm/dd")),"")</f>
        <v>0</v>
      </c>
      <c r="O1489" t="str">
        <f>IFERROR([1]!fa_apturndays($A1489,TEXT($B$1,"yyyy/mm/dd")),"")</f>
        <v>Fetch...</v>
      </c>
      <c r="P1489">
        <f>IFERROR([1]!s_fa_invturndays($A1489,TEXT($B$1,"yyyy/mm/dd")),"")</f>
        <v>0</v>
      </c>
    </row>
    <row r="1490" spans="1:16">
      <c r="A1490" t="s">
        <v>1503</v>
      </c>
      <c r="B1490">
        <f>IFERROR([1]!s_stm07_is($A1490,"W70156729",TEXT($B$1,"yyyy/mm/dd"),1),"")</f>
        <v>2652418192.0799999</v>
      </c>
      <c r="C1490">
        <f>IFERROR([1]!s_stm07_is($A1490,"W75682424",TEXT($B$1,"yyyy/mm/dd"),1),"")</f>
        <v>2354417728.1300001</v>
      </c>
      <c r="D1490">
        <f>IFERROR([1]!s_stm07_is($A1490,"W76031679",TEXT($B$1,"yyyy/mm/dd"),1),"")</f>
        <v>35857953.700000003</v>
      </c>
      <c r="E1490">
        <f>IFERROR([1]!s_stm07_is($A1490,"W70752487",TEXT($B$1,"yyyy/mm/dd"),1),"")</f>
        <v>55901728.869999997</v>
      </c>
      <c r="F1490">
        <f>IFERROR([1]!s_stm07_is_103($A1490,TEXT($B$1,"yyyy/mm/dd"),1),"")</f>
        <v>33431604.989999998</v>
      </c>
      <c r="G1490">
        <f>IFERROR([1]!s_stm07_is_104($A1490,TEXT($B$1,"yyyy/mm/dd"),1),"")</f>
        <v>26163058.239999998</v>
      </c>
      <c r="H1490">
        <f>IFERROR([1]!s_stm07_is_105($A1490,TEXT($B$1,"yyyy/mm/dd"),1),"")</f>
        <v>1979337.4</v>
      </c>
      <c r="I1490">
        <f>IFERROR([1]!s_stm07_is($A1490,"W72946623",TEXT($B$1,"yyyy/mm/dd"),1),"")</f>
        <v>131472975.23</v>
      </c>
      <c r="J1490">
        <f>IFERROR([1]!s_stm07_is($A1490,"W30028333",TEXT($B$1,"yyyy/mm/dd"),1),"")</f>
        <v>118356647.13</v>
      </c>
      <c r="K1490">
        <f>IFERROR([1]!s_stm07_cs($A1490,"W77130581",TEXT($B$1,"yyyy/mm/dd"),1),"")</f>
        <v>-133314371.92</v>
      </c>
      <c r="L1490">
        <f>IFERROR([1]!s_stm07_cs($A1490,"W77745895",TEXT($B$1,"yyyy/mm/dd"),1),"")</f>
        <v>170663868.83000001</v>
      </c>
      <c r="M1490">
        <f>IFERROR([1]!S_FA_EPS_basic2($A1490,$B$1,"Cur=CNY"),"")</f>
        <v>0.1187</v>
      </c>
      <c r="N1490">
        <f>IFERROR([1]!s_fa_arturndays($A1490,TEXT($B$1,"yyyy/mm/dd")),"")</f>
        <v>56.651899999999998</v>
      </c>
      <c r="O1490" t="str">
        <f>IFERROR([1]!fa_apturndays($A1490,TEXT($B$1,"yyyy/mm/dd")),"")</f>
        <v>Fetch...</v>
      </c>
      <c r="P1490">
        <f>IFERROR([1]!s_fa_invturndays($A1490,TEXT($B$1,"yyyy/mm/dd")),"")</f>
        <v>63.181199999999997</v>
      </c>
    </row>
    <row r="1491" spans="1:16">
      <c r="A1491" t="s">
        <v>1504</v>
      </c>
      <c r="B1491">
        <f>IFERROR([1]!s_stm07_is($A1491,"W70156729",TEXT($B$1,"yyyy/mm/dd"),1),"")</f>
        <v>4025314283.1399999</v>
      </c>
      <c r="C1491">
        <f>IFERROR([1]!s_stm07_is($A1491,"W75682424",TEXT($B$1,"yyyy/mm/dd"),1),"")</f>
        <v>3132686398.52</v>
      </c>
      <c r="D1491">
        <f>IFERROR([1]!s_stm07_is($A1491,"W76031679",TEXT($B$1,"yyyy/mm/dd"),1),"")</f>
        <v>94944074.379999995</v>
      </c>
      <c r="E1491">
        <f>IFERROR([1]!s_stm07_is($A1491,"W70752487",TEXT($B$1,"yyyy/mm/dd"),1),"")</f>
        <v>116239481.72</v>
      </c>
      <c r="F1491">
        <f>IFERROR([1]!s_stm07_is_103($A1491,TEXT($B$1,"yyyy/mm/dd"),1),"")</f>
        <v>174878074.18000001</v>
      </c>
      <c r="G1491">
        <f>IFERROR([1]!s_stm07_is_104($A1491,TEXT($B$1,"yyyy/mm/dd"),1),"")</f>
        <v>12364430.33</v>
      </c>
      <c r="H1491">
        <f>IFERROR([1]!s_stm07_is_105($A1491,TEXT($B$1,"yyyy/mm/dd"),1),"")</f>
        <v>39563911.359999999</v>
      </c>
      <c r="I1491">
        <f>IFERROR([1]!s_stm07_is($A1491,"W72946623",TEXT($B$1,"yyyy/mm/dd"),1),"")</f>
        <v>520785443.69999999</v>
      </c>
      <c r="J1491">
        <f>IFERROR([1]!s_stm07_is($A1491,"W30028333",TEXT($B$1,"yyyy/mm/dd"),1),"")</f>
        <v>465673527.13999999</v>
      </c>
      <c r="K1491">
        <f>IFERROR([1]!s_stm07_cs($A1491,"W77130581",TEXT($B$1,"yyyy/mm/dd"),1),"")</f>
        <v>839309687.35000002</v>
      </c>
      <c r="L1491">
        <f>IFERROR([1]!s_stm07_cs($A1491,"W77745895",TEXT($B$1,"yyyy/mm/dd"),1),"")</f>
        <v>500167571.60000002</v>
      </c>
      <c r="M1491">
        <f>IFERROR([1]!S_FA_EPS_basic2($A1491,$B$1,"Cur=CNY"),"")</f>
        <v>0.46600000000000003</v>
      </c>
      <c r="N1491">
        <f>IFERROR([1]!s_fa_arturndays($A1491,TEXT($B$1,"yyyy/mm/dd")),"")</f>
        <v>109.95050000000001</v>
      </c>
      <c r="O1491" t="str">
        <f>IFERROR([1]!fa_apturndays($A1491,TEXT($B$1,"yyyy/mm/dd")),"")</f>
        <v>Fetch...</v>
      </c>
      <c r="P1491">
        <f>IFERROR([1]!s_fa_invturndays($A1491,TEXT($B$1,"yyyy/mm/dd")),"")</f>
        <v>49.852499999999999</v>
      </c>
    </row>
    <row r="1492" spans="1:16">
      <c r="A1492" t="s">
        <v>1505</v>
      </c>
      <c r="B1492">
        <f>IFERROR([1]!s_stm07_is($A1492,"W70156729",TEXT($B$1,"yyyy/mm/dd"),1),"")</f>
        <v>6586957662.5799999</v>
      </c>
      <c r="C1492">
        <f>IFERROR([1]!s_stm07_is($A1492,"W75682424",TEXT($B$1,"yyyy/mm/dd"),1),"")</f>
        <v>4331654523.5699997</v>
      </c>
      <c r="D1492">
        <f>IFERROR([1]!s_stm07_is($A1492,"W76031679",TEXT($B$1,"yyyy/mm/dd"),1),"")</f>
        <v>527409374.32999998</v>
      </c>
      <c r="E1492">
        <f>IFERROR([1]!s_stm07_is($A1492,"W70752487",TEXT($B$1,"yyyy/mm/dd"),1),"")</f>
        <v>315576394.61000001</v>
      </c>
      <c r="F1492">
        <f>IFERROR([1]!s_stm07_is_103($A1492,TEXT($B$1,"yyyy/mm/dd"),1),"")</f>
        <v>553338623.91999996</v>
      </c>
      <c r="G1492">
        <f>IFERROR([1]!s_stm07_is_104($A1492,TEXT($B$1,"yyyy/mm/dd"),1),"")</f>
        <v>9724686.8399999999</v>
      </c>
      <c r="H1492">
        <f>IFERROR([1]!s_stm07_is_105($A1492,TEXT($B$1,"yyyy/mm/dd"),1),"")</f>
        <v>15115621.949999999</v>
      </c>
      <c r="I1492">
        <f>IFERROR([1]!s_stm07_is($A1492,"W72946623",TEXT($B$1,"yyyy/mm/dd"),1),"")</f>
        <v>928959426.89999998</v>
      </c>
      <c r="J1492">
        <f>IFERROR([1]!s_stm07_is($A1492,"W30028333",TEXT($B$1,"yyyy/mm/dd"),1),"")</f>
        <v>855939927.09000003</v>
      </c>
      <c r="K1492">
        <f>IFERROR([1]!s_stm07_cs($A1492,"W77130581",TEXT($B$1,"yyyy/mm/dd"),1),"")</f>
        <v>1284877060.8499999</v>
      </c>
      <c r="L1492">
        <f>IFERROR([1]!s_stm07_cs($A1492,"W77745895",TEXT($B$1,"yyyy/mm/dd"),1),"")</f>
        <v>168923670.68000001</v>
      </c>
      <c r="M1492">
        <f>IFERROR([1]!S_FA_EPS_basic2($A1492,$B$1,"Cur=CNY"),"")</f>
        <v>1.79</v>
      </c>
      <c r="N1492">
        <f>IFERROR([1]!s_fa_arturndays($A1492,TEXT($B$1,"yyyy/mm/dd")),"")</f>
        <v>50.398299999999999</v>
      </c>
      <c r="O1492" t="str">
        <f>IFERROR([1]!fa_apturndays($A1492,TEXT($B$1,"yyyy/mm/dd")),"")</f>
        <v>Fetch...</v>
      </c>
      <c r="P1492">
        <f>IFERROR([1]!s_fa_invturndays($A1492,TEXT($B$1,"yyyy/mm/dd")),"")</f>
        <v>73.069699999999997</v>
      </c>
    </row>
    <row r="1493" spans="1:16">
      <c r="A1493" t="s">
        <v>1506</v>
      </c>
      <c r="B1493">
        <f>IFERROR([1]!s_stm07_is($A1493,"W70156729",TEXT($B$1,"yyyy/mm/dd"),1),"")</f>
        <v>8575480546.3599997</v>
      </c>
      <c r="C1493">
        <f>IFERROR([1]!s_stm07_is($A1493,"W75682424",TEXT($B$1,"yyyy/mm/dd"),1),"")</f>
        <v>5637785303.3900003</v>
      </c>
      <c r="D1493">
        <f>IFERROR([1]!s_stm07_is($A1493,"W76031679",TEXT($B$1,"yyyy/mm/dd"),1),"")</f>
        <v>309785533.61000001</v>
      </c>
      <c r="E1493">
        <f>IFERROR([1]!s_stm07_is($A1493,"W70752487",TEXT($B$1,"yyyy/mm/dd"),1),"")</f>
        <v>258382184.28999999</v>
      </c>
      <c r="F1493">
        <f>IFERROR([1]!s_stm07_is_103($A1493,TEXT($B$1,"yyyy/mm/dd"),1),"")</f>
        <v>291104355.32999998</v>
      </c>
      <c r="G1493">
        <f>IFERROR([1]!s_stm07_is_104($A1493,TEXT($B$1,"yyyy/mm/dd"),1),"")</f>
        <v>10823057.67</v>
      </c>
      <c r="H1493">
        <f>IFERROR([1]!s_stm07_is_105($A1493,TEXT($B$1,"yyyy/mm/dd"),1),"")</f>
        <v>188722185.86000001</v>
      </c>
      <c r="I1493">
        <f>IFERROR([1]!s_stm07_is($A1493,"W72946623",TEXT($B$1,"yyyy/mm/dd"),1),"")</f>
        <v>2231598177.73</v>
      </c>
      <c r="J1493">
        <f>IFERROR([1]!s_stm07_is($A1493,"W30028333",TEXT($B$1,"yyyy/mm/dd"),1),"")</f>
        <v>1899204197.29</v>
      </c>
      <c r="K1493">
        <f>IFERROR([1]!s_stm07_cs($A1493,"W77130581",TEXT($B$1,"yyyy/mm/dd"),1),"")</f>
        <v>1312489814.95</v>
      </c>
      <c r="L1493">
        <f>IFERROR([1]!s_stm07_cs($A1493,"W77745895",TEXT($B$1,"yyyy/mm/dd"),1),"")</f>
        <v>661555440.11000001</v>
      </c>
      <c r="M1493">
        <f>IFERROR([1]!S_FA_EPS_basic2($A1493,$B$1,"Cur=CNY"),"")</f>
        <v>3.75</v>
      </c>
      <c r="N1493">
        <f>IFERROR([1]!s_fa_arturndays($A1493,TEXT($B$1,"yyyy/mm/dd")),"")</f>
        <v>110.2266</v>
      </c>
      <c r="O1493" t="str">
        <f>IFERROR([1]!fa_apturndays($A1493,TEXT($B$1,"yyyy/mm/dd")),"")</f>
        <v>Fetch...</v>
      </c>
      <c r="P1493">
        <f>IFERROR([1]!s_fa_invturndays($A1493,TEXT($B$1,"yyyy/mm/dd")),"")</f>
        <v>167.4263</v>
      </c>
    </row>
    <row r="1494" spans="1:16">
      <c r="A1494" t="s">
        <v>1507</v>
      </c>
      <c r="B1494">
        <f>IFERROR([1]!s_stm07_is($A1494,"W70156729",TEXT($B$1,"yyyy/mm/dd"),1),"")</f>
        <v>42124809311.480003</v>
      </c>
      <c r="C1494">
        <f>IFERROR([1]!s_stm07_is($A1494,"W75682424",TEXT($B$1,"yyyy/mm/dd"),1),"")</f>
        <v>38425635170.949997</v>
      </c>
      <c r="D1494">
        <f>IFERROR([1]!s_stm07_is($A1494,"W76031679",TEXT($B$1,"yyyy/mm/dd"),1),"")</f>
        <v>98245236.319999993</v>
      </c>
      <c r="E1494">
        <f>IFERROR([1]!s_stm07_is($A1494,"W70752487",TEXT($B$1,"yyyy/mm/dd"),1),"")</f>
        <v>664838204.70000005</v>
      </c>
      <c r="F1494">
        <f>IFERROR([1]!s_stm07_is_103($A1494,TEXT($B$1,"yyyy/mm/dd"),1),"")</f>
        <v>2715166125.7199998</v>
      </c>
      <c r="G1494">
        <f>IFERROR([1]!s_stm07_is_104($A1494,TEXT($B$1,"yyyy/mm/dd"),1),"")</f>
        <v>60812854.649999999</v>
      </c>
      <c r="H1494">
        <f>IFERROR([1]!s_stm07_is_105($A1494,TEXT($B$1,"yyyy/mm/dd"),1),"")</f>
        <v>137963983.38999999</v>
      </c>
      <c r="I1494">
        <f>IFERROR([1]!s_stm07_is($A1494,"W72946623",TEXT($B$1,"yyyy/mm/dd"),1),"")</f>
        <v>627195296.52999997</v>
      </c>
      <c r="J1494">
        <f>IFERROR([1]!s_stm07_is($A1494,"W30028333",TEXT($B$1,"yyyy/mm/dd"),1),"")</f>
        <v>585117007.66999996</v>
      </c>
      <c r="K1494">
        <f>IFERROR([1]!s_stm07_cs($A1494,"W77130581",TEXT($B$1,"yyyy/mm/dd"),1),"")</f>
        <v>1137911542.73</v>
      </c>
      <c r="L1494">
        <f>IFERROR([1]!s_stm07_cs($A1494,"W77745895",TEXT($B$1,"yyyy/mm/dd"),1),"")</f>
        <v>982020203.11000001</v>
      </c>
      <c r="M1494">
        <f>IFERROR([1]!S_FA_EPS_basic2($A1494,$B$1,"Cur=CNY"),"")</f>
        <v>1.27</v>
      </c>
      <c r="N1494">
        <f>IFERROR([1]!s_fa_arturndays($A1494,TEXT($B$1,"yyyy/mm/dd")),"")</f>
        <v>91.834400000000002</v>
      </c>
      <c r="O1494" t="str">
        <f>IFERROR([1]!fa_apturndays($A1494,TEXT($B$1,"yyyy/mm/dd")),"")</f>
        <v>Fetch...</v>
      </c>
      <c r="P1494">
        <f>IFERROR([1]!s_fa_invturndays($A1494,TEXT($B$1,"yyyy/mm/dd")),"")</f>
        <v>17.8154</v>
      </c>
    </row>
    <row r="1495" spans="1:16">
      <c r="A1495" t="s">
        <v>1508</v>
      </c>
      <c r="B1495">
        <f>IFERROR([1]!s_stm07_is($A1495,"W70156729",TEXT($B$1,"yyyy/mm/dd"),1),"")</f>
        <v>16192613033.59</v>
      </c>
      <c r="C1495">
        <f>IFERROR([1]!s_stm07_is($A1495,"W75682424",TEXT($B$1,"yyyy/mm/dd"),1),"")</f>
        <v>12694849606.1</v>
      </c>
      <c r="D1495">
        <f>IFERROR([1]!s_stm07_is($A1495,"W76031679",TEXT($B$1,"yyyy/mm/dd"),1),"")</f>
        <v>965731453.07000005</v>
      </c>
      <c r="E1495">
        <f>IFERROR([1]!s_stm07_is($A1495,"W70752487",TEXT($B$1,"yyyy/mm/dd"),1),"")</f>
        <v>415932826.31999999</v>
      </c>
      <c r="F1495">
        <f>IFERROR([1]!s_stm07_is_103($A1495,TEXT($B$1,"yyyy/mm/dd"),1),"")</f>
        <v>92066916.209999993</v>
      </c>
      <c r="G1495">
        <f>IFERROR([1]!s_stm07_is_104($A1495,TEXT($B$1,"yyyy/mm/dd"),1),"")</f>
        <v>17449346.989999998</v>
      </c>
      <c r="H1495">
        <f>IFERROR([1]!s_stm07_is_105($A1495,TEXT($B$1,"yyyy/mm/dd"),1),"")</f>
        <v>57126326.729999997</v>
      </c>
      <c r="I1495">
        <f>IFERROR([1]!s_stm07_is($A1495,"W72946623",TEXT($B$1,"yyyy/mm/dd"),1),"")</f>
        <v>1833369255.8099999</v>
      </c>
      <c r="J1495">
        <f>IFERROR([1]!s_stm07_is($A1495,"W30028333",TEXT($B$1,"yyyy/mm/dd"),1),"")</f>
        <v>1359237139.6199999</v>
      </c>
      <c r="K1495">
        <f>IFERROR([1]!s_stm07_cs($A1495,"W77130581",TEXT($B$1,"yyyy/mm/dd"),1),"")</f>
        <v>2316722978.5900002</v>
      </c>
      <c r="L1495">
        <f>IFERROR([1]!s_stm07_cs($A1495,"W77745895",TEXT($B$1,"yyyy/mm/dd"),1),"")</f>
        <v>873464939.65999997</v>
      </c>
      <c r="M1495">
        <f>IFERROR([1]!S_FA_EPS_basic2($A1495,$B$1,"Cur=CNY"),"")</f>
        <v>4.4000000000000004</v>
      </c>
      <c r="N1495">
        <f>IFERROR([1]!s_fa_arturndays($A1495,TEXT($B$1,"yyyy/mm/dd")),"")</f>
        <v>14.424099999999999</v>
      </c>
      <c r="O1495" t="str">
        <f>IFERROR([1]!fa_apturndays($A1495,TEXT($B$1,"yyyy/mm/dd")),"")</f>
        <v>Fetch...</v>
      </c>
      <c r="P1495">
        <f>IFERROR([1]!s_fa_invturndays($A1495,TEXT($B$1,"yyyy/mm/dd")),"")</f>
        <v>98.2881</v>
      </c>
    </row>
    <row r="1496" spans="1:16">
      <c r="A1496" t="s">
        <v>1509</v>
      </c>
      <c r="B1496">
        <f>IFERROR([1]!s_stm07_is($A1496,"W70156729",TEXT($B$1,"yyyy/mm/dd"),1),"")</f>
        <v>9867112643.75</v>
      </c>
      <c r="C1496">
        <f>IFERROR([1]!s_stm07_is($A1496,"W75682424",TEXT($B$1,"yyyy/mm/dd"),1),"")</f>
        <v>7678341491.6499996</v>
      </c>
      <c r="D1496">
        <f>IFERROR([1]!s_stm07_is($A1496,"W76031679",TEXT($B$1,"yyyy/mm/dd"),1),"")</f>
        <v>429501760.11000001</v>
      </c>
      <c r="E1496">
        <f>IFERROR([1]!s_stm07_is($A1496,"W70752487",TEXT($B$1,"yyyy/mm/dd"),1),"")</f>
        <v>241001767.80000001</v>
      </c>
      <c r="F1496">
        <f>IFERROR([1]!s_stm07_is_103($A1496,TEXT($B$1,"yyyy/mm/dd"),1),"")</f>
        <v>542898947.60000002</v>
      </c>
      <c r="G1496">
        <f>IFERROR([1]!s_stm07_is_104($A1496,TEXT($B$1,"yyyy/mm/dd"),1),"")</f>
        <v>168454792.02000001</v>
      </c>
      <c r="H1496">
        <f>IFERROR([1]!s_stm07_is_105($A1496,TEXT($B$1,"yyyy/mm/dd"),1),"")</f>
        <v>277862431.14999998</v>
      </c>
      <c r="I1496">
        <f>IFERROR([1]!s_stm07_is($A1496,"W72946623",TEXT($B$1,"yyyy/mm/dd"),1),"")</f>
        <v>864429633.79999995</v>
      </c>
      <c r="J1496">
        <f>IFERROR([1]!s_stm07_is($A1496,"W30028333",TEXT($B$1,"yyyy/mm/dd"),1),"")</f>
        <v>799338230.94000006</v>
      </c>
      <c r="K1496">
        <f>IFERROR([1]!s_stm07_cs($A1496,"W77130581",TEXT($B$1,"yyyy/mm/dd"),1),"")</f>
        <v>1476050042.8399999</v>
      </c>
      <c r="L1496">
        <f>IFERROR([1]!s_stm07_cs($A1496,"W77745895",TEXT($B$1,"yyyy/mm/dd"),1),"")</f>
        <v>541287901.35000002</v>
      </c>
      <c r="M1496">
        <f>IFERROR([1]!S_FA_EPS_basic2($A1496,$B$1,"Cur=CNY"),"")</f>
        <v>1.39</v>
      </c>
      <c r="N1496">
        <f>IFERROR([1]!s_fa_arturndays($A1496,TEXT($B$1,"yyyy/mm/dd")),"")</f>
        <v>80.672300000000007</v>
      </c>
      <c r="O1496" t="str">
        <f>IFERROR([1]!fa_apturndays($A1496,TEXT($B$1,"yyyy/mm/dd")),"")</f>
        <v>Fetch...</v>
      </c>
      <c r="P1496">
        <f>IFERROR([1]!s_fa_invturndays($A1496,TEXT($B$1,"yyyy/mm/dd")),"")</f>
        <v>65.477199999999996</v>
      </c>
    </row>
    <row r="1497" spans="1:16">
      <c r="A1497" t="s">
        <v>1510</v>
      </c>
      <c r="B1497">
        <f>IFERROR([1]!s_stm07_is($A1497,"W70156729",TEXT($B$1,"yyyy/mm/dd"),1),"")</f>
        <v>4994224951.1800003</v>
      </c>
      <c r="C1497">
        <f>IFERROR([1]!s_stm07_is($A1497,"W75682424",TEXT($B$1,"yyyy/mm/dd"),1),"")</f>
        <v>4375612759.9399996</v>
      </c>
      <c r="D1497">
        <f>IFERROR([1]!s_stm07_is($A1497,"W76031679",TEXT($B$1,"yyyy/mm/dd"),1),"")</f>
        <v>51224735.100000001</v>
      </c>
      <c r="E1497">
        <f>IFERROR([1]!s_stm07_is($A1497,"W70752487",TEXT($B$1,"yyyy/mm/dd"),1),"")</f>
        <v>181798359.59</v>
      </c>
      <c r="F1497">
        <f>IFERROR([1]!s_stm07_is_103($A1497,TEXT($B$1,"yyyy/mm/dd"),1),"")</f>
        <v>218546047.63999999</v>
      </c>
      <c r="G1497">
        <f>IFERROR([1]!s_stm07_is_104($A1497,TEXT($B$1,"yyyy/mm/dd"),1),"")</f>
        <v>29510751.780000001</v>
      </c>
      <c r="H1497">
        <f>IFERROR([1]!s_stm07_is_105($A1497,TEXT($B$1,"yyyy/mm/dd"),1),"")</f>
        <v>10187123.32</v>
      </c>
      <c r="I1497">
        <f>IFERROR([1]!s_stm07_is($A1497,"W72946623",TEXT($B$1,"yyyy/mm/dd"),1),"")</f>
        <v>284657705.69</v>
      </c>
      <c r="J1497">
        <f>IFERROR([1]!s_stm07_is($A1497,"W30028333",TEXT($B$1,"yyyy/mm/dd"),1),"")</f>
        <v>253540898.25999999</v>
      </c>
      <c r="K1497">
        <f>IFERROR([1]!s_stm07_cs($A1497,"W77130581",TEXT($B$1,"yyyy/mm/dd"),1),"")</f>
        <v>170838144.27000001</v>
      </c>
      <c r="L1497">
        <f>IFERROR([1]!s_stm07_cs($A1497,"W77745895",TEXT($B$1,"yyyy/mm/dd"),1),"")</f>
        <v>243071812.13</v>
      </c>
      <c r="M1497">
        <f>IFERROR([1]!S_FA_EPS_basic2($A1497,$B$1,"Cur=CNY"),"")</f>
        <v>0.55000000000000004</v>
      </c>
      <c r="N1497">
        <f>IFERROR([1]!s_fa_arturndays($A1497,TEXT($B$1,"yyyy/mm/dd")),"")</f>
        <v>93.482200000000006</v>
      </c>
      <c r="O1497" t="str">
        <f>IFERROR([1]!fa_apturndays($A1497,TEXT($B$1,"yyyy/mm/dd")),"")</f>
        <v>Fetch...</v>
      </c>
      <c r="P1497">
        <f>IFERROR([1]!s_fa_invturndays($A1497,TEXT($B$1,"yyyy/mm/dd")),"")</f>
        <v>103.1135</v>
      </c>
    </row>
    <row r="1498" spans="1:16">
      <c r="A1498" t="s">
        <v>1511</v>
      </c>
      <c r="B1498">
        <f>IFERROR([1]!s_stm07_is($A1498,"W70156729",TEXT($B$1,"yyyy/mm/dd"),1),"")</f>
        <v>1723947781.02</v>
      </c>
      <c r="C1498">
        <f>IFERROR([1]!s_stm07_is($A1498,"W75682424",TEXT($B$1,"yyyy/mm/dd"),1),"")</f>
        <v>1099734927.47</v>
      </c>
      <c r="D1498">
        <f>IFERROR([1]!s_stm07_is($A1498,"W76031679",TEXT($B$1,"yyyy/mm/dd"),1),"")</f>
        <v>27784687.399999999</v>
      </c>
      <c r="E1498">
        <f>IFERROR([1]!s_stm07_is($A1498,"W70752487",TEXT($B$1,"yyyy/mm/dd"),1),"")</f>
        <v>146832592.19999999</v>
      </c>
      <c r="F1498">
        <f>IFERROR([1]!s_stm07_is_103($A1498,TEXT($B$1,"yyyy/mm/dd"),1),"")</f>
        <v>84197158.739999995</v>
      </c>
      <c r="G1498">
        <f>IFERROR([1]!s_stm07_is_104($A1498,TEXT($B$1,"yyyy/mm/dd"),1),"")</f>
        <v>30262015.710000001</v>
      </c>
      <c r="H1498">
        <f>IFERROR([1]!s_stm07_is_105($A1498,TEXT($B$1,"yyyy/mm/dd"),1),"")</f>
        <v>11821778.1</v>
      </c>
      <c r="I1498">
        <f>IFERROR([1]!s_stm07_is($A1498,"W72946623",TEXT($B$1,"yyyy/mm/dd"),1),"")</f>
        <v>353571058.11000001</v>
      </c>
      <c r="J1498">
        <f>IFERROR([1]!s_stm07_is($A1498,"W30028333",TEXT($B$1,"yyyy/mm/dd"),1),"")</f>
        <v>209774693.69</v>
      </c>
      <c r="K1498">
        <f>IFERROR([1]!s_stm07_cs($A1498,"W77130581",TEXT($B$1,"yyyy/mm/dd"),1),"")</f>
        <v>546693386.63999999</v>
      </c>
      <c r="L1498">
        <f>IFERROR([1]!s_stm07_cs($A1498,"W77745895",TEXT($B$1,"yyyy/mm/dd"),1),"")</f>
        <v>36666537.939999998</v>
      </c>
      <c r="M1498">
        <f>IFERROR([1]!S_FA_EPS_basic2($A1498,$B$1,"Cur=CNY"),"")</f>
        <v>0.3</v>
      </c>
      <c r="N1498">
        <f>IFERROR([1]!s_fa_arturndays($A1498,TEXT($B$1,"yyyy/mm/dd")),"")</f>
        <v>57.9925</v>
      </c>
      <c r="O1498" t="str">
        <f>IFERROR([1]!fa_apturndays($A1498,TEXT($B$1,"yyyy/mm/dd")),"")</f>
        <v>Fetch...</v>
      </c>
      <c r="P1498">
        <f>IFERROR([1]!s_fa_invturndays($A1498,TEXT($B$1,"yyyy/mm/dd")),"")</f>
        <v>325.9393</v>
      </c>
    </row>
    <row r="1499" spans="1:16">
      <c r="A1499" t="s">
        <v>1512</v>
      </c>
      <c r="B1499">
        <f>IFERROR([1]!s_stm07_is($A1499,"W70156729",TEXT($B$1,"yyyy/mm/dd"),1),"")</f>
        <v>10182116333.950001</v>
      </c>
      <c r="C1499">
        <f>IFERROR([1]!s_stm07_is($A1499,"W75682424",TEXT($B$1,"yyyy/mm/dd"),1),"")</f>
        <v>2621714274.3400002</v>
      </c>
      <c r="D1499">
        <f>IFERROR([1]!s_stm07_is($A1499,"W76031679",TEXT($B$1,"yyyy/mm/dd"),1),"")</f>
        <v>2353374889.6399999</v>
      </c>
      <c r="E1499">
        <f>IFERROR([1]!s_stm07_is($A1499,"W70752487",TEXT($B$1,"yyyy/mm/dd"),1),"")</f>
        <v>428637088.81</v>
      </c>
      <c r="F1499">
        <f>IFERROR([1]!s_stm07_is_103($A1499,TEXT($B$1,"yyyy/mm/dd"),1),"")</f>
        <v>50230878.229999997</v>
      </c>
      <c r="G1499">
        <f>IFERROR([1]!s_stm07_is_104($A1499,TEXT($B$1,"yyyy/mm/dd"),1),"")</f>
        <v>9163958.5199999996</v>
      </c>
      <c r="H1499">
        <f>IFERROR([1]!s_stm07_is_105($A1499,TEXT($B$1,"yyyy/mm/dd"),1),"")</f>
        <v>95556349.260000005</v>
      </c>
      <c r="I1499">
        <f>IFERROR([1]!s_stm07_is($A1499,"W72946623",TEXT($B$1,"yyyy/mm/dd"),1),"")</f>
        <v>3459779539.5</v>
      </c>
      <c r="J1499">
        <f>IFERROR([1]!s_stm07_is($A1499,"W30028333",TEXT($B$1,"yyyy/mm/dd"),1),"")</f>
        <v>2603690665.79</v>
      </c>
      <c r="K1499">
        <f>IFERROR([1]!s_stm07_cs($A1499,"W77130581",TEXT($B$1,"yyyy/mm/dd"),1),"")</f>
        <v>1508158610.1600001</v>
      </c>
      <c r="L1499">
        <f>IFERROR([1]!s_stm07_cs($A1499,"W77745895",TEXT($B$1,"yyyy/mm/dd"),1),"")</f>
        <v>1831700785.6199999</v>
      </c>
      <c r="M1499">
        <f>IFERROR([1]!S_FA_EPS_basic2($A1499,$B$1,"Cur=CNY"),"")</f>
        <v>2.0882999999999998</v>
      </c>
      <c r="N1499">
        <f>IFERROR([1]!s_fa_arturndays($A1499,TEXT($B$1,"yyyy/mm/dd")),"")</f>
        <v>1.762</v>
      </c>
      <c r="O1499" t="str">
        <f>IFERROR([1]!fa_apturndays($A1499,TEXT($B$1,"yyyy/mm/dd")),"")</f>
        <v>Fetch...</v>
      </c>
      <c r="P1499">
        <f>IFERROR([1]!s_fa_invturndays($A1499,TEXT($B$1,"yyyy/mm/dd")),"")</f>
        <v>861.86260000000004</v>
      </c>
    </row>
    <row r="1500" spans="1:16">
      <c r="A1500" t="s">
        <v>1513</v>
      </c>
      <c r="B1500">
        <f>IFERROR([1]!s_stm07_is($A1500,"W70156729",TEXT($B$1,"yyyy/mm/dd"),1),"")</f>
        <v>5849546738.2600002</v>
      </c>
      <c r="C1500">
        <f>IFERROR([1]!s_stm07_is($A1500,"W75682424",TEXT($B$1,"yyyy/mm/dd"),1),"")</f>
        <v>2889779107.8000002</v>
      </c>
      <c r="D1500">
        <f>IFERROR([1]!s_stm07_is($A1500,"W76031679",TEXT($B$1,"yyyy/mm/dd"),1),"")</f>
        <v>63182607.969999999</v>
      </c>
      <c r="E1500">
        <f>IFERROR([1]!s_stm07_is($A1500,"W70752487",TEXT($B$1,"yyyy/mm/dd"),1),"")</f>
        <v>243408616.44</v>
      </c>
      <c r="F1500">
        <f>IFERROR([1]!s_stm07_is_103($A1500,TEXT($B$1,"yyyy/mm/dd"),1),"")</f>
        <v>110133186.04000001</v>
      </c>
      <c r="G1500">
        <f>IFERROR([1]!s_stm07_is_104($A1500,TEXT($B$1,"yyyy/mm/dd"),1),"")</f>
        <v>47988.65</v>
      </c>
      <c r="H1500">
        <f>IFERROR([1]!s_stm07_is_105($A1500,TEXT($B$1,"yyyy/mm/dd"),1),"")</f>
        <v>52255238.93</v>
      </c>
      <c r="I1500">
        <f>IFERROR([1]!s_stm07_is($A1500,"W72946623",TEXT($B$1,"yyyy/mm/dd"),1),"")</f>
        <v>2572808717.0900002</v>
      </c>
      <c r="J1500">
        <f>IFERROR([1]!s_stm07_is($A1500,"W30028333",TEXT($B$1,"yyyy/mm/dd"),1),"")</f>
        <v>2061141136.6500001</v>
      </c>
      <c r="K1500">
        <f>IFERROR([1]!s_stm07_cs($A1500,"W77130581",TEXT($B$1,"yyyy/mm/dd"),1),"")</f>
        <v>2160886170.5700002</v>
      </c>
      <c r="L1500">
        <f>IFERROR([1]!s_stm07_cs($A1500,"W77745895",TEXT($B$1,"yyyy/mm/dd"),1),"")</f>
        <v>1357093312.24</v>
      </c>
      <c r="M1500">
        <f>IFERROR([1]!S_FA_EPS_basic2($A1500,$B$1,"Cur=CNY"),"")</f>
        <v>3.4</v>
      </c>
      <c r="N1500">
        <f>IFERROR([1]!s_fa_arturndays($A1500,TEXT($B$1,"yyyy/mm/dd")),"")</f>
        <v>26.4069</v>
      </c>
      <c r="O1500" t="str">
        <f>IFERROR([1]!fa_apturndays($A1500,TEXT($B$1,"yyyy/mm/dd")),"")</f>
        <v>Fetch...</v>
      </c>
      <c r="P1500">
        <f>IFERROR([1]!s_fa_invturndays($A1500,TEXT($B$1,"yyyy/mm/dd")),"")</f>
        <v>69.025000000000006</v>
      </c>
    </row>
    <row r="1501" spans="1:16">
      <c r="A1501" t="s">
        <v>1514</v>
      </c>
      <c r="B1501">
        <f>IFERROR([1]!s_stm07_is($A1501,"W70156729",TEXT($B$1,"yyyy/mm/dd"),1),"")</f>
        <v>581538830.83000004</v>
      </c>
      <c r="C1501">
        <f>IFERROR([1]!s_stm07_is($A1501,"W75682424",TEXT($B$1,"yyyy/mm/dd"),1),"")</f>
        <v>170298223.56</v>
      </c>
      <c r="D1501">
        <f>IFERROR([1]!s_stm07_is($A1501,"W76031679",TEXT($B$1,"yyyy/mm/dd"),1),"")</f>
        <v>56102465.200000003</v>
      </c>
      <c r="E1501">
        <f>IFERROR([1]!s_stm07_is($A1501,"W70752487",TEXT($B$1,"yyyy/mm/dd"),1),"")</f>
        <v>72983625.969999999</v>
      </c>
      <c r="F1501">
        <f>IFERROR([1]!s_stm07_is_103($A1501,TEXT($B$1,"yyyy/mm/dd"),1),"")</f>
        <v>136399642.88999999</v>
      </c>
      <c r="G1501">
        <f>IFERROR([1]!s_stm07_is_104($A1501,TEXT($B$1,"yyyy/mm/dd"),1),"")</f>
        <v>0</v>
      </c>
      <c r="H1501">
        <f>IFERROR([1]!s_stm07_is_105($A1501,TEXT($B$1,"yyyy/mm/dd"),1),"")</f>
        <v>7327738.1299999999</v>
      </c>
      <c r="I1501">
        <f>IFERROR([1]!s_stm07_is($A1501,"W72946623",TEXT($B$1,"yyyy/mm/dd"),1),"")</f>
        <v>186227305.38</v>
      </c>
      <c r="J1501">
        <f>IFERROR([1]!s_stm07_is($A1501,"W30028333",TEXT($B$1,"yyyy/mm/dd"),1),"")</f>
        <v>178203042.56</v>
      </c>
      <c r="K1501">
        <f>IFERROR([1]!s_stm07_cs($A1501,"W77130581",TEXT($B$1,"yyyy/mm/dd"),1),"")</f>
        <v>225149200.56</v>
      </c>
      <c r="L1501">
        <f>IFERROR([1]!s_stm07_cs($A1501,"W77745895",TEXT($B$1,"yyyy/mm/dd"),1),"")</f>
        <v>3342692.16</v>
      </c>
      <c r="M1501">
        <f>IFERROR([1]!S_FA_EPS_basic2($A1501,$B$1,"Cur=CNY"),"")</f>
        <v>0.87</v>
      </c>
      <c r="N1501">
        <f>IFERROR([1]!s_fa_arturndays($A1501,TEXT($B$1,"yyyy/mm/dd")),"")</f>
        <v>26.776199999999999</v>
      </c>
      <c r="O1501" t="str">
        <f>IFERROR([1]!fa_apturndays($A1501,TEXT($B$1,"yyyy/mm/dd")),"")</f>
        <v>Fetch...</v>
      </c>
      <c r="P1501">
        <f>IFERROR([1]!s_fa_invturndays($A1501,TEXT($B$1,"yyyy/mm/dd")),"")</f>
        <v>260.86959999999999</v>
      </c>
    </row>
    <row r="1502" spans="1:16">
      <c r="A1502" t="s">
        <v>1515</v>
      </c>
      <c r="B1502">
        <f>IFERROR([1]!s_stm07_is($A1502,"W70156729",TEXT($B$1,"yyyy/mm/dd"),1),"")</f>
        <v>1818967457.8699999</v>
      </c>
      <c r="C1502">
        <f>IFERROR([1]!s_stm07_is($A1502,"W75682424",TEXT($B$1,"yyyy/mm/dd"),1),"")</f>
        <v>921826885.82000005</v>
      </c>
      <c r="D1502">
        <f>IFERROR([1]!s_stm07_is($A1502,"W76031679",TEXT($B$1,"yyyy/mm/dd"),1),"")</f>
        <v>445674238.13</v>
      </c>
      <c r="E1502">
        <f>IFERROR([1]!s_stm07_is($A1502,"W70752487",TEXT($B$1,"yyyy/mm/dd"),1),"")</f>
        <v>384010208.89999998</v>
      </c>
      <c r="F1502">
        <f>IFERROR([1]!s_stm07_is_103($A1502,TEXT($B$1,"yyyy/mm/dd"),1),"")</f>
        <v>560796914.38999999</v>
      </c>
      <c r="G1502">
        <f>IFERROR([1]!s_stm07_is_104($A1502,TEXT($B$1,"yyyy/mm/dd"),1),"")</f>
        <v>6457746.2199999997</v>
      </c>
      <c r="H1502">
        <f>IFERROR([1]!s_stm07_is_105($A1502,TEXT($B$1,"yyyy/mm/dd"),1),"")</f>
        <v>32898979.539999999</v>
      </c>
      <c r="I1502">
        <f>IFERROR([1]!s_stm07_is($A1502,"W72946623",TEXT($B$1,"yyyy/mm/dd"),1),"")</f>
        <v>-480885756.41000003</v>
      </c>
      <c r="J1502">
        <f>IFERROR([1]!s_stm07_is($A1502,"W30028333",TEXT($B$1,"yyyy/mm/dd"),1),"")</f>
        <v>-398267667.26999998</v>
      </c>
      <c r="K1502">
        <f>IFERROR([1]!s_stm07_cs($A1502,"W77130581",TEXT($B$1,"yyyy/mm/dd"),1),"")</f>
        <v>89754043.099999994</v>
      </c>
      <c r="L1502">
        <f>IFERROR([1]!s_stm07_cs($A1502,"W77745895",TEXT($B$1,"yyyy/mm/dd"),1),"")</f>
        <v>805164493.44000006</v>
      </c>
      <c r="M1502">
        <f>IFERROR([1]!S_FA_EPS_basic2($A1502,$B$1,"Cur=CNY"),"")</f>
        <v>-0.31</v>
      </c>
      <c r="N1502">
        <f>IFERROR([1]!s_fa_arturndays($A1502,TEXT($B$1,"yyyy/mm/dd")),"")</f>
        <v>361.91820000000001</v>
      </c>
      <c r="O1502" t="str">
        <f>IFERROR([1]!fa_apturndays($A1502,TEXT($B$1,"yyyy/mm/dd")),"")</f>
        <v>Fetch...</v>
      </c>
      <c r="P1502">
        <f>IFERROR([1]!s_fa_invturndays($A1502,TEXT($B$1,"yyyy/mm/dd")),"")</f>
        <v>305.62869999999998</v>
      </c>
    </row>
    <row r="1503" spans="1:16">
      <c r="A1503" t="s">
        <v>1516</v>
      </c>
      <c r="B1503">
        <f>IFERROR([1]!s_stm07_is($A1503,"W70156729",TEXT($B$1,"yyyy/mm/dd"),1),"")</f>
        <v>3923698588.46</v>
      </c>
      <c r="C1503">
        <f>IFERROR([1]!s_stm07_is($A1503,"W75682424",TEXT($B$1,"yyyy/mm/dd"),1),"")</f>
        <v>2277704391.8600001</v>
      </c>
      <c r="D1503">
        <f>IFERROR([1]!s_stm07_is($A1503,"W76031679",TEXT($B$1,"yyyy/mm/dd"),1),"")</f>
        <v>39654895.390000001</v>
      </c>
      <c r="E1503">
        <f>IFERROR([1]!s_stm07_is($A1503,"W70752487",TEXT($B$1,"yyyy/mm/dd"),1),"")</f>
        <v>284584793.02999997</v>
      </c>
      <c r="F1503">
        <f>IFERROR([1]!s_stm07_is_103($A1503,TEXT($B$1,"yyyy/mm/dd"),1),"")</f>
        <v>0</v>
      </c>
      <c r="G1503">
        <f>IFERROR([1]!s_stm07_is_104($A1503,TEXT($B$1,"yyyy/mm/dd"),1),"")</f>
        <v>265433117.88</v>
      </c>
      <c r="H1503">
        <f>IFERROR([1]!s_stm07_is_105($A1503,TEXT($B$1,"yyyy/mm/dd"),1),"")</f>
        <v>31667635.09</v>
      </c>
      <c r="I1503">
        <f>IFERROR([1]!s_stm07_is($A1503,"W72946623",TEXT($B$1,"yyyy/mm/dd"),1),"")</f>
        <v>1041713151.97</v>
      </c>
      <c r="J1503">
        <f>IFERROR([1]!s_stm07_is($A1503,"W30028333",TEXT($B$1,"yyyy/mm/dd"),1),"")</f>
        <v>806881925.04999995</v>
      </c>
      <c r="K1503">
        <f>IFERROR([1]!s_stm07_cs($A1503,"W77130581",TEXT($B$1,"yyyy/mm/dd"),1),"")</f>
        <v>2479366852.1399999</v>
      </c>
      <c r="L1503">
        <f>IFERROR([1]!s_stm07_cs($A1503,"W77745895",TEXT($B$1,"yyyy/mm/dd"),1),"")</f>
        <v>3706420272.1300001</v>
      </c>
      <c r="M1503">
        <f>IFERROR([1]!S_FA_EPS_basic2($A1503,$B$1,"Cur=CNY"),"")</f>
        <v>1.9</v>
      </c>
      <c r="N1503">
        <f>IFERROR([1]!s_fa_arturndays($A1503,TEXT($B$1,"yyyy/mm/dd")),"")</f>
        <v>73.828000000000003</v>
      </c>
      <c r="O1503" t="str">
        <f>IFERROR([1]!fa_apturndays($A1503,TEXT($B$1,"yyyy/mm/dd")),"")</f>
        <v>Fetch...</v>
      </c>
      <c r="P1503">
        <f>IFERROR([1]!s_fa_invturndays($A1503,TEXT($B$1,"yyyy/mm/dd")),"")</f>
        <v>11.054</v>
      </c>
    </row>
    <row r="1504" spans="1:16">
      <c r="A1504" t="s">
        <v>1517</v>
      </c>
      <c r="B1504">
        <f>IFERROR([1]!s_stm07_is($A1504,"W70156729",TEXT($B$1,"yyyy/mm/dd"),1),"")</f>
        <v>3430616825.8899999</v>
      </c>
      <c r="C1504">
        <f>IFERROR([1]!s_stm07_is($A1504,"W75682424",TEXT($B$1,"yyyy/mm/dd"),1),"")</f>
        <v>3098988044.7199998</v>
      </c>
      <c r="D1504">
        <f>IFERROR([1]!s_stm07_is($A1504,"W76031679",TEXT($B$1,"yyyy/mm/dd"),1),"")</f>
        <v>72176722.670000002</v>
      </c>
      <c r="E1504">
        <f>IFERROR([1]!s_stm07_is($A1504,"W70752487",TEXT($B$1,"yyyy/mm/dd"),1),"")</f>
        <v>128677650.5</v>
      </c>
      <c r="F1504">
        <f>IFERROR([1]!s_stm07_is_103($A1504,TEXT($B$1,"yyyy/mm/dd"),1),"")</f>
        <v>66216290.090000004</v>
      </c>
      <c r="G1504">
        <f>IFERROR([1]!s_stm07_is_104($A1504,TEXT($B$1,"yyyy/mm/dd"),1),"")</f>
        <v>4461613.8600000003</v>
      </c>
      <c r="H1504">
        <f>IFERROR([1]!s_stm07_is_105($A1504,TEXT($B$1,"yyyy/mm/dd"),1),"")</f>
        <v>1899381.49</v>
      </c>
      <c r="I1504">
        <f>IFERROR([1]!s_stm07_is($A1504,"W72946623",TEXT($B$1,"yyyy/mm/dd"),1),"")</f>
        <v>63258689</v>
      </c>
      <c r="J1504">
        <f>IFERROR([1]!s_stm07_is($A1504,"W30028333",TEXT($B$1,"yyyy/mm/dd"),1),"")</f>
        <v>51238940.420000002</v>
      </c>
      <c r="K1504">
        <f>IFERROR([1]!s_stm07_cs($A1504,"W77130581",TEXT($B$1,"yyyy/mm/dd"),1),"")</f>
        <v>98894497.150000006</v>
      </c>
      <c r="L1504">
        <f>IFERROR([1]!s_stm07_cs($A1504,"W77745895",TEXT($B$1,"yyyy/mm/dd"),1),"")</f>
        <v>44547929.869999997</v>
      </c>
      <c r="M1504">
        <f>IFERROR([1]!S_FA_EPS_basic2($A1504,$B$1,"Cur=CNY"),"")</f>
        <v>0.2</v>
      </c>
      <c r="N1504">
        <f>IFERROR([1]!s_fa_arturndays($A1504,TEXT($B$1,"yyyy/mm/dd")),"")</f>
        <v>1.8776999999999999</v>
      </c>
      <c r="O1504" t="str">
        <f>IFERROR([1]!fa_apturndays($A1504,TEXT($B$1,"yyyy/mm/dd")),"")</f>
        <v>Fetch...</v>
      </c>
      <c r="P1504">
        <f>IFERROR([1]!s_fa_invturndays($A1504,TEXT($B$1,"yyyy/mm/dd")),"")</f>
        <v>52.038200000000003</v>
      </c>
    </row>
    <row r="1505" spans="1:16">
      <c r="A1505" t="s">
        <v>1518</v>
      </c>
      <c r="B1505">
        <f>IFERROR([1]!s_stm07_is($A1505,"W70156729",TEXT($B$1,"yyyy/mm/dd"),1),"")</f>
        <v>6204659480.3900003</v>
      </c>
      <c r="C1505">
        <f>IFERROR([1]!s_stm07_is($A1505,"W75682424",TEXT($B$1,"yyyy/mm/dd"),1),"")</f>
        <v>378398033.16000003</v>
      </c>
      <c r="D1505">
        <f>IFERROR([1]!s_stm07_is($A1505,"W76031679",TEXT($B$1,"yyyy/mm/dd"),1),"")</f>
        <v>2083132100.98</v>
      </c>
      <c r="E1505">
        <f>IFERROR([1]!s_stm07_is($A1505,"W70752487",TEXT($B$1,"yyyy/mm/dd"),1),"")</f>
        <v>407219523.44999999</v>
      </c>
      <c r="F1505">
        <f>IFERROR([1]!s_stm07_is_103($A1505,TEXT($B$1,"yyyy/mm/dd"),1),"")</f>
        <v>887440582.08000004</v>
      </c>
      <c r="G1505">
        <f>IFERROR([1]!s_stm07_is_104($A1505,TEXT($B$1,"yyyy/mm/dd"),1),"")</f>
        <v>1338292.52</v>
      </c>
      <c r="H1505">
        <f>IFERROR([1]!s_stm07_is_105($A1505,TEXT($B$1,"yyyy/mm/dd"),1),"")</f>
        <v>83085105.040000007</v>
      </c>
      <c r="I1505">
        <f>IFERROR([1]!s_stm07_is($A1505,"W72946623",TEXT($B$1,"yyyy/mm/dd"),1),"")</f>
        <v>2503587601.5599999</v>
      </c>
      <c r="J1505">
        <f>IFERROR([1]!s_stm07_is($A1505,"W30028333",TEXT($B$1,"yyyy/mm/dd"),1),"")</f>
        <v>1793666076.8</v>
      </c>
      <c r="K1505">
        <f>IFERROR([1]!s_stm07_cs($A1505,"W77130581",TEXT($B$1,"yyyy/mm/dd"),1),"")</f>
        <v>2795833396.7600002</v>
      </c>
      <c r="L1505">
        <f>IFERROR([1]!s_stm07_cs($A1505,"W77745895",TEXT($B$1,"yyyy/mm/dd"),1),"")</f>
        <v>3101911.61</v>
      </c>
      <c r="M1505">
        <f>IFERROR([1]!S_FA_EPS_basic2($A1505,$B$1,"Cur=CNY"),"")</f>
        <v>24.9</v>
      </c>
      <c r="N1505">
        <f>IFERROR([1]!s_fa_arturndays($A1505,TEXT($B$1,"yyyy/mm/dd")),"")</f>
        <v>14.628299999999999</v>
      </c>
      <c r="O1505" t="str">
        <f>IFERROR([1]!fa_apturndays($A1505,TEXT($B$1,"yyyy/mm/dd")),"")</f>
        <v>Fetch...</v>
      </c>
      <c r="P1505">
        <f>IFERROR([1]!s_fa_invturndays($A1505,TEXT($B$1,"yyyy/mm/dd")),"")</f>
        <v>0</v>
      </c>
    </row>
    <row r="1506" spans="1:16">
      <c r="A1506" t="s">
        <v>1519</v>
      </c>
      <c r="B1506">
        <f>IFERROR([1]!s_stm07_is($A1506,"W70156729",TEXT($B$1,"yyyy/mm/dd"),1),"")</f>
        <v>5508595171.3299999</v>
      </c>
      <c r="C1506">
        <f>IFERROR([1]!s_stm07_is($A1506,"W75682424",TEXT($B$1,"yyyy/mm/dd"),1),"")</f>
        <v>3478574735.98</v>
      </c>
      <c r="D1506">
        <f>IFERROR([1]!s_stm07_is($A1506,"W76031679",TEXT($B$1,"yyyy/mm/dd"),1),"")</f>
        <v>107677996.06999999</v>
      </c>
      <c r="E1506">
        <f>IFERROR([1]!s_stm07_is($A1506,"W70752487",TEXT($B$1,"yyyy/mm/dd"),1),"")</f>
        <v>393892861.07999998</v>
      </c>
      <c r="F1506">
        <f>IFERROR([1]!s_stm07_is_103($A1506,TEXT($B$1,"yyyy/mm/dd"),1),"")</f>
        <v>256985924.21000001</v>
      </c>
      <c r="G1506">
        <f>IFERROR([1]!s_stm07_is_104($A1506,TEXT($B$1,"yyyy/mm/dd"),1),"")</f>
        <v>10124312.57</v>
      </c>
      <c r="H1506">
        <f>IFERROR([1]!s_stm07_is_105($A1506,TEXT($B$1,"yyyy/mm/dd"),1),"")</f>
        <v>41316673.880000003</v>
      </c>
      <c r="I1506">
        <f>IFERROR([1]!s_stm07_is($A1506,"W72946623",TEXT($B$1,"yyyy/mm/dd"),1),"")</f>
        <v>919451398.51999998</v>
      </c>
      <c r="J1506">
        <f>IFERROR([1]!s_stm07_is($A1506,"W30028333",TEXT($B$1,"yyyy/mm/dd"),1),"")</f>
        <v>730073370.42999995</v>
      </c>
      <c r="K1506">
        <f>IFERROR([1]!s_stm07_cs($A1506,"W77130581",TEXT($B$1,"yyyy/mm/dd"),1),"")</f>
        <v>1824246221.9300001</v>
      </c>
      <c r="L1506">
        <f>IFERROR([1]!s_stm07_cs($A1506,"W77745895",TEXT($B$1,"yyyy/mm/dd"),1),"")</f>
        <v>660089439.89999998</v>
      </c>
      <c r="M1506">
        <f>IFERROR([1]!S_FA_EPS_basic2($A1506,$B$1,"Cur=CNY"),"")</f>
        <v>0.82</v>
      </c>
      <c r="N1506">
        <f>IFERROR([1]!s_fa_arturndays($A1506,TEXT($B$1,"yyyy/mm/dd")),"")</f>
        <v>72.396699999999996</v>
      </c>
      <c r="O1506" t="str">
        <f>IFERROR([1]!fa_apturndays($A1506,TEXT($B$1,"yyyy/mm/dd")),"")</f>
        <v>Fetch...</v>
      </c>
      <c r="P1506">
        <f>IFERROR([1]!s_fa_invturndays($A1506,TEXT($B$1,"yyyy/mm/dd")),"")</f>
        <v>173.0686</v>
      </c>
    </row>
    <row r="1507" spans="1:16">
      <c r="A1507" t="s">
        <v>1520</v>
      </c>
      <c r="B1507">
        <f>IFERROR([1]!s_stm07_is($A1507,"W70156729",TEXT($B$1,"yyyy/mm/dd"),1),"")</f>
        <v>8000477749.75</v>
      </c>
      <c r="C1507">
        <f>IFERROR([1]!s_stm07_is($A1507,"W75682424",TEXT($B$1,"yyyy/mm/dd"),1),"")</f>
        <v>7418910225.4099998</v>
      </c>
      <c r="D1507">
        <f>IFERROR([1]!s_stm07_is($A1507,"W76031679",TEXT($B$1,"yyyy/mm/dd"),1),"")</f>
        <v>36881759.240000002</v>
      </c>
      <c r="E1507">
        <f>IFERROR([1]!s_stm07_is($A1507,"W70752487",TEXT($B$1,"yyyy/mm/dd"),1),"")</f>
        <v>268847477.80000001</v>
      </c>
      <c r="F1507">
        <f>IFERROR([1]!s_stm07_is_103($A1507,TEXT($B$1,"yyyy/mm/dd"),1),"")</f>
        <v>48158521.469999999</v>
      </c>
      <c r="G1507">
        <f>IFERROR([1]!s_stm07_is_104($A1507,TEXT($B$1,"yyyy/mm/dd"),1),"")</f>
        <v>194543495.63999999</v>
      </c>
      <c r="H1507">
        <f>IFERROR([1]!s_stm07_is_105($A1507,TEXT($B$1,"yyyy/mm/dd"),1),"")</f>
        <v>2757819.19</v>
      </c>
      <c r="I1507">
        <f>IFERROR([1]!s_stm07_is($A1507,"W72946623",TEXT($B$1,"yyyy/mm/dd"),1),"")</f>
        <v>42749914.859999999</v>
      </c>
      <c r="J1507">
        <f>IFERROR([1]!s_stm07_is($A1507,"W30028333",TEXT($B$1,"yyyy/mm/dd"),1),"")</f>
        <v>30343306.489999998</v>
      </c>
      <c r="K1507">
        <f>IFERROR([1]!s_stm07_cs($A1507,"W77130581",TEXT($B$1,"yyyy/mm/dd"),1),"")</f>
        <v>1217888078.79</v>
      </c>
      <c r="L1507">
        <f>IFERROR([1]!s_stm07_cs($A1507,"W77745895",TEXT($B$1,"yyyy/mm/dd"),1),"")</f>
        <v>1082605154.6600001</v>
      </c>
      <c r="M1507">
        <f>IFERROR([1]!S_FA_EPS_basic2($A1507,$B$1,"Cur=CNY"),"")</f>
        <v>0.06</v>
      </c>
      <c r="N1507">
        <f>IFERROR([1]!s_fa_arturndays($A1507,TEXT($B$1,"yyyy/mm/dd")),"")</f>
        <v>2.9276</v>
      </c>
      <c r="O1507" t="str">
        <f>IFERROR([1]!fa_apturndays($A1507,TEXT($B$1,"yyyy/mm/dd")),"")</f>
        <v>Fetch...</v>
      </c>
      <c r="P1507">
        <f>IFERROR([1]!s_fa_invturndays($A1507,TEXT($B$1,"yyyy/mm/dd")),"")</f>
        <v>113.6938</v>
      </c>
    </row>
    <row r="1508" spans="1:16">
      <c r="A1508" t="s">
        <v>1521</v>
      </c>
      <c r="B1508">
        <f>IFERROR([1]!s_stm07_is($A1508,"W70156729",TEXT($B$1,"yyyy/mm/dd"),1),"")</f>
        <v>19039662854.509998</v>
      </c>
      <c r="C1508">
        <f>IFERROR([1]!s_stm07_is($A1508,"W75682424",TEXT($B$1,"yyyy/mm/dd"),1),"")</f>
        <v>9743874978.7299995</v>
      </c>
      <c r="D1508">
        <f>IFERROR([1]!s_stm07_is($A1508,"W76031679",TEXT($B$1,"yyyy/mm/dd"),1),"")</f>
        <v>5937959604.04</v>
      </c>
      <c r="E1508">
        <f>IFERROR([1]!s_stm07_is($A1508,"W70752487",TEXT($B$1,"yyyy/mm/dd"),1),"")</f>
        <v>597971824.11000001</v>
      </c>
      <c r="F1508">
        <f>IFERROR([1]!s_stm07_is_103($A1508,TEXT($B$1,"yyyy/mm/dd"),1),"")</f>
        <v>980519969.24000001</v>
      </c>
      <c r="G1508">
        <f>IFERROR([1]!s_stm07_is_104($A1508,TEXT($B$1,"yyyy/mm/dd"),1),"")</f>
        <v>40389850.170000002</v>
      </c>
      <c r="H1508">
        <f>IFERROR([1]!s_stm07_is_105($A1508,TEXT($B$1,"yyyy/mm/dd"),1),"")</f>
        <v>100776289.17</v>
      </c>
      <c r="I1508">
        <f>IFERROR([1]!s_stm07_is($A1508,"W72946623",TEXT($B$1,"yyyy/mm/dd"),1),"")</f>
        <v>1885244517.0899999</v>
      </c>
      <c r="J1508">
        <f>IFERROR([1]!s_stm07_is($A1508,"W30028333",TEXT($B$1,"yyyy/mm/dd"),1),"")</f>
        <v>1758313596.5999999</v>
      </c>
      <c r="K1508">
        <f>IFERROR([1]!s_stm07_cs($A1508,"W77130581",TEXT($B$1,"yyyy/mm/dd"),1),"")</f>
        <v>3386757987.75</v>
      </c>
      <c r="L1508">
        <f>IFERROR([1]!s_stm07_cs($A1508,"W77745895",TEXT($B$1,"yyyy/mm/dd"),1),"")</f>
        <v>683537130.14999998</v>
      </c>
      <c r="M1508">
        <f>IFERROR([1]!S_FA_EPS_basic2($A1508,$B$1,"Cur=CNY"),"")</f>
        <v>3.1</v>
      </c>
      <c r="N1508">
        <f>IFERROR([1]!s_fa_arturndays($A1508,TEXT($B$1,"yyyy/mm/dd")),"")</f>
        <v>49.881500000000003</v>
      </c>
      <c r="O1508" t="str">
        <f>IFERROR([1]!fa_apturndays($A1508,TEXT($B$1,"yyyy/mm/dd")),"")</f>
        <v>Fetch...</v>
      </c>
      <c r="P1508">
        <f>IFERROR([1]!s_fa_invturndays($A1508,TEXT($B$1,"yyyy/mm/dd")),"")</f>
        <v>103.84820000000001</v>
      </c>
    </row>
    <row r="1509" spans="1:16">
      <c r="A1509" t="s">
        <v>1522</v>
      </c>
      <c r="B1509">
        <f>IFERROR([1]!s_stm07_is($A1509,"W70156729",TEXT($B$1,"yyyy/mm/dd"),1),"")</f>
        <v>1046687371.61</v>
      </c>
      <c r="C1509">
        <f>IFERROR([1]!s_stm07_is($A1509,"W75682424",TEXT($B$1,"yyyy/mm/dd"),1),"")</f>
        <v>741662343.15999997</v>
      </c>
      <c r="D1509">
        <f>IFERROR([1]!s_stm07_is($A1509,"W76031679",TEXT($B$1,"yyyy/mm/dd"),1),"")</f>
        <v>47330301.009999998</v>
      </c>
      <c r="E1509">
        <f>IFERROR([1]!s_stm07_is($A1509,"W70752487",TEXT($B$1,"yyyy/mm/dd"),1),"")</f>
        <v>65693381.299999997</v>
      </c>
      <c r="F1509">
        <f>IFERROR([1]!s_stm07_is_103($A1509,TEXT($B$1,"yyyy/mm/dd"),1),"")</f>
        <v>132467051.56999999</v>
      </c>
      <c r="G1509">
        <f>IFERROR([1]!s_stm07_is_104($A1509,TEXT($B$1,"yyyy/mm/dd"),1),"")</f>
        <v>7775459.96</v>
      </c>
      <c r="H1509">
        <f>IFERROR([1]!s_stm07_is_105($A1509,TEXT($B$1,"yyyy/mm/dd"),1),"")</f>
        <v>5755102.5499999998</v>
      </c>
      <c r="I1509">
        <f>IFERROR([1]!s_stm07_is($A1509,"W72946623",TEXT($B$1,"yyyy/mm/dd"),1),"")</f>
        <v>34278996.799999997</v>
      </c>
      <c r="J1509">
        <f>IFERROR([1]!s_stm07_is($A1509,"W30028333",TEXT($B$1,"yyyy/mm/dd"),1),"")</f>
        <v>34938035.450000003</v>
      </c>
      <c r="K1509">
        <f>IFERROR([1]!s_stm07_cs($A1509,"W77130581",TEXT($B$1,"yyyy/mm/dd"),1),"")</f>
        <v>154990667.78999999</v>
      </c>
      <c r="L1509">
        <f>IFERROR([1]!s_stm07_cs($A1509,"W77745895",TEXT($B$1,"yyyy/mm/dd"),1),"")</f>
        <v>9022849.8399999999</v>
      </c>
      <c r="M1509">
        <f>IFERROR([1]!S_FA_EPS_basic2($A1509,$B$1,"Cur=CNY"),"")</f>
        <v>0.1091</v>
      </c>
      <c r="N1509">
        <f>IFERROR([1]!s_fa_arturndays($A1509,TEXT($B$1,"yyyy/mm/dd")),"")</f>
        <v>148.7911</v>
      </c>
      <c r="O1509" t="str">
        <f>IFERROR([1]!fa_apturndays($A1509,TEXT($B$1,"yyyy/mm/dd")),"")</f>
        <v>Fetch...</v>
      </c>
      <c r="P1509">
        <f>IFERROR([1]!s_fa_invturndays($A1509,TEXT($B$1,"yyyy/mm/dd")),"")</f>
        <v>203.85050000000001</v>
      </c>
    </row>
    <row r="1510" spans="1:16">
      <c r="A1510" t="s">
        <v>1523</v>
      </c>
      <c r="B1510">
        <f>IFERROR([1]!s_stm07_is($A1510,"W70156729",TEXT($B$1,"yyyy/mm/dd"),1),"")</f>
        <v>28854805517.490002</v>
      </c>
      <c r="C1510">
        <f>IFERROR([1]!s_stm07_is($A1510,"W75682424",TEXT($B$1,"yyyy/mm/dd"),1),"")</f>
        <v>20015173377.349998</v>
      </c>
      <c r="D1510">
        <f>IFERROR([1]!s_stm07_is($A1510,"W76031679",TEXT($B$1,"yyyy/mm/dd"),1),"")</f>
        <v>564341702.88999999</v>
      </c>
      <c r="E1510">
        <f>IFERROR([1]!s_stm07_is($A1510,"W70752487",TEXT($B$1,"yyyy/mm/dd"),1),"")</f>
        <v>696392890.53999996</v>
      </c>
      <c r="F1510">
        <f>IFERROR([1]!s_stm07_is_103($A1510,TEXT($B$1,"yyyy/mm/dd"),1),"")</f>
        <v>2842872872.6799998</v>
      </c>
      <c r="G1510">
        <f>IFERROR([1]!s_stm07_is_104($A1510,TEXT($B$1,"yyyy/mm/dd"),1),"")</f>
        <v>302467921.86000001</v>
      </c>
      <c r="H1510">
        <f>IFERROR([1]!s_stm07_is_105($A1510,TEXT($B$1,"yyyy/mm/dd"),1),"")</f>
        <v>394403443.41000003</v>
      </c>
      <c r="I1510">
        <f>IFERROR([1]!s_stm07_is($A1510,"W72946623",TEXT($B$1,"yyyy/mm/dd"),1),"")</f>
        <v>4600820158.1700001</v>
      </c>
      <c r="J1510">
        <f>IFERROR([1]!s_stm07_is($A1510,"W30028333",TEXT($B$1,"yyyy/mm/dd"),1),"")</f>
        <v>4045416530.3299999</v>
      </c>
      <c r="K1510">
        <f>IFERROR([1]!s_stm07_cs($A1510,"W77130581",TEXT($B$1,"yyyy/mm/dd"),1),"")</f>
        <v>4119514939.4499998</v>
      </c>
      <c r="L1510">
        <f>IFERROR([1]!s_stm07_cs($A1510,"W77745895",TEXT($B$1,"yyyy/mm/dd"),1),"")</f>
        <v>2336419221.9699998</v>
      </c>
      <c r="M1510">
        <f>IFERROR([1]!S_FA_EPS_basic2($A1510,$B$1,"Cur=CNY"),"")</f>
        <v>3.37</v>
      </c>
      <c r="N1510">
        <f>IFERROR([1]!s_fa_arturndays($A1510,TEXT($B$1,"yyyy/mm/dd")),"")</f>
        <v>49.329900000000002</v>
      </c>
      <c r="O1510" t="str">
        <f>IFERROR([1]!fa_apturndays($A1510,TEXT($B$1,"yyyy/mm/dd")),"")</f>
        <v>Fetch...</v>
      </c>
      <c r="P1510">
        <f>IFERROR([1]!s_fa_invturndays($A1510,TEXT($B$1,"yyyy/mm/dd")),"")</f>
        <v>139.88730000000001</v>
      </c>
    </row>
    <row r="1511" spans="1:16">
      <c r="A1511" t="s">
        <v>1524</v>
      </c>
      <c r="B1511">
        <f>IFERROR([1]!s_stm07_is($A1511,"W70156729",TEXT($B$1,"yyyy/mm/dd"),1),"")</f>
        <v>3887507189.6500001</v>
      </c>
      <c r="C1511">
        <f>IFERROR([1]!s_stm07_is($A1511,"W75682424",TEXT($B$1,"yyyy/mm/dd"),1),"")</f>
        <v>3194166842.98</v>
      </c>
      <c r="D1511">
        <f>IFERROR([1]!s_stm07_is($A1511,"W76031679",TEXT($B$1,"yyyy/mm/dd"),1),"")</f>
        <v>14736482.51</v>
      </c>
      <c r="E1511">
        <f>IFERROR([1]!s_stm07_is($A1511,"W70752487",TEXT($B$1,"yyyy/mm/dd"),1),"")</f>
        <v>177533462.06999999</v>
      </c>
      <c r="F1511">
        <f>IFERROR([1]!s_stm07_is_103($A1511,TEXT($B$1,"yyyy/mm/dd"),1),"")</f>
        <v>65917346.200000003</v>
      </c>
      <c r="G1511">
        <f>IFERROR([1]!s_stm07_is_104($A1511,TEXT($B$1,"yyyy/mm/dd"),1),"")</f>
        <v>96354865.150000006</v>
      </c>
      <c r="H1511">
        <f>IFERROR([1]!s_stm07_is_105($A1511,TEXT($B$1,"yyyy/mm/dd"),1),"")</f>
        <v>4014199.77</v>
      </c>
      <c r="I1511">
        <f>IFERROR([1]!s_stm07_is($A1511,"W72946623",TEXT($B$1,"yyyy/mm/dd"),1),"")</f>
        <v>413912880.44</v>
      </c>
      <c r="J1511">
        <f>IFERROR([1]!s_stm07_is($A1511,"W30028333",TEXT($B$1,"yyyy/mm/dd"),1),"")</f>
        <v>325762731.23000002</v>
      </c>
      <c r="K1511">
        <f>IFERROR([1]!s_stm07_cs($A1511,"W77130581",TEXT($B$1,"yyyy/mm/dd"),1),"")</f>
        <v>134422428.12</v>
      </c>
      <c r="L1511">
        <f>IFERROR([1]!s_stm07_cs($A1511,"W77745895",TEXT($B$1,"yyyy/mm/dd"),1),"")</f>
        <v>505345206.31</v>
      </c>
      <c r="M1511">
        <f>IFERROR([1]!S_FA_EPS_basic2($A1511,$B$1,"Cur=CNY"),"")</f>
        <v>0.39</v>
      </c>
      <c r="N1511">
        <f>IFERROR([1]!s_fa_arturndays($A1511,TEXT($B$1,"yyyy/mm/dd")),"")</f>
        <v>40.411799999999999</v>
      </c>
      <c r="O1511" t="str">
        <f>IFERROR([1]!fa_apturndays($A1511,TEXT($B$1,"yyyy/mm/dd")),"")</f>
        <v>Fetch...</v>
      </c>
      <c r="P1511">
        <f>IFERROR([1]!s_fa_invturndays($A1511,TEXT($B$1,"yyyy/mm/dd")),"")</f>
        <v>96.4191</v>
      </c>
    </row>
    <row r="1512" spans="1:16">
      <c r="A1512" t="s">
        <v>1525</v>
      </c>
      <c r="B1512">
        <f>IFERROR([1]!s_stm07_is($A1512,"W70156729",TEXT($B$1,"yyyy/mm/dd"),1),"")</f>
        <v>1519611564.5799999</v>
      </c>
      <c r="C1512">
        <f>IFERROR([1]!s_stm07_is($A1512,"W75682424",TEXT($B$1,"yyyy/mm/dd"),1),"")</f>
        <v>509241265.72000003</v>
      </c>
      <c r="D1512">
        <f>IFERROR([1]!s_stm07_is($A1512,"W76031679",TEXT($B$1,"yyyy/mm/dd"),1),"")</f>
        <v>96222528.579999998</v>
      </c>
      <c r="E1512">
        <f>IFERROR([1]!s_stm07_is($A1512,"W70752487",TEXT($B$1,"yyyy/mm/dd"),1),"")</f>
        <v>151517240.78999999</v>
      </c>
      <c r="F1512">
        <f>IFERROR([1]!s_stm07_is_103($A1512,TEXT($B$1,"yyyy/mm/dd"),1),"")</f>
        <v>153562369.02000001</v>
      </c>
      <c r="G1512">
        <f>IFERROR([1]!s_stm07_is_104($A1512,TEXT($B$1,"yyyy/mm/dd"),1),"")</f>
        <v>178479.19</v>
      </c>
      <c r="H1512">
        <f>IFERROR([1]!s_stm07_is_105($A1512,TEXT($B$1,"yyyy/mm/dd"),1),"")</f>
        <v>32241874.48</v>
      </c>
      <c r="I1512">
        <f>IFERROR([1]!s_stm07_is($A1512,"W72946623",TEXT($B$1,"yyyy/mm/dd"),1),"")</f>
        <v>679412083.37</v>
      </c>
      <c r="J1512">
        <f>IFERROR([1]!s_stm07_is($A1512,"W30028333",TEXT($B$1,"yyyy/mm/dd"),1),"")</f>
        <v>556146869.80999994</v>
      </c>
      <c r="K1512">
        <f>IFERROR([1]!s_stm07_cs($A1512,"W77130581",TEXT($B$1,"yyyy/mm/dd"),1),"")</f>
        <v>671825347.03999996</v>
      </c>
      <c r="L1512">
        <f>IFERROR([1]!s_stm07_cs($A1512,"W77745895",TEXT($B$1,"yyyy/mm/dd"),1),"")</f>
        <v>18824444.5</v>
      </c>
      <c r="M1512">
        <f>IFERROR([1]!S_FA_EPS_basic2($A1512,$B$1,"Cur=CNY"),"")</f>
        <v>1.46</v>
      </c>
      <c r="N1512">
        <f>IFERROR([1]!s_fa_arturndays($A1512,TEXT($B$1,"yyyy/mm/dd")),"")</f>
        <v>207.3374</v>
      </c>
      <c r="O1512" t="str">
        <f>IFERROR([1]!fa_apturndays($A1512,TEXT($B$1,"yyyy/mm/dd")),"")</f>
        <v>Fetch...</v>
      </c>
      <c r="P1512">
        <f>IFERROR([1]!s_fa_invturndays($A1512,TEXT($B$1,"yyyy/mm/dd")),"")</f>
        <v>324.14909999999998</v>
      </c>
    </row>
    <row r="1513" spans="1:16">
      <c r="A1513" t="s">
        <v>1526</v>
      </c>
      <c r="B1513">
        <f>IFERROR([1]!s_stm07_is($A1513,"W70156729",TEXT($B$1,"yyyy/mm/dd"),1),"")</f>
        <v>329207636.44999999</v>
      </c>
      <c r="C1513">
        <f>IFERROR([1]!s_stm07_is($A1513,"W75682424",TEXT($B$1,"yyyy/mm/dd"),1),"")</f>
        <v>172145881.13999999</v>
      </c>
      <c r="D1513">
        <f>IFERROR([1]!s_stm07_is($A1513,"W76031679",TEXT($B$1,"yyyy/mm/dd"),1),"")</f>
        <v>61028837.890000001</v>
      </c>
      <c r="E1513">
        <f>IFERROR([1]!s_stm07_is($A1513,"W70752487",TEXT($B$1,"yyyy/mm/dd"),1),"")</f>
        <v>48273352.219999999</v>
      </c>
      <c r="F1513">
        <f>IFERROR([1]!s_stm07_is_103($A1513,TEXT($B$1,"yyyy/mm/dd"),1),"")</f>
        <v>75604434.969999999</v>
      </c>
      <c r="G1513">
        <f>IFERROR([1]!s_stm07_is_104($A1513,TEXT($B$1,"yyyy/mm/dd"),1),"")</f>
        <v>777724.05</v>
      </c>
      <c r="H1513">
        <f>IFERROR([1]!s_stm07_is_105($A1513,TEXT($B$1,"yyyy/mm/dd"),1),"")</f>
        <v>17271529.510000002</v>
      </c>
      <c r="I1513">
        <f>IFERROR([1]!s_stm07_is($A1513,"W72946623",TEXT($B$1,"yyyy/mm/dd"),1),"")</f>
        <v>337630697.41000003</v>
      </c>
      <c r="J1513">
        <f>IFERROR([1]!s_stm07_is($A1513,"W30028333",TEXT($B$1,"yyyy/mm/dd"),1),"")</f>
        <v>279618912.72000003</v>
      </c>
      <c r="K1513">
        <f>IFERROR([1]!s_stm07_cs($A1513,"W77130581",TEXT($B$1,"yyyy/mm/dd"),1),"")</f>
        <v>-3574783.07</v>
      </c>
      <c r="L1513">
        <f>IFERROR([1]!s_stm07_cs($A1513,"W77745895",TEXT($B$1,"yyyy/mm/dd"),1),"")</f>
        <v>4999294.03</v>
      </c>
      <c r="M1513">
        <f>IFERROR([1]!S_FA_EPS_basic2($A1513,$B$1,"Cur=CNY"),"")</f>
        <v>1.38</v>
      </c>
      <c r="N1513">
        <f>IFERROR([1]!s_fa_arturndays($A1513,TEXT($B$1,"yyyy/mm/dd")),"")</f>
        <v>240.86709999999999</v>
      </c>
      <c r="O1513" t="str">
        <f>IFERROR([1]!fa_apturndays($A1513,TEXT($B$1,"yyyy/mm/dd")),"")</f>
        <v>Fetch...</v>
      </c>
      <c r="P1513">
        <f>IFERROR([1]!s_fa_invturndays($A1513,TEXT($B$1,"yyyy/mm/dd")),"")</f>
        <v>213.62450000000001</v>
      </c>
    </row>
    <row r="1514" spans="1:16">
      <c r="A1514" t="s">
        <v>1527</v>
      </c>
      <c r="B1514">
        <f>IFERROR([1]!s_stm07_is($A1514,"W70156729",TEXT($B$1,"yyyy/mm/dd"),1),"")</f>
        <v>25094567853.889999</v>
      </c>
      <c r="C1514">
        <f>IFERROR([1]!s_stm07_is($A1514,"W75682424",TEXT($B$1,"yyyy/mm/dd"),1),"")</f>
        <v>20504539376.400002</v>
      </c>
      <c r="D1514">
        <f>IFERROR([1]!s_stm07_is($A1514,"W76031679",TEXT($B$1,"yyyy/mm/dd"),1),"")</f>
        <v>1016823755.91</v>
      </c>
      <c r="E1514">
        <f>IFERROR([1]!s_stm07_is($A1514,"W70752487",TEXT($B$1,"yyyy/mm/dd"),1),"")</f>
        <v>685967286.09000003</v>
      </c>
      <c r="F1514">
        <f>IFERROR([1]!s_stm07_is_103($A1514,TEXT($B$1,"yyyy/mm/dd"),1),"")</f>
        <v>771090482.94000006</v>
      </c>
      <c r="G1514">
        <f>IFERROR([1]!s_stm07_is_104($A1514,TEXT($B$1,"yyyy/mm/dd"),1),"")</f>
        <v>77611978.560000002</v>
      </c>
      <c r="H1514">
        <f>IFERROR([1]!s_stm07_is_105($A1514,TEXT($B$1,"yyyy/mm/dd"),1),"")</f>
        <v>248926543.03999999</v>
      </c>
      <c r="I1514">
        <f>IFERROR([1]!s_stm07_is($A1514,"W72946623",TEXT($B$1,"yyyy/mm/dd"),1),"")</f>
        <v>2365175354.96</v>
      </c>
      <c r="J1514">
        <f>IFERROR([1]!s_stm07_is($A1514,"W30028333",TEXT($B$1,"yyyy/mm/dd"),1),"")</f>
        <v>2034500102.3699999</v>
      </c>
      <c r="K1514">
        <f>IFERROR([1]!s_stm07_cs($A1514,"W77130581",TEXT($B$1,"yyyy/mm/dd"),1),"")</f>
        <v>3784884313.1900001</v>
      </c>
      <c r="L1514">
        <f>IFERROR([1]!s_stm07_cs($A1514,"W77745895",TEXT($B$1,"yyyy/mm/dd"),1),"")</f>
        <v>2715160089.3099999</v>
      </c>
      <c r="M1514">
        <f>IFERROR([1]!S_FA_EPS_basic2($A1514,$B$1,"Cur=CNY"),"")</f>
        <v>2.36</v>
      </c>
      <c r="N1514">
        <f>IFERROR([1]!s_fa_arturndays($A1514,TEXT($B$1,"yyyy/mm/dd")),"")</f>
        <v>6.2996999999999996</v>
      </c>
      <c r="O1514" t="str">
        <f>IFERROR([1]!fa_apturndays($A1514,TEXT($B$1,"yyyy/mm/dd")),"")</f>
        <v>Fetch...</v>
      </c>
      <c r="P1514">
        <f>IFERROR([1]!s_fa_invturndays($A1514,TEXT($B$1,"yyyy/mm/dd")),"")</f>
        <v>14.7919</v>
      </c>
    </row>
    <row r="1515" spans="1:16">
      <c r="A1515" t="s">
        <v>1528</v>
      </c>
      <c r="B1515">
        <f>IFERROR([1]!s_stm07_is($A1515,"W70156729",TEXT($B$1,"yyyy/mm/dd"),1),"")</f>
        <v>1720699065.46</v>
      </c>
      <c r="C1515">
        <f>IFERROR([1]!s_stm07_is($A1515,"W75682424",TEXT($B$1,"yyyy/mm/dd"),1),"")</f>
        <v>926139338.61000001</v>
      </c>
      <c r="D1515">
        <f>IFERROR([1]!s_stm07_is($A1515,"W76031679",TEXT($B$1,"yyyy/mm/dd"),1),"")</f>
        <v>109845912.94</v>
      </c>
      <c r="E1515">
        <f>IFERROR([1]!s_stm07_is($A1515,"W70752487",TEXT($B$1,"yyyy/mm/dd"),1),"")</f>
        <v>100076995.03</v>
      </c>
      <c r="F1515">
        <f>IFERROR([1]!s_stm07_is_103($A1515,TEXT($B$1,"yyyy/mm/dd"),1),"")</f>
        <v>69099068.890000001</v>
      </c>
      <c r="G1515">
        <f>IFERROR([1]!s_stm07_is_104($A1515,TEXT($B$1,"yyyy/mm/dd"),1),"")</f>
        <v>6188430.71</v>
      </c>
      <c r="H1515">
        <f>IFERROR([1]!s_stm07_is_105($A1515,TEXT($B$1,"yyyy/mm/dd"),1),"")</f>
        <v>4795965.75</v>
      </c>
      <c r="I1515">
        <f>IFERROR([1]!s_stm07_is($A1515,"W72946623",TEXT($B$1,"yyyy/mm/dd"),1),"")</f>
        <v>508178631.18000001</v>
      </c>
      <c r="J1515">
        <f>IFERROR([1]!s_stm07_is($A1515,"W30028333",TEXT($B$1,"yyyy/mm/dd"),1),"")</f>
        <v>431677328.93000001</v>
      </c>
      <c r="K1515">
        <f>IFERROR([1]!s_stm07_cs($A1515,"W77130581",TEXT($B$1,"yyyy/mm/dd"),1),"")</f>
        <v>117220972.18000001</v>
      </c>
      <c r="L1515">
        <f>IFERROR([1]!s_stm07_cs($A1515,"W77745895",TEXT($B$1,"yyyy/mm/dd"),1),"")</f>
        <v>238575929.97</v>
      </c>
      <c r="M1515">
        <f>IFERROR([1]!S_FA_EPS_basic2($A1515,$B$1,"Cur=CNY"),"")</f>
        <v>1.02</v>
      </c>
      <c r="N1515">
        <f>IFERROR([1]!s_fa_arturndays($A1515,TEXT($B$1,"yyyy/mm/dd")),"")</f>
        <v>147.8561</v>
      </c>
      <c r="O1515" t="str">
        <f>IFERROR([1]!fa_apturndays($A1515,TEXT($B$1,"yyyy/mm/dd")),"")</f>
        <v>Fetch...</v>
      </c>
      <c r="P1515">
        <f>IFERROR([1]!s_fa_invturndays($A1515,TEXT($B$1,"yyyy/mm/dd")),"")</f>
        <v>149.09299999999999</v>
      </c>
    </row>
    <row r="1516" spans="1:16">
      <c r="A1516" t="s">
        <v>1529</v>
      </c>
      <c r="B1516">
        <f>IFERROR([1]!s_stm07_is($A1516,"W70156729",TEXT($B$1,"yyyy/mm/dd"),1),"")</f>
        <v>3242735278.0999999</v>
      </c>
      <c r="C1516">
        <f>IFERROR([1]!s_stm07_is($A1516,"W75682424",TEXT($B$1,"yyyy/mm/dd"),1),"")</f>
        <v>1002002285.45</v>
      </c>
      <c r="D1516">
        <f>IFERROR([1]!s_stm07_is($A1516,"W76031679",TEXT($B$1,"yyyy/mm/dd"),1),"")</f>
        <v>2078568856.21</v>
      </c>
      <c r="E1516">
        <f>IFERROR([1]!s_stm07_is($A1516,"W70752487",TEXT($B$1,"yyyy/mm/dd"),1),"")</f>
        <v>163602780.5</v>
      </c>
      <c r="F1516">
        <f>IFERROR([1]!s_stm07_is_103($A1516,TEXT($B$1,"yyyy/mm/dd"),1),"")</f>
        <v>191123763.44</v>
      </c>
      <c r="G1516">
        <f>IFERROR([1]!s_stm07_is_104($A1516,TEXT($B$1,"yyyy/mm/dd"),1),"")</f>
        <v>289680.28000000003</v>
      </c>
      <c r="H1516">
        <f>IFERROR([1]!s_stm07_is_105($A1516,TEXT($B$1,"yyyy/mm/dd"),1),"")</f>
        <v>24064691.449999999</v>
      </c>
      <c r="I1516">
        <f>IFERROR([1]!s_stm07_is($A1516,"W72946623",TEXT($B$1,"yyyy/mm/dd"),1),"")</f>
        <v>-159412007.16999999</v>
      </c>
      <c r="J1516">
        <f>IFERROR([1]!s_stm07_is($A1516,"W30028333",TEXT($B$1,"yyyy/mm/dd"),1),"")</f>
        <v>-176453565.91999999</v>
      </c>
      <c r="K1516">
        <f>IFERROR([1]!s_stm07_cs($A1516,"W77130581",TEXT($B$1,"yyyy/mm/dd"),1),"")</f>
        <v>-232536405.65000001</v>
      </c>
      <c r="L1516">
        <f>IFERROR([1]!s_stm07_cs($A1516,"W77745895",TEXT($B$1,"yyyy/mm/dd"),1),"")</f>
        <v>34407763.119999997</v>
      </c>
      <c r="M1516">
        <f>IFERROR([1]!S_FA_EPS_basic2($A1516,$B$1,"Cur=CNY"),"")</f>
        <v>-0.4</v>
      </c>
      <c r="N1516">
        <f>IFERROR([1]!s_fa_arturndays($A1516,TEXT($B$1,"yyyy/mm/dd")),"")</f>
        <v>33.655900000000003</v>
      </c>
      <c r="O1516" t="str">
        <f>IFERROR([1]!fa_apturndays($A1516,TEXT($B$1,"yyyy/mm/dd")),"")</f>
        <v>Fetch...</v>
      </c>
      <c r="P1516">
        <f>IFERROR([1]!s_fa_invturndays($A1516,TEXT($B$1,"yyyy/mm/dd")),"")</f>
        <v>0</v>
      </c>
    </row>
    <row r="1517" spans="1:16">
      <c r="A1517" t="s">
        <v>1530</v>
      </c>
      <c r="B1517">
        <f>IFERROR([1]!s_stm07_is($A1517,"W70156729",TEXT($B$1,"yyyy/mm/dd"),1),"")</f>
        <v>4768672189.1000004</v>
      </c>
      <c r="C1517">
        <f>IFERROR([1]!s_stm07_is($A1517,"W75682424",TEXT($B$1,"yyyy/mm/dd"),1),"")</f>
        <v>2940645367.9299998</v>
      </c>
      <c r="D1517">
        <f>IFERROR([1]!s_stm07_is($A1517,"W76031679",TEXT($B$1,"yyyy/mm/dd"),1),"")</f>
        <v>512686459.06999999</v>
      </c>
      <c r="E1517">
        <f>IFERROR([1]!s_stm07_is($A1517,"W70752487",TEXT($B$1,"yyyy/mm/dd"),1),"")</f>
        <v>228759114.61000001</v>
      </c>
      <c r="F1517">
        <f>IFERROR([1]!s_stm07_is_103($A1517,TEXT($B$1,"yyyy/mm/dd"),1),"")</f>
        <v>393222330.43000001</v>
      </c>
      <c r="G1517">
        <f>IFERROR([1]!s_stm07_is_104($A1517,TEXT($B$1,"yyyy/mm/dd"),1),"")</f>
        <v>12109995.039999999</v>
      </c>
      <c r="H1517">
        <f>IFERROR([1]!s_stm07_is_105($A1517,TEXT($B$1,"yyyy/mm/dd"),1),"")</f>
        <v>108032902.13</v>
      </c>
      <c r="I1517">
        <f>IFERROR([1]!s_stm07_is($A1517,"W72946623",TEXT($B$1,"yyyy/mm/dd"),1),"")</f>
        <v>826255139.76999998</v>
      </c>
      <c r="J1517">
        <f>IFERROR([1]!s_stm07_is($A1517,"W30028333",TEXT($B$1,"yyyy/mm/dd"),1),"")</f>
        <v>729096299</v>
      </c>
      <c r="K1517">
        <f>IFERROR([1]!s_stm07_cs($A1517,"W77130581",TEXT($B$1,"yyyy/mm/dd"),1),"")</f>
        <v>528305915.49000001</v>
      </c>
      <c r="L1517">
        <f>IFERROR([1]!s_stm07_cs($A1517,"W77745895",TEXT($B$1,"yyyy/mm/dd"),1),"")</f>
        <v>243198593.58000001</v>
      </c>
      <c r="M1517">
        <f>IFERROR([1]!S_FA_EPS_basic2($A1517,$B$1,"Cur=CNY"),"")</f>
        <v>1.51</v>
      </c>
      <c r="N1517">
        <f>IFERROR([1]!s_fa_arturndays($A1517,TEXT($B$1,"yyyy/mm/dd")),"")</f>
        <v>100.07510000000001</v>
      </c>
      <c r="O1517" t="str">
        <f>IFERROR([1]!fa_apturndays($A1517,TEXT($B$1,"yyyy/mm/dd")),"")</f>
        <v>Fetch...</v>
      </c>
      <c r="P1517">
        <f>IFERROR([1]!s_fa_invturndays($A1517,TEXT($B$1,"yyyy/mm/dd")),"")</f>
        <v>136.45670000000001</v>
      </c>
    </row>
    <row r="1518" spans="1:16">
      <c r="A1518" t="s">
        <v>1531</v>
      </c>
      <c r="B1518">
        <f>IFERROR([1]!s_stm07_is($A1518,"W70156729",TEXT($B$1,"yyyy/mm/dd"),1),"")</f>
        <v>10616882022.15</v>
      </c>
      <c r="C1518">
        <f>IFERROR([1]!s_stm07_is($A1518,"W75682424",TEXT($B$1,"yyyy/mm/dd"),1),"")</f>
        <v>8118086214.7200003</v>
      </c>
      <c r="D1518">
        <f>IFERROR([1]!s_stm07_is($A1518,"W76031679",TEXT($B$1,"yyyy/mm/dd"),1),"")</f>
        <v>30977443.82</v>
      </c>
      <c r="E1518">
        <f>IFERROR([1]!s_stm07_is($A1518,"W70752487",TEXT($B$1,"yyyy/mm/dd"),1),"")</f>
        <v>223686546.41</v>
      </c>
      <c r="F1518">
        <f>IFERROR([1]!s_stm07_is_103($A1518,TEXT($B$1,"yyyy/mm/dd"),1),"")</f>
        <v>21500982.57</v>
      </c>
      <c r="G1518">
        <f>IFERROR([1]!s_stm07_is_104($A1518,TEXT($B$1,"yyyy/mm/dd"),1),"")</f>
        <v>291169616.74000001</v>
      </c>
      <c r="H1518">
        <f>IFERROR([1]!s_stm07_is_105($A1518,TEXT($B$1,"yyyy/mm/dd"),1),"")</f>
        <v>285592227.00999999</v>
      </c>
      <c r="I1518">
        <f>IFERROR([1]!s_stm07_is($A1518,"W72946623",TEXT($B$1,"yyyy/mm/dd"),1),"")</f>
        <v>2663645694.0900002</v>
      </c>
      <c r="J1518">
        <f>IFERROR([1]!s_stm07_is($A1518,"W30028333",TEXT($B$1,"yyyy/mm/dd"),1),"")</f>
        <v>2001054067.05</v>
      </c>
      <c r="K1518">
        <f>IFERROR([1]!s_stm07_cs($A1518,"W77130581",TEXT($B$1,"yyyy/mm/dd"),1),"")</f>
        <v>2939681641.4099998</v>
      </c>
      <c r="L1518">
        <f>IFERROR([1]!s_stm07_cs($A1518,"W77745895",TEXT($B$1,"yyyy/mm/dd"),1),"")</f>
        <v>404773183.79000002</v>
      </c>
      <c r="M1518">
        <f>IFERROR([1]!S_FA_EPS_basic2($A1518,$B$1,"Cur=CNY"),"")</f>
        <v>0.95</v>
      </c>
      <c r="N1518">
        <f>IFERROR([1]!s_fa_arturndays($A1518,TEXT($B$1,"yyyy/mm/dd")),"")</f>
        <v>14.210100000000001</v>
      </c>
      <c r="O1518" t="str">
        <f>IFERROR([1]!fa_apturndays($A1518,TEXT($B$1,"yyyy/mm/dd")),"")</f>
        <v>Fetch...</v>
      </c>
      <c r="P1518">
        <f>IFERROR([1]!s_fa_invturndays($A1518,TEXT($B$1,"yyyy/mm/dd")),"")</f>
        <v>2.3481000000000001</v>
      </c>
    </row>
    <row r="1519" spans="1:16">
      <c r="A1519" t="s">
        <v>1532</v>
      </c>
      <c r="B1519">
        <f>IFERROR([1]!s_stm07_is($A1519,"W70156729",TEXT($B$1,"yyyy/mm/dd"),1),"")</f>
        <v>798063745.38</v>
      </c>
      <c r="C1519">
        <f>IFERROR([1]!s_stm07_is($A1519,"W75682424",TEXT($B$1,"yyyy/mm/dd"),1),"")</f>
        <v>820121909.23000002</v>
      </c>
      <c r="D1519">
        <f>IFERROR([1]!s_stm07_is($A1519,"W76031679",TEXT($B$1,"yyyy/mm/dd"),1),"")</f>
        <v>132876650.34999999</v>
      </c>
      <c r="E1519">
        <f>IFERROR([1]!s_stm07_is($A1519,"W70752487",TEXT($B$1,"yyyy/mm/dd"),1),"")</f>
        <v>231815182.56</v>
      </c>
      <c r="F1519">
        <f>IFERROR([1]!s_stm07_is_103($A1519,TEXT($B$1,"yyyy/mm/dd"),1),"")</f>
        <v>46345738.280000001</v>
      </c>
      <c r="G1519">
        <f>IFERROR([1]!s_stm07_is_104($A1519,TEXT($B$1,"yyyy/mm/dd"),1),"")</f>
        <v>138995787.19999999</v>
      </c>
      <c r="H1519">
        <f>IFERROR([1]!s_stm07_is_105($A1519,TEXT($B$1,"yyyy/mm/dd"),1),"")</f>
        <v>37014705.649999999</v>
      </c>
      <c r="I1519">
        <f>IFERROR([1]!s_stm07_is($A1519,"W72946623",TEXT($B$1,"yyyy/mm/dd"),1),"")</f>
        <v>-1627401873.5699999</v>
      </c>
      <c r="J1519">
        <f>IFERROR([1]!s_stm07_is($A1519,"W30028333",TEXT($B$1,"yyyy/mm/dd"),1),"")</f>
        <v>-1366528671.6400001</v>
      </c>
      <c r="K1519">
        <f>IFERROR([1]!s_stm07_cs($A1519,"W77130581",TEXT($B$1,"yyyy/mm/dd"),1),"")</f>
        <v>322095197.08999997</v>
      </c>
      <c r="L1519">
        <f>IFERROR([1]!s_stm07_cs($A1519,"W77745895",TEXT($B$1,"yyyy/mm/dd"),1),"")</f>
        <v>68522595.620000005</v>
      </c>
      <c r="M1519">
        <f>IFERROR([1]!S_FA_EPS_basic2($A1519,$B$1,"Cur=CNY"),"")</f>
        <v>-1.454</v>
      </c>
      <c r="N1519">
        <f>IFERROR([1]!s_fa_arturndays($A1519,TEXT($B$1,"yyyy/mm/dd")),"")</f>
        <v>1274.7874999999999</v>
      </c>
      <c r="O1519" t="str">
        <f>IFERROR([1]!fa_apturndays($A1519,TEXT($B$1,"yyyy/mm/dd")),"")</f>
        <v>Fetch...</v>
      </c>
      <c r="P1519">
        <f>IFERROR([1]!s_fa_invturndays($A1519,TEXT($B$1,"yyyy/mm/dd")),"")</f>
        <v>619.51469999999995</v>
      </c>
    </row>
    <row r="1520" spans="1:16">
      <c r="A1520" t="s">
        <v>1533</v>
      </c>
      <c r="B1520">
        <f>IFERROR([1]!s_stm07_is($A1520,"W70156729",TEXT($B$1,"yyyy/mm/dd"),1),"")</f>
        <v>6235737831.5200005</v>
      </c>
      <c r="C1520">
        <f>IFERROR([1]!s_stm07_is($A1520,"W75682424",TEXT($B$1,"yyyy/mm/dd"),1),"")</f>
        <v>3063268934.0999999</v>
      </c>
      <c r="D1520">
        <f>IFERROR([1]!s_stm07_is($A1520,"W76031679",TEXT($B$1,"yyyy/mm/dd"),1),"")</f>
        <v>17794522.260000002</v>
      </c>
      <c r="E1520">
        <f>IFERROR([1]!s_stm07_is($A1520,"W70752487",TEXT($B$1,"yyyy/mm/dd"),1),"")</f>
        <v>269689683.10000002</v>
      </c>
      <c r="F1520">
        <f>IFERROR([1]!s_stm07_is_103($A1520,TEXT($B$1,"yyyy/mm/dd"),1),"")</f>
        <v>130004483.92</v>
      </c>
      <c r="G1520">
        <f>IFERROR([1]!s_stm07_is_104($A1520,TEXT($B$1,"yyyy/mm/dd"),1),"")</f>
        <v>183026782.33000001</v>
      </c>
      <c r="H1520">
        <f>IFERROR([1]!s_stm07_is_105($A1520,TEXT($B$1,"yyyy/mm/dd"),1),"")</f>
        <v>15697088.08</v>
      </c>
      <c r="I1520">
        <f>IFERROR([1]!s_stm07_is($A1520,"W72946623",TEXT($B$1,"yyyy/mm/dd"),1),"")</f>
        <v>2592674274.3299999</v>
      </c>
      <c r="J1520">
        <f>IFERROR([1]!s_stm07_is($A1520,"W30028333",TEXT($B$1,"yyyy/mm/dd"),1),"")</f>
        <v>2213493045.8099999</v>
      </c>
      <c r="K1520">
        <f>IFERROR([1]!s_stm07_cs($A1520,"W77130581",TEXT($B$1,"yyyy/mm/dd"),1),"")</f>
        <v>3221913341.2399998</v>
      </c>
      <c r="L1520">
        <f>IFERROR([1]!s_stm07_cs($A1520,"W77745895",TEXT($B$1,"yyyy/mm/dd"),1),"")</f>
        <v>2090586033.8599999</v>
      </c>
      <c r="M1520">
        <f>IFERROR([1]!S_FA_EPS_basic2($A1520,$B$1,"Cur=CNY"),"")</f>
        <v>1.31</v>
      </c>
      <c r="N1520">
        <f>IFERROR([1]!s_fa_arturndays($A1520,TEXT($B$1,"yyyy/mm/dd")),"")</f>
        <v>190.3151</v>
      </c>
      <c r="O1520" t="str">
        <f>IFERROR([1]!fa_apturndays($A1520,TEXT($B$1,"yyyy/mm/dd")),"")</f>
        <v>Fetch...</v>
      </c>
      <c r="P1520">
        <f>IFERROR([1]!s_fa_invturndays($A1520,TEXT($B$1,"yyyy/mm/dd")),"")</f>
        <v>97.983199999999997</v>
      </c>
    </row>
    <row r="1521" spans="1:16">
      <c r="A1521" t="s">
        <v>1534</v>
      </c>
      <c r="B1521">
        <f>IFERROR([1]!s_stm07_is($A1521,"W70156729",TEXT($B$1,"yyyy/mm/dd"),1),"")</f>
        <v>4036114385.29</v>
      </c>
      <c r="C1521">
        <f>IFERROR([1]!s_stm07_is($A1521,"W75682424",TEXT($B$1,"yyyy/mm/dd"),1),"")</f>
        <v>2857630234.6900001</v>
      </c>
      <c r="D1521">
        <f>IFERROR([1]!s_stm07_is($A1521,"W76031679",TEXT($B$1,"yyyy/mm/dd"),1),"")</f>
        <v>194146206.86000001</v>
      </c>
      <c r="E1521">
        <f>IFERROR([1]!s_stm07_is($A1521,"W70752487",TEXT($B$1,"yyyy/mm/dd"),1),"")</f>
        <v>322964364.04000002</v>
      </c>
      <c r="F1521">
        <f>IFERROR([1]!s_stm07_is_103($A1521,TEXT($B$1,"yyyy/mm/dd"),1),"")</f>
        <v>245587322.69999999</v>
      </c>
      <c r="G1521">
        <f>IFERROR([1]!s_stm07_is_104($A1521,TEXT($B$1,"yyyy/mm/dd"),1),"")</f>
        <v>21892054.91</v>
      </c>
      <c r="H1521">
        <f>IFERROR([1]!s_stm07_is_105($A1521,TEXT($B$1,"yyyy/mm/dd"),1),"")</f>
        <v>26769802.800000001</v>
      </c>
      <c r="I1521">
        <f>IFERROR([1]!s_stm07_is($A1521,"W72946623",TEXT($B$1,"yyyy/mm/dd"),1),"")</f>
        <v>470343412.54000002</v>
      </c>
      <c r="J1521">
        <f>IFERROR([1]!s_stm07_is($A1521,"W30028333",TEXT($B$1,"yyyy/mm/dd"),1),"")</f>
        <v>397207119.13</v>
      </c>
      <c r="K1521">
        <f>IFERROR([1]!s_stm07_cs($A1521,"W77130581",TEXT($B$1,"yyyy/mm/dd"),1),"")</f>
        <v>559093795.63999999</v>
      </c>
      <c r="L1521">
        <f>IFERROR([1]!s_stm07_cs($A1521,"W77745895",TEXT($B$1,"yyyy/mm/dd"),1),"")</f>
        <v>495609976.94999999</v>
      </c>
      <c r="M1521">
        <f>IFERROR([1]!S_FA_EPS_basic2($A1521,$B$1,"Cur=CNY"),"")</f>
        <v>1.04</v>
      </c>
      <c r="N1521">
        <f>IFERROR([1]!s_fa_arturndays($A1521,TEXT($B$1,"yyyy/mm/dd")),"")</f>
        <v>53.517299999999999</v>
      </c>
      <c r="O1521" t="str">
        <f>IFERROR([1]!fa_apturndays($A1521,TEXT($B$1,"yyyy/mm/dd")),"")</f>
        <v>Fetch...</v>
      </c>
      <c r="P1521">
        <f>IFERROR([1]!s_fa_invturndays($A1521,TEXT($B$1,"yyyy/mm/dd")),"")</f>
        <v>124.87430000000001</v>
      </c>
    </row>
    <row r="1522" spans="1:16">
      <c r="A1522" t="s">
        <v>1535</v>
      </c>
      <c r="B1522">
        <f>IFERROR([1]!s_stm07_is($A1522,"W70156729",TEXT($B$1,"yyyy/mm/dd"),1),"")</f>
        <v>14732257180.58</v>
      </c>
      <c r="C1522">
        <f>IFERROR([1]!s_stm07_is($A1522,"W75682424",TEXT($B$1,"yyyy/mm/dd"),1),"")</f>
        <v>11938790216.809999</v>
      </c>
      <c r="D1522">
        <f>IFERROR([1]!s_stm07_is($A1522,"W76031679",TEXT($B$1,"yyyy/mm/dd"),1),"")</f>
        <v>106424155.01000001</v>
      </c>
      <c r="E1522">
        <f>IFERROR([1]!s_stm07_is($A1522,"W70752487",TEXT($B$1,"yyyy/mm/dd"),1),"")</f>
        <v>538689566.59000003</v>
      </c>
      <c r="F1522">
        <f>IFERROR([1]!s_stm07_is_103($A1522,TEXT($B$1,"yyyy/mm/dd"),1),"")</f>
        <v>458548561.75</v>
      </c>
      <c r="G1522">
        <f>IFERROR([1]!s_stm07_is_104($A1522,TEXT($B$1,"yyyy/mm/dd"),1),"")</f>
        <v>439879736.56999999</v>
      </c>
      <c r="H1522">
        <f>IFERROR([1]!s_stm07_is_105($A1522,TEXT($B$1,"yyyy/mm/dd"),1),"")</f>
        <v>14739762.75</v>
      </c>
      <c r="I1522">
        <f>IFERROR([1]!s_stm07_is($A1522,"W72946623",TEXT($B$1,"yyyy/mm/dd"),1),"")</f>
        <v>1120301228.8499999</v>
      </c>
      <c r="J1522">
        <f>IFERROR([1]!s_stm07_is($A1522,"W30028333",TEXT($B$1,"yyyy/mm/dd"),1),"")</f>
        <v>838095384.25999999</v>
      </c>
      <c r="K1522">
        <f>IFERROR([1]!s_stm07_cs($A1522,"W77130581",TEXT($B$1,"yyyy/mm/dd"),1),"")</f>
        <v>1173436583.3499999</v>
      </c>
      <c r="L1522">
        <f>IFERROR([1]!s_stm07_cs($A1522,"W77745895",TEXT($B$1,"yyyy/mm/dd"),1),"")</f>
        <v>340302168.99000001</v>
      </c>
      <c r="M1522">
        <f>IFERROR([1]!S_FA_EPS_basic2($A1522,$B$1,"Cur=CNY"),"")</f>
        <v>0.5514</v>
      </c>
      <c r="N1522">
        <f>IFERROR([1]!s_fa_arturndays($A1522,TEXT($B$1,"yyyy/mm/dd")),"")</f>
        <v>56.898099999999999</v>
      </c>
      <c r="O1522" t="str">
        <f>IFERROR([1]!fa_apturndays($A1522,TEXT($B$1,"yyyy/mm/dd")),"")</f>
        <v>Fetch...</v>
      </c>
      <c r="P1522">
        <f>IFERROR([1]!s_fa_invturndays($A1522,TEXT($B$1,"yyyy/mm/dd")),"")</f>
        <v>239.72829999999999</v>
      </c>
    </row>
    <row r="1523" spans="1:16">
      <c r="A1523" t="s">
        <v>1536</v>
      </c>
      <c r="B1523">
        <f>IFERROR([1]!s_stm07_is($A1523,"W70156729",TEXT($B$1,"yyyy/mm/dd"),1),"")</f>
        <v>3990595921.8800001</v>
      </c>
      <c r="C1523">
        <f>IFERROR([1]!s_stm07_is($A1523,"W75682424",TEXT($B$1,"yyyy/mm/dd"),1),"")</f>
        <v>1232838721.24</v>
      </c>
      <c r="D1523">
        <f>IFERROR([1]!s_stm07_is($A1523,"W76031679",TEXT($B$1,"yyyy/mm/dd"),1),"")</f>
        <v>840608729.73000002</v>
      </c>
      <c r="E1523">
        <f>IFERROR([1]!s_stm07_is($A1523,"W70752487",TEXT($B$1,"yyyy/mm/dd"),1),"")</f>
        <v>387177923.88999999</v>
      </c>
      <c r="F1523">
        <f>IFERROR([1]!s_stm07_is_103($A1523,TEXT($B$1,"yyyy/mm/dd"),1),"")</f>
        <v>30966648.879999999</v>
      </c>
      <c r="G1523">
        <f>IFERROR([1]!s_stm07_is_104($A1523,TEXT($B$1,"yyyy/mm/dd"),1),"")</f>
        <v>629771.81999999995</v>
      </c>
      <c r="H1523">
        <f>IFERROR([1]!s_stm07_is_105($A1523,TEXT($B$1,"yyyy/mm/dd"),1),"")</f>
        <v>35678151</v>
      </c>
      <c r="I1523">
        <f>IFERROR([1]!s_stm07_is($A1523,"W72946623",TEXT($B$1,"yyyy/mm/dd"),1),"")</f>
        <v>889127647.25999999</v>
      </c>
      <c r="J1523">
        <f>IFERROR([1]!s_stm07_is($A1523,"W30028333",TEXT($B$1,"yyyy/mm/dd"),1),"")</f>
        <v>673327111.62</v>
      </c>
      <c r="K1523">
        <f>IFERROR([1]!s_stm07_cs($A1523,"W77130581",TEXT($B$1,"yyyy/mm/dd"),1),"")</f>
        <v>-216175036.25</v>
      </c>
      <c r="L1523">
        <f>IFERROR([1]!s_stm07_cs($A1523,"W77745895",TEXT($B$1,"yyyy/mm/dd"),1),"")</f>
        <v>190327643.88</v>
      </c>
      <c r="M1523">
        <f>IFERROR([1]!S_FA_EPS_basic2($A1523,$B$1,"Cur=CNY"),"")</f>
        <v>1.1299999999999999</v>
      </c>
      <c r="N1523">
        <f>IFERROR([1]!s_fa_arturndays($A1523,TEXT($B$1,"yyyy/mm/dd")),"")</f>
        <v>1.4131</v>
      </c>
      <c r="O1523" t="str">
        <f>IFERROR([1]!fa_apturndays($A1523,TEXT($B$1,"yyyy/mm/dd")),"")</f>
        <v>Fetch...</v>
      </c>
      <c r="P1523">
        <f>IFERROR([1]!s_fa_invturndays($A1523,TEXT($B$1,"yyyy/mm/dd")),"")</f>
        <v>1797.3040000000001</v>
      </c>
    </row>
    <row r="1524" spans="1:16">
      <c r="A1524" t="s">
        <v>1537</v>
      </c>
      <c r="B1524">
        <f>IFERROR([1]!s_stm07_is($A1524,"W70156729",TEXT($B$1,"yyyy/mm/dd"),1),"")</f>
        <v>12014080628.709999</v>
      </c>
      <c r="C1524">
        <f>IFERROR([1]!s_stm07_is($A1524,"W75682424",TEXT($B$1,"yyyy/mm/dd"),1),"")</f>
        <v>9653698401.1200008</v>
      </c>
      <c r="D1524">
        <f>IFERROR([1]!s_stm07_is($A1524,"W76031679",TEXT($B$1,"yyyy/mm/dd"),1),"")</f>
        <v>60294799.380000003</v>
      </c>
      <c r="E1524">
        <f>IFERROR([1]!s_stm07_is($A1524,"W70752487",TEXT($B$1,"yyyy/mm/dd"),1),"")</f>
        <v>303076314.99000001</v>
      </c>
      <c r="F1524">
        <f>IFERROR([1]!s_stm07_is_103($A1524,TEXT($B$1,"yyyy/mm/dd"),1),"")</f>
        <v>605496858.75999999</v>
      </c>
      <c r="G1524">
        <f>IFERROR([1]!s_stm07_is_104($A1524,TEXT($B$1,"yyyy/mm/dd"),1),"")</f>
        <v>35705136.109999999</v>
      </c>
      <c r="H1524">
        <f>IFERROR([1]!s_stm07_is_105($A1524,TEXT($B$1,"yyyy/mm/dd"),1),"")</f>
        <v>46378532.780000001</v>
      </c>
      <c r="I1524">
        <f>IFERROR([1]!s_stm07_is($A1524,"W72946623",TEXT($B$1,"yyyy/mm/dd"),1),"")</f>
        <v>1529123756.0699999</v>
      </c>
      <c r="J1524">
        <f>IFERROR([1]!s_stm07_is($A1524,"W30028333",TEXT($B$1,"yyyy/mm/dd"),1),"")</f>
        <v>1309438112.97</v>
      </c>
      <c r="K1524">
        <f>IFERROR([1]!s_stm07_cs($A1524,"W77130581",TEXT($B$1,"yyyy/mm/dd"),1),"")</f>
        <v>866961398.49000001</v>
      </c>
      <c r="L1524">
        <f>IFERROR([1]!s_stm07_cs($A1524,"W77745895",TEXT($B$1,"yyyy/mm/dd"),1),"")</f>
        <v>784843231.44000006</v>
      </c>
      <c r="M1524">
        <f>IFERROR([1]!S_FA_EPS_basic2($A1524,$B$1,"Cur=CNY"),"")</f>
        <v>2.16</v>
      </c>
      <c r="N1524">
        <f>IFERROR([1]!s_fa_arturndays($A1524,TEXT($B$1,"yyyy/mm/dd")),"")</f>
        <v>108.2479</v>
      </c>
      <c r="O1524" t="str">
        <f>IFERROR([1]!fa_apturndays($A1524,TEXT($B$1,"yyyy/mm/dd")),"")</f>
        <v>Fetch...</v>
      </c>
      <c r="P1524">
        <f>IFERROR([1]!s_fa_invturndays($A1524,TEXT($B$1,"yyyy/mm/dd")),"")</f>
        <v>60.176499999999997</v>
      </c>
    </row>
    <row r="1525" spans="1:16">
      <c r="A1525" t="s">
        <v>1538</v>
      </c>
      <c r="B1525">
        <f>IFERROR([1]!s_stm07_is($A1525,"W70156729",TEXT($B$1,"yyyy/mm/dd"),1),"")</f>
        <v>3532344150.04</v>
      </c>
      <c r="C1525">
        <f>IFERROR([1]!s_stm07_is($A1525,"W75682424",TEXT($B$1,"yyyy/mm/dd"),1),"")</f>
        <v>2389156347.7399998</v>
      </c>
      <c r="D1525">
        <f>IFERROR([1]!s_stm07_is($A1525,"W76031679",TEXT($B$1,"yyyy/mm/dd"),1),"")</f>
        <v>46126166.670000002</v>
      </c>
      <c r="E1525">
        <f>IFERROR([1]!s_stm07_is($A1525,"W70752487",TEXT($B$1,"yyyy/mm/dd"),1),"")</f>
        <v>378865631.74000001</v>
      </c>
      <c r="F1525">
        <f>IFERROR([1]!s_stm07_is_103($A1525,TEXT($B$1,"yyyy/mm/dd"),1),"")</f>
        <v>159556973.28999999</v>
      </c>
      <c r="G1525">
        <f>IFERROR([1]!s_stm07_is_104($A1525,TEXT($B$1,"yyyy/mm/dd"),1),"")</f>
        <v>10645596.52</v>
      </c>
      <c r="H1525">
        <f>IFERROR([1]!s_stm07_is_105($A1525,TEXT($B$1,"yyyy/mm/dd"),1),"")</f>
        <v>218532997.37</v>
      </c>
      <c r="I1525">
        <f>IFERROR([1]!s_stm07_is($A1525,"W72946623",TEXT($B$1,"yyyy/mm/dd"),1),"")</f>
        <v>781473426.10000002</v>
      </c>
      <c r="J1525">
        <f>IFERROR([1]!s_stm07_is($A1525,"W30028333",TEXT($B$1,"yyyy/mm/dd"),1),"")</f>
        <v>656907533.16999996</v>
      </c>
      <c r="K1525">
        <f>IFERROR([1]!s_stm07_cs($A1525,"W77130581",TEXT($B$1,"yyyy/mm/dd"),1),"")</f>
        <v>390906319.92000002</v>
      </c>
      <c r="L1525">
        <f>IFERROR([1]!s_stm07_cs($A1525,"W77745895",TEXT($B$1,"yyyy/mm/dd"),1),"")</f>
        <v>88067476.560000002</v>
      </c>
      <c r="M1525">
        <f>IFERROR([1]!S_FA_EPS_basic2($A1525,$B$1,"Cur=CNY"),"")</f>
        <v>0.72</v>
      </c>
      <c r="N1525">
        <f>IFERROR([1]!s_fa_arturndays($A1525,TEXT($B$1,"yyyy/mm/dd")),"")</f>
        <v>24.1007</v>
      </c>
      <c r="O1525" t="str">
        <f>IFERROR([1]!fa_apturndays($A1525,TEXT($B$1,"yyyy/mm/dd")),"")</f>
        <v>Fetch...</v>
      </c>
      <c r="P1525">
        <f>IFERROR([1]!s_fa_invturndays($A1525,TEXT($B$1,"yyyy/mm/dd")),"")</f>
        <v>113.1151</v>
      </c>
    </row>
    <row r="1526" spans="1:16">
      <c r="A1526" t="s">
        <v>1539</v>
      </c>
      <c r="B1526">
        <f>IFERROR([1]!s_stm07_is($A1526,"W70156729",TEXT($B$1,"yyyy/mm/dd"),1),"")</f>
        <v>10597428522.23</v>
      </c>
      <c r="C1526">
        <f>IFERROR([1]!s_stm07_is($A1526,"W75682424",TEXT($B$1,"yyyy/mm/dd"),1),"")</f>
        <v>2833242682.5500002</v>
      </c>
      <c r="D1526">
        <f>IFERROR([1]!s_stm07_is($A1526,"W76031679",TEXT($B$1,"yyyy/mm/dd"),1),"")</f>
        <v>5259412498.2700005</v>
      </c>
      <c r="E1526">
        <f>IFERROR([1]!s_stm07_is($A1526,"W70752487",TEXT($B$1,"yyyy/mm/dd"),1),"")</f>
        <v>403543630.11000001</v>
      </c>
      <c r="F1526">
        <f>IFERROR([1]!s_stm07_is_103($A1526,TEXT($B$1,"yyyy/mm/dd"),1),"")</f>
        <v>216843240.78999999</v>
      </c>
      <c r="G1526">
        <f>IFERROR([1]!s_stm07_is_104($A1526,TEXT($B$1,"yyyy/mm/dd"),1),"")</f>
        <v>36642250.359999999</v>
      </c>
      <c r="H1526">
        <f>IFERROR([1]!s_stm07_is_105($A1526,TEXT($B$1,"yyyy/mm/dd"),1),"")</f>
        <v>58312686.170000002</v>
      </c>
      <c r="I1526">
        <f>IFERROR([1]!s_stm07_is($A1526,"W72946623",TEXT($B$1,"yyyy/mm/dd"),1),"")</f>
        <v>1870548980.73</v>
      </c>
      <c r="J1526">
        <f>IFERROR([1]!s_stm07_is($A1526,"W30028333",TEXT($B$1,"yyyy/mm/dd"),1),"")</f>
        <v>1497751418.1099999</v>
      </c>
      <c r="K1526">
        <f>IFERROR([1]!s_stm07_cs($A1526,"W77130581",TEXT($B$1,"yyyy/mm/dd"),1),"")</f>
        <v>2193146649.1300001</v>
      </c>
      <c r="L1526">
        <f>IFERROR([1]!s_stm07_cs($A1526,"W77745895",TEXT($B$1,"yyyy/mm/dd"),1),"")</f>
        <v>169322089.49000001</v>
      </c>
      <c r="M1526">
        <f>IFERROR([1]!S_FA_EPS_basic2($A1526,$B$1,"Cur=CNY"),"")</f>
        <v>3.81</v>
      </c>
      <c r="N1526">
        <f>IFERROR([1]!s_fa_arturndays($A1526,TEXT($B$1,"yyyy/mm/dd")),"")</f>
        <v>9.9891000000000005</v>
      </c>
      <c r="O1526" t="str">
        <f>IFERROR([1]!fa_apturndays($A1526,TEXT($B$1,"yyyy/mm/dd")),"")</f>
        <v>Fetch...</v>
      </c>
      <c r="P1526">
        <f>IFERROR([1]!s_fa_invturndays($A1526,TEXT($B$1,"yyyy/mm/dd")),"")</f>
        <v>82.344099999999997</v>
      </c>
    </row>
    <row r="1527" spans="1:16">
      <c r="A1527" t="s">
        <v>1540</v>
      </c>
      <c r="B1527">
        <f>IFERROR([1]!s_stm07_is($A1527,"W70156729",TEXT($B$1,"yyyy/mm/dd"),1),"")</f>
        <v>10843482833.209999</v>
      </c>
      <c r="C1527">
        <f>IFERROR([1]!s_stm07_is($A1527,"W75682424",TEXT($B$1,"yyyy/mm/dd"),1),"")</f>
        <v>8446475607.1099997</v>
      </c>
      <c r="D1527">
        <f>IFERROR([1]!s_stm07_is($A1527,"W76031679",TEXT($B$1,"yyyy/mm/dd"),1),"")</f>
        <v>214202854.83000001</v>
      </c>
      <c r="E1527">
        <f>IFERROR([1]!s_stm07_is($A1527,"W70752487",TEXT($B$1,"yyyy/mm/dd"),1),"")</f>
        <v>155604824.00999999</v>
      </c>
      <c r="F1527">
        <f>IFERROR([1]!s_stm07_is_103($A1527,TEXT($B$1,"yyyy/mm/dd"),1),"")</f>
        <v>381141831.38999999</v>
      </c>
      <c r="G1527">
        <f>IFERROR([1]!s_stm07_is_104($A1527,TEXT($B$1,"yyyy/mm/dd"),1),"")</f>
        <v>10952062.640000001</v>
      </c>
      <c r="H1527">
        <f>IFERROR([1]!s_stm07_is_105($A1527,TEXT($B$1,"yyyy/mm/dd"),1),"")</f>
        <v>23907213.25</v>
      </c>
      <c r="I1527">
        <f>IFERROR([1]!s_stm07_is($A1527,"W72946623",TEXT($B$1,"yyyy/mm/dd"),1),"")</f>
        <v>1527219585.02</v>
      </c>
      <c r="J1527">
        <f>IFERROR([1]!s_stm07_is($A1527,"W30028333",TEXT($B$1,"yyyy/mm/dd"),1),"")</f>
        <v>1271408899.1900001</v>
      </c>
      <c r="K1527">
        <f>IFERROR([1]!s_stm07_cs($A1527,"W77130581",TEXT($B$1,"yyyy/mm/dd"),1),"")</f>
        <v>1964747569.2</v>
      </c>
      <c r="L1527">
        <f>IFERROR([1]!s_stm07_cs($A1527,"W77745895",TEXT($B$1,"yyyy/mm/dd"),1),"")</f>
        <v>791068729.34000003</v>
      </c>
      <c r="M1527">
        <f>IFERROR([1]!S_FA_EPS_basic2($A1527,$B$1,"Cur=CNY"),"")</f>
        <v>1.85</v>
      </c>
      <c r="N1527">
        <f>IFERROR([1]!s_fa_arturndays($A1527,TEXT($B$1,"yyyy/mm/dd")),"")</f>
        <v>111.462</v>
      </c>
      <c r="O1527" t="str">
        <f>IFERROR([1]!fa_apturndays($A1527,TEXT($B$1,"yyyy/mm/dd")),"")</f>
        <v>Fetch...</v>
      </c>
      <c r="P1527">
        <f>IFERROR([1]!s_fa_invturndays($A1527,TEXT($B$1,"yyyy/mm/dd")),"")</f>
        <v>126.3601</v>
      </c>
    </row>
    <row r="1528" spans="1:16">
      <c r="A1528" t="s">
        <v>1541</v>
      </c>
      <c r="B1528">
        <f>IFERROR([1]!s_stm07_is($A1528,"W70156729",TEXT($B$1,"yyyy/mm/dd"),1),"")</f>
        <v>17692653979</v>
      </c>
      <c r="C1528">
        <f>IFERROR([1]!s_stm07_is($A1528,"W75682424",TEXT($B$1,"yyyy/mm/dd"),1),"")</f>
        <v>15218360315.799999</v>
      </c>
      <c r="D1528">
        <f>IFERROR([1]!s_stm07_is($A1528,"W76031679",TEXT($B$1,"yyyy/mm/dd"),1),"")</f>
        <v>74379645.629999995</v>
      </c>
      <c r="E1528">
        <f>IFERROR([1]!s_stm07_is($A1528,"W70752487",TEXT($B$1,"yyyy/mm/dd"),1),"")</f>
        <v>323116564.57999998</v>
      </c>
      <c r="F1528">
        <f>IFERROR([1]!s_stm07_is_103($A1528,TEXT($B$1,"yyyy/mm/dd"),1),"")</f>
        <v>178954724.59</v>
      </c>
      <c r="G1528">
        <f>IFERROR([1]!s_stm07_is_104($A1528,TEXT($B$1,"yyyy/mm/dd"),1),"")</f>
        <v>268494855.18000001</v>
      </c>
      <c r="H1528">
        <f>IFERROR([1]!s_stm07_is_105($A1528,TEXT($B$1,"yyyy/mm/dd"),1),"")</f>
        <v>42272561.32</v>
      </c>
      <c r="I1528">
        <f>IFERROR([1]!s_stm07_is($A1528,"W72946623",TEXT($B$1,"yyyy/mm/dd"),1),"")</f>
        <v>1320748861.8900001</v>
      </c>
      <c r="J1528">
        <f>IFERROR([1]!s_stm07_is($A1528,"W30028333",TEXT($B$1,"yyyy/mm/dd"),1),"")</f>
        <v>746663232.65999997</v>
      </c>
      <c r="K1528">
        <f>IFERROR([1]!s_stm07_cs($A1528,"W77130581",TEXT($B$1,"yyyy/mm/dd"),1),"")</f>
        <v>711875164.48000002</v>
      </c>
      <c r="L1528">
        <f>IFERROR([1]!s_stm07_cs($A1528,"W77745895",TEXT($B$1,"yyyy/mm/dd"),1),"")</f>
        <v>647035074.58000004</v>
      </c>
      <c r="M1528">
        <f>IFERROR([1]!S_FA_EPS_basic2($A1528,$B$1,"Cur=CNY"),"")</f>
        <v>1.51</v>
      </c>
      <c r="N1528">
        <f>IFERROR([1]!s_fa_arturndays($A1528,TEXT($B$1,"yyyy/mm/dd")),"")</f>
        <v>48.325400000000002</v>
      </c>
      <c r="O1528" t="str">
        <f>IFERROR([1]!fa_apturndays($A1528,TEXT($B$1,"yyyy/mm/dd")),"")</f>
        <v>Fetch...</v>
      </c>
      <c r="P1528">
        <f>IFERROR([1]!s_fa_invturndays($A1528,TEXT($B$1,"yyyy/mm/dd")),"")</f>
        <v>81.728999999999999</v>
      </c>
    </row>
    <row r="1529" spans="1:16">
      <c r="A1529" t="s">
        <v>1542</v>
      </c>
      <c r="B1529">
        <f>IFERROR([1]!s_stm07_is($A1529,"W70156729",TEXT($B$1,"yyyy/mm/dd"),1),"")</f>
        <v>50981355843.720001</v>
      </c>
      <c r="C1529">
        <f>IFERROR([1]!s_stm07_is($A1529,"W75682424",TEXT($B$1,"yyyy/mm/dd"),1),"")</f>
        <v>47676537017.629997</v>
      </c>
      <c r="D1529">
        <f>IFERROR([1]!s_stm07_is($A1529,"W76031679",TEXT($B$1,"yyyy/mm/dd"),1),"")</f>
        <v>350719745.58999997</v>
      </c>
      <c r="E1529">
        <f>IFERROR([1]!s_stm07_is($A1529,"W70752487",TEXT($B$1,"yyyy/mm/dd"),1),"")</f>
        <v>237939335.34</v>
      </c>
      <c r="F1529">
        <f>IFERROR([1]!s_stm07_is_103($A1529,TEXT($B$1,"yyyy/mm/dd"),1),"")</f>
        <v>204973798.65000001</v>
      </c>
      <c r="G1529">
        <f>IFERROR([1]!s_stm07_is_104($A1529,TEXT($B$1,"yyyy/mm/dd"),1),"")</f>
        <v>169781396.68000001</v>
      </c>
      <c r="H1529">
        <f>IFERROR([1]!s_stm07_is_105($A1529,TEXT($B$1,"yyyy/mm/dd"),1),"")</f>
        <v>35078965.899999999</v>
      </c>
      <c r="I1529">
        <f>IFERROR([1]!s_stm07_is($A1529,"W72946623",TEXT($B$1,"yyyy/mm/dd"),1),"")</f>
        <v>2217413685.46</v>
      </c>
      <c r="J1529">
        <f>IFERROR([1]!s_stm07_is($A1529,"W30028333",TEXT($B$1,"yyyy/mm/dd"),1),"")</f>
        <v>1322160820.05</v>
      </c>
      <c r="K1529">
        <f>IFERROR([1]!s_stm07_cs($A1529,"W77130581",TEXT($B$1,"yyyy/mm/dd"),1),"")</f>
        <v>601439665.19000006</v>
      </c>
      <c r="L1529">
        <f>IFERROR([1]!s_stm07_cs($A1529,"W77745895",TEXT($B$1,"yyyy/mm/dd"),1),"")</f>
        <v>398772475.76999998</v>
      </c>
      <c r="M1529">
        <f>IFERROR([1]!S_FA_EPS_basic2($A1529,$B$1,"Cur=CNY"),"")</f>
        <v>1.83</v>
      </c>
      <c r="N1529">
        <f>IFERROR([1]!s_fa_arturndays($A1529,TEXT($B$1,"yyyy/mm/dd")),"")</f>
        <v>11.8017</v>
      </c>
      <c r="O1529" t="str">
        <f>IFERROR([1]!fa_apturndays($A1529,TEXT($B$1,"yyyy/mm/dd")),"")</f>
        <v>Fetch...</v>
      </c>
      <c r="P1529">
        <f>IFERROR([1]!s_fa_invturndays($A1529,TEXT($B$1,"yyyy/mm/dd")),"")</f>
        <v>5.5903999999999998</v>
      </c>
    </row>
    <row r="1530" spans="1:16">
      <c r="A1530" t="s">
        <v>1543</v>
      </c>
      <c r="B1530">
        <f>IFERROR([1]!s_stm07_is($A1530,"W70156729",TEXT($B$1,"yyyy/mm/dd"),1),"")</f>
        <v>3925785280.1399999</v>
      </c>
      <c r="C1530">
        <f>IFERROR([1]!s_stm07_is($A1530,"W75682424",TEXT($B$1,"yyyy/mm/dd"),1),"")</f>
        <v>2190907082.79</v>
      </c>
      <c r="D1530">
        <f>IFERROR([1]!s_stm07_is($A1530,"W76031679",TEXT($B$1,"yyyy/mm/dd"),1),"")</f>
        <v>77293628.790000007</v>
      </c>
      <c r="E1530">
        <f>IFERROR([1]!s_stm07_is($A1530,"W70752487",TEXT($B$1,"yyyy/mm/dd"),1),"")</f>
        <v>313074561.43000001</v>
      </c>
      <c r="F1530">
        <f>IFERROR([1]!s_stm07_is_103($A1530,TEXT($B$1,"yyyy/mm/dd"),1),"")</f>
        <v>137323160.83000001</v>
      </c>
      <c r="G1530">
        <f>IFERROR([1]!s_stm07_is_104($A1530,TEXT($B$1,"yyyy/mm/dd"),1),"")</f>
        <v>225149182.28</v>
      </c>
      <c r="H1530">
        <f>IFERROR([1]!s_stm07_is_105($A1530,TEXT($B$1,"yyyy/mm/dd"),1),"")</f>
        <v>20349140.43</v>
      </c>
      <c r="I1530">
        <f>IFERROR([1]!s_stm07_is($A1530,"W72946623",TEXT($B$1,"yyyy/mm/dd"),1),"")</f>
        <v>783731683.49000001</v>
      </c>
      <c r="J1530">
        <f>IFERROR([1]!s_stm07_is($A1530,"W30028333",TEXT($B$1,"yyyy/mm/dd"),1),"")</f>
        <v>509514528.54000002</v>
      </c>
      <c r="K1530">
        <f>IFERROR([1]!s_stm07_cs($A1530,"W77130581",TEXT($B$1,"yyyy/mm/dd"),1),"")</f>
        <v>1302804682.4400001</v>
      </c>
      <c r="L1530">
        <f>IFERROR([1]!s_stm07_cs($A1530,"W77745895",TEXT($B$1,"yyyy/mm/dd"),1),"")</f>
        <v>1471262410.75</v>
      </c>
      <c r="M1530">
        <f>IFERROR([1]!S_FA_EPS_basic2($A1530,$B$1,"Cur=CNY"),"")</f>
        <v>1.1100000000000001</v>
      </c>
      <c r="N1530">
        <f>IFERROR([1]!s_fa_arturndays($A1530,TEXT($B$1,"yyyy/mm/dd")),"")</f>
        <v>57.445599999999999</v>
      </c>
      <c r="O1530" t="str">
        <f>IFERROR([1]!fa_apturndays($A1530,TEXT($B$1,"yyyy/mm/dd")),"")</f>
        <v>Fetch...</v>
      </c>
      <c r="P1530">
        <f>IFERROR([1]!s_fa_invturndays($A1530,TEXT($B$1,"yyyy/mm/dd")),"")</f>
        <v>163.02869999999999</v>
      </c>
    </row>
    <row r="1531" spans="1:16">
      <c r="A1531" t="s">
        <v>1544</v>
      </c>
      <c r="B1531">
        <f>IFERROR([1]!s_stm07_is($A1531,"W70156729",TEXT($B$1,"yyyy/mm/dd"),1),"")</f>
        <v>3196058066.4400001</v>
      </c>
      <c r="C1531">
        <f>IFERROR([1]!s_stm07_is($A1531,"W75682424",TEXT($B$1,"yyyy/mm/dd"),1),"")</f>
        <v>2261124966.1599998</v>
      </c>
      <c r="D1531">
        <f>IFERROR([1]!s_stm07_is($A1531,"W76031679",TEXT($B$1,"yyyy/mm/dd"),1),"")</f>
        <v>96280334.239999995</v>
      </c>
      <c r="E1531">
        <f>IFERROR([1]!s_stm07_is($A1531,"W70752487",TEXT($B$1,"yyyy/mm/dd"),1),"")</f>
        <v>127699736.73999999</v>
      </c>
      <c r="F1531">
        <f>IFERROR([1]!s_stm07_is_103($A1531,TEXT($B$1,"yyyy/mm/dd"),1),"")</f>
        <v>152489253.71000001</v>
      </c>
      <c r="G1531">
        <f>IFERROR([1]!s_stm07_is_104($A1531,TEXT($B$1,"yyyy/mm/dd"),1),"")</f>
        <v>49802959.82</v>
      </c>
      <c r="H1531">
        <f>IFERROR([1]!s_stm07_is_105($A1531,TEXT($B$1,"yyyy/mm/dd"),1),"")</f>
        <v>4933303.76</v>
      </c>
      <c r="I1531">
        <f>IFERROR([1]!s_stm07_is($A1531,"W72946623",TEXT($B$1,"yyyy/mm/dd"),1),"")</f>
        <v>479211424.93000001</v>
      </c>
      <c r="J1531">
        <f>IFERROR([1]!s_stm07_is($A1531,"W30028333",TEXT($B$1,"yyyy/mm/dd"),1),"")</f>
        <v>393675207.10000002</v>
      </c>
      <c r="K1531">
        <f>IFERROR([1]!s_stm07_cs($A1531,"W77130581",TEXT($B$1,"yyyy/mm/dd"),1),"")</f>
        <v>513672383.95999998</v>
      </c>
      <c r="L1531">
        <f>IFERROR([1]!s_stm07_cs($A1531,"W77745895",TEXT($B$1,"yyyy/mm/dd"),1),"")</f>
        <v>437235793.20999998</v>
      </c>
      <c r="M1531">
        <f>IFERROR([1]!S_FA_EPS_basic2($A1531,$B$1,"Cur=CNY"),"")</f>
        <v>0.47</v>
      </c>
      <c r="N1531">
        <f>IFERROR([1]!s_fa_arturndays($A1531,TEXT($B$1,"yyyy/mm/dd")),"")</f>
        <v>121.95950000000001</v>
      </c>
      <c r="O1531" t="str">
        <f>IFERROR([1]!fa_apturndays($A1531,TEXT($B$1,"yyyy/mm/dd")),"")</f>
        <v>Fetch...</v>
      </c>
      <c r="P1531">
        <f>IFERROR([1]!s_fa_invturndays($A1531,TEXT($B$1,"yyyy/mm/dd")),"")</f>
        <v>205.04640000000001</v>
      </c>
    </row>
    <row r="1532" spans="1:16">
      <c r="A1532" t="s">
        <v>1545</v>
      </c>
      <c r="B1532">
        <f>IFERROR([1]!s_stm07_is($A1532,"W70156729",TEXT($B$1,"yyyy/mm/dd"),1),"")</f>
        <v>3428806478.4299998</v>
      </c>
      <c r="C1532">
        <f>IFERROR([1]!s_stm07_is($A1532,"W75682424",TEXT($B$1,"yyyy/mm/dd"),1),"")</f>
        <v>2599156926.5100002</v>
      </c>
      <c r="D1532">
        <f>IFERROR([1]!s_stm07_is($A1532,"W76031679",TEXT($B$1,"yyyy/mm/dd"),1),"")</f>
        <v>118295700.73</v>
      </c>
      <c r="E1532">
        <f>IFERROR([1]!s_stm07_is($A1532,"W70752487",TEXT($B$1,"yyyy/mm/dd"),1),"")</f>
        <v>183336699.40000001</v>
      </c>
      <c r="F1532">
        <f>IFERROR([1]!s_stm07_is_103($A1532,TEXT($B$1,"yyyy/mm/dd"),1),"")</f>
        <v>232511791.93000001</v>
      </c>
      <c r="G1532">
        <f>IFERROR([1]!s_stm07_is_104($A1532,TEXT($B$1,"yyyy/mm/dd"),1),"")</f>
        <v>108544690.79000001</v>
      </c>
      <c r="H1532">
        <f>IFERROR([1]!s_stm07_is_105($A1532,TEXT($B$1,"yyyy/mm/dd"),1),"")</f>
        <v>39446604</v>
      </c>
      <c r="I1532">
        <f>IFERROR([1]!s_stm07_is($A1532,"W72946623",TEXT($B$1,"yyyy/mm/dd"),1),"")</f>
        <v>600950050.88</v>
      </c>
      <c r="J1532">
        <f>IFERROR([1]!s_stm07_is($A1532,"W30028333",TEXT($B$1,"yyyy/mm/dd"),1),"")</f>
        <v>562549729.92999995</v>
      </c>
      <c r="K1532">
        <f>IFERROR([1]!s_stm07_cs($A1532,"W77130581",TEXT($B$1,"yyyy/mm/dd"),1),"")</f>
        <v>338237454.88</v>
      </c>
      <c r="L1532">
        <f>IFERROR([1]!s_stm07_cs($A1532,"W77745895",TEXT($B$1,"yyyy/mm/dd"),1),"")</f>
        <v>313375536.75</v>
      </c>
      <c r="M1532">
        <f>IFERROR([1]!S_FA_EPS_basic2($A1532,$B$1,"Cur=CNY"),"")</f>
        <v>0.94</v>
      </c>
      <c r="N1532">
        <f>IFERROR([1]!s_fa_arturndays($A1532,TEXT($B$1,"yyyy/mm/dd")),"")</f>
        <v>83.806700000000006</v>
      </c>
      <c r="O1532" t="str">
        <f>IFERROR([1]!fa_apturndays($A1532,TEXT($B$1,"yyyy/mm/dd")),"")</f>
        <v>Fetch...</v>
      </c>
      <c r="P1532">
        <f>IFERROR([1]!s_fa_invturndays($A1532,TEXT($B$1,"yyyy/mm/dd")),"")</f>
        <v>73.938699999999997</v>
      </c>
    </row>
    <row r="1533" spans="1:16">
      <c r="A1533" t="s">
        <v>1546</v>
      </c>
      <c r="B1533">
        <f>IFERROR([1]!s_stm07_is($A1533,"W70156729",TEXT($B$1,"yyyy/mm/dd"),1),"")</f>
        <v>4226413277.2399998</v>
      </c>
      <c r="C1533">
        <f>IFERROR([1]!s_stm07_is($A1533,"W75682424",TEXT($B$1,"yyyy/mm/dd"),1),"")</f>
        <v>1452300743.96</v>
      </c>
      <c r="D1533">
        <f>IFERROR([1]!s_stm07_is($A1533,"W76031679",TEXT($B$1,"yyyy/mm/dd"),1),"")</f>
        <v>850346611.63999999</v>
      </c>
      <c r="E1533">
        <f>IFERROR([1]!s_stm07_is($A1533,"W70752487",TEXT($B$1,"yyyy/mm/dd"),1),"")</f>
        <v>241291919.69999999</v>
      </c>
      <c r="F1533">
        <f>IFERROR([1]!s_stm07_is_103($A1533,TEXT($B$1,"yyyy/mm/dd"),1),"")</f>
        <v>555115864.12</v>
      </c>
      <c r="G1533">
        <f>IFERROR([1]!s_stm07_is_104($A1533,TEXT($B$1,"yyyy/mm/dd"),1),"")</f>
        <v>13958489.76</v>
      </c>
      <c r="H1533">
        <f>IFERROR([1]!s_stm07_is_105($A1533,TEXT($B$1,"yyyy/mm/dd"),1),"")</f>
        <v>7079028.4199999999</v>
      </c>
      <c r="I1533">
        <f>IFERROR([1]!s_stm07_is($A1533,"W72946623",TEXT($B$1,"yyyy/mm/dd"),1),"")</f>
        <v>1222766392.5599999</v>
      </c>
      <c r="J1533">
        <f>IFERROR([1]!s_stm07_is($A1533,"W30028333",TEXT($B$1,"yyyy/mm/dd"),1),"")</f>
        <v>1068016468.23</v>
      </c>
      <c r="K1533">
        <f>IFERROR([1]!s_stm07_cs($A1533,"W77130581",TEXT($B$1,"yyyy/mm/dd"),1),"")</f>
        <v>1341681762.75</v>
      </c>
      <c r="L1533">
        <f>IFERROR([1]!s_stm07_cs($A1533,"W77745895",TEXT($B$1,"yyyy/mm/dd"),1),"")</f>
        <v>604302271.15999997</v>
      </c>
      <c r="M1533">
        <f>IFERROR([1]!S_FA_EPS_basic2($A1533,$B$1,"Cur=CNY"),"")</f>
        <v>1.87</v>
      </c>
      <c r="N1533">
        <f>IFERROR([1]!s_fa_arturndays($A1533,TEXT($B$1,"yyyy/mm/dd")),"")</f>
        <v>98.020499999999998</v>
      </c>
      <c r="O1533" t="str">
        <f>IFERROR([1]!fa_apturndays($A1533,TEXT($B$1,"yyyy/mm/dd")),"")</f>
        <v>Fetch...</v>
      </c>
      <c r="P1533">
        <f>IFERROR([1]!s_fa_invturndays($A1533,TEXT($B$1,"yyyy/mm/dd")),"")</f>
        <v>258.86239999999998</v>
      </c>
    </row>
    <row r="1534" spans="1:16">
      <c r="A1534" t="s">
        <v>1547</v>
      </c>
      <c r="B1534">
        <f>IFERROR([1]!s_stm07_is($A1534,"W70156729",TEXT($B$1,"yyyy/mm/dd"),1),"")</f>
        <v>15711291195.73</v>
      </c>
      <c r="C1534">
        <f>IFERROR([1]!s_stm07_is($A1534,"W75682424",TEXT($B$1,"yyyy/mm/dd"),1),"")</f>
        <v>10726924153.280001</v>
      </c>
      <c r="D1534">
        <f>IFERROR([1]!s_stm07_is($A1534,"W76031679",TEXT($B$1,"yyyy/mm/dd"),1),"")</f>
        <v>155368450.78</v>
      </c>
      <c r="E1534">
        <f>IFERROR([1]!s_stm07_is($A1534,"W70752487",TEXT($B$1,"yyyy/mm/dd"),1),"")</f>
        <v>742173722.08000004</v>
      </c>
      <c r="F1534">
        <f>IFERROR([1]!s_stm07_is_103($A1534,TEXT($B$1,"yyyy/mm/dd"),1),"")</f>
        <v>888241316.86000001</v>
      </c>
      <c r="G1534">
        <f>IFERROR([1]!s_stm07_is_104($A1534,TEXT($B$1,"yyyy/mm/dd"),1),"")</f>
        <v>235485884.41999999</v>
      </c>
      <c r="H1534">
        <f>IFERROR([1]!s_stm07_is_105($A1534,TEXT($B$1,"yyyy/mm/dd"),1),"")</f>
        <v>140929831.93000001</v>
      </c>
      <c r="I1534">
        <f>IFERROR([1]!s_stm07_is($A1534,"W72946623",TEXT($B$1,"yyyy/mm/dd"),1),"")</f>
        <v>2948965914.0599999</v>
      </c>
      <c r="J1534">
        <f>IFERROR([1]!s_stm07_is($A1534,"W30028333",TEXT($B$1,"yyyy/mm/dd"),1),"")</f>
        <v>2359053946.3499999</v>
      </c>
      <c r="K1534">
        <f>IFERROR([1]!s_stm07_cs($A1534,"W77130581",TEXT($B$1,"yyyy/mm/dd"),1),"")</f>
        <v>2697297972.2399998</v>
      </c>
      <c r="L1534">
        <f>IFERROR([1]!s_stm07_cs($A1534,"W77745895",TEXT($B$1,"yyyy/mm/dd"),1),"")</f>
        <v>1519165997.6099999</v>
      </c>
      <c r="M1534">
        <f>IFERROR([1]!S_FA_EPS_basic2($A1534,$B$1,"Cur=CNY"),"")</f>
        <v>1.1200000000000001</v>
      </c>
      <c r="N1534">
        <f>IFERROR([1]!s_fa_arturndays($A1534,TEXT($B$1,"yyyy/mm/dd")),"")</f>
        <v>100.928</v>
      </c>
      <c r="O1534" t="str">
        <f>IFERROR([1]!fa_apturndays($A1534,TEXT($B$1,"yyyy/mm/dd")),"")</f>
        <v>Fetch...</v>
      </c>
      <c r="P1534">
        <f>IFERROR([1]!s_fa_invturndays($A1534,TEXT($B$1,"yyyy/mm/dd")),"")</f>
        <v>306.17450000000002</v>
      </c>
    </row>
    <row r="1535" spans="1:16">
      <c r="A1535" t="s">
        <v>1548</v>
      </c>
      <c r="B1535">
        <f>IFERROR([1]!s_stm07_is($A1535,"W70156729",TEXT($B$1,"yyyy/mm/dd"),1),"")</f>
        <v>1558438867.2</v>
      </c>
      <c r="C1535">
        <f>IFERROR([1]!s_stm07_is($A1535,"W75682424",TEXT($B$1,"yyyy/mm/dd"),1),"")</f>
        <v>859796415.59000003</v>
      </c>
      <c r="D1535">
        <f>IFERROR([1]!s_stm07_is($A1535,"W76031679",TEXT($B$1,"yyyy/mm/dd"),1),"")</f>
        <v>122305675.89</v>
      </c>
      <c r="E1535">
        <f>IFERROR([1]!s_stm07_is($A1535,"W70752487",TEXT($B$1,"yyyy/mm/dd"),1),"")</f>
        <v>115161933.77</v>
      </c>
      <c r="F1535">
        <f>IFERROR([1]!s_stm07_is_103($A1535,TEXT($B$1,"yyyy/mm/dd"),1),"")</f>
        <v>142578823.88</v>
      </c>
      <c r="G1535">
        <f>IFERROR([1]!s_stm07_is_104($A1535,TEXT($B$1,"yyyy/mm/dd"),1),"")</f>
        <v>16733995.029999999</v>
      </c>
      <c r="H1535">
        <f>IFERROR([1]!s_stm07_is_105($A1535,TEXT($B$1,"yyyy/mm/dd"),1),"")</f>
        <v>3771484.21</v>
      </c>
      <c r="I1535">
        <f>IFERROR([1]!s_stm07_is($A1535,"W72946623",TEXT($B$1,"yyyy/mm/dd"),1),"")</f>
        <v>430648283.63</v>
      </c>
      <c r="J1535">
        <f>IFERROR([1]!s_stm07_is($A1535,"W30028333",TEXT($B$1,"yyyy/mm/dd"),1),"")</f>
        <v>340551270.86000001</v>
      </c>
      <c r="K1535">
        <f>IFERROR([1]!s_stm07_cs($A1535,"W77130581",TEXT($B$1,"yyyy/mm/dd"),1),"")</f>
        <v>386447588.52999997</v>
      </c>
      <c r="L1535">
        <f>IFERROR([1]!s_stm07_cs($A1535,"W77745895",TEXT($B$1,"yyyy/mm/dd"),1),"")</f>
        <v>87807147.409999996</v>
      </c>
      <c r="M1535">
        <f>IFERROR([1]!S_FA_EPS_basic2($A1535,$B$1,"Cur=CNY"),"")</f>
        <v>1.21</v>
      </c>
      <c r="N1535">
        <f>IFERROR([1]!s_fa_arturndays($A1535,TEXT($B$1,"yyyy/mm/dd")),"")</f>
        <v>122.0091</v>
      </c>
      <c r="O1535" t="str">
        <f>IFERROR([1]!fa_apturndays($A1535,TEXT($B$1,"yyyy/mm/dd")),"")</f>
        <v>Fetch...</v>
      </c>
      <c r="P1535">
        <f>IFERROR([1]!s_fa_invturndays($A1535,TEXT($B$1,"yyyy/mm/dd")),"")</f>
        <v>275.60860000000002</v>
      </c>
    </row>
    <row r="1536" spans="1:16">
      <c r="A1536" t="s">
        <v>1549</v>
      </c>
      <c r="B1536">
        <f>IFERROR([1]!s_stm07_is($A1536,"W70156729",TEXT($B$1,"yyyy/mm/dd"),1),"")</f>
        <v>1165540260.1400001</v>
      </c>
      <c r="C1536">
        <f>IFERROR([1]!s_stm07_is($A1536,"W75682424",TEXT($B$1,"yyyy/mm/dd"),1),"")</f>
        <v>854670110.26999998</v>
      </c>
      <c r="D1536">
        <f>IFERROR([1]!s_stm07_is($A1536,"W76031679",TEXT($B$1,"yyyy/mm/dd"),1),"")</f>
        <v>14887678.33</v>
      </c>
      <c r="E1536">
        <f>IFERROR([1]!s_stm07_is($A1536,"W70752487",TEXT($B$1,"yyyy/mm/dd"),1),"")</f>
        <v>80515105.659999996</v>
      </c>
      <c r="F1536">
        <f>IFERROR([1]!s_stm07_is_103($A1536,TEXT($B$1,"yyyy/mm/dd"),1),"")</f>
        <v>41002721.689999998</v>
      </c>
      <c r="G1536">
        <f>IFERROR([1]!s_stm07_is_104($A1536,TEXT($B$1,"yyyy/mm/dd"),1),"")</f>
        <v>6185944.2699999996</v>
      </c>
      <c r="H1536">
        <f>IFERROR([1]!s_stm07_is_105($A1536,TEXT($B$1,"yyyy/mm/dd"),1),"")</f>
        <v>199940.17</v>
      </c>
      <c r="I1536">
        <f>IFERROR([1]!s_stm07_is($A1536,"W72946623",TEXT($B$1,"yyyy/mm/dd"),1),"")</f>
        <v>144185301.38</v>
      </c>
      <c r="J1536">
        <f>IFERROR([1]!s_stm07_is($A1536,"W30028333",TEXT($B$1,"yyyy/mm/dd"),1),"")</f>
        <v>117550379.5</v>
      </c>
      <c r="K1536">
        <f>IFERROR([1]!s_stm07_cs($A1536,"W77130581",TEXT($B$1,"yyyy/mm/dd"),1),"")</f>
        <v>177533158.72999999</v>
      </c>
      <c r="L1536">
        <f>IFERROR([1]!s_stm07_cs($A1536,"W77745895",TEXT($B$1,"yyyy/mm/dd"),1),"")</f>
        <v>62892299.909999996</v>
      </c>
      <c r="M1536">
        <f>IFERROR([1]!S_FA_EPS_basic2($A1536,$B$1,"Cur=CNY"),"")</f>
        <v>0.28000000000000003</v>
      </c>
      <c r="N1536">
        <f>IFERROR([1]!s_fa_arturndays($A1536,TEXT($B$1,"yyyy/mm/dd")),"")</f>
        <v>63.729199999999999</v>
      </c>
      <c r="O1536" t="str">
        <f>IFERROR([1]!fa_apturndays($A1536,TEXT($B$1,"yyyy/mm/dd")),"")</f>
        <v>Fetch...</v>
      </c>
      <c r="P1536">
        <f>IFERROR([1]!s_fa_invturndays($A1536,TEXT($B$1,"yyyy/mm/dd")),"")</f>
        <v>104.4902</v>
      </c>
    </row>
    <row r="1537" spans="1:16">
      <c r="A1537" t="s">
        <v>1550</v>
      </c>
      <c r="B1537">
        <f>IFERROR([1]!s_stm07_is($A1537,"W70156729",TEXT($B$1,"yyyy/mm/dd"),1),"")</f>
        <v>3343294331.79</v>
      </c>
      <c r="C1537">
        <f>IFERROR([1]!s_stm07_is($A1537,"W75682424",TEXT($B$1,"yyyy/mm/dd"),1),"")</f>
        <v>2739807588.1199999</v>
      </c>
      <c r="D1537">
        <f>IFERROR([1]!s_stm07_is($A1537,"W76031679",TEXT($B$1,"yyyy/mm/dd"),1),"")</f>
        <v>117554327.17</v>
      </c>
      <c r="E1537">
        <f>IFERROR([1]!s_stm07_is($A1537,"W70752487",TEXT($B$1,"yyyy/mm/dd"),1),"")</f>
        <v>192539299.16999999</v>
      </c>
      <c r="F1537">
        <f>IFERROR([1]!s_stm07_is_103($A1537,TEXT($B$1,"yyyy/mm/dd"),1),"")</f>
        <v>118943142.73999999</v>
      </c>
      <c r="G1537">
        <f>IFERROR([1]!s_stm07_is_104($A1537,TEXT($B$1,"yyyy/mm/dd"),1),"")</f>
        <v>31259559.149999999</v>
      </c>
      <c r="H1537">
        <f>IFERROR([1]!s_stm07_is_105($A1537,TEXT($B$1,"yyyy/mm/dd"),1),"")</f>
        <v>6573208.8200000003</v>
      </c>
      <c r="I1537">
        <f>IFERROR([1]!s_stm07_is($A1537,"W72946623",TEXT($B$1,"yyyy/mm/dd"),1),"")</f>
        <v>109173396.95999999</v>
      </c>
      <c r="J1537">
        <f>IFERROR([1]!s_stm07_is($A1537,"W30028333",TEXT($B$1,"yyyy/mm/dd"),1),"")</f>
        <v>91389934.680000007</v>
      </c>
      <c r="K1537">
        <f>IFERROR([1]!s_stm07_cs($A1537,"W77130581",TEXT($B$1,"yyyy/mm/dd"),1),"")</f>
        <v>236698533.71000001</v>
      </c>
      <c r="L1537">
        <f>IFERROR([1]!s_stm07_cs($A1537,"W77745895",TEXT($B$1,"yyyy/mm/dd"),1),"")</f>
        <v>202767132.97</v>
      </c>
      <c r="M1537">
        <f>IFERROR([1]!S_FA_EPS_basic2($A1537,$B$1,"Cur=CNY"),"")</f>
        <v>0.25</v>
      </c>
      <c r="N1537">
        <f>IFERROR([1]!s_fa_arturndays($A1537,TEXT($B$1,"yyyy/mm/dd")),"")</f>
        <v>89.261399999999995</v>
      </c>
      <c r="O1537" t="str">
        <f>IFERROR([1]!fa_apturndays($A1537,TEXT($B$1,"yyyy/mm/dd")),"")</f>
        <v>Fetch...</v>
      </c>
      <c r="P1537">
        <f>IFERROR([1]!s_fa_invturndays($A1537,TEXT($B$1,"yyyy/mm/dd")),"")</f>
        <v>121.11020000000001</v>
      </c>
    </row>
    <row r="1538" spans="1:16">
      <c r="A1538" t="s">
        <v>1551</v>
      </c>
      <c r="B1538">
        <f>IFERROR([1]!s_stm07_is($A1538,"W70156729",TEXT($B$1,"yyyy/mm/dd"),1),"")</f>
        <v>4120691072.6799998</v>
      </c>
      <c r="C1538">
        <f>IFERROR([1]!s_stm07_is($A1538,"W75682424",TEXT($B$1,"yyyy/mm/dd"),1),"")</f>
        <v>3002700894.9099998</v>
      </c>
      <c r="D1538">
        <f>IFERROR([1]!s_stm07_is($A1538,"W76031679",TEXT($B$1,"yyyy/mm/dd"),1),"")</f>
        <v>182222839.09999999</v>
      </c>
      <c r="E1538">
        <f>IFERROR([1]!s_stm07_is($A1538,"W70752487",TEXT($B$1,"yyyy/mm/dd"),1),"")</f>
        <v>376681364.43000001</v>
      </c>
      <c r="F1538">
        <f>IFERROR([1]!s_stm07_is_103($A1538,TEXT($B$1,"yyyy/mm/dd"),1),"")</f>
        <v>123451206.13</v>
      </c>
      <c r="G1538">
        <f>IFERROR([1]!s_stm07_is_104($A1538,TEXT($B$1,"yyyy/mm/dd"),1),"")</f>
        <v>27418600.780000001</v>
      </c>
      <c r="H1538">
        <f>IFERROR([1]!s_stm07_is_105($A1538,TEXT($B$1,"yyyy/mm/dd"),1),"")</f>
        <v>10363490.779999999</v>
      </c>
      <c r="I1538">
        <f>IFERROR([1]!s_stm07_is($A1538,"W72946623",TEXT($B$1,"yyyy/mm/dd"),1),"")</f>
        <v>391897918.45999998</v>
      </c>
      <c r="J1538">
        <f>IFERROR([1]!s_stm07_is($A1538,"W30028333",TEXT($B$1,"yyyy/mm/dd"),1),"")</f>
        <v>319767196.58999997</v>
      </c>
      <c r="K1538">
        <f>IFERROR([1]!s_stm07_cs($A1538,"W77130581",TEXT($B$1,"yyyy/mm/dd"),1),"")</f>
        <v>-234624356.34</v>
      </c>
      <c r="L1538">
        <f>IFERROR([1]!s_stm07_cs($A1538,"W77745895",TEXT($B$1,"yyyy/mm/dd"),1),"")</f>
        <v>222290515.25</v>
      </c>
      <c r="M1538">
        <f>IFERROR([1]!S_FA_EPS_basic2($A1538,$B$1,"Cur=CNY"),"")</f>
        <v>0.68</v>
      </c>
      <c r="N1538">
        <f>IFERROR([1]!s_fa_arturndays($A1538,TEXT($B$1,"yyyy/mm/dd")),"")</f>
        <v>153.95140000000001</v>
      </c>
      <c r="O1538" t="str">
        <f>IFERROR([1]!fa_apturndays($A1538,TEXT($B$1,"yyyy/mm/dd")),"")</f>
        <v>Fetch...</v>
      </c>
      <c r="P1538">
        <f>IFERROR([1]!s_fa_invturndays($A1538,TEXT($B$1,"yyyy/mm/dd")),"")</f>
        <v>172.5874</v>
      </c>
    </row>
    <row r="1539" spans="1:16">
      <c r="A1539" t="s">
        <v>1552</v>
      </c>
      <c r="B1539">
        <f>IFERROR([1]!s_stm07_is($A1539,"W70156729",TEXT($B$1,"yyyy/mm/dd"),1),"")</f>
        <v>1008044460.91</v>
      </c>
      <c r="C1539">
        <f>IFERROR([1]!s_stm07_is($A1539,"W75682424",TEXT($B$1,"yyyy/mm/dd"),1),"")</f>
        <v>659192568.44000006</v>
      </c>
      <c r="D1539">
        <f>IFERROR([1]!s_stm07_is($A1539,"W76031679",TEXT($B$1,"yyyy/mm/dd"),1),"")</f>
        <v>14089596.25</v>
      </c>
      <c r="E1539">
        <f>IFERROR([1]!s_stm07_is($A1539,"W70752487",TEXT($B$1,"yyyy/mm/dd"),1),"")</f>
        <v>98592563.879999995</v>
      </c>
      <c r="F1539">
        <f>IFERROR([1]!s_stm07_is_103($A1539,TEXT($B$1,"yyyy/mm/dd"),1),"")</f>
        <v>106825384.7</v>
      </c>
      <c r="G1539">
        <f>IFERROR([1]!s_stm07_is_104($A1539,TEXT($B$1,"yyyy/mm/dd"),1),"")</f>
        <v>9351.02</v>
      </c>
      <c r="H1539">
        <f>IFERROR([1]!s_stm07_is_105($A1539,TEXT($B$1,"yyyy/mm/dd"),1),"")</f>
        <v>3153449.37</v>
      </c>
      <c r="I1539">
        <f>IFERROR([1]!s_stm07_is($A1539,"W72946623",TEXT($B$1,"yyyy/mm/dd"),1),"")</f>
        <v>165652519.80000001</v>
      </c>
      <c r="J1539">
        <f>IFERROR([1]!s_stm07_is($A1539,"W30028333",TEXT($B$1,"yyyy/mm/dd"),1),"")</f>
        <v>153332134.66999999</v>
      </c>
      <c r="K1539">
        <f>IFERROR([1]!s_stm07_cs($A1539,"W77130581",TEXT($B$1,"yyyy/mm/dd"),1),"")</f>
        <v>-59835003.460000001</v>
      </c>
      <c r="L1539">
        <f>IFERROR([1]!s_stm07_cs($A1539,"W77745895",TEXT($B$1,"yyyy/mm/dd"),1),"")</f>
        <v>122649535.13</v>
      </c>
      <c r="M1539">
        <f>IFERROR([1]!S_FA_EPS_basic2($A1539,$B$1,"Cur=CNY"),"")</f>
        <v>0.28000000000000003</v>
      </c>
      <c r="N1539">
        <f>IFERROR([1]!s_fa_arturndays($A1539,TEXT($B$1,"yyyy/mm/dd")),"")</f>
        <v>84.008099999999999</v>
      </c>
      <c r="O1539" t="str">
        <f>IFERROR([1]!fa_apturndays($A1539,TEXT($B$1,"yyyy/mm/dd")),"")</f>
        <v>Fetch...</v>
      </c>
      <c r="P1539">
        <f>IFERROR([1]!s_fa_invturndays($A1539,TEXT($B$1,"yyyy/mm/dd")),"")</f>
        <v>566.30489999999998</v>
      </c>
    </row>
    <row r="1540" spans="1:16">
      <c r="A1540" t="s">
        <v>1553</v>
      </c>
      <c r="B1540">
        <f>IFERROR([1]!s_stm07_is($A1540,"W70156729",TEXT($B$1,"yyyy/mm/dd"),1),"")</f>
        <v>2854563763.5799999</v>
      </c>
      <c r="C1540">
        <f>IFERROR([1]!s_stm07_is($A1540,"W75682424",TEXT($B$1,"yyyy/mm/dd"),1),"")</f>
        <v>2204743251.75</v>
      </c>
      <c r="D1540">
        <f>IFERROR([1]!s_stm07_is($A1540,"W76031679",TEXT($B$1,"yyyy/mm/dd"),1),"")</f>
        <v>129740880.91</v>
      </c>
      <c r="E1540">
        <f>IFERROR([1]!s_stm07_is($A1540,"W70752487",TEXT($B$1,"yyyy/mm/dd"),1),"")</f>
        <v>459399716.27999997</v>
      </c>
      <c r="F1540">
        <f>IFERROR([1]!s_stm07_is_103($A1540,TEXT($B$1,"yyyy/mm/dd"),1),"")</f>
        <v>333624602.30000001</v>
      </c>
      <c r="G1540">
        <f>IFERROR([1]!s_stm07_is_104($A1540,TEXT($B$1,"yyyy/mm/dd"),1),"")</f>
        <v>270654097.23000002</v>
      </c>
      <c r="H1540">
        <f>IFERROR([1]!s_stm07_is_105($A1540,TEXT($B$1,"yyyy/mm/dd"),1),"")</f>
        <v>3032513.09</v>
      </c>
      <c r="I1540">
        <f>IFERROR([1]!s_stm07_is($A1540,"W72946623",TEXT($B$1,"yyyy/mm/dd"),1),"")</f>
        <v>-801754471.75</v>
      </c>
      <c r="J1540">
        <f>IFERROR([1]!s_stm07_is($A1540,"W30028333",TEXT($B$1,"yyyy/mm/dd"),1),"")</f>
        <v>-776821616.27999997</v>
      </c>
      <c r="K1540">
        <f>IFERROR([1]!s_stm07_cs($A1540,"W77130581",TEXT($B$1,"yyyy/mm/dd"),1),"")</f>
        <v>-429687908.20999998</v>
      </c>
      <c r="L1540">
        <f>IFERROR([1]!s_stm07_cs($A1540,"W77745895",TEXT($B$1,"yyyy/mm/dd"),1),"")</f>
        <v>236868965.09</v>
      </c>
      <c r="M1540">
        <f>IFERROR([1]!S_FA_EPS_basic2($A1540,$B$1,"Cur=CNY"),"")</f>
        <v>-2.02</v>
      </c>
      <c r="N1540">
        <f>IFERROR([1]!s_fa_arturndays($A1540,TEXT($B$1,"yyyy/mm/dd")),"")</f>
        <v>372.09300000000002</v>
      </c>
      <c r="O1540" t="str">
        <f>IFERROR([1]!fa_apturndays($A1540,TEXT($B$1,"yyyy/mm/dd")),"")</f>
        <v>Fetch...</v>
      </c>
      <c r="P1540">
        <f>IFERROR([1]!s_fa_invturndays($A1540,TEXT($B$1,"yyyy/mm/dd")),"")</f>
        <v>548.02859999999998</v>
      </c>
    </row>
    <row r="1541" spans="1:16">
      <c r="A1541" t="s">
        <v>1554</v>
      </c>
      <c r="B1541">
        <f>IFERROR([1]!s_stm07_is($A1541,"W70156729",TEXT($B$1,"yyyy/mm/dd"),1),"")</f>
        <v>2086839063.6199999</v>
      </c>
      <c r="C1541">
        <f>IFERROR([1]!s_stm07_is($A1541,"W75682424",TEXT($B$1,"yyyy/mm/dd"),1),"")</f>
        <v>1043920539.97</v>
      </c>
      <c r="D1541">
        <f>IFERROR([1]!s_stm07_is($A1541,"W76031679",TEXT($B$1,"yyyy/mm/dd"),1),"")</f>
        <v>0</v>
      </c>
      <c r="E1541">
        <f>IFERROR([1]!s_stm07_is($A1541,"W70752487",TEXT($B$1,"yyyy/mm/dd"),1),"")</f>
        <v>144572505.69</v>
      </c>
      <c r="F1541">
        <f>IFERROR([1]!s_stm07_is_103($A1541,TEXT($B$1,"yyyy/mm/dd"),1),"")</f>
        <v>6130227.6900000004</v>
      </c>
      <c r="G1541">
        <f>IFERROR([1]!s_stm07_is_104($A1541,TEXT($B$1,"yyyy/mm/dd"),1),"")</f>
        <v>215660711.56999999</v>
      </c>
      <c r="H1541">
        <f>IFERROR([1]!s_stm07_is_105($A1541,TEXT($B$1,"yyyy/mm/dd"),1),"")</f>
        <v>11359294.880000001</v>
      </c>
      <c r="I1541">
        <f>IFERROR([1]!s_stm07_is($A1541,"W72946623",TEXT($B$1,"yyyy/mm/dd"),1),"")</f>
        <v>740935687.76999998</v>
      </c>
      <c r="J1541">
        <f>IFERROR([1]!s_stm07_is($A1541,"W30028333",TEXT($B$1,"yyyy/mm/dd"),1),"")</f>
        <v>507458165.83999997</v>
      </c>
      <c r="K1541">
        <f>IFERROR([1]!s_stm07_cs($A1541,"W77130581",TEXT($B$1,"yyyy/mm/dd"),1),"")</f>
        <v>1140476144.3699999</v>
      </c>
      <c r="L1541">
        <f>IFERROR([1]!s_stm07_cs($A1541,"W77745895",TEXT($B$1,"yyyy/mm/dd"),1),"")</f>
        <v>688653634.19000006</v>
      </c>
      <c r="M1541">
        <f>IFERROR([1]!S_FA_EPS_basic2($A1541,$B$1,"Cur=CNY"),"")</f>
        <v>0.56999999999999995</v>
      </c>
      <c r="N1541">
        <f>IFERROR([1]!s_fa_arturndays($A1541,TEXT($B$1,"yyyy/mm/dd")),"")</f>
        <v>564.88310000000001</v>
      </c>
      <c r="O1541" t="str">
        <f>IFERROR([1]!fa_apturndays($A1541,TEXT($B$1,"yyyy/mm/dd")),"")</f>
        <v>Fetch...</v>
      </c>
      <c r="P1541">
        <f>IFERROR([1]!s_fa_invturndays($A1541,TEXT($B$1,"yyyy/mm/dd")),"")</f>
        <v>7.2016999999999998</v>
      </c>
    </row>
    <row r="1542" spans="1:16">
      <c r="A1542" t="s">
        <v>1555</v>
      </c>
      <c r="B1542">
        <f>IFERROR([1]!s_stm07_is($A1542,"W70156729",TEXT($B$1,"yyyy/mm/dd"),1),"")</f>
        <v>4216967498.4099998</v>
      </c>
      <c r="C1542">
        <f>IFERROR([1]!s_stm07_is($A1542,"W75682424",TEXT($B$1,"yyyy/mm/dd"),1),"")</f>
        <v>3404904878.5999999</v>
      </c>
      <c r="D1542">
        <f>IFERROR([1]!s_stm07_is($A1542,"W76031679",TEXT($B$1,"yyyy/mm/dd"),1),"")</f>
        <v>44117360.25</v>
      </c>
      <c r="E1542">
        <f>IFERROR([1]!s_stm07_is($A1542,"W70752487",TEXT($B$1,"yyyy/mm/dd"),1),"")</f>
        <v>219953754.12</v>
      </c>
      <c r="F1542">
        <f>IFERROR([1]!s_stm07_is_103($A1542,TEXT($B$1,"yyyy/mm/dd"),1),"")</f>
        <v>233605297.19</v>
      </c>
      <c r="G1542">
        <f>IFERROR([1]!s_stm07_is_104($A1542,TEXT($B$1,"yyyy/mm/dd"),1),"")</f>
        <v>23655256.300000001</v>
      </c>
      <c r="H1542">
        <f>IFERROR([1]!s_stm07_is_105($A1542,TEXT($B$1,"yyyy/mm/dd"),1),"")</f>
        <v>22973959.030000001</v>
      </c>
      <c r="I1542">
        <f>IFERROR([1]!s_stm07_is($A1542,"W72946623",TEXT($B$1,"yyyy/mm/dd"),1),"")</f>
        <v>310481670.08999997</v>
      </c>
      <c r="J1542">
        <f>IFERROR([1]!s_stm07_is($A1542,"W30028333",TEXT($B$1,"yyyy/mm/dd"),1),"")</f>
        <v>216505400.68000001</v>
      </c>
      <c r="K1542">
        <f>IFERROR([1]!s_stm07_cs($A1542,"W77130581",TEXT($B$1,"yyyy/mm/dd"),1),"")</f>
        <v>-132863010.53</v>
      </c>
      <c r="L1542">
        <f>IFERROR([1]!s_stm07_cs($A1542,"W77745895",TEXT($B$1,"yyyy/mm/dd"),1),"")</f>
        <v>796017477.10000002</v>
      </c>
      <c r="M1542">
        <f>IFERROR([1]!S_FA_EPS_basic2($A1542,$B$1,"Cur=CNY"),"")</f>
        <v>0.4</v>
      </c>
      <c r="N1542">
        <f>IFERROR([1]!s_fa_arturndays($A1542,TEXT($B$1,"yyyy/mm/dd")),"")</f>
        <v>50.7271</v>
      </c>
      <c r="O1542" t="str">
        <f>IFERROR([1]!fa_apturndays($A1542,TEXT($B$1,"yyyy/mm/dd")),"")</f>
        <v>Fetch...</v>
      </c>
      <c r="P1542">
        <f>IFERROR([1]!s_fa_invturndays($A1542,TEXT($B$1,"yyyy/mm/dd")),"")</f>
        <v>53.478299999999997</v>
      </c>
    </row>
    <row r="1543" spans="1:16">
      <c r="A1543" t="s">
        <v>1556</v>
      </c>
      <c r="B1543">
        <f>IFERROR([1]!s_stm07_is($A1543,"W70156729",TEXT($B$1,"yyyy/mm/dd"),1),"")</f>
        <v>7767736146.7299995</v>
      </c>
      <c r="C1543">
        <f>IFERROR([1]!s_stm07_is($A1543,"W75682424",TEXT($B$1,"yyyy/mm/dd"),1),"")</f>
        <v>4716620068.7200003</v>
      </c>
      <c r="D1543">
        <f>IFERROR([1]!s_stm07_is($A1543,"W76031679",TEXT($B$1,"yyyy/mm/dd"),1),"")</f>
        <v>501337448.07999998</v>
      </c>
      <c r="E1543">
        <f>IFERROR([1]!s_stm07_is($A1543,"W70752487",TEXT($B$1,"yyyy/mm/dd"),1),"")</f>
        <v>251743680.05000001</v>
      </c>
      <c r="F1543">
        <f>IFERROR([1]!s_stm07_is_103($A1543,TEXT($B$1,"yyyy/mm/dd"),1),"")</f>
        <v>198904583.88</v>
      </c>
      <c r="G1543">
        <f>IFERROR([1]!s_stm07_is_104($A1543,TEXT($B$1,"yyyy/mm/dd"),1),"")</f>
        <v>40978485.560000002</v>
      </c>
      <c r="H1543">
        <f>IFERROR([1]!s_stm07_is_105($A1543,TEXT($B$1,"yyyy/mm/dd"),1),"")</f>
        <v>72587567.909999996</v>
      </c>
      <c r="I1543">
        <f>IFERROR([1]!s_stm07_is($A1543,"W72946623",TEXT($B$1,"yyyy/mm/dd"),1),"")</f>
        <v>1929439760.51</v>
      </c>
      <c r="J1543">
        <f>IFERROR([1]!s_stm07_is($A1543,"W30028333",TEXT($B$1,"yyyy/mm/dd"),1),"")</f>
        <v>1600904035.1900001</v>
      </c>
      <c r="K1543">
        <f>IFERROR([1]!s_stm07_cs($A1543,"W77130581",TEXT($B$1,"yyyy/mm/dd"),1),"")</f>
        <v>2192839227.5300002</v>
      </c>
      <c r="L1543">
        <f>IFERROR([1]!s_stm07_cs($A1543,"W77745895",TEXT($B$1,"yyyy/mm/dd"),1),"")</f>
        <v>203912997.81999999</v>
      </c>
      <c r="M1543">
        <f>IFERROR([1]!S_FA_EPS_basic2($A1543,$B$1,"Cur=CNY"),"")</f>
        <v>2.1</v>
      </c>
      <c r="N1543">
        <f>IFERROR([1]!s_fa_arturndays($A1543,TEXT($B$1,"yyyy/mm/dd")),"")</f>
        <v>119.7525</v>
      </c>
      <c r="O1543" t="str">
        <f>IFERROR([1]!fa_apturndays($A1543,TEXT($B$1,"yyyy/mm/dd")),"")</f>
        <v>Fetch...</v>
      </c>
      <c r="P1543">
        <f>IFERROR([1]!s_fa_invturndays($A1543,TEXT($B$1,"yyyy/mm/dd")),"")</f>
        <v>211.9392</v>
      </c>
    </row>
    <row r="1544" spans="1:16">
      <c r="A1544" t="s">
        <v>1557</v>
      </c>
      <c r="B1544">
        <f>IFERROR([1]!s_stm07_is($A1544,"W70156729",TEXT($B$1,"yyyy/mm/dd"),1),"")</f>
        <v>3990678037.3000002</v>
      </c>
      <c r="C1544">
        <f>IFERROR([1]!s_stm07_is($A1544,"W75682424",TEXT($B$1,"yyyy/mm/dd"),1),"")</f>
        <v>2418108674.4699998</v>
      </c>
      <c r="D1544">
        <f>IFERROR([1]!s_stm07_is($A1544,"W76031679",TEXT($B$1,"yyyy/mm/dd"),1),"")</f>
        <v>408225153.92000002</v>
      </c>
      <c r="E1544">
        <f>IFERROR([1]!s_stm07_is($A1544,"W70752487",TEXT($B$1,"yyyy/mm/dd"),1),"")</f>
        <v>242986230.68000001</v>
      </c>
      <c r="F1544">
        <f>IFERROR([1]!s_stm07_is_103($A1544,TEXT($B$1,"yyyy/mm/dd"),1),"")</f>
        <v>348127986.33999997</v>
      </c>
      <c r="G1544">
        <f>IFERROR([1]!s_stm07_is_104($A1544,TEXT($B$1,"yyyy/mm/dd"),1),"")</f>
        <v>55249523.979999997</v>
      </c>
      <c r="H1544">
        <f>IFERROR([1]!s_stm07_is_105($A1544,TEXT($B$1,"yyyy/mm/dd"),1),"")</f>
        <v>18646431.16</v>
      </c>
      <c r="I1544">
        <f>IFERROR([1]!s_stm07_is($A1544,"W72946623",TEXT($B$1,"yyyy/mm/dd"),1),"")</f>
        <v>699416366.86000001</v>
      </c>
      <c r="J1544">
        <f>IFERROR([1]!s_stm07_is($A1544,"W30028333",TEXT($B$1,"yyyy/mm/dd"),1),"")</f>
        <v>581536153.84000003</v>
      </c>
      <c r="K1544">
        <f>IFERROR([1]!s_stm07_cs($A1544,"W77130581",TEXT($B$1,"yyyy/mm/dd"),1),"")</f>
        <v>1182791067.72</v>
      </c>
      <c r="L1544">
        <f>IFERROR([1]!s_stm07_cs($A1544,"W77745895",TEXT($B$1,"yyyy/mm/dd"),1),"")</f>
        <v>560150989.13999999</v>
      </c>
      <c r="M1544">
        <f>IFERROR([1]!S_FA_EPS_basic2($A1544,$B$1,"Cur=CNY"),"")</f>
        <v>0.36</v>
      </c>
      <c r="N1544">
        <f>IFERROR([1]!s_fa_arturndays($A1544,TEXT($B$1,"yyyy/mm/dd")),"")</f>
        <v>95.864500000000007</v>
      </c>
      <c r="O1544" t="str">
        <f>IFERROR([1]!fa_apturndays($A1544,TEXT($B$1,"yyyy/mm/dd")),"")</f>
        <v>Fetch...</v>
      </c>
      <c r="P1544">
        <f>IFERROR([1]!s_fa_invturndays($A1544,TEXT($B$1,"yyyy/mm/dd")),"")</f>
        <v>516.57339999999999</v>
      </c>
    </row>
    <row r="1545" spans="1:16">
      <c r="A1545" t="s">
        <v>1558</v>
      </c>
      <c r="B1545">
        <f>IFERROR([1]!s_stm07_is($A1545,"W70156729",TEXT($B$1,"yyyy/mm/dd"),1),"")</f>
        <v>13335127618.629999</v>
      </c>
      <c r="C1545">
        <f>IFERROR([1]!s_stm07_is($A1545,"W75682424",TEXT($B$1,"yyyy/mm/dd"),1),"")</f>
        <v>11796305270.35</v>
      </c>
      <c r="D1545">
        <f>IFERROR([1]!s_stm07_is($A1545,"W76031679",TEXT($B$1,"yyyy/mm/dd"),1),"")</f>
        <v>161989918.22</v>
      </c>
      <c r="E1545">
        <f>IFERROR([1]!s_stm07_is($A1545,"W70752487",TEXT($B$1,"yyyy/mm/dd"),1),"")</f>
        <v>247515888.22999999</v>
      </c>
      <c r="F1545">
        <f>IFERROR([1]!s_stm07_is_103($A1545,TEXT($B$1,"yyyy/mm/dd"),1),"")</f>
        <v>58117155.75</v>
      </c>
      <c r="G1545">
        <f>IFERROR([1]!s_stm07_is_104($A1545,TEXT($B$1,"yyyy/mm/dd"),1),"")</f>
        <v>165463276.77000001</v>
      </c>
      <c r="H1545">
        <f>IFERROR([1]!s_stm07_is_105($A1545,TEXT($B$1,"yyyy/mm/dd"),1),"")</f>
        <v>24747052.690000001</v>
      </c>
      <c r="I1545">
        <f>IFERROR([1]!s_stm07_is($A1545,"W72946623",TEXT($B$1,"yyyy/mm/dd"),1),"")</f>
        <v>939887244.5</v>
      </c>
      <c r="J1545">
        <f>IFERROR([1]!s_stm07_is($A1545,"W30028333",TEXT($B$1,"yyyy/mm/dd"),1),"")</f>
        <v>626553239.90999997</v>
      </c>
      <c r="K1545">
        <f>IFERROR([1]!s_stm07_cs($A1545,"W77130581",TEXT($B$1,"yyyy/mm/dd"),1),"")</f>
        <v>751969286</v>
      </c>
      <c r="L1545">
        <f>IFERROR([1]!s_stm07_cs($A1545,"W77745895",TEXT($B$1,"yyyy/mm/dd"),1),"")</f>
        <v>452911220.19999999</v>
      </c>
      <c r="M1545">
        <f>IFERROR([1]!S_FA_EPS_basic2($A1545,$B$1,"Cur=CNY"),"")</f>
        <v>3.9512999999999998</v>
      </c>
      <c r="N1545">
        <f>IFERROR([1]!s_fa_arturndays($A1545,TEXT($B$1,"yyyy/mm/dd")),"")</f>
        <v>101.2687</v>
      </c>
      <c r="O1545" t="str">
        <f>IFERROR([1]!fa_apturndays($A1545,TEXT($B$1,"yyyy/mm/dd")),"")</f>
        <v>Fetch...</v>
      </c>
      <c r="P1545">
        <f>IFERROR([1]!s_fa_invturndays($A1545,TEXT($B$1,"yyyy/mm/dd")),"")</f>
        <v>23.3034</v>
      </c>
    </row>
    <row r="1546" spans="1:16">
      <c r="A1546" t="s">
        <v>1559</v>
      </c>
      <c r="B1546">
        <f>IFERROR([1]!s_stm07_is($A1546,"W70156729",TEXT($B$1,"yyyy/mm/dd"),1),"")</f>
        <v>2761977833.25</v>
      </c>
      <c r="C1546">
        <f>IFERROR([1]!s_stm07_is($A1546,"W75682424",TEXT($B$1,"yyyy/mm/dd"),1),"")</f>
        <v>1756840190.3499999</v>
      </c>
      <c r="D1546">
        <f>IFERROR([1]!s_stm07_is($A1546,"W76031679",TEXT($B$1,"yyyy/mm/dd"),1),"")</f>
        <v>258231713.66</v>
      </c>
      <c r="E1546">
        <f>IFERROR([1]!s_stm07_is($A1546,"W70752487",TEXT($B$1,"yyyy/mm/dd"),1),"")</f>
        <v>412649372.88999999</v>
      </c>
      <c r="F1546">
        <f>IFERROR([1]!s_stm07_is_103($A1546,TEXT($B$1,"yyyy/mm/dd"),1),"")</f>
        <v>268867272.45999998</v>
      </c>
      <c r="G1546">
        <f>IFERROR([1]!s_stm07_is_104($A1546,TEXT($B$1,"yyyy/mm/dd"),1),"")</f>
        <v>12007302.210000001</v>
      </c>
      <c r="H1546">
        <f>IFERROR([1]!s_stm07_is_105($A1546,TEXT($B$1,"yyyy/mm/dd"),1),"")</f>
        <v>13497226.91</v>
      </c>
      <c r="I1546">
        <f>IFERROR([1]!s_stm07_is($A1546,"W72946623",TEXT($B$1,"yyyy/mm/dd"),1),"")</f>
        <v>46618441.07</v>
      </c>
      <c r="J1546">
        <f>IFERROR([1]!s_stm07_is($A1546,"W30028333",TEXT($B$1,"yyyy/mm/dd"),1),"")</f>
        <v>61127989.43</v>
      </c>
      <c r="K1546">
        <f>IFERROR([1]!s_stm07_cs($A1546,"W77130581",TEXT($B$1,"yyyy/mm/dd"),1),"")</f>
        <v>219709053.91999999</v>
      </c>
      <c r="L1546">
        <f>IFERROR([1]!s_stm07_cs($A1546,"W77745895",TEXT($B$1,"yyyy/mm/dd"),1),"")</f>
        <v>317198482.83999997</v>
      </c>
      <c r="M1546">
        <f>IFERROR([1]!S_FA_EPS_basic2($A1546,$B$1,"Cur=CNY"),"")</f>
        <v>0.1459</v>
      </c>
      <c r="N1546">
        <f>IFERROR([1]!s_fa_arturndays($A1546,TEXT($B$1,"yyyy/mm/dd")),"")</f>
        <v>73.990300000000005</v>
      </c>
      <c r="O1546" t="str">
        <f>IFERROR([1]!fa_apturndays($A1546,TEXT($B$1,"yyyy/mm/dd")),"")</f>
        <v>Fetch...</v>
      </c>
      <c r="P1546">
        <f>IFERROR([1]!s_fa_invturndays($A1546,TEXT($B$1,"yyyy/mm/dd")),"")</f>
        <v>119.7924</v>
      </c>
    </row>
    <row r="1547" spans="1:16">
      <c r="A1547" t="s">
        <v>1560</v>
      </c>
      <c r="B1547">
        <f>IFERROR([1]!s_stm07_is($A1547,"W70156729",TEXT($B$1,"yyyy/mm/dd"),1),"")</f>
        <v>6421679989.1000004</v>
      </c>
      <c r="C1547">
        <f>IFERROR([1]!s_stm07_is($A1547,"W75682424",TEXT($B$1,"yyyy/mm/dd"),1),"")</f>
        <v>4742125471.8100004</v>
      </c>
      <c r="D1547">
        <f>IFERROR([1]!s_stm07_is($A1547,"W76031679",TEXT($B$1,"yyyy/mm/dd"),1),"")</f>
        <v>96366594.719999999</v>
      </c>
      <c r="E1547">
        <f>IFERROR([1]!s_stm07_is($A1547,"W70752487",TEXT($B$1,"yyyy/mm/dd"),1),"")</f>
        <v>352820108.00999999</v>
      </c>
      <c r="F1547">
        <f>IFERROR([1]!s_stm07_is_103($A1547,TEXT($B$1,"yyyy/mm/dd"),1),"")</f>
        <v>224202303.18000001</v>
      </c>
      <c r="G1547">
        <f>IFERROR([1]!s_stm07_is_104($A1547,TEXT($B$1,"yyyy/mm/dd"),1),"")</f>
        <v>46549219.57</v>
      </c>
      <c r="H1547">
        <f>IFERROR([1]!s_stm07_is_105($A1547,TEXT($B$1,"yyyy/mm/dd"),1),"")</f>
        <v>18111208.710000001</v>
      </c>
      <c r="I1547">
        <f>IFERROR([1]!s_stm07_is($A1547,"W72946623",TEXT($B$1,"yyyy/mm/dd"),1),"")</f>
        <v>776131543.47000003</v>
      </c>
      <c r="J1547">
        <f>IFERROR([1]!s_stm07_is($A1547,"W30028333",TEXT($B$1,"yyyy/mm/dd"),1),"")</f>
        <v>659738737.12</v>
      </c>
      <c r="K1547">
        <f>IFERROR([1]!s_stm07_cs($A1547,"W77130581",TEXT($B$1,"yyyy/mm/dd"),1),"")</f>
        <v>1299458511.8399999</v>
      </c>
      <c r="L1547">
        <f>IFERROR([1]!s_stm07_cs($A1547,"W77745895",TEXT($B$1,"yyyy/mm/dd"),1),"")</f>
        <v>422563901.94</v>
      </c>
      <c r="M1547">
        <f>IFERROR([1]!S_FA_EPS_basic2($A1547,$B$1,"Cur=CNY"),"")</f>
        <v>0.31</v>
      </c>
      <c r="N1547">
        <f>IFERROR([1]!s_fa_arturndays($A1547,TEXT($B$1,"yyyy/mm/dd")),"")</f>
        <v>57.552100000000003</v>
      </c>
      <c r="O1547" t="str">
        <f>IFERROR([1]!fa_apturndays($A1547,TEXT($B$1,"yyyy/mm/dd")),"")</f>
        <v>Fetch...</v>
      </c>
      <c r="P1547">
        <f>IFERROR([1]!s_fa_invturndays($A1547,TEXT($B$1,"yyyy/mm/dd")),"")</f>
        <v>155.85769999999999</v>
      </c>
    </row>
    <row r="1548" spans="1:16">
      <c r="A1548" t="s">
        <v>1561</v>
      </c>
      <c r="B1548">
        <f>IFERROR([1]!s_stm07_is($A1548,"W70156729",TEXT($B$1,"yyyy/mm/dd"),1),"")</f>
        <v>12342882151.719999</v>
      </c>
      <c r="C1548">
        <f>IFERROR([1]!s_stm07_is($A1548,"W75682424",TEXT($B$1,"yyyy/mm/dd"),1),"")</f>
        <v>10651260424.040001</v>
      </c>
      <c r="D1548">
        <f>IFERROR([1]!s_stm07_is($A1548,"W76031679",TEXT($B$1,"yyyy/mm/dd"),1),"")</f>
        <v>44577950.57</v>
      </c>
      <c r="E1548">
        <f>IFERROR([1]!s_stm07_is($A1548,"W70752487",TEXT($B$1,"yyyy/mm/dd"),1),"")</f>
        <v>209803208.41999999</v>
      </c>
      <c r="F1548">
        <f>IFERROR([1]!s_stm07_is_103($A1548,TEXT($B$1,"yyyy/mm/dd"),1),"")</f>
        <v>175516087.05000001</v>
      </c>
      <c r="G1548">
        <f>IFERROR([1]!s_stm07_is_104($A1548,TEXT($B$1,"yyyy/mm/dd"),1),"")</f>
        <v>331073437.61000001</v>
      </c>
      <c r="H1548">
        <f>IFERROR([1]!s_stm07_is_105($A1548,TEXT($B$1,"yyyy/mm/dd"),1),"")</f>
        <v>2833487.02</v>
      </c>
      <c r="I1548">
        <f>IFERROR([1]!s_stm07_is($A1548,"W72946623",TEXT($B$1,"yyyy/mm/dd"),1),"")</f>
        <v>1144548528.9200001</v>
      </c>
      <c r="J1548">
        <f>IFERROR([1]!s_stm07_is($A1548,"W30028333",TEXT($B$1,"yyyy/mm/dd"),1),"")</f>
        <v>1012618607.21</v>
      </c>
      <c r="K1548">
        <f>IFERROR([1]!s_stm07_cs($A1548,"W77130581",TEXT($B$1,"yyyy/mm/dd"),1),"")</f>
        <v>789205084.51999998</v>
      </c>
      <c r="L1548">
        <f>IFERROR([1]!s_stm07_cs($A1548,"W77745895",TEXT($B$1,"yyyy/mm/dd"),1),"")</f>
        <v>1859291670</v>
      </c>
      <c r="M1548">
        <f>IFERROR([1]!S_FA_EPS_basic2($A1548,$B$1,"Cur=CNY"),"")</f>
        <v>1.43</v>
      </c>
      <c r="N1548">
        <f>IFERROR([1]!s_fa_arturndays($A1548,TEXT($B$1,"yyyy/mm/dd")),"")</f>
        <v>52.882800000000003</v>
      </c>
      <c r="O1548" t="str">
        <f>IFERROR([1]!fa_apturndays($A1548,TEXT($B$1,"yyyy/mm/dd")),"")</f>
        <v>Fetch...</v>
      </c>
      <c r="P1548">
        <f>IFERROR([1]!s_fa_invturndays($A1548,TEXT($B$1,"yyyy/mm/dd")),"")</f>
        <v>123.7028</v>
      </c>
    </row>
    <row r="1549" spans="1:16">
      <c r="A1549" t="s">
        <v>1562</v>
      </c>
      <c r="B1549">
        <f>IFERROR([1]!s_stm07_is($A1549,"W70156729",TEXT($B$1,"yyyy/mm/dd"),1),"")</f>
        <v>12527449047.629999</v>
      </c>
      <c r="C1549">
        <f>IFERROR([1]!s_stm07_is($A1549,"W75682424",TEXT($B$1,"yyyy/mm/dd"),1),"")</f>
        <v>8294444572.8800001</v>
      </c>
      <c r="D1549">
        <f>IFERROR([1]!s_stm07_is($A1549,"W76031679",TEXT($B$1,"yyyy/mm/dd"),1),"")</f>
        <v>2012428280.54</v>
      </c>
      <c r="E1549">
        <f>IFERROR([1]!s_stm07_is($A1549,"W70752487",TEXT($B$1,"yyyy/mm/dd"),1),"")</f>
        <v>729595475.29999995</v>
      </c>
      <c r="F1549">
        <f>IFERROR([1]!s_stm07_is_103($A1549,TEXT($B$1,"yyyy/mm/dd"),1),"")</f>
        <v>283502125.81</v>
      </c>
      <c r="G1549">
        <f>IFERROR([1]!s_stm07_is_104($A1549,TEXT($B$1,"yyyy/mm/dd"),1),"")</f>
        <v>142691453.47999999</v>
      </c>
      <c r="H1549">
        <f>IFERROR([1]!s_stm07_is_105($A1549,TEXT($B$1,"yyyy/mm/dd"),1),"")</f>
        <v>37045398.170000002</v>
      </c>
      <c r="I1549">
        <f>IFERROR([1]!s_stm07_is($A1549,"W72946623",TEXT($B$1,"yyyy/mm/dd"),1),"")</f>
        <v>976828588.55999994</v>
      </c>
      <c r="J1549">
        <f>IFERROR([1]!s_stm07_is($A1549,"W30028333",TEXT($B$1,"yyyy/mm/dd"),1),"")</f>
        <v>774909488.77999997</v>
      </c>
      <c r="K1549">
        <f>IFERROR([1]!s_stm07_cs($A1549,"W77130581",TEXT($B$1,"yyyy/mm/dd"),1),"")</f>
        <v>1867884480.3499999</v>
      </c>
      <c r="L1549">
        <f>IFERROR([1]!s_stm07_cs($A1549,"W77745895",TEXT($B$1,"yyyy/mm/dd"),1),"")</f>
        <v>497416482.22000003</v>
      </c>
      <c r="M1549">
        <f>IFERROR([1]!S_FA_EPS_basic2($A1549,$B$1,"Cur=CNY"),"")</f>
        <v>1.05</v>
      </c>
      <c r="N1549">
        <f>IFERROR([1]!s_fa_arturndays($A1549,TEXT($B$1,"yyyy/mm/dd")),"")</f>
        <v>86.669700000000006</v>
      </c>
      <c r="O1549" t="str">
        <f>IFERROR([1]!fa_apturndays($A1549,TEXT($B$1,"yyyy/mm/dd")),"")</f>
        <v>Fetch...</v>
      </c>
      <c r="P1549">
        <f>IFERROR([1]!s_fa_invturndays($A1549,TEXT($B$1,"yyyy/mm/dd")),"")</f>
        <v>41.728499999999997</v>
      </c>
    </row>
    <row r="1550" spans="1:16">
      <c r="A1550" t="s">
        <v>1563</v>
      </c>
      <c r="B1550">
        <f>IFERROR([1]!s_stm07_is($A1550,"W70156729",TEXT($B$1,"yyyy/mm/dd"),1),"")</f>
        <v>19135154464.950001</v>
      </c>
      <c r="C1550">
        <f>IFERROR([1]!s_stm07_is($A1550,"W75682424",TEXT($B$1,"yyyy/mm/dd"),1),"")</f>
        <v>15494477987.58</v>
      </c>
      <c r="D1550">
        <f>IFERROR([1]!s_stm07_is($A1550,"W76031679",TEXT($B$1,"yyyy/mm/dd"),1),"")</f>
        <v>305780195.20999998</v>
      </c>
      <c r="E1550">
        <f>IFERROR([1]!s_stm07_is($A1550,"W70752487",TEXT($B$1,"yyyy/mm/dd"),1),"")</f>
        <v>713538817.60000002</v>
      </c>
      <c r="F1550">
        <f>IFERROR([1]!s_stm07_is_103($A1550,TEXT($B$1,"yyyy/mm/dd"),1),"")</f>
        <v>468558752.62</v>
      </c>
      <c r="G1550">
        <f>IFERROR([1]!s_stm07_is_104($A1550,TEXT($B$1,"yyyy/mm/dd"),1),"")</f>
        <v>34642081.210000001</v>
      </c>
      <c r="H1550">
        <f>IFERROR([1]!s_stm07_is_105($A1550,TEXT($B$1,"yyyy/mm/dd"),1),"")</f>
        <v>177827818.99000001</v>
      </c>
      <c r="I1550">
        <f>IFERROR([1]!s_stm07_is($A1550,"W72946623",TEXT($B$1,"yyyy/mm/dd"),1),"")</f>
        <v>1927589946.8099999</v>
      </c>
      <c r="J1550">
        <f>IFERROR([1]!s_stm07_is($A1550,"W30028333",TEXT($B$1,"yyyy/mm/dd"),1),"")</f>
        <v>1647750370.76</v>
      </c>
      <c r="K1550">
        <f>IFERROR([1]!s_stm07_cs($A1550,"W77130581",TEXT($B$1,"yyyy/mm/dd"),1),"")</f>
        <v>2876130710.5100002</v>
      </c>
      <c r="L1550">
        <f>IFERROR([1]!s_stm07_cs($A1550,"W77745895",TEXT($B$1,"yyyy/mm/dd"),1),"")</f>
        <v>329997722.00999999</v>
      </c>
      <c r="M1550">
        <f>IFERROR([1]!S_FA_EPS_basic2($A1550,$B$1,"Cur=CNY"),"")</f>
        <v>0.8</v>
      </c>
      <c r="N1550">
        <f>IFERROR([1]!s_fa_arturndays($A1550,TEXT($B$1,"yyyy/mm/dd")),"")</f>
        <v>30.295400000000001</v>
      </c>
      <c r="O1550" t="str">
        <f>IFERROR([1]!fa_apturndays($A1550,TEXT($B$1,"yyyy/mm/dd")),"")</f>
        <v>Fetch...</v>
      </c>
      <c r="P1550">
        <f>IFERROR([1]!s_fa_invturndays($A1550,TEXT($B$1,"yyyy/mm/dd")),"")</f>
        <v>22.68</v>
      </c>
    </row>
    <row r="1551" spans="1:16">
      <c r="A1551" t="s">
        <v>1564</v>
      </c>
      <c r="B1551">
        <f>IFERROR([1]!s_stm07_is($A1551,"W70156729",TEXT($B$1,"yyyy/mm/dd"),1),"")</f>
        <v>6934404493.5</v>
      </c>
      <c r="C1551">
        <f>IFERROR([1]!s_stm07_is($A1551,"W75682424",TEXT($B$1,"yyyy/mm/dd"),1),"")</f>
        <v>5168871037.0500002</v>
      </c>
      <c r="D1551">
        <f>IFERROR([1]!s_stm07_is($A1551,"W76031679",TEXT($B$1,"yyyy/mm/dd"),1),"")</f>
        <v>68570281.549999997</v>
      </c>
      <c r="E1551">
        <f>IFERROR([1]!s_stm07_is($A1551,"W70752487",TEXT($B$1,"yyyy/mm/dd"),1),"")</f>
        <v>278953043.02999997</v>
      </c>
      <c r="F1551">
        <f>IFERROR([1]!s_stm07_is_103($A1551,TEXT($B$1,"yyyy/mm/dd"),1),"")</f>
        <v>592460632.78999996</v>
      </c>
      <c r="G1551">
        <f>IFERROR([1]!s_stm07_is_104($A1551,TEXT($B$1,"yyyy/mm/dd"),1),"")</f>
        <v>22959557.77</v>
      </c>
      <c r="H1551">
        <f>IFERROR([1]!s_stm07_is_105($A1551,TEXT($B$1,"yyyy/mm/dd"),1),"")</f>
        <v>5258968.82</v>
      </c>
      <c r="I1551">
        <f>IFERROR([1]!s_stm07_is($A1551,"W72946623",TEXT($B$1,"yyyy/mm/dd"),1),"")</f>
        <v>935975564.13999999</v>
      </c>
      <c r="J1551">
        <f>IFERROR([1]!s_stm07_is($A1551,"W30028333",TEXT($B$1,"yyyy/mm/dd"),1),"")</f>
        <v>829390592.78999996</v>
      </c>
      <c r="K1551">
        <f>IFERROR([1]!s_stm07_cs($A1551,"W77130581",TEXT($B$1,"yyyy/mm/dd"),1),"")</f>
        <v>546805574.89999998</v>
      </c>
      <c r="L1551">
        <f>IFERROR([1]!s_stm07_cs($A1551,"W77745895",TEXT($B$1,"yyyy/mm/dd"),1),"")</f>
        <v>373594349.38</v>
      </c>
      <c r="M1551">
        <f>IFERROR([1]!S_FA_EPS_basic2($A1551,$B$1,"Cur=CNY"),"")</f>
        <v>2.0573999999999999</v>
      </c>
      <c r="N1551">
        <f>IFERROR([1]!s_fa_arturndays($A1551,TEXT($B$1,"yyyy/mm/dd")),"")</f>
        <v>104.34780000000001</v>
      </c>
      <c r="O1551" t="str">
        <f>IFERROR([1]!fa_apturndays($A1551,TEXT($B$1,"yyyy/mm/dd")),"")</f>
        <v>Fetch...</v>
      </c>
      <c r="P1551">
        <f>IFERROR([1]!s_fa_invturndays($A1551,TEXT($B$1,"yyyy/mm/dd")),"")</f>
        <v>112.9979</v>
      </c>
    </row>
    <row r="1552" spans="1:16">
      <c r="A1552" t="s">
        <v>1565</v>
      </c>
      <c r="B1552">
        <f>IFERROR([1]!s_stm07_is($A1552,"W70156729",TEXT($B$1,"yyyy/mm/dd"),1),"")</f>
        <v>81018674069.679993</v>
      </c>
      <c r="C1552">
        <f>IFERROR([1]!s_stm07_is($A1552,"W75682424",TEXT($B$1,"yyyy/mm/dd"),1),"")</f>
        <v>66865106789.800003</v>
      </c>
      <c r="D1552">
        <f>IFERROR([1]!s_stm07_is($A1552,"W76031679",TEXT($B$1,"yyyy/mm/dd"),1),"")</f>
        <v>170286312.78</v>
      </c>
      <c r="E1552">
        <f>IFERROR([1]!s_stm07_is($A1552,"W70752487",TEXT($B$1,"yyyy/mm/dd"),1),"")</f>
        <v>2009449160.6099999</v>
      </c>
      <c r="F1552">
        <f>IFERROR([1]!s_stm07_is_103($A1552,TEXT($B$1,"yyyy/mm/dd"),1),"")</f>
        <v>1682172318.8599999</v>
      </c>
      <c r="G1552">
        <f>IFERROR([1]!s_stm07_is_104($A1552,TEXT($B$1,"yyyy/mm/dd"),1),"")</f>
        <v>2271478731.52</v>
      </c>
      <c r="H1552">
        <f>IFERROR([1]!s_stm07_is_105($A1552,TEXT($B$1,"yyyy/mm/dd"),1),"")</f>
        <v>339345529.94999999</v>
      </c>
      <c r="I1552">
        <f>IFERROR([1]!s_stm07_is($A1552,"W72946623",TEXT($B$1,"yyyy/mm/dd"),1),"")</f>
        <v>8329775716.1599998</v>
      </c>
      <c r="J1552">
        <f>IFERROR([1]!s_stm07_is($A1552,"W30028333",TEXT($B$1,"yyyy/mm/dd"),1),"")</f>
        <v>6110378757.8400002</v>
      </c>
      <c r="K1552">
        <f>IFERROR([1]!s_stm07_cs($A1552,"W77130581",TEXT($B$1,"yyyy/mm/dd"),1),"")</f>
        <v>4011961997.48</v>
      </c>
      <c r="L1552">
        <f>IFERROR([1]!s_stm07_cs($A1552,"W77745895",TEXT($B$1,"yyyy/mm/dd"),1),"")</f>
        <v>10757625082.43</v>
      </c>
      <c r="M1552">
        <f>IFERROR([1]!S_FA_EPS_basic2($A1552,$B$1,"Cur=CNY"),"")</f>
        <v>3.34</v>
      </c>
      <c r="N1552">
        <f>IFERROR([1]!s_fa_arturndays($A1552,TEXT($B$1,"yyyy/mm/dd")),"")</f>
        <v>35.868000000000002</v>
      </c>
      <c r="O1552" t="str">
        <f>IFERROR([1]!fa_apturndays($A1552,TEXT($B$1,"yyyy/mm/dd")),"")</f>
        <v>Fetch...</v>
      </c>
      <c r="P1552">
        <f>IFERROR([1]!s_fa_invturndays($A1552,TEXT($B$1,"yyyy/mm/dd")),"")</f>
        <v>115.54389999999999</v>
      </c>
    </row>
    <row r="1553" spans="1:16">
      <c r="A1553" t="s">
        <v>1566</v>
      </c>
      <c r="B1553">
        <f>IFERROR([1]!s_stm07_is($A1553,"W70156729",TEXT($B$1,"yyyy/mm/dd"),1),"")</f>
        <v>15490803120.610001</v>
      </c>
      <c r="C1553">
        <f>IFERROR([1]!s_stm07_is($A1553,"W75682424",TEXT($B$1,"yyyy/mm/dd"),1),"")</f>
        <v>13793499506.360001</v>
      </c>
      <c r="D1553">
        <f>IFERROR([1]!s_stm07_is($A1553,"W76031679",TEXT($B$1,"yyyy/mm/dd"),1),"")</f>
        <v>96621484.790000007</v>
      </c>
      <c r="E1553">
        <f>IFERROR([1]!s_stm07_is($A1553,"W70752487",TEXT($B$1,"yyyy/mm/dd"),1),"")</f>
        <v>251683995.77000001</v>
      </c>
      <c r="F1553">
        <f>IFERROR([1]!s_stm07_is_103($A1553,TEXT($B$1,"yyyy/mm/dd"),1),"")</f>
        <v>467638079.38999999</v>
      </c>
      <c r="G1553">
        <f>IFERROR([1]!s_stm07_is_104($A1553,TEXT($B$1,"yyyy/mm/dd"),1),"")</f>
        <v>43224614.07</v>
      </c>
      <c r="H1553">
        <f>IFERROR([1]!s_stm07_is_105($A1553,TEXT($B$1,"yyyy/mm/dd"),1),"")</f>
        <v>52325371.75</v>
      </c>
      <c r="I1553">
        <f>IFERROR([1]!s_stm07_is($A1553,"W72946623",TEXT($B$1,"yyyy/mm/dd"),1),"")</f>
        <v>873464554.63</v>
      </c>
      <c r="J1553">
        <f>IFERROR([1]!s_stm07_is($A1553,"W30028333",TEXT($B$1,"yyyy/mm/dd"),1),"")</f>
        <v>769676268.23000002</v>
      </c>
      <c r="K1553">
        <f>IFERROR([1]!s_stm07_cs($A1553,"W77130581",TEXT($B$1,"yyyy/mm/dd"),1),"")</f>
        <v>1462451084.5899999</v>
      </c>
      <c r="L1553">
        <f>IFERROR([1]!s_stm07_cs($A1553,"W77745895",TEXT($B$1,"yyyy/mm/dd"),1),"")</f>
        <v>435778932.94999999</v>
      </c>
      <c r="M1553">
        <f>IFERROR([1]!S_FA_EPS_basic2($A1553,$B$1,"Cur=CNY"),"")</f>
        <v>0.3</v>
      </c>
      <c r="N1553">
        <f>IFERROR([1]!s_fa_arturndays($A1553,TEXT($B$1,"yyyy/mm/dd")),"")</f>
        <v>96.302999999999997</v>
      </c>
      <c r="O1553" t="str">
        <f>IFERROR([1]!fa_apturndays($A1553,TEXT($B$1,"yyyy/mm/dd")),"")</f>
        <v>Fetch...</v>
      </c>
      <c r="P1553">
        <f>IFERROR([1]!s_fa_invturndays($A1553,TEXT($B$1,"yyyy/mm/dd")),"")</f>
        <v>45.4741</v>
      </c>
    </row>
    <row r="1554" spans="1:16">
      <c r="A1554" t="s">
        <v>1567</v>
      </c>
      <c r="B1554">
        <f>IFERROR([1]!s_stm07_is($A1554,"W70156729",TEXT($B$1,"yyyy/mm/dd"),1),"")</f>
        <v>2689424662.0100002</v>
      </c>
      <c r="C1554">
        <f>IFERROR([1]!s_stm07_is($A1554,"W75682424",TEXT($B$1,"yyyy/mm/dd"),1),"")</f>
        <v>1868421041.23</v>
      </c>
      <c r="D1554">
        <f>IFERROR([1]!s_stm07_is($A1554,"W76031679",TEXT($B$1,"yyyy/mm/dd"),1),"")</f>
        <v>19608821.780000001</v>
      </c>
      <c r="E1554">
        <f>IFERROR([1]!s_stm07_is($A1554,"W70752487",TEXT($B$1,"yyyy/mm/dd"),1),"")</f>
        <v>155566707.34999999</v>
      </c>
      <c r="F1554">
        <f>IFERROR([1]!s_stm07_is_103($A1554,TEXT($B$1,"yyyy/mm/dd"),1),"")</f>
        <v>155059641.97999999</v>
      </c>
      <c r="G1554">
        <f>IFERROR([1]!s_stm07_is_104($A1554,TEXT($B$1,"yyyy/mm/dd"),1),"")</f>
        <v>61571038.380000003</v>
      </c>
      <c r="H1554">
        <f>IFERROR([1]!s_stm07_is_105($A1554,TEXT($B$1,"yyyy/mm/dd"),1),"")</f>
        <v>3438675.86</v>
      </c>
      <c r="I1554">
        <f>IFERROR([1]!s_stm07_is($A1554,"W72946623",TEXT($B$1,"yyyy/mm/dd"),1),"")</f>
        <v>315754175.43000001</v>
      </c>
      <c r="J1554">
        <f>IFERROR([1]!s_stm07_is($A1554,"W30028333",TEXT($B$1,"yyyy/mm/dd"),1),"")</f>
        <v>277143403.31999999</v>
      </c>
      <c r="K1554">
        <f>IFERROR([1]!s_stm07_cs($A1554,"W77130581",TEXT($B$1,"yyyy/mm/dd"),1),"")</f>
        <v>308991921.47000003</v>
      </c>
      <c r="L1554">
        <f>IFERROR([1]!s_stm07_cs($A1554,"W77745895",TEXT($B$1,"yyyy/mm/dd"),1),"")</f>
        <v>1007510682.45</v>
      </c>
      <c r="M1554">
        <f>IFERROR([1]!S_FA_EPS_basic2($A1554,$B$1,"Cur=CNY"),"")</f>
        <v>0.3216</v>
      </c>
      <c r="N1554">
        <f>IFERROR([1]!s_fa_arturndays($A1554,TEXT($B$1,"yyyy/mm/dd")),"")</f>
        <v>90.415899999999993</v>
      </c>
      <c r="O1554" t="str">
        <f>IFERROR([1]!fa_apturndays($A1554,TEXT($B$1,"yyyy/mm/dd")),"")</f>
        <v>Fetch...</v>
      </c>
      <c r="P1554">
        <f>IFERROR([1]!s_fa_invturndays($A1554,TEXT($B$1,"yyyy/mm/dd")),"")</f>
        <v>159.17930000000001</v>
      </c>
    </row>
    <row r="1555" spans="1:16">
      <c r="A1555" t="s">
        <v>1568</v>
      </c>
      <c r="B1555">
        <f>IFERROR([1]!s_stm07_is($A1555,"W70156729",TEXT($B$1,"yyyy/mm/dd"),1),"")</f>
        <v>20056388763.959999</v>
      </c>
      <c r="C1555">
        <f>IFERROR([1]!s_stm07_is($A1555,"W75682424",TEXT($B$1,"yyyy/mm/dd"),1),"")</f>
        <v>13485288177.280001</v>
      </c>
      <c r="D1555">
        <f>IFERROR([1]!s_stm07_is($A1555,"W76031679",TEXT($B$1,"yyyy/mm/dd"),1),"")</f>
        <v>3437284658.6300001</v>
      </c>
      <c r="E1555">
        <f>IFERROR([1]!s_stm07_is($A1555,"W70752487",TEXT($B$1,"yyyy/mm/dd"),1),"")</f>
        <v>372095244.75</v>
      </c>
      <c r="F1555">
        <f>IFERROR([1]!s_stm07_is_103($A1555,TEXT($B$1,"yyyy/mm/dd"),1),"")</f>
        <v>369433573.82999998</v>
      </c>
      <c r="G1555">
        <f>IFERROR([1]!s_stm07_is_104($A1555,TEXT($B$1,"yyyy/mm/dd"),1),"")</f>
        <v>29692542.77</v>
      </c>
      <c r="H1555">
        <f>IFERROR([1]!s_stm07_is_105($A1555,TEXT($B$1,"yyyy/mm/dd"),1),"")</f>
        <v>67139964.269999996</v>
      </c>
      <c r="I1555">
        <f>IFERROR([1]!s_stm07_is($A1555,"W72946623",TEXT($B$1,"yyyy/mm/dd"),1),"")</f>
        <v>2271957173.5900002</v>
      </c>
      <c r="J1555">
        <f>IFERROR([1]!s_stm07_is($A1555,"W30028333",TEXT($B$1,"yyyy/mm/dd"),1),"")</f>
        <v>1790044942.6600001</v>
      </c>
      <c r="K1555">
        <f>IFERROR([1]!s_stm07_cs($A1555,"W77130581",TEXT($B$1,"yyyy/mm/dd"),1),"")</f>
        <v>2774216163.2199998</v>
      </c>
      <c r="L1555">
        <f>IFERROR([1]!s_stm07_cs($A1555,"W77745895",TEXT($B$1,"yyyy/mm/dd"),1),"")</f>
        <v>630931454.73000002</v>
      </c>
      <c r="M1555">
        <f>IFERROR([1]!S_FA_EPS_basic2($A1555,$B$1,"Cur=CNY"),"")</f>
        <v>2.2000000000000002</v>
      </c>
      <c r="N1555">
        <f>IFERROR([1]!s_fa_arturndays($A1555,TEXT($B$1,"yyyy/mm/dd")),"")</f>
        <v>30.031300000000002</v>
      </c>
      <c r="O1555" t="str">
        <f>IFERROR([1]!fa_apturndays($A1555,TEXT($B$1,"yyyy/mm/dd")),"")</f>
        <v>Fetch...</v>
      </c>
      <c r="P1555">
        <f>IFERROR([1]!s_fa_invturndays($A1555,TEXT($B$1,"yyyy/mm/dd")),"")</f>
        <v>59.785800000000002</v>
      </c>
    </row>
    <row r="1556" spans="1:16">
      <c r="A1556" t="s">
        <v>1569</v>
      </c>
      <c r="B1556">
        <f>IFERROR([1]!s_stm07_is($A1556,"W70156729",TEXT($B$1,"yyyy/mm/dd"),1),"")</f>
        <v>1259667768.04</v>
      </c>
      <c r="C1556">
        <f>IFERROR([1]!s_stm07_is($A1556,"W75682424",TEXT($B$1,"yyyy/mm/dd"),1),"")</f>
        <v>900427711.35000002</v>
      </c>
      <c r="D1556">
        <f>IFERROR([1]!s_stm07_is($A1556,"W76031679",TEXT($B$1,"yyyy/mm/dd"),1),"")</f>
        <v>53599760.75</v>
      </c>
      <c r="E1556">
        <f>IFERROR([1]!s_stm07_is($A1556,"W70752487",TEXT($B$1,"yyyy/mm/dd"),1),"")</f>
        <v>87238242.370000005</v>
      </c>
      <c r="F1556">
        <f>IFERROR([1]!s_stm07_is_103($A1556,TEXT($B$1,"yyyy/mm/dd"),1),"")</f>
        <v>41521713.560000002</v>
      </c>
      <c r="G1556">
        <f>IFERROR([1]!s_stm07_is_104($A1556,TEXT($B$1,"yyyy/mm/dd"),1),"")</f>
        <v>67260484.010000005</v>
      </c>
      <c r="H1556">
        <f>IFERROR([1]!s_stm07_is_105($A1556,TEXT($B$1,"yyyy/mm/dd"),1),"")</f>
        <v>317855.78999999998</v>
      </c>
      <c r="I1556">
        <f>IFERROR([1]!s_stm07_is($A1556,"W72946623",TEXT($B$1,"yyyy/mm/dd"),1),"")</f>
        <v>-159290751.41999999</v>
      </c>
      <c r="J1556">
        <f>IFERROR([1]!s_stm07_is($A1556,"W30028333",TEXT($B$1,"yyyy/mm/dd"),1),"")</f>
        <v>-92053690.299999997</v>
      </c>
      <c r="K1556">
        <f>IFERROR([1]!s_stm07_cs($A1556,"W77130581",TEXT($B$1,"yyyy/mm/dd"),1),"")</f>
        <v>-22584165.18</v>
      </c>
      <c r="L1556">
        <f>IFERROR([1]!s_stm07_cs($A1556,"W77745895",TEXT($B$1,"yyyy/mm/dd"),1),"")</f>
        <v>42748994.740000002</v>
      </c>
      <c r="M1556">
        <f>IFERROR([1]!S_FA_EPS_basic2($A1556,$B$1,"Cur=CNY"),"")</f>
        <v>-0.14050000000000001</v>
      </c>
      <c r="N1556">
        <f>IFERROR([1]!s_fa_arturndays($A1556,TEXT($B$1,"yyyy/mm/dd")),"")</f>
        <v>74.588200000000001</v>
      </c>
      <c r="O1556" t="str">
        <f>IFERROR([1]!fa_apturndays($A1556,TEXT($B$1,"yyyy/mm/dd")),"")</f>
        <v>Fetch...</v>
      </c>
      <c r="P1556">
        <f>IFERROR([1]!s_fa_invturndays($A1556,TEXT($B$1,"yyyy/mm/dd")),"")</f>
        <v>499.44510000000002</v>
      </c>
    </row>
    <row r="1557" spans="1:16">
      <c r="A1557" t="s">
        <v>1570</v>
      </c>
      <c r="B1557">
        <f>IFERROR([1]!s_stm07_is($A1557,"W70156729",TEXT($B$1,"yyyy/mm/dd"),1),"")</f>
        <v>17232089820.259998</v>
      </c>
      <c r="C1557">
        <f>IFERROR([1]!s_stm07_is($A1557,"W75682424",TEXT($B$1,"yyyy/mm/dd"),1),"")</f>
        <v>10988023677.15</v>
      </c>
      <c r="D1557">
        <f>IFERROR([1]!s_stm07_is($A1557,"W76031679",TEXT($B$1,"yyyy/mm/dd"),1),"")</f>
        <v>1737638310.9200001</v>
      </c>
      <c r="E1557">
        <f>IFERROR([1]!s_stm07_is($A1557,"W70752487",TEXT($B$1,"yyyy/mm/dd"),1),"")</f>
        <v>1247611846.97</v>
      </c>
      <c r="F1557">
        <f>IFERROR([1]!s_stm07_is_103($A1557,TEXT($B$1,"yyyy/mm/dd"),1),"")</f>
        <v>908626759.23000002</v>
      </c>
      <c r="G1557">
        <f>IFERROR([1]!s_stm07_is_104($A1557,TEXT($B$1,"yyyy/mm/dd"),1),"")</f>
        <v>179888518.15000001</v>
      </c>
      <c r="H1557">
        <f>IFERROR([1]!s_stm07_is_105($A1557,TEXT($B$1,"yyyy/mm/dd"),1),"")</f>
        <v>420282463.88</v>
      </c>
      <c r="I1557">
        <f>IFERROR([1]!s_stm07_is($A1557,"W72946623",TEXT($B$1,"yyyy/mm/dd"),1),"")</f>
        <v>2394869080.4200001</v>
      </c>
      <c r="J1557">
        <f>IFERROR([1]!s_stm07_is($A1557,"W30028333",TEXT($B$1,"yyyy/mm/dd"),1),"")</f>
        <v>1996762149.3599999</v>
      </c>
      <c r="K1557">
        <f>IFERROR([1]!s_stm07_cs($A1557,"W77130581",TEXT($B$1,"yyyy/mm/dd"),1),"")</f>
        <v>3397112444.5</v>
      </c>
      <c r="L1557">
        <f>IFERROR([1]!s_stm07_cs($A1557,"W77745895",TEXT($B$1,"yyyy/mm/dd"),1),"")</f>
        <v>563799926.80999994</v>
      </c>
      <c r="M1557">
        <f>IFERROR([1]!S_FA_EPS_basic2($A1557,$B$1,"Cur=CNY"),"")</f>
        <v>3.3</v>
      </c>
      <c r="N1557">
        <f>IFERROR([1]!s_fa_arturndays($A1557,TEXT($B$1,"yyyy/mm/dd")),"")</f>
        <v>27.779699999999998</v>
      </c>
      <c r="O1557" t="str">
        <f>IFERROR([1]!fa_apturndays($A1557,TEXT($B$1,"yyyy/mm/dd")),"")</f>
        <v>Fetch...</v>
      </c>
      <c r="P1557">
        <f>IFERROR([1]!s_fa_invturndays($A1557,TEXT($B$1,"yyyy/mm/dd")),"")</f>
        <v>23.444099999999999</v>
      </c>
    </row>
    <row r="1558" spans="1:16">
      <c r="A1558" t="s">
        <v>1571</v>
      </c>
      <c r="B1558">
        <f>IFERROR([1]!s_stm07_is($A1558,"W70156729",TEXT($B$1,"yyyy/mm/dd"),1),"")</f>
        <v>11875013010.120001</v>
      </c>
      <c r="C1558">
        <f>IFERROR([1]!s_stm07_is($A1558,"W75682424",TEXT($B$1,"yyyy/mm/dd"),1),"")</f>
        <v>4399990372.0900002</v>
      </c>
      <c r="D1558">
        <f>IFERROR([1]!s_stm07_is($A1558,"W76031679",TEXT($B$1,"yyyy/mm/dd"),1),"")</f>
        <v>4828332232.54</v>
      </c>
      <c r="E1558">
        <f>IFERROR([1]!s_stm07_is($A1558,"W70752487",TEXT($B$1,"yyyy/mm/dd"),1),"")</f>
        <v>843025161.72000003</v>
      </c>
      <c r="F1558">
        <f>IFERROR([1]!s_stm07_is_103($A1558,TEXT($B$1,"yyyy/mm/dd"),1),"")</f>
        <v>240102458.56999999</v>
      </c>
      <c r="G1558">
        <f>IFERROR([1]!s_stm07_is_104($A1558,TEXT($B$1,"yyyy/mm/dd"),1),"")</f>
        <v>118700545.2</v>
      </c>
      <c r="H1558">
        <f>IFERROR([1]!s_stm07_is_105($A1558,TEXT($B$1,"yyyy/mm/dd"),1),"")</f>
        <v>4836847.2300000004</v>
      </c>
      <c r="I1558">
        <f>IFERROR([1]!s_stm07_is($A1558,"W72946623",TEXT($B$1,"yyyy/mm/dd"),1),"")</f>
        <v>533955471.70999998</v>
      </c>
      <c r="J1558">
        <f>IFERROR([1]!s_stm07_is($A1558,"W30028333",TEXT($B$1,"yyyy/mm/dd"),1),"")</f>
        <v>360784856.20999998</v>
      </c>
      <c r="K1558">
        <f>IFERROR([1]!s_stm07_cs($A1558,"W77130581",TEXT($B$1,"yyyy/mm/dd"),1),"")</f>
        <v>1157787074.8499999</v>
      </c>
      <c r="L1558">
        <f>IFERROR([1]!s_stm07_cs($A1558,"W77745895",TEXT($B$1,"yyyy/mm/dd"),1),"")</f>
        <v>123424399.41</v>
      </c>
      <c r="M1558">
        <f>IFERROR([1]!S_FA_EPS_basic2($A1558,$B$1,"Cur=CNY"),"")</f>
        <v>0.34160000000000001</v>
      </c>
      <c r="N1558">
        <f>IFERROR([1]!s_fa_arturndays($A1558,TEXT($B$1,"yyyy/mm/dd")),"")</f>
        <v>23.761099999999999</v>
      </c>
      <c r="O1558" t="str">
        <f>IFERROR([1]!fa_apturndays($A1558,TEXT($B$1,"yyyy/mm/dd")),"")</f>
        <v>Fetch...</v>
      </c>
      <c r="P1558">
        <f>IFERROR([1]!s_fa_invturndays($A1558,TEXT($B$1,"yyyy/mm/dd")),"")</f>
        <v>373.28910000000002</v>
      </c>
    </row>
    <row r="1559" spans="1:16">
      <c r="A1559" t="s">
        <v>1572</v>
      </c>
      <c r="B1559">
        <f>IFERROR([1]!s_stm07_is($A1559,"W70156729",TEXT($B$1,"yyyy/mm/dd"),1),"")</f>
        <v>5448153351.3199997</v>
      </c>
      <c r="C1559">
        <f>IFERROR([1]!s_stm07_is($A1559,"W75682424",TEXT($B$1,"yyyy/mm/dd"),1),"")</f>
        <v>4220953554.0300002</v>
      </c>
      <c r="D1559">
        <f>IFERROR([1]!s_stm07_is($A1559,"W76031679",TEXT($B$1,"yyyy/mm/dd"),1),"")</f>
        <v>478955256.79000002</v>
      </c>
      <c r="E1559">
        <f>IFERROR([1]!s_stm07_is($A1559,"W70752487",TEXT($B$1,"yyyy/mm/dd"),1),"")</f>
        <v>125514791.81999999</v>
      </c>
      <c r="F1559">
        <f>IFERROR([1]!s_stm07_is_103($A1559,TEXT($B$1,"yyyy/mm/dd"),1),"")</f>
        <v>26254779.82</v>
      </c>
      <c r="G1559">
        <f>IFERROR([1]!s_stm07_is_104($A1559,TEXT($B$1,"yyyy/mm/dd"),1),"")</f>
        <v>30856118.300000001</v>
      </c>
      <c r="H1559">
        <f>IFERROR([1]!s_stm07_is_105($A1559,TEXT($B$1,"yyyy/mm/dd"),1),"")</f>
        <v>1314892.5</v>
      </c>
      <c r="I1559">
        <f>IFERROR([1]!s_stm07_is($A1559,"W72946623",TEXT($B$1,"yyyy/mm/dd"),1),"")</f>
        <v>502425050.88</v>
      </c>
      <c r="J1559">
        <f>IFERROR([1]!s_stm07_is($A1559,"W30028333",TEXT($B$1,"yyyy/mm/dd"),1),"")</f>
        <v>283853769.32999998</v>
      </c>
      <c r="K1559">
        <f>IFERROR([1]!s_stm07_cs($A1559,"W77130581",TEXT($B$1,"yyyy/mm/dd"),1),"")</f>
        <v>764135977.22000003</v>
      </c>
      <c r="L1559">
        <f>IFERROR([1]!s_stm07_cs($A1559,"W77745895",TEXT($B$1,"yyyy/mm/dd"),1),"")</f>
        <v>335753642.91000003</v>
      </c>
      <c r="M1559">
        <f>IFERROR([1]!S_FA_EPS_basic2($A1559,$B$1,"Cur=CNY"),"")</f>
        <v>0.1774</v>
      </c>
      <c r="N1559">
        <f>IFERROR([1]!s_fa_arturndays($A1559,TEXT($B$1,"yyyy/mm/dd")),"")</f>
        <v>23.842300000000002</v>
      </c>
      <c r="O1559" t="str">
        <f>IFERROR([1]!fa_apturndays($A1559,TEXT($B$1,"yyyy/mm/dd")),"")</f>
        <v>Fetch...</v>
      </c>
      <c r="P1559">
        <f>IFERROR([1]!s_fa_invturndays($A1559,TEXT($B$1,"yyyy/mm/dd")),"")</f>
        <v>11.7012</v>
      </c>
    </row>
    <row r="1560" spans="1:16">
      <c r="A1560" t="s">
        <v>1573</v>
      </c>
      <c r="B1560">
        <f>IFERROR([1]!s_stm07_is($A1560,"W70156729",TEXT($B$1,"yyyy/mm/dd"),1),"")</f>
        <v>8376595685.1700001</v>
      </c>
      <c r="C1560">
        <f>IFERROR([1]!s_stm07_is($A1560,"W75682424",TEXT($B$1,"yyyy/mm/dd"),1),"")</f>
        <v>6828284636.4899998</v>
      </c>
      <c r="D1560">
        <f>IFERROR([1]!s_stm07_is($A1560,"W76031679",TEXT($B$1,"yyyy/mm/dd"),1),"")</f>
        <v>10880398.109999999</v>
      </c>
      <c r="E1560">
        <f>IFERROR([1]!s_stm07_is($A1560,"W70752487",TEXT($B$1,"yyyy/mm/dd"),1),"")</f>
        <v>221903163.55000001</v>
      </c>
      <c r="F1560">
        <f>IFERROR([1]!s_stm07_is_103($A1560,TEXT($B$1,"yyyy/mm/dd"),1),"")</f>
        <v>20318410.109999999</v>
      </c>
      <c r="G1560">
        <f>IFERROR([1]!s_stm07_is_104($A1560,TEXT($B$1,"yyyy/mm/dd"),1),"")</f>
        <v>29074735.260000002</v>
      </c>
      <c r="H1560">
        <f>IFERROR([1]!s_stm07_is_105($A1560,TEXT($B$1,"yyyy/mm/dd"),1),"")</f>
        <v>12195221.17</v>
      </c>
      <c r="I1560">
        <f>IFERROR([1]!s_stm07_is($A1560,"W72946623",TEXT($B$1,"yyyy/mm/dd"),1),"")</f>
        <v>1339809192.1700001</v>
      </c>
      <c r="J1560">
        <f>IFERROR([1]!s_stm07_is($A1560,"W30028333",TEXT($B$1,"yyyy/mm/dd"),1),"")</f>
        <v>1141076436.6700001</v>
      </c>
      <c r="K1560">
        <f>IFERROR([1]!s_stm07_cs($A1560,"W77130581",TEXT($B$1,"yyyy/mm/dd"),1),"")</f>
        <v>1131257526.0999999</v>
      </c>
      <c r="L1560">
        <f>IFERROR([1]!s_stm07_cs($A1560,"W77745895",TEXT($B$1,"yyyy/mm/dd"),1),"")</f>
        <v>376187916.49000001</v>
      </c>
      <c r="M1560">
        <f>IFERROR([1]!S_FA_EPS_basic2($A1560,$B$1,"Cur=CNY"),"")</f>
        <v>0.84</v>
      </c>
      <c r="N1560">
        <f>IFERROR([1]!s_fa_arturndays($A1560,TEXT($B$1,"yyyy/mm/dd")),"")</f>
        <v>10.879799999999999</v>
      </c>
      <c r="O1560" t="str">
        <f>IFERROR([1]!fa_apturndays($A1560,TEXT($B$1,"yyyy/mm/dd")),"")</f>
        <v>Fetch...</v>
      </c>
      <c r="P1560">
        <f>IFERROR([1]!s_fa_invturndays($A1560,TEXT($B$1,"yyyy/mm/dd")),"")</f>
        <v>60.1755</v>
      </c>
    </row>
    <row r="1561" spans="1:16">
      <c r="A1561" t="s">
        <v>1574</v>
      </c>
      <c r="B1561">
        <f>IFERROR([1]!s_stm07_is($A1561,"W70156729",TEXT($B$1,"yyyy/mm/dd"),1),"")</f>
        <v>26303460437.040001</v>
      </c>
      <c r="C1561">
        <f>IFERROR([1]!s_stm07_is($A1561,"W75682424",TEXT($B$1,"yyyy/mm/dd"),1),"")</f>
        <v>23930433027.599998</v>
      </c>
      <c r="D1561">
        <f>IFERROR([1]!s_stm07_is($A1561,"W76031679",TEXT($B$1,"yyyy/mm/dd"),1),"")</f>
        <v>179709970.47999999</v>
      </c>
      <c r="E1561">
        <f>IFERROR([1]!s_stm07_is($A1561,"W70752487",TEXT($B$1,"yyyy/mm/dd"),1),"")</f>
        <v>319261605.85000002</v>
      </c>
      <c r="F1561">
        <f>IFERROR([1]!s_stm07_is_103($A1561,TEXT($B$1,"yyyy/mm/dd"),1),"")</f>
        <v>1181479732.1800001</v>
      </c>
      <c r="G1561">
        <f>IFERROR([1]!s_stm07_is_104($A1561,TEXT($B$1,"yyyy/mm/dd"),1),"")</f>
        <v>197926012.93000001</v>
      </c>
      <c r="H1561">
        <f>IFERROR([1]!s_stm07_is_105($A1561,TEXT($B$1,"yyyy/mm/dd"),1),"")</f>
        <v>104428442.27</v>
      </c>
      <c r="I1561">
        <f>IFERROR([1]!s_stm07_is($A1561,"W72946623",TEXT($B$1,"yyyy/mm/dd"),1),"")</f>
        <v>653095219.07000005</v>
      </c>
      <c r="J1561">
        <f>IFERROR([1]!s_stm07_is($A1561,"W30028333",TEXT($B$1,"yyyy/mm/dd"),1),"")</f>
        <v>512872729.05000001</v>
      </c>
      <c r="K1561">
        <f>IFERROR([1]!s_stm07_cs($A1561,"W77130581",TEXT($B$1,"yyyy/mm/dd"),1),"")</f>
        <v>1271598258.6199999</v>
      </c>
      <c r="L1561">
        <f>IFERROR([1]!s_stm07_cs($A1561,"W77745895",TEXT($B$1,"yyyy/mm/dd"),1),"")</f>
        <v>480304492.98000002</v>
      </c>
      <c r="M1561">
        <f>IFERROR([1]!S_FA_EPS_basic2($A1561,$B$1,"Cur=CNY"),"")</f>
        <v>0.56000000000000005</v>
      </c>
      <c r="N1561">
        <f>IFERROR([1]!s_fa_arturndays($A1561,TEXT($B$1,"yyyy/mm/dd")),"")</f>
        <v>51.122599999999998</v>
      </c>
      <c r="O1561" t="str">
        <f>IFERROR([1]!fa_apturndays($A1561,TEXT($B$1,"yyyy/mm/dd")),"")</f>
        <v>Fetch...</v>
      </c>
      <c r="P1561">
        <f>IFERROR([1]!s_fa_invturndays($A1561,TEXT($B$1,"yyyy/mm/dd")),"")</f>
        <v>65.171300000000002</v>
      </c>
    </row>
    <row r="1562" spans="1:16">
      <c r="A1562" t="s">
        <v>1575</v>
      </c>
      <c r="B1562">
        <f>IFERROR([1]!s_stm07_is($A1562,"W70156729",TEXT($B$1,"yyyy/mm/dd"),1),"")</f>
        <v>1720831954.48</v>
      </c>
      <c r="C1562">
        <f>IFERROR([1]!s_stm07_is($A1562,"W75682424",TEXT($B$1,"yyyy/mm/dd"),1),"")</f>
        <v>1074459135.73</v>
      </c>
      <c r="D1562">
        <f>IFERROR([1]!s_stm07_is($A1562,"W76031679",TEXT($B$1,"yyyy/mm/dd"),1),"")</f>
        <v>5215761.45</v>
      </c>
      <c r="E1562">
        <f>IFERROR([1]!s_stm07_is($A1562,"W70752487",TEXT($B$1,"yyyy/mm/dd"),1),"")</f>
        <v>67412718.379999995</v>
      </c>
      <c r="F1562">
        <f>IFERROR([1]!s_stm07_is_103($A1562,TEXT($B$1,"yyyy/mm/dd"),1),"")</f>
        <v>95359379.829999998</v>
      </c>
      <c r="G1562">
        <f>IFERROR([1]!s_stm07_is_104($A1562,TEXT($B$1,"yyyy/mm/dd"),1),"")</f>
        <v>97678787.909999996</v>
      </c>
      <c r="H1562">
        <f>IFERROR([1]!s_stm07_is_105($A1562,TEXT($B$1,"yyyy/mm/dd"),1),"")</f>
        <v>9212667.4700000007</v>
      </c>
      <c r="I1562">
        <f>IFERROR([1]!s_stm07_is($A1562,"W72946623",TEXT($B$1,"yyyy/mm/dd"),1),"")</f>
        <v>225165728.80000001</v>
      </c>
      <c r="J1562">
        <f>IFERROR([1]!s_stm07_is($A1562,"W30028333",TEXT($B$1,"yyyy/mm/dd"),1),"")</f>
        <v>138737153.58000001</v>
      </c>
      <c r="K1562">
        <f>IFERROR([1]!s_stm07_cs($A1562,"W77130581",TEXT($B$1,"yyyy/mm/dd"),1),"")</f>
        <v>1250880955.4400001</v>
      </c>
      <c r="L1562">
        <f>IFERROR([1]!s_stm07_cs($A1562,"W77745895",TEXT($B$1,"yyyy/mm/dd"),1),"")</f>
        <v>777223471.45000005</v>
      </c>
      <c r="M1562">
        <f>IFERROR([1]!S_FA_EPS_basic2($A1562,$B$1,"Cur=CNY"),"")</f>
        <v>0.19</v>
      </c>
      <c r="N1562">
        <f>IFERROR([1]!s_fa_arturndays($A1562,TEXT($B$1,"yyyy/mm/dd")),"")</f>
        <v>38.125900000000001</v>
      </c>
      <c r="O1562" t="str">
        <f>IFERROR([1]!fa_apturndays($A1562,TEXT($B$1,"yyyy/mm/dd")),"")</f>
        <v>Fetch...</v>
      </c>
      <c r="P1562">
        <f>IFERROR([1]!s_fa_invturndays($A1562,TEXT($B$1,"yyyy/mm/dd")),"")</f>
        <v>193.8715</v>
      </c>
    </row>
    <row r="1563" spans="1:16">
      <c r="A1563" t="s">
        <v>1576</v>
      </c>
      <c r="B1563">
        <f>IFERROR([1]!s_stm07_is($A1563,"W70156729",TEXT($B$1,"yyyy/mm/dd"),1),"")</f>
        <v>22236615347</v>
      </c>
      <c r="C1563">
        <f>IFERROR([1]!s_stm07_is($A1563,"W75682424",TEXT($B$1,"yyyy/mm/dd"),1),"")</f>
        <v>15054734735</v>
      </c>
      <c r="D1563">
        <f>IFERROR([1]!s_stm07_is($A1563,"W76031679",TEXT($B$1,"yyyy/mm/dd"),1),"")</f>
        <v>4699222568</v>
      </c>
      <c r="E1563">
        <f>IFERROR([1]!s_stm07_is($A1563,"W70752487",TEXT($B$1,"yyyy/mm/dd"),1),"")</f>
        <v>1288100931</v>
      </c>
      <c r="F1563">
        <f>IFERROR([1]!s_stm07_is_103($A1563,TEXT($B$1,"yyyy/mm/dd"),1),"")</f>
        <v>51071549</v>
      </c>
      <c r="G1563">
        <f>IFERROR([1]!s_stm07_is_104($A1563,TEXT($B$1,"yyyy/mm/dd"),1),"")</f>
        <v>130270754</v>
      </c>
      <c r="H1563">
        <f>IFERROR([1]!s_stm07_is_105($A1563,TEXT($B$1,"yyyy/mm/dd"),1),"")</f>
        <v>13369752</v>
      </c>
      <c r="I1563">
        <f>IFERROR([1]!s_stm07_is($A1563,"W72946623",TEXT($B$1,"yyyy/mm/dd"),1),"")</f>
        <v>756168890</v>
      </c>
      <c r="J1563">
        <f>IFERROR([1]!s_stm07_is($A1563,"W30028333",TEXT($B$1,"yyyy/mm/dd"),1),"")</f>
        <v>381846593</v>
      </c>
      <c r="K1563">
        <f>IFERROR([1]!s_stm07_cs($A1563,"W77130581",TEXT($B$1,"yyyy/mm/dd"),1),"")</f>
        <v>3142633749</v>
      </c>
      <c r="L1563">
        <f>IFERROR([1]!s_stm07_cs($A1563,"W77745895",TEXT($B$1,"yyyy/mm/dd"),1),"")</f>
        <v>253436810</v>
      </c>
      <c r="M1563">
        <f>IFERROR([1]!S_FA_EPS_basic2($A1563,$B$1,"Cur=CNY"),"")</f>
        <v>0.5</v>
      </c>
      <c r="N1563">
        <f>IFERROR([1]!s_fa_arturndays($A1563,TEXT($B$1,"yyyy/mm/dd")),"")</f>
        <v>36.007199999999997</v>
      </c>
      <c r="O1563" t="str">
        <f>IFERROR([1]!fa_apturndays($A1563,TEXT($B$1,"yyyy/mm/dd")),"")</f>
        <v>Fetch...</v>
      </c>
      <c r="P1563">
        <f>IFERROR([1]!s_fa_invturndays($A1563,TEXT($B$1,"yyyy/mm/dd")),"")</f>
        <v>86.395200000000003</v>
      </c>
    </row>
    <row r="1564" spans="1:16">
      <c r="A1564" t="s">
        <v>1577</v>
      </c>
      <c r="B1564">
        <f>IFERROR([1]!s_stm07_is($A1564,"W70156729",TEXT($B$1,"yyyy/mm/dd"),1),"")</f>
        <v>22499438223.610001</v>
      </c>
      <c r="C1564">
        <f>IFERROR([1]!s_stm07_is($A1564,"W75682424",TEXT($B$1,"yyyy/mm/dd"),1),"")</f>
        <v>19698781173.400002</v>
      </c>
      <c r="D1564">
        <f>IFERROR([1]!s_stm07_is($A1564,"W76031679",TEXT($B$1,"yyyy/mm/dd"),1),"")</f>
        <v>937713512.57000005</v>
      </c>
      <c r="E1564">
        <f>IFERROR([1]!s_stm07_is($A1564,"W70752487",TEXT($B$1,"yyyy/mm/dd"),1),"")</f>
        <v>494409433.13999999</v>
      </c>
      <c r="F1564">
        <f>IFERROR([1]!s_stm07_is_103($A1564,TEXT($B$1,"yyyy/mm/dd"),1),"")</f>
        <v>95331524.569999993</v>
      </c>
      <c r="G1564">
        <f>IFERROR([1]!s_stm07_is_104($A1564,TEXT($B$1,"yyyy/mm/dd"),1),"")</f>
        <v>1075009897.95</v>
      </c>
      <c r="H1564">
        <f>IFERROR([1]!s_stm07_is_105($A1564,TEXT($B$1,"yyyy/mm/dd"),1),"")</f>
        <v>41560646.700000003</v>
      </c>
      <c r="I1564">
        <f>IFERROR([1]!s_stm07_is($A1564,"W72946623",TEXT($B$1,"yyyy/mm/dd"),1),"")</f>
        <v>1386920348.1900001</v>
      </c>
      <c r="J1564">
        <f>IFERROR([1]!s_stm07_is($A1564,"W30028333",TEXT($B$1,"yyyy/mm/dd"),1),"")</f>
        <v>1039638382.35</v>
      </c>
      <c r="K1564">
        <f>IFERROR([1]!s_stm07_cs($A1564,"W77130581",TEXT($B$1,"yyyy/mm/dd"),1),"")</f>
        <v>7269559364.1000004</v>
      </c>
      <c r="L1564">
        <f>IFERROR([1]!s_stm07_cs($A1564,"W77745895",TEXT($B$1,"yyyy/mm/dd"),1),"")</f>
        <v>625618171.24000001</v>
      </c>
      <c r="M1564">
        <f>IFERROR([1]!S_FA_EPS_basic2($A1564,$B$1,"Cur=CNY"),"")</f>
        <v>0.48</v>
      </c>
      <c r="N1564">
        <f>IFERROR([1]!s_fa_arturndays($A1564,TEXT($B$1,"yyyy/mm/dd")),"")</f>
        <v>7.9427000000000003</v>
      </c>
      <c r="O1564" t="str">
        <f>IFERROR([1]!fa_apturndays($A1564,TEXT($B$1,"yyyy/mm/dd")),"")</f>
        <v>Fetch...</v>
      </c>
      <c r="P1564">
        <f>IFERROR([1]!s_fa_invturndays($A1564,TEXT($B$1,"yyyy/mm/dd")),"")</f>
        <v>5.9863</v>
      </c>
    </row>
    <row r="1565" spans="1:16">
      <c r="A1565" t="s">
        <v>1578</v>
      </c>
      <c r="B1565">
        <f>IFERROR([1]!s_stm07_is($A1565,"W70156729",TEXT($B$1,"yyyy/mm/dd"),1),"")</f>
        <v>3858252390.4400001</v>
      </c>
      <c r="C1565">
        <f>IFERROR([1]!s_stm07_is($A1565,"W75682424",TEXT($B$1,"yyyy/mm/dd"),1),"")</f>
        <v>3202042757.7800002</v>
      </c>
      <c r="D1565">
        <f>IFERROR([1]!s_stm07_is($A1565,"W76031679",TEXT($B$1,"yyyy/mm/dd"),1),"")</f>
        <v>72745595.019999996</v>
      </c>
      <c r="E1565">
        <f>IFERROR([1]!s_stm07_is($A1565,"W70752487",TEXT($B$1,"yyyy/mm/dd"),1),"")</f>
        <v>215066851.78</v>
      </c>
      <c r="F1565">
        <f>IFERROR([1]!s_stm07_is_103($A1565,TEXT($B$1,"yyyy/mm/dd"),1),"")</f>
        <v>95796579.469999999</v>
      </c>
      <c r="G1565">
        <f>IFERROR([1]!s_stm07_is_104($A1565,TEXT($B$1,"yyyy/mm/dd"),1),"")</f>
        <v>126508677.45999999</v>
      </c>
      <c r="H1565">
        <f>IFERROR([1]!s_stm07_is_105($A1565,TEXT($B$1,"yyyy/mm/dd"),1),"")</f>
        <v>8904460.25</v>
      </c>
      <c r="I1565">
        <f>IFERROR([1]!s_stm07_is($A1565,"W72946623",TEXT($B$1,"yyyy/mm/dd"),1),"")</f>
        <v>-49546102.439999998</v>
      </c>
      <c r="J1565">
        <f>IFERROR([1]!s_stm07_is($A1565,"W30028333",TEXT($B$1,"yyyy/mm/dd"),1),"")</f>
        <v>-67065009.729999997</v>
      </c>
      <c r="K1565">
        <f>IFERROR([1]!s_stm07_cs($A1565,"W77130581",TEXT($B$1,"yyyy/mm/dd"),1),"")</f>
        <v>376262153.27999997</v>
      </c>
      <c r="L1565">
        <f>IFERROR([1]!s_stm07_cs($A1565,"W77745895",TEXT($B$1,"yyyy/mm/dd"),1),"")</f>
        <v>1101615709.04</v>
      </c>
      <c r="M1565">
        <f>IFERROR([1]!S_FA_EPS_basic2($A1565,$B$1,"Cur=CNY"),"")</f>
        <v>-0.1114</v>
      </c>
      <c r="N1565">
        <f>IFERROR([1]!s_fa_arturndays($A1565,TEXT($B$1,"yyyy/mm/dd")),"")</f>
        <v>153.78039999999999</v>
      </c>
      <c r="O1565" t="str">
        <f>IFERROR([1]!fa_apturndays($A1565,TEXT($B$1,"yyyy/mm/dd")),"")</f>
        <v>Fetch...</v>
      </c>
      <c r="P1565">
        <f>IFERROR([1]!s_fa_invturndays($A1565,TEXT($B$1,"yyyy/mm/dd")),"")</f>
        <v>189.1849</v>
      </c>
    </row>
    <row r="1566" spans="1:16">
      <c r="A1566" t="s">
        <v>1579</v>
      </c>
      <c r="B1566">
        <f>IFERROR([1]!s_stm07_is($A1566,"W70156729",TEXT($B$1,"yyyy/mm/dd"),1),"")</f>
        <v>2232230410.71</v>
      </c>
      <c r="C1566">
        <f>IFERROR([1]!s_stm07_is($A1566,"W75682424",TEXT($B$1,"yyyy/mm/dd"),1),"")</f>
        <v>1372386678.1199999</v>
      </c>
      <c r="D1566">
        <f>IFERROR([1]!s_stm07_is($A1566,"W76031679",TEXT($B$1,"yyyy/mm/dd"),1),"")</f>
        <v>287447289.33999997</v>
      </c>
      <c r="E1566">
        <f>IFERROR([1]!s_stm07_is($A1566,"W70752487",TEXT($B$1,"yyyy/mm/dd"),1),"")</f>
        <v>276540972.62</v>
      </c>
      <c r="F1566">
        <f>IFERROR([1]!s_stm07_is_103($A1566,TEXT($B$1,"yyyy/mm/dd"),1),"")</f>
        <v>88212931.420000002</v>
      </c>
      <c r="G1566">
        <f>IFERROR([1]!s_stm07_is_104($A1566,TEXT($B$1,"yyyy/mm/dd"),1),"")</f>
        <v>1356266.99</v>
      </c>
      <c r="H1566">
        <f>IFERROR([1]!s_stm07_is_105($A1566,TEXT($B$1,"yyyy/mm/dd"),1),"")</f>
        <v>33051767.989999998</v>
      </c>
      <c r="I1566">
        <f>IFERROR([1]!s_stm07_is($A1566,"W72946623",TEXT($B$1,"yyyy/mm/dd"),1),"")</f>
        <v>334313438.89999998</v>
      </c>
      <c r="J1566">
        <f>IFERROR([1]!s_stm07_is($A1566,"W30028333",TEXT($B$1,"yyyy/mm/dd"),1),"")</f>
        <v>329221880.72000003</v>
      </c>
      <c r="K1566">
        <f>IFERROR([1]!s_stm07_cs($A1566,"W77130581",TEXT($B$1,"yyyy/mm/dd"),1),"")</f>
        <v>565042327.45000005</v>
      </c>
      <c r="L1566">
        <f>IFERROR([1]!s_stm07_cs($A1566,"W77745895",TEXT($B$1,"yyyy/mm/dd"),1),"")</f>
        <v>58262074.090000004</v>
      </c>
      <c r="M1566">
        <f>IFERROR([1]!S_FA_EPS_basic2($A1566,$B$1,"Cur=CNY"),"")</f>
        <v>0.4879</v>
      </c>
      <c r="N1566">
        <f>IFERROR([1]!s_fa_arturndays($A1566,TEXT($B$1,"yyyy/mm/dd")),"")</f>
        <v>64.132300000000001</v>
      </c>
      <c r="O1566" t="str">
        <f>IFERROR([1]!fa_apturndays($A1566,TEXT($B$1,"yyyy/mm/dd")),"")</f>
        <v>Fetch...</v>
      </c>
      <c r="P1566">
        <f>IFERROR([1]!s_fa_invturndays($A1566,TEXT($B$1,"yyyy/mm/dd")),"")</f>
        <v>4.9978999999999996</v>
      </c>
    </row>
    <row r="1567" spans="1:16">
      <c r="A1567" t="s">
        <v>1580</v>
      </c>
      <c r="B1567">
        <f>IFERROR([1]!s_stm07_is($A1567,"W70156729",TEXT($B$1,"yyyy/mm/dd"),1),"")</f>
        <v>4402090888.2399998</v>
      </c>
      <c r="C1567">
        <f>IFERROR([1]!s_stm07_is($A1567,"W75682424",TEXT($B$1,"yyyy/mm/dd"),1),"")</f>
        <v>2555435048.4400001</v>
      </c>
      <c r="D1567">
        <f>IFERROR([1]!s_stm07_is($A1567,"W76031679",TEXT($B$1,"yyyy/mm/dd"),1),"")</f>
        <v>82251577.370000005</v>
      </c>
      <c r="E1567">
        <f>IFERROR([1]!s_stm07_is($A1567,"W70752487",TEXT($B$1,"yyyy/mm/dd"),1),"")</f>
        <v>112381970.54000001</v>
      </c>
      <c r="F1567">
        <f>IFERROR([1]!s_stm07_is_103($A1567,TEXT($B$1,"yyyy/mm/dd"),1),"")</f>
        <v>683863316.40999997</v>
      </c>
      <c r="G1567">
        <f>IFERROR([1]!s_stm07_is_104($A1567,TEXT($B$1,"yyyy/mm/dd"),1),"")</f>
        <v>2718070.58</v>
      </c>
      <c r="H1567">
        <f>IFERROR([1]!s_stm07_is_105($A1567,TEXT($B$1,"yyyy/mm/dd"),1),"")</f>
        <v>55466745.100000001</v>
      </c>
      <c r="I1567">
        <f>IFERROR([1]!s_stm07_is($A1567,"W72946623",TEXT($B$1,"yyyy/mm/dd"),1),"")</f>
        <v>1117773300.01</v>
      </c>
      <c r="J1567">
        <f>IFERROR([1]!s_stm07_is($A1567,"W30028333",TEXT($B$1,"yyyy/mm/dd"),1),"")</f>
        <v>1039952125</v>
      </c>
      <c r="K1567">
        <f>IFERROR([1]!s_stm07_cs($A1567,"W77130581",TEXT($B$1,"yyyy/mm/dd"),1),"")</f>
        <v>1068773781.48</v>
      </c>
      <c r="L1567">
        <f>IFERROR([1]!s_stm07_cs($A1567,"W77745895",TEXT($B$1,"yyyy/mm/dd"),1),"")</f>
        <v>232953395.11000001</v>
      </c>
      <c r="M1567">
        <f>IFERROR([1]!S_FA_EPS_basic2($A1567,$B$1,"Cur=CNY"),"")</f>
        <v>2.48</v>
      </c>
      <c r="N1567">
        <f>IFERROR([1]!s_fa_arturndays($A1567,TEXT($B$1,"yyyy/mm/dd")),"")</f>
        <v>30.849399999999999</v>
      </c>
      <c r="O1567" t="str">
        <f>IFERROR([1]!fa_apturndays($A1567,TEXT($B$1,"yyyy/mm/dd")),"")</f>
        <v>Fetch...</v>
      </c>
      <c r="P1567">
        <f>IFERROR([1]!s_fa_invturndays($A1567,TEXT($B$1,"yyyy/mm/dd")),"")</f>
        <v>143.50059999999999</v>
      </c>
    </row>
    <row r="1568" spans="1:16">
      <c r="A1568" t="s">
        <v>1581</v>
      </c>
      <c r="B1568">
        <f>IFERROR([1]!s_stm07_is($A1568,"W70156729",TEXT($B$1,"yyyy/mm/dd"),1),"")</f>
        <v>25063909836.470001</v>
      </c>
      <c r="C1568">
        <f>IFERROR([1]!s_stm07_is($A1568,"W75682424",TEXT($B$1,"yyyy/mm/dd"),1),"")</f>
        <v>20462813963.299999</v>
      </c>
      <c r="D1568">
        <f>IFERROR([1]!s_stm07_is($A1568,"W76031679",TEXT($B$1,"yyyy/mm/dd"),1),"")</f>
        <v>1860144631.03</v>
      </c>
      <c r="E1568">
        <f>IFERROR([1]!s_stm07_is($A1568,"W70752487",TEXT($B$1,"yyyy/mm/dd"),1),"")</f>
        <v>966231850.63</v>
      </c>
      <c r="F1568">
        <f>IFERROR([1]!s_stm07_is_103($A1568,TEXT($B$1,"yyyy/mm/dd"),1),"")</f>
        <v>189639354.87</v>
      </c>
      <c r="G1568">
        <f>IFERROR([1]!s_stm07_is_104($A1568,TEXT($B$1,"yyyy/mm/dd"),1),"")</f>
        <v>27831891.859999999</v>
      </c>
      <c r="H1568">
        <f>IFERROR([1]!s_stm07_is_105($A1568,TEXT($B$1,"yyyy/mm/dd"),1),"")</f>
        <v>35152616.539999999</v>
      </c>
      <c r="I1568">
        <f>IFERROR([1]!s_stm07_is($A1568,"W72946623",TEXT($B$1,"yyyy/mm/dd"),1),"")</f>
        <v>1708704232.97</v>
      </c>
      <c r="J1568">
        <f>IFERROR([1]!s_stm07_is($A1568,"W30028333",TEXT($B$1,"yyyy/mm/dd"),1),"")</f>
        <v>1310448991.96</v>
      </c>
      <c r="K1568">
        <f>IFERROR([1]!s_stm07_cs($A1568,"W77130581",TEXT($B$1,"yyyy/mm/dd"),1),"")</f>
        <v>2282072468.6500001</v>
      </c>
      <c r="L1568">
        <f>IFERROR([1]!s_stm07_cs($A1568,"W77745895",TEXT($B$1,"yyyy/mm/dd"),1),"")</f>
        <v>366847884.06999999</v>
      </c>
      <c r="M1568">
        <f>IFERROR([1]!S_FA_EPS_basic2($A1568,$B$1,"Cur=CNY"),"")</f>
        <v>1.4306000000000001</v>
      </c>
      <c r="N1568">
        <f>IFERROR([1]!s_fa_arturndays($A1568,TEXT($B$1,"yyyy/mm/dd")),"")</f>
        <v>60.599899999999998</v>
      </c>
      <c r="O1568" t="str">
        <f>IFERROR([1]!fa_apturndays($A1568,TEXT($B$1,"yyyy/mm/dd")),"")</f>
        <v>Fetch...</v>
      </c>
      <c r="P1568">
        <f>IFERROR([1]!s_fa_invturndays($A1568,TEXT($B$1,"yyyy/mm/dd")),"")</f>
        <v>28.279699999999998</v>
      </c>
    </row>
    <row r="1569" spans="1:16">
      <c r="A1569" t="s">
        <v>1582</v>
      </c>
      <c r="B1569">
        <f>IFERROR([1]!s_stm07_is($A1569,"W70156729",TEXT($B$1,"yyyy/mm/dd"),1),"")</f>
        <v>2645841188.3499999</v>
      </c>
      <c r="C1569">
        <f>IFERROR([1]!s_stm07_is($A1569,"W75682424",TEXT($B$1,"yyyy/mm/dd"),1),"")</f>
        <v>2101515774.8</v>
      </c>
      <c r="D1569">
        <f>IFERROR([1]!s_stm07_is($A1569,"W76031679",TEXT($B$1,"yyyy/mm/dd"),1),"")</f>
        <v>63379344.409999996</v>
      </c>
      <c r="E1569">
        <f>IFERROR([1]!s_stm07_is($A1569,"W70752487",TEXT($B$1,"yyyy/mm/dd"),1),"")</f>
        <v>87795002.920000002</v>
      </c>
      <c r="F1569">
        <f>IFERROR([1]!s_stm07_is_103($A1569,TEXT($B$1,"yyyy/mm/dd"),1),"")</f>
        <v>123597271.06</v>
      </c>
      <c r="G1569">
        <f>IFERROR([1]!s_stm07_is_104($A1569,TEXT($B$1,"yyyy/mm/dd"),1),"")</f>
        <v>494275.44</v>
      </c>
      <c r="H1569">
        <f>IFERROR([1]!s_stm07_is_105($A1569,TEXT($B$1,"yyyy/mm/dd"),1),"")</f>
        <v>2973923.65</v>
      </c>
      <c r="I1569">
        <f>IFERROR([1]!s_stm07_is($A1569,"W72946623",TEXT($B$1,"yyyy/mm/dd"),1),"")</f>
        <v>272175047.72000003</v>
      </c>
      <c r="J1569">
        <f>IFERROR([1]!s_stm07_is($A1569,"W30028333",TEXT($B$1,"yyyy/mm/dd"),1),"")</f>
        <v>235032677.99000001</v>
      </c>
      <c r="K1569">
        <f>IFERROR([1]!s_stm07_cs($A1569,"W77130581",TEXT($B$1,"yyyy/mm/dd"),1),"")</f>
        <v>245808245.49000001</v>
      </c>
      <c r="L1569">
        <f>IFERROR([1]!s_stm07_cs($A1569,"W77745895",TEXT($B$1,"yyyy/mm/dd"),1),"")</f>
        <v>31156999.34</v>
      </c>
      <c r="M1569">
        <f>IFERROR([1]!S_FA_EPS_basic2($A1569,$B$1,"Cur=CNY"),"")</f>
        <v>0.36</v>
      </c>
      <c r="N1569">
        <f>IFERROR([1]!s_fa_arturndays($A1569,TEXT($B$1,"yyyy/mm/dd")),"")</f>
        <v>40.330300000000001</v>
      </c>
      <c r="O1569" t="str">
        <f>IFERROR([1]!fa_apturndays($A1569,TEXT($B$1,"yyyy/mm/dd")),"")</f>
        <v>Fetch...</v>
      </c>
      <c r="P1569">
        <f>IFERROR([1]!s_fa_invturndays($A1569,TEXT($B$1,"yyyy/mm/dd")),"")</f>
        <v>107.1716</v>
      </c>
    </row>
    <row r="1570" spans="1:16">
      <c r="A1570" t="s">
        <v>1583</v>
      </c>
      <c r="B1570">
        <f>IFERROR([1]!s_stm07_is($A1570,"W70156729",TEXT($B$1,"yyyy/mm/dd"),1),"")</f>
        <v>2918472595.7800002</v>
      </c>
      <c r="C1570">
        <f>IFERROR([1]!s_stm07_is($A1570,"W75682424",TEXT($B$1,"yyyy/mm/dd"),1),"")</f>
        <v>1074912757.4200001</v>
      </c>
      <c r="D1570">
        <f>IFERROR([1]!s_stm07_is($A1570,"W76031679",TEXT($B$1,"yyyy/mm/dd"),1),"")</f>
        <v>630319790.74000001</v>
      </c>
      <c r="E1570">
        <f>IFERROR([1]!s_stm07_is($A1570,"W70752487",TEXT($B$1,"yyyy/mm/dd"),1),"")</f>
        <v>310675048.56</v>
      </c>
      <c r="F1570">
        <f>IFERROR([1]!s_stm07_is_103($A1570,TEXT($B$1,"yyyy/mm/dd"),1),"")</f>
        <v>39575808.530000001</v>
      </c>
      <c r="G1570">
        <f>IFERROR([1]!s_stm07_is_104($A1570,TEXT($B$1,"yyyy/mm/dd"),1),"")</f>
        <v>3585528.59</v>
      </c>
      <c r="H1570">
        <f>IFERROR([1]!s_stm07_is_105($A1570,TEXT($B$1,"yyyy/mm/dd"),1),"")</f>
        <v>13505792.359999999</v>
      </c>
      <c r="I1570">
        <f>IFERROR([1]!s_stm07_is($A1570,"W72946623",TEXT($B$1,"yyyy/mm/dd"),1),"")</f>
        <v>456562582.31999999</v>
      </c>
      <c r="J1570">
        <f>IFERROR([1]!s_stm07_is($A1570,"W30028333",TEXT($B$1,"yyyy/mm/dd"),1),"")</f>
        <v>354386738.61000001</v>
      </c>
      <c r="K1570">
        <f>IFERROR([1]!s_stm07_cs($A1570,"W77130581",TEXT($B$1,"yyyy/mm/dd"),1),"")</f>
        <v>480139995.41000003</v>
      </c>
      <c r="L1570">
        <f>IFERROR([1]!s_stm07_cs($A1570,"W77745895",TEXT($B$1,"yyyy/mm/dd"),1),"")</f>
        <v>394779170.19</v>
      </c>
      <c r="M1570">
        <f>IFERROR([1]!S_FA_EPS_basic2($A1570,$B$1,"Cur=CNY"),"")</f>
        <v>0.7</v>
      </c>
      <c r="N1570">
        <f>IFERROR([1]!s_fa_arturndays($A1570,TEXT($B$1,"yyyy/mm/dd")),"")</f>
        <v>1.4119999999999999</v>
      </c>
      <c r="O1570" t="str">
        <f>IFERROR([1]!fa_apturndays($A1570,TEXT($B$1,"yyyy/mm/dd")),"")</f>
        <v>Fetch...</v>
      </c>
      <c r="P1570">
        <f>IFERROR([1]!s_fa_invturndays($A1570,TEXT($B$1,"yyyy/mm/dd")),"")</f>
        <v>618.23800000000006</v>
      </c>
    </row>
    <row r="1571" spans="1:16">
      <c r="A1571" t="s">
        <v>1584</v>
      </c>
      <c r="B1571">
        <f>IFERROR([1]!s_stm07_is($A1571,"W70156729",TEXT($B$1,"yyyy/mm/dd"),1),"")</f>
        <v>5576888511.3800001</v>
      </c>
      <c r="C1571">
        <f>IFERROR([1]!s_stm07_is($A1571,"W75682424",TEXT($B$1,"yyyy/mm/dd"),1),"")</f>
        <v>4398047432.9200001</v>
      </c>
      <c r="D1571">
        <f>IFERROR([1]!s_stm07_is($A1571,"W76031679",TEXT($B$1,"yyyy/mm/dd"),1),"")</f>
        <v>64691152.380000003</v>
      </c>
      <c r="E1571">
        <f>IFERROR([1]!s_stm07_is($A1571,"W70752487",TEXT($B$1,"yyyy/mm/dd"),1),"")</f>
        <v>182654214.09</v>
      </c>
      <c r="F1571">
        <f>IFERROR([1]!s_stm07_is_103($A1571,TEXT($B$1,"yyyy/mm/dd"),1),"")</f>
        <v>231376908.78999999</v>
      </c>
      <c r="G1571">
        <f>IFERROR([1]!s_stm07_is_104($A1571,TEXT($B$1,"yyyy/mm/dd"),1),"")</f>
        <v>6211700.1500000004</v>
      </c>
      <c r="H1571">
        <f>IFERROR([1]!s_stm07_is_105($A1571,TEXT($B$1,"yyyy/mm/dd"),1),"")</f>
        <v>35329019.210000001</v>
      </c>
      <c r="I1571">
        <f>IFERROR([1]!s_stm07_is($A1571,"W72946623",TEXT($B$1,"yyyy/mm/dd"),1),"")</f>
        <v>754368698.22000003</v>
      </c>
      <c r="J1571">
        <f>IFERROR([1]!s_stm07_is($A1571,"W30028333",TEXT($B$1,"yyyy/mm/dd"),1),"")</f>
        <v>683957590.47000003</v>
      </c>
      <c r="K1571">
        <f>IFERROR([1]!s_stm07_cs($A1571,"W77130581",TEXT($B$1,"yyyy/mm/dd"),1),"")</f>
        <v>920717065.61000001</v>
      </c>
      <c r="L1571">
        <f>IFERROR([1]!s_stm07_cs($A1571,"W77745895",TEXT($B$1,"yyyy/mm/dd"),1),"")</f>
        <v>735811646.92999995</v>
      </c>
      <c r="M1571">
        <f>IFERROR([1]!S_FA_EPS_basic2($A1571,$B$1,"Cur=CNY"),"")</f>
        <v>0.95</v>
      </c>
      <c r="N1571">
        <f>IFERROR([1]!s_fa_arturndays($A1571,TEXT($B$1,"yyyy/mm/dd")),"")</f>
        <v>93.3416</v>
      </c>
      <c r="O1571" t="str">
        <f>IFERROR([1]!fa_apturndays($A1571,TEXT($B$1,"yyyy/mm/dd")),"")</f>
        <v>Fetch...</v>
      </c>
      <c r="P1571">
        <f>IFERROR([1]!s_fa_invturndays($A1571,TEXT($B$1,"yyyy/mm/dd")),"")</f>
        <v>51.853000000000002</v>
      </c>
    </row>
    <row r="1572" spans="1:16">
      <c r="A1572" t="s">
        <v>1585</v>
      </c>
      <c r="B1572">
        <f>IFERROR([1]!s_stm07_is($A1572,"W70156729",TEXT($B$1,"yyyy/mm/dd"),1),"")</f>
        <v>6028200653.0200005</v>
      </c>
      <c r="C1572">
        <f>IFERROR([1]!s_stm07_is($A1572,"W75682424",TEXT($B$1,"yyyy/mm/dd"),1),"")</f>
        <v>4538428230.7299995</v>
      </c>
      <c r="D1572">
        <f>IFERROR([1]!s_stm07_is($A1572,"W76031679",TEXT($B$1,"yyyy/mm/dd"),1),"")</f>
        <v>295202082.45999998</v>
      </c>
      <c r="E1572">
        <f>IFERROR([1]!s_stm07_is($A1572,"W70752487",TEXT($B$1,"yyyy/mm/dd"),1),"")</f>
        <v>84839526.239999995</v>
      </c>
      <c r="F1572">
        <f>IFERROR([1]!s_stm07_is_103($A1572,TEXT($B$1,"yyyy/mm/dd"),1),"")</f>
        <v>817599093.51999998</v>
      </c>
      <c r="G1572">
        <f>IFERROR([1]!s_stm07_is_104($A1572,TEXT($B$1,"yyyy/mm/dd"),1),"")</f>
        <v>1972304.07</v>
      </c>
      <c r="H1572">
        <f>IFERROR([1]!s_stm07_is_105($A1572,TEXT($B$1,"yyyy/mm/dd"),1),"")</f>
        <v>33882617.520000003</v>
      </c>
      <c r="I1572">
        <f>IFERROR([1]!s_stm07_is($A1572,"W72946623",TEXT($B$1,"yyyy/mm/dd"),1),"")</f>
        <v>226241529.31999999</v>
      </c>
      <c r="J1572">
        <f>IFERROR([1]!s_stm07_is($A1572,"W30028333",TEXT($B$1,"yyyy/mm/dd"),1),"")</f>
        <v>223944681.56</v>
      </c>
      <c r="K1572">
        <f>IFERROR([1]!s_stm07_cs($A1572,"W77130581",TEXT($B$1,"yyyy/mm/dd"),1),"")</f>
        <v>154288206.38999999</v>
      </c>
      <c r="L1572">
        <f>IFERROR([1]!s_stm07_cs($A1572,"W77745895",TEXT($B$1,"yyyy/mm/dd"),1),"")</f>
        <v>19967481.59</v>
      </c>
      <c r="M1572">
        <f>IFERROR([1]!S_FA_EPS_basic2($A1572,$B$1,"Cur=CNY"),"")</f>
        <v>0.26950000000000002</v>
      </c>
      <c r="N1572">
        <f>IFERROR([1]!s_fa_arturndays($A1572,TEXT($B$1,"yyyy/mm/dd")),"")</f>
        <v>51.931600000000003</v>
      </c>
      <c r="O1572" t="str">
        <f>IFERROR([1]!fa_apturndays($A1572,TEXT($B$1,"yyyy/mm/dd")),"")</f>
        <v>Fetch...</v>
      </c>
      <c r="P1572">
        <f>IFERROR([1]!s_fa_invturndays($A1572,TEXT($B$1,"yyyy/mm/dd")),"")</f>
        <v>149.4272</v>
      </c>
    </row>
    <row r="1573" spans="1:16">
      <c r="A1573" t="s">
        <v>1586</v>
      </c>
      <c r="B1573">
        <f>IFERROR([1]!s_stm07_is($A1573,"W70156729",TEXT($B$1,"yyyy/mm/dd"),1),"")</f>
        <v>24433165197.5</v>
      </c>
      <c r="C1573">
        <f>IFERROR([1]!s_stm07_is($A1573,"W75682424",TEXT($B$1,"yyyy/mm/dd"),1),"")</f>
        <v>14817330076.73</v>
      </c>
      <c r="D1573">
        <f>IFERROR([1]!s_stm07_is($A1573,"W76031679",TEXT($B$1,"yyyy/mm/dd"),1),"")</f>
        <v>5854321676.3100004</v>
      </c>
      <c r="E1573">
        <f>IFERROR([1]!s_stm07_is($A1573,"W70752487",TEXT($B$1,"yyyy/mm/dd"),1),"")</f>
        <v>1186590030.1199999</v>
      </c>
      <c r="F1573">
        <f>IFERROR([1]!s_stm07_is_103($A1573,TEXT($B$1,"yyyy/mm/dd"),1),"")</f>
        <v>27916037</v>
      </c>
      <c r="G1573">
        <f>IFERROR([1]!s_stm07_is_104($A1573,TEXT($B$1,"yyyy/mm/dd"),1),"")</f>
        <v>166753646.09</v>
      </c>
      <c r="H1573">
        <f>IFERROR([1]!s_stm07_is_105($A1573,TEXT($B$1,"yyyy/mm/dd"),1),"")</f>
        <v>47517011.030000001</v>
      </c>
      <c r="I1573">
        <f>IFERROR([1]!s_stm07_is($A1573,"W72946623",TEXT($B$1,"yyyy/mm/dd"),1),"")</f>
        <v>2456394852.4099998</v>
      </c>
      <c r="J1573">
        <f>IFERROR([1]!s_stm07_is($A1573,"W30028333",TEXT($B$1,"yyyy/mm/dd"),1),"")</f>
        <v>1678481865.01</v>
      </c>
      <c r="K1573">
        <f>IFERROR([1]!s_stm07_cs($A1573,"W77130581",TEXT($B$1,"yyyy/mm/dd"),1),"")</f>
        <v>3358448014.4099998</v>
      </c>
      <c r="L1573">
        <f>IFERROR([1]!s_stm07_cs($A1573,"W77745895",TEXT($B$1,"yyyy/mm/dd"),1),"")</f>
        <v>322916673.80000001</v>
      </c>
      <c r="M1573">
        <f>IFERROR([1]!S_FA_EPS_basic2($A1573,$B$1,"Cur=CNY"),"")</f>
        <v>1.38</v>
      </c>
      <c r="N1573">
        <f>IFERROR([1]!s_fa_arturndays($A1573,TEXT($B$1,"yyyy/mm/dd")),"")</f>
        <v>30.0943</v>
      </c>
      <c r="O1573" t="str">
        <f>IFERROR([1]!fa_apturndays($A1573,TEXT($B$1,"yyyy/mm/dd")),"")</f>
        <v>Fetch...</v>
      </c>
      <c r="P1573">
        <f>IFERROR([1]!s_fa_invturndays($A1573,TEXT($B$1,"yyyy/mm/dd")),"")</f>
        <v>111.3379</v>
      </c>
    </row>
    <row r="1574" spans="1:16">
      <c r="A1574" t="s">
        <v>1587</v>
      </c>
      <c r="B1574">
        <f>IFERROR([1]!s_stm07_is($A1574,"W70156729",TEXT($B$1,"yyyy/mm/dd"),1),"")</f>
        <v>13893968306.98</v>
      </c>
      <c r="C1574">
        <f>IFERROR([1]!s_stm07_is($A1574,"W75682424",TEXT($B$1,"yyyy/mm/dd"),1),"")</f>
        <v>9195347943.3400002</v>
      </c>
      <c r="D1574">
        <f>IFERROR([1]!s_stm07_is($A1574,"W76031679",TEXT($B$1,"yyyy/mm/dd"),1),"")</f>
        <v>29595468.190000001</v>
      </c>
      <c r="E1574">
        <f>IFERROR([1]!s_stm07_is($A1574,"W70752487",TEXT($B$1,"yyyy/mm/dd"),1),"")</f>
        <v>526966507.02999997</v>
      </c>
      <c r="F1574">
        <f>IFERROR([1]!s_stm07_is_103($A1574,TEXT($B$1,"yyyy/mm/dd"),1),"")</f>
        <v>142474784.47999999</v>
      </c>
      <c r="G1574">
        <f>IFERROR([1]!s_stm07_is_104($A1574,TEXT($B$1,"yyyy/mm/dd"),1),"")</f>
        <v>267807782.15000001</v>
      </c>
      <c r="H1574">
        <f>IFERROR([1]!s_stm07_is_105($A1574,TEXT($B$1,"yyyy/mm/dd"),1),"")</f>
        <v>67506964.200000003</v>
      </c>
      <c r="I1574">
        <f>IFERROR([1]!s_stm07_is($A1574,"W72946623",TEXT($B$1,"yyyy/mm/dd"),1),"")</f>
        <v>3211651452.9400001</v>
      </c>
      <c r="J1574">
        <f>IFERROR([1]!s_stm07_is($A1574,"W30028333",TEXT($B$1,"yyyy/mm/dd"),1),"")</f>
        <v>2338703276.6399999</v>
      </c>
      <c r="K1574">
        <f>IFERROR([1]!s_stm07_cs($A1574,"W77130581",TEXT($B$1,"yyyy/mm/dd"),1),"")</f>
        <v>4377465066.6199999</v>
      </c>
      <c r="L1574">
        <f>IFERROR([1]!s_stm07_cs($A1574,"W77745895",TEXT($B$1,"yyyy/mm/dd"),1),"")</f>
        <v>1428724723.45</v>
      </c>
      <c r="M1574">
        <f>IFERROR([1]!S_FA_EPS_basic2($A1574,$B$1,"Cur=CNY"),"")</f>
        <v>3.75</v>
      </c>
      <c r="N1574">
        <f>IFERROR([1]!s_fa_arturndays($A1574,TEXT($B$1,"yyyy/mm/dd")),"")</f>
        <v>60.990099999999998</v>
      </c>
      <c r="O1574" t="str">
        <f>IFERROR([1]!fa_apturndays($A1574,TEXT($B$1,"yyyy/mm/dd")),"")</f>
        <v>Fetch...</v>
      </c>
      <c r="P1574">
        <f>IFERROR([1]!s_fa_invturndays($A1574,TEXT($B$1,"yyyy/mm/dd")),"")</f>
        <v>87.088999999999999</v>
      </c>
    </row>
    <row r="1575" spans="1:16">
      <c r="A1575" t="s">
        <v>1588</v>
      </c>
      <c r="B1575">
        <f>IFERROR([1]!s_stm07_is($A1575,"W70156729",TEXT($B$1,"yyyy/mm/dd"),1),"")</f>
        <v>3459318084</v>
      </c>
      <c r="C1575">
        <f>IFERROR([1]!s_stm07_is($A1575,"W75682424",TEXT($B$1,"yyyy/mm/dd"),1),"")</f>
        <v>889519268.26999998</v>
      </c>
      <c r="D1575">
        <f>IFERROR([1]!s_stm07_is($A1575,"W76031679",TEXT($B$1,"yyyy/mm/dd"),1),"")</f>
        <v>2056503826.51</v>
      </c>
      <c r="E1575">
        <f>IFERROR([1]!s_stm07_is($A1575,"W70752487",TEXT($B$1,"yyyy/mm/dd"),1),"")</f>
        <v>160992386.16999999</v>
      </c>
      <c r="F1575">
        <f>IFERROR([1]!s_stm07_is_103($A1575,TEXT($B$1,"yyyy/mm/dd"),1),"")</f>
        <v>85371565.840000004</v>
      </c>
      <c r="G1575">
        <f>IFERROR([1]!s_stm07_is_104($A1575,TEXT($B$1,"yyyy/mm/dd"),1),"")</f>
        <v>3282855.41</v>
      </c>
      <c r="H1575">
        <f>IFERROR([1]!s_stm07_is_105($A1575,TEXT($B$1,"yyyy/mm/dd"),1),"")</f>
        <v>21696773.739999998</v>
      </c>
      <c r="I1575">
        <f>IFERROR([1]!s_stm07_is($A1575,"W72946623",TEXT($B$1,"yyyy/mm/dd"),1),"")</f>
        <v>295731444.57999998</v>
      </c>
      <c r="J1575">
        <f>IFERROR([1]!s_stm07_is($A1575,"W30028333",TEXT($B$1,"yyyy/mm/dd"),1),"")</f>
        <v>247239140.99000001</v>
      </c>
      <c r="K1575">
        <f>IFERROR([1]!s_stm07_cs($A1575,"W77130581",TEXT($B$1,"yyyy/mm/dd"),1),"")</f>
        <v>273876402.31999999</v>
      </c>
      <c r="L1575">
        <f>IFERROR([1]!s_stm07_cs($A1575,"W77745895",TEXT($B$1,"yyyy/mm/dd"),1),"")</f>
        <v>205247767.19999999</v>
      </c>
      <c r="M1575">
        <f>IFERROR([1]!S_FA_EPS_basic2($A1575,$B$1,"Cur=CNY"),"")</f>
        <v>0.62</v>
      </c>
      <c r="N1575">
        <f>IFERROR([1]!s_fa_arturndays($A1575,TEXT($B$1,"yyyy/mm/dd")),"")</f>
        <v>4.2533000000000003</v>
      </c>
      <c r="O1575" t="str">
        <f>IFERROR([1]!fa_apturndays($A1575,TEXT($B$1,"yyyy/mm/dd")),"")</f>
        <v>Fetch...</v>
      </c>
      <c r="P1575">
        <f>IFERROR([1]!s_fa_invturndays($A1575,TEXT($B$1,"yyyy/mm/dd")),"")</f>
        <v>91.668400000000005</v>
      </c>
    </row>
    <row r="1576" spans="1:16">
      <c r="A1576" t="s">
        <v>1589</v>
      </c>
      <c r="B1576">
        <f>IFERROR([1]!s_stm07_is($A1576,"W70156729",TEXT($B$1,"yyyy/mm/dd"),1),"")</f>
        <v>9203463124.5799999</v>
      </c>
      <c r="C1576">
        <f>IFERROR([1]!s_stm07_is($A1576,"W75682424",TEXT($B$1,"yyyy/mm/dd"),1),"")</f>
        <v>5502180091.9200001</v>
      </c>
      <c r="D1576">
        <f>IFERROR([1]!s_stm07_is($A1576,"W76031679",TEXT($B$1,"yyyy/mm/dd"),1),"")</f>
        <v>446302399.88999999</v>
      </c>
      <c r="E1576">
        <f>IFERROR([1]!s_stm07_is($A1576,"W70752487",TEXT($B$1,"yyyy/mm/dd"),1),"")</f>
        <v>612440557.25</v>
      </c>
      <c r="F1576">
        <f>IFERROR([1]!s_stm07_is_103($A1576,TEXT($B$1,"yyyy/mm/dd"),1),"")</f>
        <v>1116991959.01</v>
      </c>
      <c r="G1576">
        <f>IFERROR([1]!s_stm07_is_104($A1576,TEXT($B$1,"yyyy/mm/dd"),1),"")</f>
        <v>22131505.870000001</v>
      </c>
      <c r="H1576">
        <f>IFERROR([1]!s_stm07_is_105($A1576,TEXT($B$1,"yyyy/mm/dd"),1),"")</f>
        <v>280530714.26999998</v>
      </c>
      <c r="I1576">
        <f>IFERROR([1]!s_stm07_is($A1576,"W72946623",TEXT($B$1,"yyyy/mm/dd"),1),"")</f>
        <v>1706356320.4000001</v>
      </c>
      <c r="J1576">
        <f>IFERROR([1]!s_stm07_is($A1576,"W30028333",TEXT($B$1,"yyyy/mm/dd"),1),"")</f>
        <v>1648022651.7</v>
      </c>
      <c r="K1576">
        <f>IFERROR([1]!s_stm07_cs($A1576,"W77130581",TEXT($B$1,"yyyy/mm/dd"),1),"")</f>
        <v>2128504212.49</v>
      </c>
      <c r="L1576">
        <f>IFERROR([1]!s_stm07_cs($A1576,"W77745895",TEXT($B$1,"yyyy/mm/dd"),1),"")</f>
        <v>1048563639.29</v>
      </c>
      <c r="M1576">
        <f>IFERROR([1]!S_FA_EPS_basic2($A1576,$B$1,"Cur=CNY"),"")</f>
        <v>2.48</v>
      </c>
      <c r="N1576">
        <f>IFERROR([1]!s_fa_arturndays($A1576,TEXT($B$1,"yyyy/mm/dd")),"")</f>
        <v>7.9138000000000002</v>
      </c>
      <c r="O1576" t="str">
        <f>IFERROR([1]!fa_apturndays($A1576,TEXT($B$1,"yyyy/mm/dd")),"")</f>
        <v>Fetch...</v>
      </c>
      <c r="P1576">
        <f>IFERROR([1]!s_fa_invturndays($A1576,TEXT($B$1,"yyyy/mm/dd")),"")</f>
        <v>177.0608</v>
      </c>
    </row>
    <row r="1577" spans="1:16">
      <c r="A1577" t="s">
        <v>1590</v>
      </c>
      <c r="B1577">
        <f>IFERROR([1]!s_stm07_is($A1577,"W70156729",TEXT($B$1,"yyyy/mm/dd"),1),"")</f>
        <v>206683649050.42999</v>
      </c>
      <c r="C1577">
        <f>IFERROR([1]!s_stm07_is($A1577,"W75682424",TEXT($B$1,"yyyy/mm/dd"),1),"")</f>
        <v>157229379805.35001</v>
      </c>
      <c r="D1577">
        <f>IFERROR([1]!s_stm07_is($A1577,"W76031679",TEXT($B$1,"yyyy/mm/dd"),1),"")</f>
        <v>104846109.61</v>
      </c>
      <c r="E1577">
        <f>IFERROR([1]!s_stm07_is($A1577,"W70752487",TEXT($B$1,"yyyy/mm/dd"),1),"")</f>
        <v>2806497917.0500002</v>
      </c>
      <c r="F1577">
        <f>IFERROR([1]!s_stm07_is_103($A1577,TEXT($B$1,"yyyy/mm/dd"),1),"")</f>
        <v>431679424.54000002</v>
      </c>
      <c r="G1577">
        <f>IFERROR([1]!s_stm07_is_104($A1577,TEXT($B$1,"yyyy/mm/dd"),1),"")</f>
        <v>2630714020.6399999</v>
      </c>
      <c r="H1577">
        <f>IFERROR([1]!s_stm07_is_105($A1577,TEXT($B$1,"yyyy/mm/dd"),1),"")</f>
        <v>1644470637.1400001</v>
      </c>
      <c r="I1577">
        <f>IFERROR([1]!s_stm07_is($A1577,"W72946623",TEXT($B$1,"yyyy/mm/dd"),1),"")</f>
        <v>35161390554.309998</v>
      </c>
      <c r="J1577">
        <f>IFERROR([1]!s_stm07_is($A1577,"W30028333",TEXT($B$1,"yyyy/mm/dd"),1),"")</f>
        <v>20338750797.529999</v>
      </c>
      <c r="K1577">
        <f>IFERROR([1]!s_stm07_cs($A1577,"W77130581",TEXT($B$1,"yyyy/mm/dd"),1),"")</f>
        <v>20843060708.779999</v>
      </c>
      <c r="L1577">
        <f>IFERROR([1]!s_stm07_cs($A1577,"W77745895",TEXT($B$1,"yyyy/mm/dd"),1),"")</f>
        <v>7583479880.5799999</v>
      </c>
      <c r="M1577">
        <f>IFERROR([1]!S_FA_EPS_basic2($A1577,$B$1,"Cur=CNY"),"")</f>
        <v>0.95</v>
      </c>
      <c r="N1577">
        <f>IFERROR([1]!s_fa_arturndays($A1577,TEXT($B$1,"yyyy/mm/dd")),"")</f>
        <v>1.6180000000000001</v>
      </c>
      <c r="O1577" t="str">
        <f>IFERROR([1]!fa_apturndays($A1577,TEXT($B$1,"yyyy/mm/dd")),"")</f>
        <v>Fetch...</v>
      </c>
      <c r="P1577">
        <f>IFERROR([1]!s_fa_invturndays($A1577,TEXT($B$1,"yyyy/mm/dd")),"")</f>
        <v>80.686700000000002</v>
      </c>
    </row>
    <row r="1578" spans="1:16">
      <c r="A1578" t="s">
        <v>1591</v>
      </c>
      <c r="B1578">
        <f>IFERROR([1]!s_stm07_is($A1578,"W70156729",TEXT($B$1,"yyyy/mm/dd"),1),"")</f>
        <v>22782659417.400002</v>
      </c>
      <c r="C1578">
        <f>IFERROR([1]!s_stm07_is($A1578,"W75682424",TEXT($B$1,"yyyy/mm/dd"),1),"")</f>
        <v>19117894266.369999</v>
      </c>
      <c r="D1578">
        <f>IFERROR([1]!s_stm07_is($A1578,"W76031679",TEXT($B$1,"yyyy/mm/dd"),1),"")</f>
        <v>316739366.88</v>
      </c>
      <c r="E1578">
        <f>IFERROR([1]!s_stm07_is($A1578,"W70752487",TEXT($B$1,"yyyy/mm/dd"),1),"")</f>
        <v>1703245893.9300001</v>
      </c>
      <c r="F1578">
        <f>IFERROR([1]!s_stm07_is_103($A1578,TEXT($B$1,"yyyy/mm/dd"),1),"")</f>
        <v>692327422.39999998</v>
      </c>
      <c r="G1578">
        <f>IFERROR([1]!s_stm07_is_104($A1578,TEXT($B$1,"yyyy/mm/dd"),1),"")</f>
        <v>388267203.07999998</v>
      </c>
      <c r="H1578">
        <f>IFERROR([1]!s_stm07_is_105($A1578,TEXT($B$1,"yyyy/mm/dd"),1),"")</f>
        <v>26383604.359999999</v>
      </c>
      <c r="I1578">
        <f>IFERROR([1]!s_stm07_is($A1578,"W72946623",TEXT($B$1,"yyyy/mm/dd"),1),"")</f>
        <v>545907606.10000002</v>
      </c>
      <c r="J1578">
        <f>IFERROR([1]!s_stm07_is($A1578,"W30028333",TEXT($B$1,"yyyy/mm/dd"),1),"")</f>
        <v>453589302.83999997</v>
      </c>
      <c r="K1578">
        <f>IFERROR([1]!s_stm07_cs($A1578,"W77130581",TEXT($B$1,"yyyy/mm/dd"),1),"")</f>
        <v>1750423795.8699999</v>
      </c>
      <c r="L1578">
        <f>IFERROR([1]!s_stm07_cs($A1578,"W77745895",TEXT($B$1,"yyyy/mm/dd"),1),"")</f>
        <v>1222181481.48</v>
      </c>
      <c r="M1578">
        <f>IFERROR([1]!S_FA_EPS_basic2($A1578,$B$1,"Cur=CNY"),"")</f>
        <v>0.36</v>
      </c>
      <c r="N1578">
        <f>IFERROR([1]!s_fa_arturndays($A1578,TEXT($B$1,"yyyy/mm/dd")),"")</f>
        <v>84.636200000000002</v>
      </c>
      <c r="O1578" t="str">
        <f>IFERROR([1]!fa_apturndays($A1578,TEXT($B$1,"yyyy/mm/dd")),"")</f>
        <v>Fetch...</v>
      </c>
      <c r="P1578">
        <f>IFERROR([1]!s_fa_invturndays($A1578,TEXT($B$1,"yyyy/mm/dd")),"")</f>
        <v>44.597000000000001</v>
      </c>
    </row>
    <row r="1579" spans="1:16">
      <c r="A1579" t="s">
        <v>1592</v>
      </c>
      <c r="B1579">
        <f>IFERROR([1]!s_stm07_is($A1579,"W70156729",TEXT($B$1,"yyyy/mm/dd"),1),"")</f>
        <v>3755921057.1700001</v>
      </c>
      <c r="C1579">
        <f>IFERROR([1]!s_stm07_is($A1579,"W75682424",TEXT($B$1,"yyyy/mm/dd"),1),"")</f>
        <v>2572603291.7399998</v>
      </c>
      <c r="D1579">
        <f>IFERROR([1]!s_stm07_is($A1579,"W76031679",TEXT($B$1,"yyyy/mm/dd"),1),"")</f>
        <v>650604208.45000005</v>
      </c>
      <c r="E1579">
        <f>IFERROR([1]!s_stm07_is($A1579,"W70752487",TEXT($B$1,"yyyy/mm/dd"),1),"")</f>
        <v>104136930.38</v>
      </c>
      <c r="F1579">
        <f>IFERROR([1]!s_stm07_is_103($A1579,TEXT($B$1,"yyyy/mm/dd"),1),"")</f>
        <v>139030267.77000001</v>
      </c>
      <c r="G1579">
        <f>IFERROR([1]!s_stm07_is_104($A1579,TEXT($B$1,"yyyy/mm/dd"),1),"")</f>
        <v>15211176.189999999</v>
      </c>
      <c r="H1579">
        <f>IFERROR([1]!s_stm07_is_105($A1579,TEXT($B$1,"yyyy/mm/dd"),1),"")</f>
        <v>11031873.529999999</v>
      </c>
      <c r="I1579">
        <f>IFERROR([1]!s_stm07_is($A1579,"W72946623",TEXT($B$1,"yyyy/mm/dd"),1),"")</f>
        <v>268956200.29000002</v>
      </c>
      <c r="J1579">
        <f>IFERROR([1]!s_stm07_is($A1579,"W30028333",TEXT($B$1,"yyyy/mm/dd"),1),"")</f>
        <v>231977587.21000001</v>
      </c>
      <c r="K1579">
        <f>IFERROR([1]!s_stm07_cs($A1579,"W77130581",TEXT($B$1,"yyyy/mm/dd"),1),"")</f>
        <v>237549096.11000001</v>
      </c>
      <c r="L1579">
        <f>IFERROR([1]!s_stm07_cs($A1579,"W77745895",TEXT($B$1,"yyyy/mm/dd"),1),"")</f>
        <v>562208282</v>
      </c>
      <c r="M1579">
        <f>IFERROR([1]!S_FA_EPS_basic2($A1579,$B$1,"Cur=CNY"),"")</f>
        <v>1.08</v>
      </c>
      <c r="N1579">
        <f>IFERROR([1]!s_fa_arturndays($A1579,TEXT($B$1,"yyyy/mm/dd")),"")</f>
        <v>26.935400000000001</v>
      </c>
      <c r="O1579" t="str">
        <f>IFERROR([1]!fa_apturndays($A1579,TEXT($B$1,"yyyy/mm/dd")),"")</f>
        <v>Fetch...</v>
      </c>
      <c r="P1579">
        <f>IFERROR([1]!s_fa_invturndays($A1579,TEXT($B$1,"yyyy/mm/dd")),"")</f>
        <v>53.696100000000001</v>
      </c>
    </row>
    <row r="1580" spans="1:16">
      <c r="A1580" t="s">
        <v>1593</v>
      </c>
      <c r="B1580">
        <f>IFERROR([1]!s_stm07_is($A1580,"W70156729",TEXT($B$1,"yyyy/mm/dd"),1),"")</f>
        <v>3169458611.2600002</v>
      </c>
      <c r="C1580">
        <f>IFERROR([1]!s_stm07_is($A1580,"W75682424",TEXT($B$1,"yyyy/mm/dd"),1),"")</f>
        <v>2808131005.6100001</v>
      </c>
      <c r="D1580">
        <f>IFERROR([1]!s_stm07_is($A1580,"W76031679",TEXT($B$1,"yyyy/mm/dd"),1),"")</f>
        <v>7643935.3499999996</v>
      </c>
      <c r="E1580">
        <f>IFERROR([1]!s_stm07_is($A1580,"W70752487",TEXT($B$1,"yyyy/mm/dd"),1),"")</f>
        <v>123098957.40000001</v>
      </c>
      <c r="F1580">
        <f>IFERROR([1]!s_stm07_is_103($A1580,TEXT($B$1,"yyyy/mm/dd"),1),"")</f>
        <v>29947035.52</v>
      </c>
      <c r="G1580">
        <f>IFERROR([1]!s_stm07_is_104($A1580,TEXT($B$1,"yyyy/mm/dd"),1),"")</f>
        <v>15674680.58</v>
      </c>
      <c r="H1580">
        <f>IFERROR([1]!s_stm07_is_105($A1580,TEXT($B$1,"yyyy/mm/dd"),1),"")</f>
        <v>5568264.8700000001</v>
      </c>
      <c r="I1580">
        <f>IFERROR([1]!s_stm07_is($A1580,"W72946623",TEXT($B$1,"yyyy/mm/dd"),1),"")</f>
        <v>282277894.06</v>
      </c>
      <c r="J1580">
        <f>IFERROR([1]!s_stm07_is($A1580,"W30028333",TEXT($B$1,"yyyy/mm/dd"),1),"")</f>
        <v>186479857.33000001</v>
      </c>
      <c r="K1580">
        <f>IFERROR([1]!s_stm07_cs($A1580,"W77130581",TEXT($B$1,"yyyy/mm/dd"),1),"")</f>
        <v>328079825.06</v>
      </c>
      <c r="L1580">
        <f>IFERROR([1]!s_stm07_cs($A1580,"W77745895",TEXT($B$1,"yyyy/mm/dd"),1),"")</f>
        <v>304693476.41000003</v>
      </c>
      <c r="M1580">
        <f>IFERROR([1]!S_FA_EPS_basic2($A1580,$B$1,"Cur=CNY"),"")</f>
        <v>0.47</v>
      </c>
      <c r="N1580">
        <f>IFERROR([1]!s_fa_arturndays($A1580,TEXT($B$1,"yyyy/mm/dd")),"")</f>
        <v>24.372199999999999</v>
      </c>
      <c r="O1580" t="str">
        <f>IFERROR([1]!fa_apturndays($A1580,TEXT($B$1,"yyyy/mm/dd")),"")</f>
        <v>Fetch...</v>
      </c>
      <c r="P1580">
        <f>IFERROR([1]!s_fa_invturndays($A1580,TEXT($B$1,"yyyy/mm/dd")),"")</f>
        <v>25.591799999999999</v>
      </c>
    </row>
    <row r="1581" spans="1:16">
      <c r="A1581" t="s">
        <v>1594</v>
      </c>
      <c r="B1581">
        <f>IFERROR([1]!s_stm07_is($A1581,"W70156729",TEXT($B$1,"yyyy/mm/dd"),1),"")</f>
        <v>5206143738.6599998</v>
      </c>
      <c r="C1581">
        <f>IFERROR([1]!s_stm07_is($A1581,"W75682424",TEXT($B$1,"yyyy/mm/dd"),1),"")</f>
        <v>3897984752.4400001</v>
      </c>
      <c r="D1581">
        <f>IFERROR([1]!s_stm07_is($A1581,"W76031679",TEXT($B$1,"yyyy/mm/dd"),1),"")</f>
        <v>78676336.060000002</v>
      </c>
      <c r="E1581">
        <f>IFERROR([1]!s_stm07_is($A1581,"W70752487",TEXT($B$1,"yyyy/mm/dd"),1),"")</f>
        <v>296908980.55000001</v>
      </c>
      <c r="F1581">
        <f>IFERROR([1]!s_stm07_is_103($A1581,TEXT($B$1,"yyyy/mm/dd"),1),"")</f>
        <v>118526445.02</v>
      </c>
      <c r="G1581">
        <f>IFERROR([1]!s_stm07_is_104($A1581,TEXT($B$1,"yyyy/mm/dd"),1),"")</f>
        <v>54732646.590000004</v>
      </c>
      <c r="H1581">
        <f>IFERROR([1]!s_stm07_is_105($A1581,TEXT($B$1,"yyyy/mm/dd"),1),"")</f>
        <v>3505940.03</v>
      </c>
      <c r="I1581">
        <f>IFERROR([1]!s_stm07_is($A1581,"W72946623",TEXT($B$1,"yyyy/mm/dd"),1),"")</f>
        <v>670736134.13</v>
      </c>
      <c r="J1581">
        <f>IFERROR([1]!s_stm07_is($A1581,"W30028333",TEXT($B$1,"yyyy/mm/dd"),1),"")</f>
        <v>561631730.63999999</v>
      </c>
      <c r="K1581">
        <f>IFERROR([1]!s_stm07_cs($A1581,"W77130581",TEXT($B$1,"yyyy/mm/dd"),1),"")</f>
        <v>680016191.30999994</v>
      </c>
      <c r="L1581">
        <f>IFERROR([1]!s_stm07_cs($A1581,"W77745895",TEXT($B$1,"yyyy/mm/dd"),1),"")</f>
        <v>686246875.27999997</v>
      </c>
      <c r="M1581">
        <f>IFERROR([1]!S_FA_EPS_basic2($A1581,$B$1,"Cur=CNY"),"")</f>
        <v>1.21</v>
      </c>
      <c r="N1581">
        <f>IFERROR([1]!s_fa_arturndays($A1581,TEXT($B$1,"yyyy/mm/dd")),"")</f>
        <v>29.997299999999999</v>
      </c>
      <c r="O1581" t="str">
        <f>IFERROR([1]!fa_apturndays($A1581,TEXT($B$1,"yyyy/mm/dd")),"")</f>
        <v>Fetch...</v>
      </c>
      <c r="P1581">
        <f>IFERROR([1]!s_fa_invturndays($A1581,TEXT($B$1,"yyyy/mm/dd")),"")</f>
        <v>61.058300000000003</v>
      </c>
    </row>
    <row r="1582" spans="1:16">
      <c r="A1582" t="s">
        <v>1595</v>
      </c>
      <c r="B1582">
        <f>IFERROR([1]!s_stm07_is($A1582,"W70156729",TEXT($B$1,"yyyy/mm/dd"),1),"")</f>
        <v>20269295948.459999</v>
      </c>
      <c r="C1582">
        <f>IFERROR([1]!s_stm07_is($A1582,"W75682424",TEXT($B$1,"yyyy/mm/dd"),1),"")</f>
        <v>18171506456.290001</v>
      </c>
      <c r="D1582">
        <f>IFERROR([1]!s_stm07_is($A1582,"W76031679",TEXT($B$1,"yyyy/mm/dd"),1),"")</f>
        <v>249693349.19999999</v>
      </c>
      <c r="E1582">
        <f>IFERROR([1]!s_stm07_is($A1582,"W70752487",TEXT($B$1,"yyyy/mm/dd"),1),"")</f>
        <v>329175433.20999998</v>
      </c>
      <c r="F1582">
        <f>IFERROR([1]!s_stm07_is_103($A1582,TEXT($B$1,"yyyy/mm/dd"),1),"")</f>
        <v>11650555.82</v>
      </c>
      <c r="G1582">
        <f>IFERROR([1]!s_stm07_is_104($A1582,TEXT($B$1,"yyyy/mm/dd"),1),"")</f>
        <v>100321566.08</v>
      </c>
      <c r="H1582">
        <f>IFERROR([1]!s_stm07_is_105($A1582,TEXT($B$1,"yyyy/mm/dd"),1),"")</f>
        <v>88742502.340000004</v>
      </c>
      <c r="I1582">
        <f>IFERROR([1]!s_stm07_is($A1582,"W72946623",TEXT($B$1,"yyyy/mm/dd"),1),"")</f>
        <v>1571967732.49</v>
      </c>
      <c r="J1582">
        <f>IFERROR([1]!s_stm07_is($A1582,"W30028333",TEXT($B$1,"yyyy/mm/dd"),1),"")</f>
        <v>1479854738.8099999</v>
      </c>
      <c r="K1582">
        <f>IFERROR([1]!s_stm07_cs($A1582,"W77130581",TEXT($B$1,"yyyy/mm/dd"),1),"")</f>
        <v>1634281154.0899999</v>
      </c>
      <c r="L1582">
        <f>IFERROR([1]!s_stm07_cs($A1582,"W77745895",TEXT($B$1,"yyyy/mm/dd"),1),"")</f>
        <v>397774462.56999999</v>
      </c>
      <c r="M1582">
        <f>IFERROR([1]!S_FA_EPS_basic2($A1582,$B$1,"Cur=CNY"),"")</f>
        <v>2.27</v>
      </c>
      <c r="N1582">
        <f>IFERROR([1]!s_fa_arturndays($A1582,TEXT($B$1,"yyyy/mm/dd")),"")</f>
        <v>6.4743000000000004</v>
      </c>
      <c r="O1582" t="str">
        <f>IFERROR([1]!fa_apturndays($A1582,TEXT($B$1,"yyyy/mm/dd")),"")</f>
        <v>Fetch...</v>
      </c>
      <c r="P1582">
        <f>IFERROR([1]!s_fa_invturndays($A1582,TEXT($B$1,"yyyy/mm/dd")),"")</f>
        <v>16.3325</v>
      </c>
    </row>
    <row r="1583" spans="1:16">
      <c r="A1583" t="s">
        <v>1596</v>
      </c>
      <c r="B1583">
        <f>IFERROR([1]!s_stm07_is($A1583,"W70156729",TEXT($B$1,"yyyy/mm/dd"),1),"")</f>
        <v>3290963371.1199999</v>
      </c>
      <c r="C1583">
        <f>IFERROR([1]!s_stm07_is($A1583,"W75682424",TEXT($B$1,"yyyy/mm/dd"),1),"")</f>
        <v>2164862463.5799999</v>
      </c>
      <c r="D1583">
        <f>IFERROR([1]!s_stm07_is($A1583,"W76031679",TEXT($B$1,"yyyy/mm/dd"),1),"")</f>
        <v>167034212.33000001</v>
      </c>
      <c r="E1583">
        <f>IFERROR([1]!s_stm07_is($A1583,"W70752487",TEXT($B$1,"yyyy/mm/dd"),1),"")</f>
        <v>124847528.5</v>
      </c>
      <c r="F1583">
        <f>IFERROR([1]!s_stm07_is_103($A1583,TEXT($B$1,"yyyy/mm/dd"),1),"")</f>
        <v>100839460.81</v>
      </c>
      <c r="G1583">
        <f>IFERROR([1]!s_stm07_is_104($A1583,TEXT($B$1,"yyyy/mm/dd"),1),"")</f>
        <v>6314047.7300000004</v>
      </c>
      <c r="H1583">
        <f>IFERROR([1]!s_stm07_is_105($A1583,TEXT($B$1,"yyyy/mm/dd"),1),"")</f>
        <v>32306469.949999999</v>
      </c>
      <c r="I1583">
        <f>IFERROR([1]!s_stm07_is($A1583,"W72946623",TEXT($B$1,"yyyy/mm/dd"),1),"")</f>
        <v>738337033.98000002</v>
      </c>
      <c r="J1583">
        <f>IFERROR([1]!s_stm07_is($A1583,"W30028333",TEXT($B$1,"yyyy/mm/dd"),1),"")</f>
        <v>667674213.96000004</v>
      </c>
      <c r="K1583">
        <f>IFERROR([1]!s_stm07_cs($A1583,"W77130581",TEXT($B$1,"yyyy/mm/dd"),1),"")</f>
        <v>737236958.82000005</v>
      </c>
      <c r="L1583">
        <f>IFERROR([1]!s_stm07_cs($A1583,"W77745895",TEXT($B$1,"yyyy/mm/dd"),1),"")</f>
        <v>206744690.61000001</v>
      </c>
      <c r="M1583">
        <f>IFERROR([1]!S_FA_EPS_basic2($A1583,$B$1,"Cur=CNY"),"")</f>
        <v>1.67</v>
      </c>
      <c r="N1583">
        <f>IFERROR([1]!s_fa_arturndays($A1583,TEXT($B$1,"yyyy/mm/dd")),"")</f>
        <v>68.055499999999995</v>
      </c>
      <c r="O1583" t="str">
        <f>IFERROR([1]!fa_apturndays($A1583,TEXT($B$1,"yyyy/mm/dd")),"")</f>
        <v>Fetch...</v>
      </c>
      <c r="P1583">
        <f>IFERROR([1]!s_fa_invturndays($A1583,TEXT($B$1,"yyyy/mm/dd")),"")</f>
        <v>93.713399999999993</v>
      </c>
    </row>
    <row r="1584" spans="1:16">
      <c r="A1584" t="s">
        <v>1597</v>
      </c>
      <c r="B1584">
        <f>IFERROR([1]!s_stm07_is($A1584,"W70156729",TEXT($B$1,"yyyy/mm/dd"),1),"")</f>
        <v>1877069534.0899999</v>
      </c>
      <c r="C1584">
        <f>IFERROR([1]!s_stm07_is($A1584,"W75682424",TEXT($B$1,"yyyy/mm/dd"),1),"")</f>
        <v>1260264955.3599999</v>
      </c>
      <c r="D1584">
        <f>IFERROR([1]!s_stm07_is($A1584,"W76031679",TEXT($B$1,"yyyy/mm/dd"),1),"")</f>
        <v>28759391.32</v>
      </c>
      <c r="E1584">
        <f>IFERROR([1]!s_stm07_is($A1584,"W70752487",TEXT($B$1,"yyyy/mm/dd"),1),"")</f>
        <v>67342133.299999997</v>
      </c>
      <c r="F1584">
        <f>IFERROR([1]!s_stm07_is_103($A1584,TEXT($B$1,"yyyy/mm/dd"),1),"")</f>
        <v>117946192.90000001</v>
      </c>
      <c r="G1584">
        <f>IFERROR([1]!s_stm07_is_104($A1584,TEXT($B$1,"yyyy/mm/dd"),1),"")</f>
        <v>78758.3</v>
      </c>
      <c r="H1584">
        <f>IFERROR([1]!s_stm07_is_105($A1584,TEXT($B$1,"yyyy/mm/dd"),1),"")</f>
        <v>12721975.43</v>
      </c>
      <c r="I1584">
        <f>IFERROR([1]!s_stm07_is($A1584,"W72946623",TEXT($B$1,"yyyy/mm/dd"),1),"")</f>
        <v>442118386.07999998</v>
      </c>
      <c r="J1584">
        <f>IFERROR([1]!s_stm07_is($A1584,"W30028333",TEXT($B$1,"yyyy/mm/dd"),1),"")</f>
        <v>393631883.29000002</v>
      </c>
      <c r="K1584">
        <f>IFERROR([1]!s_stm07_cs($A1584,"W77130581",TEXT($B$1,"yyyy/mm/dd"),1),"")</f>
        <v>386402359.58999997</v>
      </c>
      <c r="L1584">
        <f>IFERROR([1]!s_stm07_cs($A1584,"W77745895",TEXT($B$1,"yyyy/mm/dd"),1),"")</f>
        <v>45195152.840000004</v>
      </c>
      <c r="M1584">
        <f>IFERROR([1]!S_FA_EPS_basic2($A1584,$B$1,"Cur=CNY"),"")</f>
        <v>0.95</v>
      </c>
      <c r="N1584">
        <f>IFERROR([1]!s_fa_arturndays($A1584,TEXT($B$1,"yyyy/mm/dd")),"")</f>
        <v>51.8202</v>
      </c>
      <c r="O1584" t="str">
        <f>IFERROR([1]!fa_apturndays($A1584,TEXT($B$1,"yyyy/mm/dd")),"")</f>
        <v>Fetch...</v>
      </c>
      <c r="P1584">
        <f>IFERROR([1]!s_fa_invturndays($A1584,TEXT($B$1,"yyyy/mm/dd")),"")</f>
        <v>87.804900000000004</v>
      </c>
    </row>
    <row r="1585" spans="1:16">
      <c r="A1585" t="s">
        <v>1598</v>
      </c>
      <c r="B1585">
        <f>IFERROR([1]!s_stm07_is($A1585,"W70156729",TEXT($B$1,"yyyy/mm/dd"),1),"")</f>
        <v>1697477562.55</v>
      </c>
      <c r="C1585">
        <f>IFERROR([1]!s_stm07_is($A1585,"W75682424",TEXT($B$1,"yyyy/mm/dd"),1),"")</f>
        <v>684642176.44000006</v>
      </c>
      <c r="D1585">
        <f>IFERROR([1]!s_stm07_is($A1585,"W76031679",TEXT($B$1,"yyyy/mm/dd"),1),"")</f>
        <v>131351734.43000001</v>
      </c>
      <c r="E1585">
        <f>IFERROR([1]!s_stm07_is($A1585,"W70752487",TEXT($B$1,"yyyy/mm/dd"),1),"")</f>
        <v>165898844.43000001</v>
      </c>
      <c r="F1585">
        <f>IFERROR([1]!s_stm07_is_103($A1585,TEXT($B$1,"yyyy/mm/dd"),1),"")</f>
        <v>153393694.25999999</v>
      </c>
      <c r="G1585">
        <f>IFERROR([1]!s_stm07_is_104($A1585,TEXT($B$1,"yyyy/mm/dd"),1),"")</f>
        <v>34712863.210000001</v>
      </c>
      <c r="H1585">
        <f>IFERROR([1]!s_stm07_is_105($A1585,TEXT($B$1,"yyyy/mm/dd"),1),"")</f>
        <v>13351001.449999999</v>
      </c>
      <c r="I1585">
        <f>IFERROR([1]!s_stm07_is($A1585,"W72946623",TEXT($B$1,"yyyy/mm/dd"),1),"")</f>
        <v>518296896.37</v>
      </c>
      <c r="J1585">
        <f>IFERROR([1]!s_stm07_is($A1585,"W30028333",TEXT($B$1,"yyyy/mm/dd"),1),"")</f>
        <v>449210068.01999998</v>
      </c>
      <c r="K1585">
        <f>IFERROR([1]!s_stm07_cs($A1585,"W77130581",TEXT($B$1,"yyyy/mm/dd"),1),"")</f>
        <v>421496354.11000001</v>
      </c>
      <c r="L1585">
        <f>IFERROR([1]!s_stm07_cs($A1585,"W77745895",TEXT($B$1,"yyyy/mm/dd"),1),"")</f>
        <v>350072058.55000001</v>
      </c>
      <c r="M1585">
        <f>IFERROR([1]!S_FA_EPS_basic2($A1585,$B$1,"Cur=CNY"),"")</f>
        <v>1.1200000000000001</v>
      </c>
      <c r="N1585">
        <f>IFERROR([1]!s_fa_arturndays($A1585,TEXT($B$1,"yyyy/mm/dd")),"")</f>
        <v>82.519599999999997</v>
      </c>
      <c r="O1585" t="str">
        <f>IFERROR([1]!fa_apturndays($A1585,TEXT($B$1,"yyyy/mm/dd")),"")</f>
        <v>Fetch...</v>
      </c>
      <c r="P1585">
        <f>IFERROR([1]!s_fa_invturndays($A1585,TEXT($B$1,"yyyy/mm/dd")),"")</f>
        <v>324.58749999999998</v>
      </c>
    </row>
    <row r="1586" spans="1:16">
      <c r="A1586" t="s">
        <v>1599</v>
      </c>
      <c r="B1586">
        <f>IFERROR([1]!s_stm07_is($A1586,"W70156729",TEXT($B$1,"yyyy/mm/dd"),1),"")</f>
        <v>12223743462.540001</v>
      </c>
      <c r="C1586">
        <f>IFERROR([1]!s_stm07_is($A1586,"W75682424",TEXT($B$1,"yyyy/mm/dd"),1),"")</f>
        <v>7563159743.9200001</v>
      </c>
      <c r="D1586">
        <f>IFERROR([1]!s_stm07_is($A1586,"W76031679",TEXT($B$1,"yyyy/mm/dd"),1),"")</f>
        <v>343845245</v>
      </c>
      <c r="E1586">
        <f>IFERROR([1]!s_stm07_is($A1586,"W70752487",TEXT($B$1,"yyyy/mm/dd"),1),"")</f>
        <v>320743542.92000002</v>
      </c>
      <c r="F1586">
        <f>IFERROR([1]!s_stm07_is_103($A1586,TEXT($B$1,"yyyy/mm/dd"),1),"")</f>
        <v>562096014.27999997</v>
      </c>
      <c r="G1586">
        <f>IFERROR([1]!s_stm07_is_104($A1586,TEXT($B$1,"yyyy/mm/dd"),1),"")</f>
        <v>57695512.270000003</v>
      </c>
      <c r="H1586">
        <f>IFERROR([1]!s_stm07_is_105($A1586,TEXT($B$1,"yyyy/mm/dd"),1),"")</f>
        <v>164375607.52000001</v>
      </c>
      <c r="I1586">
        <f>IFERROR([1]!s_stm07_is($A1586,"W72946623",TEXT($B$1,"yyyy/mm/dd"),1),"")</f>
        <v>3635587160.1300001</v>
      </c>
      <c r="J1586">
        <f>IFERROR([1]!s_stm07_is($A1586,"W30028333",TEXT($B$1,"yyyy/mm/dd"),1),"")</f>
        <v>3170769705.4200001</v>
      </c>
      <c r="K1586">
        <f>IFERROR([1]!s_stm07_cs($A1586,"W77130581",TEXT($B$1,"yyyy/mm/dd"),1),"")</f>
        <v>3986268984.6799998</v>
      </c>
      <c r="L1586">
        <f>IFERROR([1]!s_stm07_cs($A1586,"W77745895",TEXT($B$1,"yyyy/mm/dd"),1),"")</f>
        <v>1286968414.6600001</v>
      </c>
      <c r="M1586">
        <f>IFERROR([1]!S_FA_EPS_basic2($A1586,$B$1,"Cur=CNY"),"")</f>
        <v>3.51</v>
      </c>
      <c r="N1586">
        <f>IFERROR([1]!s_fa_arturndays($A1586,TEXT($B$1,"yyyy/mm/dd")),"")</f>
        <v>50.103000000000002</v>
      </c>
      <c r="O1586" t="str">
        <f>IFERROR([1]!fa_apturndays($A1586,TEXT($B$1,"yyyy/mm/dd")),"")</f>
        <v>Fetch...</v>
      </c>
      <c r="P1586">
        <f>IFERROR([1]!s_fa_invturndays($A1586,TEXT($B$1,"yyyy/mm/dd")),"")</f>
        <v>74.895499999999998</v>
      </c>
    </row>
    <row r="1587" spans="1:16">
      <c r="A1587" t="s">
        <v>1600</v>
      </c>
      <c r="B1587">
        <f>IFERROR([1]!s_stm07_is($A1587,"W70156729",TEXT($B$1,"yyyy/mm/dd"),1),"")</f>
        <v>830522798.24000001</v>
      </c>
      <c r="C1587">
        <f>IFERROR([1]!s_stm07_is($A1587,"W75682424",TEXT($B$1,"yyyy/mm/dd"),1),"")</f>
        <v>424419615.08999997</v>
      </c>
      <c r="D1587">
        <f>IFERROR([1]!s_stm07_is($A1587,"W76031679",TEXT($B$1,"yyyy/mm/dd"),1),"")</f>
        <v>17907688.899999999</v>
      </c>
      <c r="E1587">
        <f>IFERROR([1]!s_stm07_is($A1587,"W70752487",TEXT($B$1,"yyyy/mm/dd"),1),"")</f>
        <v>40026346.460000001</v>
      </c>
      <c r="F1587">
        <f>IFERROR([1]!s_stm07_is_103($A1587,TEXT($B$1,"yyyy/mm/dd"),1),"")</f>
        <v>65083166.460000001</v>
      </c>
      <c r="G1587">
        <f>IFERROR([1]!s_stm07_is_104($A1587,TEXT($B$1,"yyyy/mm/dd"),1),"")</f>
        <v>528571.31999999995</v>
      </c>
      <c r="H1587">
        <f>IFERROR([1]!s_stm07_is_105($A1587,TEXT($B$1,"yyyy/mm/dd"),1),"")</f>
        <v>20956239.059999999</v>
      </c>
      <c r="I1587">
        <f>IFERROR([1]!s_stm07_is($A1587,"W72946623",TEXT($B$1,"yyyy/mm/dd"),1),"")</f>
        <v>298348365.52999997</v>
      </c>
      <c r="J1587">
        <f>IFERROR([1]!s_stm07_is($A1587,"W30028333",TEXT($B$1,"yyyy/mm/dd"),1),"")</f>
        <v>260037224.78</v>
      </c>
      <c r="K1587">
        <f>IFERROR([1]!s_stm07_cs($A1587,"W77130581",TEXT($B$1,"yyyy/mm/dd"),1),"")</f>
        <v>342029521.22000003</v>
      </c>
      <c r="L1587">
        <f>IFERROR([1]!s_stm07_cs($A1587,"W77745895",TEXT($B$1,"yyyy/mm/dd"),1),"")</f>
        <v>148169548.96000001</v>
      </c>
      <c r="M1587">
        <f>IFERROR([1]!S_FA_EPS_basic2($A1587,$B$1,"Cur=CNY"),"")</f>
        <v>0.63870000000000005</v>
      </c>
      <c r="N1587">
        <f>IFERROR([1]!s_fa_arturndays($A1587,TEXT($B$1,"yyyy/mm/dd")),"")</f>
        <v>50.278599999999997</v>
      </c>
      <c r="O1587" t="str">
        <f>IFERROR([1]!fa_apturndays($A1587,TEXT($B$1,"yyyy/mm/dd")),"")</f>
        <v>Fetch...</v>
      </c>
      <c r="P1587">
        <f>IFERROR([1]!s_fa_invturndays($A1587,TEXT($B$1,"yyyy/mm/dd")),"")</f>
        <v>162.60900000000001</v>
      </c>
    </row>
    <row r="1588" spans="1:16">
      <c r="A1588" t="s">
        <v>1601</v>
      </c>
      <c r="B1588">
        <f>IFERROR([1]!s_stm07_is($A1588,"W70156729",TEXT($B$1,"yyyy/mm/dd"),1),"")</f>
        <v>3542859405.4299998</v>
      </c>
      <c r="C1588">
        <f>IFERROR([1]!s_stm07_is($A1588,"W75682424",TEXT($B$1,"yyyy/mm/dd"),1),"")</f>
        <v>2984532377.6599998</v>
      </c>
      <c r="D1588">
        <f>IFERROR([1]!s_stm07_is($A1588,"W76031679",TEXT($B$1,"yyyy/mm/dd"),1),"")</f>
        <v>64378783.979999997</v>
      </c>
      <c r="E1588">
        <f>IFERROR([1]!s_stm07_is($A1588,"W70752487",TEXT($B$1,"yyyy/mm/dd"),1),"")</f>
        <v>87237189.870000005</v>
      </c>
      <c r="F1588">
        <f>IFERROR([1]!s_stm07_is_103($A1588,TEXT($B$1,"yyyy/mm/dd"),1),"")</f>
        <v>167607244.31999999</v>
      </c>
      <c r="G1588">
        <f>IFERROR([1]!s_stm07_is_104($A1588,TEXT($B$1,"yyyy/mm/dd"),1),"")</f>
        <v>16607846.390000001</v>
      </c>
      <c r="H1588">
        <f>IFERROR([1]!s_stm07_is_105($A1588,TEXT($B$1,"yyyy/mm/dd"),1),"")</f>
        <v>28482917.879999999</v>
      </c>
      <c r="I1588">
        <f>IFERROR([1]!s_stm07_is($A1588,"W72946623",TEXT($B$1,"yyyy/mm/dd"),1),"")</f>
        <v>280873378.62</v>
      </c>
      <c r="J1588">
        <f>IFERROR([1]!s_stm07_is($A1588,"W30028333",TEXT($B$1,"yyyy/mm/dd"),1),"")</f>
        <v>252374397.68000001</v>
      </c>
      <c r="K1588">
        <f>IFERROR([1]!s_stm07_cs($A1588,"W77130581",TEXT($B$1,"yyyy/mm/dd"),1),"")</f>
        <v>829128626.52999997</v>
      </c>
      <c r="L1588">
        <f>IFERROR([1]!s_stm07_cs($A1588,"W77745895",TEXT($B$1,"yyyy/mm/dd"),1),"")</f>
        <v>737541832.96000004</v>
      </c>
      <c r="M1588">
        <f>IFERROR([1]!S_FA_EPS_basic2($A1588,$B$1,"Cur=CNY"),"")</f>
        <v>2.0828000000000002</v>
      </c>
      <c r="N1588">
        <f>IFERROR([1]!s_fa_arturndays($A1588,TEXT($B$1,"yyyy/mm/dd")),"")</f>
        <v>145.15539999999999</v>
      </c>
      <c r="O1588" t="str">
        <f>IFERROR([1]!fa_apturndays($A1588,TEXT($B$1,"yyyy/mm/dd")),"")</f>
        <v>Fetch...</v>
      </c>
      <c r="P1588">
        <f>IFERROR([1]!s_fa_invturndays($A1588,TEXT($B$1,"yyyy/mm/dd")),"")</f>
        <v>143.4949</v>
      </c>
    </row>
    <row r="1589" spans="1:16">
      <c r="A1589" t="s">
        <v>1602</v>
      </c>
      <c r="B1589">
        <f>IFERROR([1]!s_stm07_is($A1589,"W70156729",TEXT($B$1,"yyyy/mm/dd"),1),"")</f>
        <v>1677163545.4400001</v>
      </c>
      <c r="C1589">
        <f>IFERROR([1]!s_stm07_is($A1589,"W75682424",TEXT($B$1,"yyyy/mm/dd"),1),"")</f>
        <v>1270352278.3900001</v>
      </c>
      <c r="D1589">
        <f>IFERROR([1]!s_stm07_is($A1589,"W76031679",TEXT($B$1,"yyyy/mm/dd"),1),"")</f>
        <v>5646818.29</v>
      </c>
      <c r="E1589">
        <f>IFERROR([1]!s_stm07_is($A1589,"W70752487",TEXT($B$1,"yyyy/mm/dd"),1),"")</f>
        <v>52629610.759999998</v>
      </c>
      <c r="F1589">
        <f>IFERROR([1]!s_stm07_is_103($A1589,TEXT($B$1,"yyyy/mm/dd"),1),"")</f>
        <v>24181774.039999999</v>
      </c>
      <c r="G1589">
        <f>IFERROR([1]!s_stm07_is_104($A1589,TEXT($B$1,"yyyy/mm/dd"),1),"")</f>
        <v>37033</v>
      </c>
      <c r="H1589">
        <f>IFERROR([1]!s_stm07_is_105($A1589,TEXT($B$1,"yyyy/mm/dd"),1),"")</f>
        <v>4153448.52</v>
      </c>
      <c r="I1589">
        <f>IFERROR([1]!s_stm07_is($A1589,"W72946623",TEXT($B$1,"yyyy/mm/dd"),1),"")</f>
        <v>330433966.44</v>
      </c>
      <c r="J1589">
        <f>IFERROR([1]!s_stm07_is($A1589,"W30028333",TEXT($B$1,"yyyy/mm/dd"),1),"")</f>
        <v>330345077.62</v>
      </c>
      <c r="K1589">
        <f>IFERROR([1]!s_stm07_cs($A1589,"W77130581",TEXT($B$1,"yyyy/mm/dd"),1),"")</f>
        <v>491783138.19999999</v>
      </c>
      <c r="L1589">
        <f>IFERROR([1]!s_stm07_cs($A1589,"W77745895",TEXT($B$1,"yyyy/mm/dd"),1),"")</f>
        <v>62530325.210000001</v>
      </c>
      <c r="M1589">
        <f>IFERROR([1]!S_FA_EPS_basic2($A1589,$B$1,"Cur=CNY"),"")</f>
        <v>0.96</v>
      </c>
      <c r="N1589">
        <f>IFERROR([1]!s_fa_arturndays($A1589,TEXT($B$1,"yyyy/mm/dd")),"")</f>
        <v>61.8504</v>
      </c>
      <c r="O1589" t="str">
        <f>IFERROR([1]!fa_apturndays($A1589,TEXT($B$1,"yyyy/mm/dd")),"")</f>
        <v>Fetch...</v>
      </c>
      <c r="P1589">
        <f>IFERROR([1]!s_fa_invturndays($A1589,TEXT($B$1,"yyyy/mm/dd")),"")</f>
        <v>318.10550000000001</v>
      </c>
    </row>
    <row r="1590" spans="1:16">
      <c r="A1590" t="s">
        <v>1603</v>
      </c>
      <c r="B1590">
        <f>IFERROR([1]!s_stm07_is($A1590,"W70156729",TEXT($B$1,"yyyy/mm/dd"),1),"")</f>
        <v>5351814193.1999998</v>
      </c>
      <c r="C1590">
        <f>IFERROR([1]!s_stm07_is($A1590,"W75682424",TEXT($B$1,"yyyy/mm/dd"),1),"")</f>
        <v>4480227496.1099997</v>
      </c>
      <c r="D1590">
        <f>IFERROR([1]!s_stm07_is($A1590,"W76031679",TEXT($B$1,"yyyy/mm/dd"),1),"")</f>
        <v>82827034.049999997</v>
      </c>
      <c r="E1590">
        <f>IFERROR([1]!s_stm07_is($A1590,"W70752487",TEXT($B$1,"yyyy/mm/dd"),1),"")</f>
        <v>396822553.95999998</v>
      </c>
      <c r="F1590">
        <f>IFERROR([1]!s_stm07_is_103($A1590,TEXT($B$1,"yyyy/mm/dd"),1),"")</f>
        <v>14219419.98</v>
      </c>
      <c r="G1590">
        <f>IFERROR([1]!s_stm07_is_104($A1590,TEXT($B$1,"yyyy/mm/dd"),1),"")</f>
        <v>28441760.210000001</v>
      </c>
      <c r="H1590">
        <f>IFERROR([1]!s_stm07_is_105($A1590,TEXT($B$1,"yyyy/mm/dd"),1),"")</f>
        <v>6918591.6200000001</v>
      </c>
      <c r="I1590">
        <f>IFERROR([1]!s_stm07_is($A1590,"W72946623",TEXT($B$1,"yyyy/mm/dd"),1),"")</f>
        <v>350848517.39999998</v>
      </c>
      <c r="J1590">
        <f>IFERROR([1]!s_stm07_is($A1590,"W30028333",TEXT($B$1,"yyyy/mm/dd"),1),"")</f>
        <v>338963686.41000003</v>
      </c>
      <c r="K1590">
        <f>IFERROR([1]!s_stm07_cs($A1590,"W77130581",TEXT($B$1,"yyyy/mm/dd"),1),"")</f>
        <v>809929847.87</v>
      </c>
      <c r="L1590">
        <f>IFERROR([1]!s_stm07_cs($A1590,"W77745895",TEXT($B$1,"yyyy/mm/dd"),1),"")</f>
        <v>844539123.69000006</v>
      </c>
      <c r="M1590">
        <f>IFERROR([1]!S_FA_EPS_basic2($A1590,$B$1,"Cur=CNY"),"")</f>
        <v>0.65</v>
      </c>
      <c r="N1590">
        <f>IFERROR([1]!s_fa_arturndays($A1590,TEXT($B$1,"yyyy/mm/dd")),"")</f>
        <v>5.0209000000000001</v>
      </c>
      <c r="O1590" t="str">
        <f>IFERROR([1]!fa_apturndays($A1590,TEXT($B$1,"yyyy/mm/dd")),"")</f>
        <v>Fetch...</v>
      </c>
      <c r="P1590">
        <f>IFERROR([1]!s_fa_invturndays($A1590,TEXT($B$1,"yyyy/mm/dd")),"")</f>
        <v>120.8419</v>
      </c>
    </row>
    <row r="1591" spans="1:16">
      <c r="A1591" t="s">
        <v>1604</v>
      </c>
      <c r="B1591">
        <f>IFERROR([1]!s_stm07_is($A1591,"W70156729",TEXT($B$1,"yyyy/mm/dd"),1),"")</f>
        <v>8490180295.5200005</v>
      </c>
      <c r="C1591">
        <f>IFERROR([1]!s_stm07_is($A1591,"W75682424",TEXT($B$1,"yyyy/mm/dd"),1),"")</f>
        <v>7272253795.6899996</v>
      </c>
      <c r="D1591">
        <f>IFERROR([1]!s_stm07_is($A1591,"W76031679",TEXT($B$1,"yyyy/mm/dd"),1),"")</f>
        <v>23819769.050000001</v>
      </c>
      <c r="E1591">
        <f>IFERROR([1]!s_stm07_is($A1591,"W70752487",TEXT($B$1,"yyyy/mm/dd"),1),"")</f>
        <v>248190344.86000001</v>
      </c>
      <c r="F1591">
        <f>IFERROR([1]!s_stm07_is_103($A1591,TEXT($B$1,"yyyy/mm/dd"),1),"")</f>
        <v>338505366.49000001</v>
      </c>
      <c r="G1591">
        <f>IFERROR([1]!s_stm07_is_104($A1591,TEXT($B$1,"yyyy/mm/dd"),1),"")</f>
        <v>55821219.700000003</v>
      </c>
      <c r="H1591">
        <f>IFERROR([1]!s_stm07_is_105($A1591,TEXT($B$1,"yyyy/mm/dd"),1),"")</f>
        <v>9392110.6999999993</v>
      </c>
      <c r="I1591">
        <f>IFERROR([1]!s_stm07_is($A1591,"W72946623",TEXT($B$1,"yyyy/mm/dd"),1),"")</f>
        <v>538341843.37</v>
      </c>
      <c r="J1591">
        <f>IFERROR([1]!s_stm07_is($A1591,"W30028333",TEXT($B$1,"yyyy/mm/dd"),1),"")</f>
        <v>481212981.95999998</v>
      </c>
      <c r="K1591">
        <f>IFERROR([1]!s_stm07_cs($A1591,"W77130581",TEXT($B$1,"yyyy/mm/dd"),1),"")</f>
        <v>362488650.05000001</v>
      </c>
      <c r="L1591">
        <f>IFERROR([1]!s_stm07_cs($A1591,"W77745895",TEXT($B$1,"yyyy/mm/dd"),1),"")</f>
        <v>355032668.61000001</v>
      </c>
      <c r="M1591">
        <f>IFERROR([1]!S_FA_EPS_basic2($A1591,$B$1,"Cur=CNY"),"")</f>
        <v>1.0900000000000001</v>
      </c>
      <c r="N1591">
        <f>IFERROR([1]!s_fa_arturndays($A1591,TEXT($B$1,"yyyy/mm/dd")),"")</f>
        <v>119.59739999999999</v>
      </c>
      <c r="O1591" t="str">
        <f>IFERROR([1]!fa_apturndays($A1591,TEXT($B$1,"yyyy/mm/dd")),"")</f>
        <v>Fetch...</v>
      </c>
      <c r="P1591">
        <f>IFERROR([1]!s_fa_invturndays($A1591,TEXT($B$1,"yyyy/mm/dd")),"")</f>
        <v>38.430700000000002</v>
      </c>
    </row>
    <row r="1592" spans="1:16">
      <c r="A1592" t="s">
        <v>1605</v>
      </c>
      <c r="B1592">
        <f>IFERROR([1]!s_stm07_is($A1592,"W70156729",TEXT($B$1,"yyyy/mm/dd"),1),"")</f>
        <v>3590918998.77</v>
      </c>
      <c r="C1592">
        <f>IFERROR([1]!s_stm07_is($A1592,"W75682424",TEXT($B$1,"yyyy/mm/dd"),1),"")</f>
        <v>3236789108.5900002</v>
      </c>
      <c r="D1592">
        <f>IFERROR([1]!s_stm07_is($A1592,"W76031679",TEXT($B$1,"yyyy/mm/dd"),1),"")</f>
        <v>28206827.329999998</v>
      </c>
      <c r="E1592">
        <f>IFERROR([1]!s_stm07_is($A1592,"W70752487",TEXT($B$1,"yyyy/mm/dd"),1),"")</f>
        <v>128118409.8</v>
      </c>
      <c r="F1592">
        <f>IFERROR([1]!s_stm07_is_103($A1592,TEXT($B$1,"yyyy/mm/dd"),1),"")</f>
        <v>255964259.49000001</v>
      </c>
      <c r="G1592">
        <f>IFERROR([1]!s_stm07_is_104($A1592,TEXT($B$1,"yyyy/mm/dd"),1),"")</f>
        <v>283219541.24000001</v>
      </c>
      <c r="H1592">
        <f>IFERROR([1]!s_stm07_is_105($A1592,TEXT($B$1,"yyyy/mm/dd"),1),"")</f>
        <v>9886624.9299999997</v>
      </c>
      <c r="I1592">
        <f>IFERROR([1]!s_stm07_is($A1592,"W72946623",TEXT($B$1,"yyyy/mm/dd"),1),"")</f>
        <v>-291374113.10000002</v>
      </c>
      <c r="J1592">
        <f>IFERROR([1]!s_stm07_is($A1592,"W30028333",TEXT($B$1,"yyyy/mm/dd"),1),"")</f>
        <v>-142444238.63</v>
      </c>
      <c r="K1592">
        <f>IFERROR([1]!s_stm07_cs($A1592,"W77130581",TEXT($B$1,"yyyy/mm/dd"),1),"")</f>
        <v>838643967.33000004</v>
      </c>
      <c r="L1592">
        <f>IFERROR([1]!s_stm07_cs($A1592,"W77745895",TEXT($B$1,"yyyy/mm/dd"),1),"")</f>
        <v>1006731062.4299999</v>
      </c>
      <c r="M1592">
        <f>IFERROR([1]!S_FA_EPS_basic2($A1592,$B$1,"Cur=CNY"),"")</f>
        <v>-0.21</v>
      </c>
      <c r="N1592">
        <f>IFERROR([1]!s_fa_arturndays($A1592,TEXT($B$1,"yyyy/mm/dd")),"")</f>
        <v>99.214600000000004</v>
      </c>
      <c r="O1592" t="str">
        <f>IFERROR([1]!fa_apturndays($A1592,TEXT($B$1,"yyyy/mm/dd")),"")</f>
        <v>Fetch...</v>
      </c>
      <c r="P1592">
        <f>IFERROR([1]!s_fa_invturndays($A1592,TEXT($B$1,"yyyy/mm/dd")),"")</f>
        <v>152.9117</v>
      </c>
    </row>
    <row r="1593" spans="1:16">
      <c r="A1593" t="s">
        <v>1606</v>
      </c>
      <c r="B1593">
        <f>IFERROR([1]!s_stm07_is($A1593,"W70156729",TEXT($B$1,"yyyy/mm/dd"),1),"")</f>
        <v>1151763127.04</v>
      </c>
      <c r="C1593">
        <f>IFERROR([1]!s_stm07_is($A1593,"W75682424",TEXT($B$1,"yyyy/mm/dd"),1),"")</f>
        <v>775850321.26999998</v>
      </c>
      <c r="D1593">
        <f>IFERROR([1]!s_stm07_is($A1593,"W76031679",TEXT($B$1,"yyyy/mm/dd"),1),"")</f>
        <v>7463762.4000000004</v>
      </c>
      <c r="E1593">
        <f>IFERROR([1]!s_stm07_is($A1593,"W70752487",TEXT($B$1,"yyyy/mm/dd"),1),"")</f>
        <v>55242821.399999999</v>
      </c>
      <c r="F1593">
        <f>IFERROR([1]!s_stm07_is_103($A1593,TEXT($B$1,"yyyy/mm/dd"),1),"")</f>
        <v>47993988.700000003</v>
      </c>
      <c r="G1593">
        <f>IFERROR([1]!s_stm07_is_104($A1593,TEXT($B$1,"yyyy/mm/dd"),1),"")</f>
        <v>3545837.3</v>
      </c>
      <c r="H1593">
        <f>IFERROR([1]!s_stm07_is_105($A1593,TEXT($B$1,"yyyy/mm/dd"),1),"")</f>
        <v>696652.05</v>
      </c>
      <c r="I1593">
        <f>IFERROR([1]!s_stm07_is($A1593,"W72946623",TEXT($B$1,"yyyy/mm/dd"),1),"")</f>
        <v>242479251</v>
      </c>
      <c r="J1593">
        <f>IFERROR([1]!s_stm07_is($A1593,"W30028333",TEXT($B$1,"yyyy/mm/dd"),1),"")</f>
        <v>219187631.69999999</v>
      </c>
      <c r="K1593">
        <f>IFERROR([1]!s_stm07_cs($A1593,"W77130581",TEXT($B$1,"yyyy/mm/dd"),1),"")</f>
        <v>134712536.81</v>
      </c>
      <c r="L1593">
        <f>IFERROR([1]!s_stm07_cs($A1593,"W77745895",TEXT($B$1,"yyyy/mm/dd"),1),"")</f>
        <v>251428540.62</v>
      </c>
      <c r="M1593">
        <f>IFERROR([1]!S_FA_EPS_basic2($A1593,$B$1,"Cur=CNY"),"")</f>
        <v>0.84</v>
      </c>
      <c r="N1593">
        <f>IFERROR([1]!s_fa_arturndays($A1593,TEXT($B$1,"yyyy/mm/dd")),"")</f>
        <v>76.836100000000002</v>
      </c>
      <c r="O1593" t="str">
        <f>IFERROR([1]!fa_apturndays($A1593,TEXT($B$1,"yyyy/mm/dd")),"")</f>
        <v>Fetch...</v>
      </c>
      <c r="P1593">
        <f>IFERROR([1]!s_fa_invturndays($A1593,TEXT($B$1,"yyyy/mm/dd")),"")</f>
        <v>138.04740000000001</v>
      </c>
    </row>
    <row r="1594" spans="1:16">
      <c r="A1594" t="s">
        <v>1607</v>
      </c>
      <c r="B1594">
        <f>IFERROR([1]!s_stm07_is($A1594,"W70156729",TEXT($B$1,"yyyy/mm/dd"),1),"")</f>
        <v>20875273117.52</v>
      </c>
      <c r="C1594">
        <f>IFERROR([1]!s_stm07_is($A1594,"W75682424",TEXT($B$1,"yyyy/mm/dd"),1),"")</f>
        <v>11501224702.870001</v>
      </c>
      <c r="D1594">
        <f>IFERROR([1]!s_stm07_is($A1594,"W76031679",TEXT($B$1,"yyyy/mm/dd"),1),"")</f>
        <v>3404838223.02</v>
      </c>
      <c r="E1594">
        <f>IFERROR([1]!s_stm07_is($A1594,"W70752487",TEXT($B$1,"yyyy/mm/dd"),1),"")</f>
        <v>576870956.58000004</v>
      </c>
      <c r="F1594">
        <f>IFERROR([1]!s_stm07_is_103($A1594,TEXT($B$1,"yyyy/mm/dd"),1),"")</f>
        <v>66338402.68</v>
      </c>
      <c r="G1594">
        <f>IFERROR([1]!s_stm07_is_104($A1594,TEXT($B$1,"yyyy/mm/dd"),1),"")</f>
        <v>101132296.95999999</v>
      </c>
      <c r="H1594">
        <f>IFERROR([1]!s_stm07_is_105($A1594,TEXT($B$1,"yyyy/mm/dd"),1),"")</f>
        <v>192221950.33000001</v>
      </c>
      <c r="I1594">
        <f>IFERROR([1]!s_stm07_is($A1594,"W72946623",TEXT($B$1,"yyyy/mm/dd"),1),"")</f>
        <v>5584357268.0699997</v>
      </c>
      <c r="J1594">
        <f>IFERROR([1]!s_stm07_is($A1594,"W30028333",TEXT($B$1,"yyyy/mm/dd"),1),"")</f>
        <v>4415263147.79</v>
      </c>
      <c r="K1594">
        <f>IFERROR([1]!s_stm07_cs($A1594,"W77130581",TEXT($B$1,"yyyy/mm/dd"),1),"")</f>
        <v>6174239867.75</v>
      </c>
      <c r="L1594">
        <f>IFERROR([1]!s_stm07_cs($A1594,"W77745895",TEXT($B$1,"yyyy/mm/dd"),1),"")</f>
        <v>2269157969.98</v>
      </c>
      <c r="M1594">
        <f>IFERROR([1]!S_FA_EPS_basic2($A1594,$B$1,"Cur=CNY"),"")</f>
        <v>8.4907000000000004</v>
      </c>
      <c r="N1594">
        <f>IFERROR([1]!s_fa_arturndays($A1594,TEXT($B$1,"yyyy/mm/dd")),"")</f>
        <v>1.4852000000000001</v>
      </c>
      <c r="O1594" t="str">
        <f>IFERROR([1]!fa_apturndays($A1594,TEXT($B$1,"yyyy/mm/dd")),"")</f>
        <v>Fetch...</v>
      </c>
      <c r="P1594">
        <f>IFERROR([1]!s_fa_invturndays($A1594,TEXT($B$1,"yyyy/mm/dd")),"")</f>
        <v>26.997800000000002</v>
      </c>
    </row>
    <row r="1595" spans="1:16">
      <c r="A1595" t="s">
        <v>1608</v>
      </c>
      <c r="B1595">
        <f>IFERROR([1]!s_stm07_is($A1595,"W70156729",TEXT($B$1,"yyyy/mm/dd"),1),"")</f>
        <v>6011397499.1000004</v>
      </c>
      <c r="C1595">
        <f>IFERROR([1]!s_stm07_is($A1595,"W75682424",TEXT($B$1,"yyyy/mm/dd"),1),"")</f>
        <v>4446532644.4899998</v>
      </c>
      <c r="D1595">
        <f>IFERROR([1]!s_stm07_is($A1595,"W76031679",TEXT($B$1,"yyyy/mm/dd"),1),"")</f>
        <v>97693315.310000002</v>
      </c>
      <c r="E1595">
        <f>IFERROR([1]!s_stm07_is($A1595,"W70752487",TEXT($B$1,"yyyy/mm/dd"),1),"")</f>
        <v>278009950.27999997</v>
      </c>
      <c r="F1595">
        <f>IFERROR([1]!s_stm07_is_103($A1595,TEXT($B$1,"yyyy/mm/dd"),1),"")</f>
        <v>209832449.33000001</v>
      </c>
      <c r="G1595">
        <f>IFERROR([1]!s_stm07_is_104($A1595,TEXT($B$1,"yyyy/mm/dd"),1),"")</f>
        <v>23919143.280000001</v>
      </c>
      <c r="H1595">
        <f>IFERROR([1]!s_stm07_is_105($A1595,TEXT($B$1,"yyyy/mm/dd"),1),"")</f>
        <v>17568165.07</v>
      </c>
      <c r="I1595">
        <f>IFERROR([1]!s_stm07_is($A1595,"W72946623",TEXT($B$1,"yyyy/mm/dd"),1),"")</f>
        <v>951259911.75</v>
      </c>
      <c r="J1595">
        <f>IFERROR([1]!s_stm07_is($A1595,"W30028333",TEXT($B$1,"yyyy/mm/dd"),1),"")</f>
        <v>820820433.45000005</v>
      </c>
      <c r="K1595">
        <f>IFERROR([1]!s_stm07_cs($A1595,"W77130581",TEXT($B$1,"yyyy/mm/dd"),1),"")</f>
        <v>559278159.58000004</v>
      </c>
      <c r="L1595">
        <f>IFERROR([1]!s_stm07_cs($A1595,"W77745895",TEXT($B$1,"yyyy/mm/dd"),1),"")</f>
        <v>277711058.05000001</v>
      </c>
      <c r="M1595">
        <f>IFERROR([1]!S_FA_EPS_basic2($A1595,$B$1,"Cur=CNY"),"")</f>
        <v>1.48</v>
      </c>
      <c r="N1595">
        <f>IFERROR([1]!s_fa_arturndays($A1595,TEXT($B$1,"yyyy/mm/dd")),"")</f>
        <v>48.307200000000002</v>
      </c>
      <c r="O1595" t="str">
        <f>IFERROR([1]!fa_apturndays($A1595,TEXT($B$1,"yyyy/mm/dd")),"")</f>
        <v>Fetch...</v>
      </c>
      <c r="P1595">
        <f>IFERROR([1]!s_fa_invturndays($A1595,TEXT($B$1,"yyyy/mm/dd")),"")</f>
        <v>127.0917</v>
      </c>
    </row>
    <row r="1596" spans="1:16">
      <c r="A1596" t="s">
        <v>1609</v>
      </c>
      <c r="B1596">
        <f>IFERROR([1]!s_stm07_is($A1596,"W70156729",TEXT($B$1,"yyyy/mm/dd"),1),"")</f>
        <v>4496687466.1000004</v>
      </c>
      <c r="C1596">
        <f>IFERROR([1]!s_stm07_is($A1596,"W75682424",TEXT($B$1,"yyyy/mm/dd"),1),"")</f>
        <v>3922457103.4200001</v>
      </c>
      <c r="D1596">
        <f>IFERROR([1]!s_stm07_is($A1596,"W76031679",TEXT($B$1,"yyyy/mm/dd"),1),"")</f>
        <v>28093438.050000001</v>
      </c>
      <c r="E1596">
        <f>IFERROR([1]!s_stm07_is($A1596,"W70752487",TEXT($B$1,"yyyy/mm/dd"),1),"")</f>
        <v>204821001.88999999</v>
      </c>
      <c r="F1596">
        <f>IFERROR([1]!s_stm07_is_103($A1596,TEXT($B$1,"yyyy/mm/dd"),1),"")</f>
        <v>162002943.43000001</v>
      </c>
      <c r="G1596">
        <f>IFERROR([1]!s_stm07_is_104($A1596,TEXT($B$1,"yyyy/mm/dd"),1),"")</f>
        <v>8607948.3900000006</v>
      </c>
      <c r="H1596">
        <f>IFERROR([1]!s_stm07_is_105($A1596,TEXT($B$1,"yyyy/mm/dd"),1),"")</f>
        <v>33524375.710000001</v>
      </c>
      <c r="I1596">
        <f>IFERROR([1]!s_stm07_is($A1596,"W72946623",TEXT($B$1,"yyyy/mm/dd"),1),"")</f>
        <v>146166889.00999999</v>
      </c>
      <c r="J1596">
        <f>IFERROR([1]!s_stm07_is($A1596,"W30028333",TEXT($B$1,"yyyy/mm/dd"),1),"")</f>
        <v>162684018.53999999</v>
      </c>
      <c r="K1596">
        <f>IFERROR([1]!s_stm07_cs($A1596,"W77130581",TEXT($B$1,"yyyy/mm/dd"),1),"")</f>
        <v>25222565.039999999</v>
      </c>
      <c r="L1596">
        <f>IFERROR([1]!s_stm07_cs($A1596,"W77745895",TEXT($B$1,"yyyy/mm/dd"),1),"")</f>
        <v>562681236.87</v>
      </c>
      <c r="M1596">
        <f>IFERROR([1]!S_FA_EPS_basic2($A1596,$B$1,"Cur=CNY"),"")</f>
        <v>0.34</v>
      </c>
      <c r="N1596">
        <f>IFERROR([1]!s_fa_arturndays($A1596,TEXT($B$1,"yyyy/mm/dd")),"")</f>
        <v>104.1365</v>
      </c>
      <c r="O1596" t="str">
        <f>IFERROR([1]!fa_apturndays($A1596,TEXT($B$1,"yyyy/mm/dd")),"")</f>
        <v>Fetch...</v>
      </c>
      <c r="P1596">
        <f>IFERROR([1]!s_fa_invturndays($A1596,TEXT($B$1,"yyyy/mm/dd")),"")</f>
        <v>65.701800000000006</v>
      </c>
    </row>
    <row r="1597" spans="1:16">
      <c r="A1597" t="s">
        <v>1610</v>
      </c>
      <c r="B1597">
        <f>IFERROR([1]!s_stm07_is($A1597,"W70156729",TEXT($B$1,"yyyy/mm/dd"),1),"")</f>
        <v>10935802894.959999</v>
      </c>
      <c r="C1597">
        <f>IFERROR([1]!s_stm07_is($A1597,"W75682424",TEXT($B$1,"yyyy/mm/dd"),1),"")</f>
        <v>8182388247.0900002</v>
      </c>
      <c r="D1597">
        <f>IFERROR([1]!s_stm07_is($A1597,"W76031679",TEXT($B$1,"yyyy/mm/dd"),1),"")</f>
        <v>424016274.07999998</v>
      </c>
      <c r="E1597">
        <f>IFERROR([1]!s_stm07_is($A1597,"W70752487",TEXT($B$1,"yyyy/mm/dd"),1),"")</f>
        <v>414854062.61000001</v>
      </c>
      <c r="F1597">
        <f>IFERROR([1]!s_stm07_is_103($A1597,TEXT($B$1,"yyyy/mm/dd"),1),"")</f>
        <v>658597246.24000001</v>
      </c>
      <c r="G1597">
        <f>IFERROR([1]!s_stm07_is_104($A1597,TEXT($B$1,"yyyy/mm/dd"),1),"")</f>
        <v>65610858.579999998</v>
      </c>
      <c r="H1597">
        <f>IFERROR([1]!s_stm07_is_105($A1597,TEXT($B$1,"yyyy/mm/dd"),1),"")</f>
        <v>8264429.5499999998</v>
      </c>
      <c r="I1597">
        <f>IFERROR([1]!s_stm07_is($A1597,"W72946623",TEXT($B$1,"yyyy/mm/dd"),1),"")</f>
        <v>1135484977.7</v>
      </c>
      <c r="J1597">
        <f>IFERROR([1]!s_stm07_is($A1597,"W30028333",TEXT($B$1,"yyyy/mm/dd"),1),"")</f>
        <v>1006543745.6900001</v>
      </c>
      <c r="K1597">
        <f>IFERROR([1]!s_stm07_cs($A1597,"W77130581",TEXT($B$1,"yyyy/mm/dd"),1),"")</f>
        <v>306657123.07999998</v>
      </c>
      <c r="L1597">
        <f>IFERROR([1]!s_stm07_cs($A1597,"W77745895",TEXT($B$1,"yyyy/mm/dd"),1),"")</f>
        <v>881129428.30999994</v>
      </c>
      <c r="M1597">
        <f>IFERROR([1]!S_FA_EPS_basic2($A1597,$B$1,"Cur=CNY"),"")</f>
        <v>1.19</v>
      </c>
      <c r="N1597">
        <f>IFERROR([1]!s_fa_arturndays($A1597,TEXT($B$1,"yyyy/mm/dd")),"")</f>
        <v>73.237700000000004</v>
      </c>
      <c r="O1597" t="str">
        <f>IFERROR([1]!fa_apturndays($A1597,TEXT($B$1,"yyyy/mm/dd")),"")</f>
        <v>Fetch...</v>
      </c>
      <c r="P1597">
        <f>IFERROR([1]!s_fa_invturndays($A1597,TEXT($B$1,"yyyy/mm/dd")),"")</f>
        <v>89.135400000000004</v>
      </c>
    </row>
    <row r="1598" spans="1:16">
      <c r="A1598" t="s">
        <v>1611</v>
      </c>
      <c r="B1598">
        <f>IFERROR([1]!s_stm07_is($A1598,"W70156729",TEXT($B$1,"yyyy/mm/dd"),1),"")</f>
        <v>28819547398.599998</v>
      </c>
      <c r="C1598">
        <f>IFERROR([1]!s_stm07_is($A1598,"W75682424",TEXT($B$1,"yyyy/mm/dd"),1),"")</f>
        <v>26426331025.91</v>
      </c>
      <c r="D1598">
        <f>IFERROR([1]!s_stm07_is($A1598,"W76031679",TEXT($B$1,"yyyy/mm/dd"),1),"")</f>
        <v>539481193.53999996</v>
      </c>
      <c r="E1598">
        <f>IFERROR([1]!s_stm07_is($A1598,"W70752487",TEXT($B$1,"yyyy/mm/dd"),1),"")</f>
        <v>106017845.73</v>
      </c>
      <c r="F1598">
        <f>IFERROR([1]!s_stm07_is_103($A1598,TEXT($B$1,"yyyy/mm/dd"),1),"")</f>
        <v>8632504.1899999995</v>
      </c>
      <c r="G1598">
        <f>IFERROR([1]!s_stm07_is_104($A1598,TEXT($B$1,"yyyy/mm/dd"),1),"")</f>
        <v>25810582.399999999</v>
      </c>
      <c r="H1598">
        <f>IFERROR([1]!s_stm07_is_105($A1598,TEXT($B$1,"yyyy/mm/dd"),1),"")</f>
        <v>2978774.7</v>
      </c>
      <c r="I1598">
        <f>IFERROR([1]!s_stm07_is($A1598,"W72946623",TEXT($B$1,"yyyy/mm/dd"),1),"")</f>
        <v>1541329485.21</v>
      </c>
      <c r="J1598">
        <f>IFERROR([1]!s_stm07_is($A1598,"W30028333",TEXT($B$1,"yyyy/mm/dd"),1),"")</f>
        <v>1133066364.04</v>
      </c>
      <c r="K1598">
        <f>IFERROR([1]!s_stm07_cs($A1598,"W77130581",TEXT($B$1,"yyyy/mm/dd"),1),"")</f>
        <v>1985148479.9100001</v>
      </c>
      <c r="L1598">
        <f>IFERROR([1]!s_stm07_cs($A1598,"W77745895",TEXT($B$1,"yyyy/mm/dd"),1),"")</f>
        <v>34981438.43</v>
      </c>
      <c r="M1598">
        <f>IFERROR([1]!S_FA_EPS_basic2($A1598,$B$1,"Cur=CNY"),"")</f>
        <v>1.46</v>
      </c>
      <c r="N1598">
        <f>IFERROR([1]!s_fa_arturndays($A1598,TEXT($B$1,"yyyy/mm/dd")),"")</f>
        <v>2.7288999999999999</v>
      </c>
      <c r="O1598" t="str">
        <f>IFERROR([1]!fa_apturndays($A1598,TEXT($B$1,"yyyy/mm/dd")),"")</f>
        <v>Fetch...</v>
      </c>
      <c r="P1598">
        <f>IFERROR([1]!s_fa_invturndays($A1598,TEXT($B$1,"yyyy/mm/dd")),"")</f>
        <v>55.871099999999998</v>
      </c>
    </row>
    <row r="1599" spans="1:16">
      <c r="A1599" t="s">
        <v>1612</v>
      </c>
      <c r="B1599">
        <f>IFERROR([1]!s_stm07_is($A1599,"W70156729",TEXT($B$1,"yyyy/mm/dd"),1),"")</f>
        <v>2239530117.8899999</v>
      </c>
      <c r="C1599">
        <f>IFERROR([1]!s_stm07_is($A1599,"W75682424",TEXT($B$1,"yyyy/mm/dd"),1),"")</f>
        <v>1202267622.04</v>
      </c>
      <c r="D1599">
        <f>IFERROR([1]!s_stm07_is($A1599,"W76031679",TEXT($B$1,"yyyy/mm/dd"),1),"")</f>
        <v>204888668.66</v>
      </c>
      <c r="E1599">
        <f>IFERROR([1]!s_stm07_is($A1599,"W70752487",TEXT($B$1,"yyyy/mm/dd"),1),"")</f>
        <v>302366218.64999998</v>
      </c>
      <c r="F1599">
        <f>IFERROR([1]!s_stm07_is_103($A1599,TEXT($B$1,"yyyy/mm/dd"),1),"")</f>
        <v>351602233.44</v>
      </c>
      <c r="G1599">
        <f>IFERROR([1]!s_stm07_is_104($A1599,TEXT($B$1,"yyyy/mm/dd"),1),"")</f>
        <v>42894163.140000001</v>
      </c>
      <c r="H1599">
        <f>IFERROR([1]!s_stm07_is_105($A1599,TEXT($B$1,"yyyy/mm/dd"),1),"")</f>
        <v>28349696.469999999</v>
      </c>
      <c r="I1599">
        <f>IFERROR([1]!s_stm07_is($A1599,"W72946623",TEXT($B$1,"yyyy/mm/dd"),1),"")</f>
        <v>79979075.230000004</v>
      </c>
      <c r="J1599">
        <f>IFERROR([1]!s_stm07_is($A1599,"W30028333",TEXT($B$1,"yyyy/mm/dd"),1),"")</f>
        <v>80084409.780000001</v>
      </c>
      <c r="K1599">
        <f>IFERROR([1]!s_stm07_cs($A1599,"W77130581",TEXT($B$1,"yyyy/mm/dd"),1),"")</f>
        <v>556537583.94000006</v>
      </c>
      <c r="L1599">
        <f>IFERROR([1]!s_stm07_cs($A1599,"W77745895",TEXT($B$1,"yyyy/mm/dd"),1),"")</f>
        <v>48817854.57</v>
      </c>
      <c r="M1599">
        <f>IFERROR([1]!S_FA_EPS_basic2($A1599,$B$1,"Cur=CNY"),"")</f>
        <v>0.18</v>
      </c>
      <c r="N1599">
        <f>IFERROR([1]!s_fa_arturndays($A1599,TEXT($B$1,"yyyy/mm/dd")),"")</f>
        <v>245.2817</v>
      </c>
      <c r="O1599" t="str">
        <f>IFERROR([1]!fa_apturndays($A1599,TEXT($B$1,"yyyy/mm/dd")),"")</f>
        <v>Fetch...</v>
      </c>
      <c r="P1599">
        <f>IFERROR([1]!s_fa_invturndays($A1599,TEXT($B$1,"yyyy/mm/dd")),"")</f>
        <v>260.37900000000002</v>
      </c>
    </row>
    <row r="1600" spans="1:16">
      <c r="A1600" t="s">
        <v>1613</v>
      </c>
      <c r="B1600">
        <f>IFERROR([1]!s_stm07_is($A1600,"W70156729",TEXT($B$1,"yyyy/mm/dd"),1),"")</f>
        <v>6304144284.9300003</v>
      </c>
      <c r="C1600">
        <f>IFERROR([1]!s_stm07_is($A1600,"W75682424",TEXT($B$1,"yyyy/mm/dd"),1),"")</f>
        <v>2993618552.5500002</v>
      </c>
      <c r="D1600">
        <f>IFERROR([1]!s_stm07_is($A1600,"W76031679",TEXT($B$1,"yyyy/mm/dd"),1),"")</f>
        <v>263329179.03</v>
      </c>
      <c r="E1600">
        <f>IFERROR([1]!s_stm07_is($A1600,"W70752487",TEXT($B$1,"yyyy/mm/dd"),1),"")</f>
        <v>413491853.06</v>
      </c>
      <c r="F1600">
        <f>IFERROR([1]!s_stm07_is_103($A1600,TEXT($B$1,"yyyy/mm/dd"),1),"")</f>
        <v>1153401424.5999999</v>
      </c>
      <c r="G1600">
        <f>IFERROR([1]!s_stm07_is_104($A1600,TEXT($B$1,"yyyy/mm/dd"),1),"")</f>
        <v>64672800.789999999</v>
      </c>
      <c r="H1600">
        <f>IFERROR([1]!s_stm07_is_105($A1600,TEXT($B$1,"yyyy/mm/dd"),1),"")</f>
        <v>5535554.7300000004</v>
      </c>
      <c r="I1600">
        <f>IFERROR([1]!s_stm07_is($A1600,"W72946623",TEXT($B$1,"yyyy/mm/dd"),1),"")</f>
        <v>1097741817.22</v>
      </c>
      <c r="J1600">
        <f>IFERROR([1]!s_stm07_is($A1600,"W30028333",TEXT($B$1,"yyyy/mm/dd"),1),"")</f>
        <v>1124625217.01</v>
      </c>
      <c r="K1600">
        <f>IFERROR([1]!s_stm07_cs($A1600,"W77130581",TEXT($B$1,"yyyy/mm/dd"),1),"")</f>
        <v>1855619870.1500001</v>
      </c>
      <c r="L1600">
        <f>IFERROR([1]!s_stm07_cs($A1600,"W77745895",TEXT($B$1,"yyyy/mm/dd"),1),"")</f>
        <v>577766492.51999998</v>
      </c>
      <c r="M1600">
        <f>IFERROR([1]!S_FA_EPS_basic2($A1600,$B$1,"Cur=CNY"),"")</f>
        <v>2.5</v>
      </c>
      <c r="N1600">
        <f>IFERROR([1]!s_fa_arturndays($A1600,TEXT($B$1,"yyyy/mm/dd")),"")</f>
        <v>77.809200000000004</v>
      </c>
      <c r="O1600" t="str">
        <f>IFERROR([1]!fa_apturndays($A1600,TEXT($B$1,"yyyy/mm/dd")),"")</f>
        <v>Fetch...</v>
      </c>
      <c r="P1600">
        <f>IFERROR([1]!s_fa_invturndays($A1600,TEXT($B$1,"yyyy/mm/dd")),"")</f>
        <v>221.07589999999999</v>
      </c>
    </row>
    <row r="1601" spans="1:16">
      <c r="A1601" t="s">
        <v>1614</v>
      </c>
      <c r="B1601">
        <f>IFERROR([1]!s_stm07_is($A1601,"W70156729",TEXT($B$1,"yyyy/mm/dd"),1),"")</f>
        <v>1789803456.6600001</v>
      </c>
      <c r="C1601">
        <f>IFERROR([1]!s_stm07_is($A1601,"W75682424",TEXT($B$1,"yyyy/mm/dd"),1),"")</f>
        <v>1094133862.1300001</v>
      </c>
      <c r="D1601">
        <f>IFERROR([1]!s_stm07_is($A1601,"W76031679",TEXT($B$1,"yyyy/mm/dd"),1),"")</f>
        <v>216379298.25999999</v>
      </c>
      <c r="E1601">
        <f>IFERROR([1]!s_stm07_is($A1601,"W70752487",TEXT($B$1,"yyyy/mm/dd"),1),"")</f>
        <v>113622994.83</v>
      </c>
      <c r="F1601">
        <f>IFERROR([1]!s_stm07_is_103($A1601,TEXT($B$1,"yyyy/mm/dd"),1),"")</f>
        <v>276643226.88999999</v>
      </c>
      <c r="G1601">
        <f>IFERROR([1]!s_stm07_is_104($A1601,TEXT($B$1,"yyyy/mm/dd"),1),"")</f>
        <v>22257498.940000001</v>
      </c>
      <c r="H1601">
        <f>IFERROR([1]!s_stm07_is_105($A1601,TEXT($B$1,"yyyy/mm/dd"),1),"")</f>
        <v>10044461.27</v>
      </c>
      <c r="I1601">
        <f>IFERROR([1]!s_stm07_is($A1601,"W72946623",TEXT($B$1,"yyyy/mm/dd"),1),"")</f>
        <v>43135573.079999998</v>
      </c>
      <c r="J1601">
        <f>IFERROR([1]!s_stm07_is($A1601,"W30028333",TEXT($B$1,"yyyy/mm/dd"),1),"")</f>
        <v>76128306.459999993</v>
      </c>
      <c r="K1601">
        <f>IFERROR([1]!s_stm07_cs($A1601,"W77130581",TEXT($B$1,"yyyy/mm/dd"),1),"")</f>
        <v>80204133.939999998</v>
      </c>
      <c r="L1601">
        <f>IFERROR([1]!s_stm07_cs($A1601,"W77745895",TEXT($B$1,"yyyy/mm/dd"),1),"")</f>
        <v>115789495.31</v>
      </c>
      <c r="M1601">
        <f>IFERROR([1]!S_FA_EPS_basic2($A1601,$B$1,"Cur=CNY"),"")</f>
        <v>0.3952</v>
      </c>
      <c r="N1601">
        <f>IFERROR([1]!s_fa_arturndays($A1601,TEXT($B$1,"yyyy/mm/dd")),"")</f>
        <v>133.7097</v>
      </c>
      <c r="O1601" t="str">
        <f>IFERROR([1]!fa_apturndays($A1601,TEXT($B$1,"yyyy/mm/dd")),"")</f>
        <v>Fetch...</v>
      </c>
      <c r="P1601">
        <f>IFERROR([1]!s_fa_invturndays($A1601,TEXT($B$1,"yyyy/mm/dd")),"")</f>
        <v>362.24590000000001</v>
      </c>
    </row>
    <row r="1602" spans="1:16">
      <c r="A1602" t="s">
        <v>1615</v>
      </c>
      <c r="B1602">
        <f>IFERROR([1]!s_stm07_is($A1602,"W70156729",TEXT($B$1,"yyyy/mm/dd"),1),"")</f>
        <v>12267435004.35</v>
      </c>
      <c r="C1602">
        <f>IFERROR([1]!s_stm07_is($A1602,"W75682424",TEXT($B$1,"yyyy/mm/dd"),1),"")</f>
        <v>11358889797.469999</v>
      </c>
      <c r="D1602">
        <f>IFERROR([1]!s_stm07_is($A1602,"W76031679",TEXT($B$1,"yyyy/mm/dd"),1),"")</f>
        <v>36870031.090000004</v>
      </c>
      <c r="E1602">
        <f>IFERROR([1]!s_stm07_is($A1602,"W70752487",TEXT($B$1,"yyyy/mm/dd"),1),"")</f>
        <v>466549546.99000001</v>
      </c>
      <c r="F1602">
        <f>IFERROR([1]!s_stm07_is_103($A1602,TEXT($B$1,"yyyy/mm/dd"),1),"")</f>
        <v>421651229.61000001</v>
      </c>
      <c r="G1602">
        <f>IFERROR([1]!s_stm07_is_104($A1602,TEXT($B$1,"yyyy/mm/dd"),1),"")</f>
        <v>178641832.19999999</v>
      </c>
      <c r="H1602">
        <f>IFERROR([1]!s_stm07_is_105($A1602,TEXT($B$1,"yyyy/mm/dd"),1),"")</f>
        <v>52709788.670000002</v>
      </c>
      <c r="I1602">
        <f>IFERROR([1]!s_stm07_is($A1602,"W72946623",TEXT($B$1,"yyyy/mm/dd"),1),"")</f>
        <v>-121725747.51000001</v>
      </c>
      <c r="J1602">
        <f>IFERROR([1]!s_stm07_is($A1602,"W30028333",TEXT($B$1,"yyyy/mm/dd"),1),"")</f>
        <v>-187442870.47999999</v>
      </c>
      <c r="K1602">
        <f>IFERROR([1]!s_stm07_cs($A1602,"W77130581",TEXT($B$1,"yyyy/mm/dd"),1),"")</f>
        <v>1135208772.74</v>
      </c>
      <c r="L1602">
        <f>IFERROR([1]!s_stm07_cs($A1602,"W77745895",TEXT($B$1,"yyyy/mm/dd"),1),"")</f>
        <v>570293293.44000006</v>
      </c>
      <c r="M1602">
        <f>IFERROR([1]!S_FA_EPS_basic2($A1602,$B$1,"Cur=CNY"),"")</f>
        <v>-0.27</v>
      </c>
      <c r="N1602">
        <f>IFERROR([1]!s_fa_arturndays($A1602,TEXT($B$1,"yyyy/mm/dd")),"")</f>
        <v>115.23690000000001</v>
      </c>
      <c r="O1602" t="str">
        <f>IFERROR([1]!fa_apturndays($A1602,TEXT($B$1,"yyyy/mm/dd")),"")</f>
        <v>Fetch...</v>
      </c>
      <c r="P1602">
        <f>IFERROR([1]!s_fa_invturndays($A1602,TEXT($B$1,"yyyy/mm/dd")),"")</f>
        <v>69.069999999999993</v>
      </c>
    </row>
    <row r="1603" spans="1:16">
      <c r="A1603" t="s">
        <v>1616</v>
      </c>
      <c r="B1603">
        <f>IFERROR([1]!s_stm07_is($A1603,"W70156729",TEXT($B$1,"yyyy/mm/dd"),1),"")</f>
        <v>2996777149.8200002</v>
      </c>
      <c r="C1603">
        <f>IFERROR([1]!s_stm07_is($A1603,"W75682424",TEXT($B$1,"yyyy/mm/dd"),1),"")</f>
        <v>2147036742.54</v>
      </c>
      <c r="D1603">
        <f>IFERROR([1]!s_stm07_is($A1603,"W76031679",TEXT($B$1,"yyyy/mm/dd"),1),"")</f>
        <v>96672933.209999993</v>
      </c>
      <c r="E1603">
        <f>IFERROR([1]!s_stm07_is($A1603,"W70752487",TEXT($B$1,"yyyy/mm/dd"),1),"")</f>
        <v>179819153.78</v>
      </c>
      <c r="F1603">
        <f>IFERROR([1]!s_stm07_is_103($A1603,TEXT($B$1,"yyyy/mm/dd"),1),"")</f>
        <v>271574178.63999999</v>
      </c>
      <c r="G1603">
        <f>IFERROR([1]!s_stm07_is_104($A1603,TEXT($B$1,"yyyy/mm/dd"),1),"")</f>
        <v>427803.36</v>
      </c>
      <c r="H1603">
        <f>IFERROR([1]!s_stm07_is_105($A1603,TEXT($B$1,"yyyy/mm/dd"),1),"")</f>
        <v>93117229.799999997</v>
      </c>
      <c r="I1603">
        <f>IFERROR([1]!s_stm07_is($A1603,"W72946623",TEXT($B$1,"yyyy/mm/dd"),1),"")</f>
        <v>374674870.31</v>
      </c>
      <c r="J1603">
        <f>IFERROR([1]!s_stm07_is($A1603,"W30028333",TEXT($B$1,"yyyy/mm/dd"),1),"")</f>
        <v>368372073.64999998</v>
      </c>
      <c r="K1603">
        <f>IFERROR([1]!s_stm07_cs($A1603,"W77130581",TEXT($B$1,"yyyy/mm/dd"),1),"")</f>
        <v>1195980671.6199999</v>
      </c>
      <c r="L1603">
        <f>IFERROR([1]!s_stm07_cs($A1603,"W77745895",TEXT($B$1,"yyyy/mm/dd"),1),"")</f>
        <v>115626741.09</v>
      </c>
      <c r="M1603">
        <f>IFERROR([1]!S_FA_EPS_basic2($A1603,$B$1,"Cur=CNY"),"")</f>
        <v>0.61</v>
      </c>
      <c r="N1603">
        <f>IFERROR([1]!s_fa_arturndays($A1603,TEXT($B$1,"yyyy/mm/dd")),"")</f>
        <v>197.00120000000001</v>
      </c>
      <c r="O1603" t="str">
        <f>IFERROR([1]!fa_apturndays($A1603,TEXT($B$1,"yyyy/mm/dd")),"")</f>
        <v>Fetch...</v>
      </c>
      <c r="P1603">
        <f>IFERROR([1]!s_fa_invturndays($A1603,TEXT($B$1,"yyyy/mm/dd")),"")</f>
        <v>550.29039999999998</v>
      </c>
    </row>
    <row r="1604" spans="1:16">
      <c r="A1604" t="s">
        <v>1617</v>
      </c>
      <c r="B1604">
        <f>IFERROR([1]!s_stm07_is($A1604,"W70156729",TEXT($B$1,"yyyy/mm/dd"),1),"")</f>
        <v>1709337107.5899999</v>
      </c>
      <c r="C1604">
        <f>IFERROR([1]!s_stm07_is($A1604,"W75682424",TEXT($B$1,"yyyy/mm/dd"),1),"")</f>
        <v>1227892922.25</v>
      </c>
      <c r="D1604">
        <f>IFERROR([1]!s_stm07_is($A1604,"W76031679",TEXT($B$1,"yyyy/mm/dd"),1),"")</f>
        <v>154066423.69</v>
      </c>
      <c r="E1604">
        <f>IFERROR([1]!s_stm07_is($A1604,"W70752487",TEXT($B$1,"yyyy/mm/dd"),1),"")</f>
        <v>149619310.16</v>
      </c>
      <c r="F1604">
        <f>IFERROR([1]!s_stm07_is_103($A1604,TEXT($B$1,"yyyy/mm/dd"),1),"")</f>
        <v>245819049.15000001</v>
      </c>
      <c r="G1604">
        <f>IFERROR([1]!s_stm07_is_104($A1604,TEXT($B$1,"yyyy/mm/dd"),1),"")</f>
        <v>17396241.649999999</v>
      </c>
      <c r="H1604">
        <f>IFERROR([1]!s_stm07_is_105($A1604,TEXT($B$1,"yyyy/mm/dd"),1),"")</f>
        <v>19943548.510000002</v>
      </c>
      <c r="I1604">
        <f>IFERROR([1]!s_stm07_is($A1604,"W72946623",TEXT($B$1,"yyyy/mm/dd"),1),"")</f>
        <v>-321583659.50999999</v>
      </c>
      <c r="J1604">
        <f>IFERROR([1]!s_stm07_is($A1604,"W30028333",TEXT($B$1,"yyyy/mm/dd"),1),"")</f>
        <v>-273558579.26999998</v>
      </c>
      <c r="K1604">
        <f>IFERROR([1]!s_stm07_cs($A1604,"W77130581",TEXT($B$1,"yyyy/mm/dd"),1),"")</f>
        <v>194795756.05000001</v>
      </c>
      <c r="L1604">
        <f>IFERROR([1]!s_stm07_cs($A1604,"W77745895",TEXT($B$1,"yyyy/mm/dd"),1),"")</f>
        <v>166059798.52000001</v>
      </c>
      <c r="M1604">
        <f>IFERROR([1]!S_FA_EPS_basic2($A1604,$B$1,"Cur=CNY"),"")</f>
        <v>-0.6</v>
      </c>
      <c r="N1604">
        <f>IFERROR([1]!s_fa_arturndays($A1604,TEXT($B$1,"yyyy/mm/dd")),"")</f>
        <v>45.9283</v>
      </c>
      <c r="O1604" t="str">
        <f>IFERROR([1]!fa_apturndays($A1604,TEXT($B$1,"yyyy/mm/dd")),"")</f>
        <v>Fetch...</v>
      </c>
      <c r="P1604">
        <f>IFERROR([1]!s_fa_invturndays($A1604,TEXT($B$1,"yyyy/mm/dd")),"")</f>
        <v>139.70269999999999</v>
      </c>
    </row>
    <row r="1605" spans="1:16">
      <c r="A1605" t="s">
        <v>1618</v>
      </c>
      <c r="B1605">
        <f>IFERROR([1]!s_stm07_is($A1605,"W70156729",TEXT($B$1,"yyyy/mm/dd"),1),"")</f>
        <v>5456316783.6300001</v>
      </c>
      <c r="C1605">
        <f>IFERROR([1]!s_stm07_is($A1605,"W75682424",TEXT($B$1,"yyyy/mm/dd"),1),"")</f>
        <v>2060961088.3499999</v>
      </c>
      <c r="D1605">
        <f>IFERROR([1]!s_stm07_is($A1605,"W76031679",TEXT($B$1,"yyyy/mm/dd"),1),"")</f>
        <v>120228658.51000001</v>
      </c>
      <c r="E1605">
        <f>IFERROR([1]!s_stm07_is($A1605,"W70752487",TEXT($B$1,"yyyy/mm/dd"),1),"")</f>
        <v>526287844.88999999</v>
      </c>
      <c r="F1605">
        <f>IFERROR([1]!s_stm07_is_103($A1605,TEXT($B$1,"yyyy/mm/dd"),1),"")</f>
        <v>915030216</v>
      </c>
      <c r="G1605">
        <f>IFERROR([1]!s_stm07_is_104($A1605,TEXT($B$1,"yyyy/mm/dd"),1),"")</f>
        <v>1732176.8</v>
      </c>
      <c r="H1605">
        <f>IFERROR([1]!s_stm07_is_105($A1605,TEXT($B$1,"yyyy/mm/dd"),1),"")</f>
        <v>271072118.66000003</v>
      </c>
      <c r="I1605">
        <f>IFERROR([1]!s_stm07_is($A1605,"W72946623",TEXT($B$1,"yyyy/mm/dd"),1),"")</f>
        <v>2320568053.46</v>
      </c>
      <c r="J1605">
        <f>IFERROR([1]!s_stm07_is($A1605,"W30028333",TEXT($B$1,"yyyy/mm/dd"),1),"")</f>
        <v>2235569970.1799998</v>
      </c>
      <c r="K1605">
        <f>IFERROR([1]!s_stm07_cs($A1605,"W77130581",TEXT($B$1,"yyyy/mm/dd"),1),"")</f>
        <v>2022020556.9200001</v>
      </c>
      <c r="L1605">
        <f>IFERROR([1]!s_stm07_cs($A1605,"W77745895",TEXT($B$1,"yyyy/mm/dd"),1),"")</f>
        <v>265828735.88</v>
      </c>
      <c r="M1605">
        <f>IFERROR([1]!S_FA_EPS_basic2($A1605,$B$1,"Cur=CNY"),"")</f>
        <v>1.97</v>
      </c>
      <c r="N1605">
        <f>IFERROR([1]!s_fa_arturndays($A1605,TEXT($B$1,"yyyy/mm/dd")),"")</f>
        <v>31.5154</v>
      </c>
      <c r="O1605" t="str">
        <f>IFERROR([1]!fa_apturndays($A1605,TEXT($B$1,"yyyy/mm/dd")),"")</f>
        <v>Fetch...</v>
      </c>
      <c r="P1605">
        <f>IFERROR([1]!s_fa_invturndays($A1605,TEXT($B$1,"yyyy/mm/dd")),"")</f>
        <v>109.02809999999999</v>
      </c>
    </row>
    <row r="1606" spans="1:16">
      <c r="A1606" t="s">
        <v>1619</v>
      </c>
      <c r="B1606">
        <f>IFERROR([1]!s_stm07_is($A1606,"W70156729",TEXT($B$1,"yyyy/mm/dd"),1),"")</f>
        <v>34677342703.760002</v>
      </c>
      <c r="C1606">
        <f>IFERROR([1]!s_stm07_is($A1606,"W75682424",TEXT($B$1,"yyyy/mm/dd"),1),"")</f>
        <v>24573291774.150002</v>
      </c>
      <c r="D1606">
        <f>IFERROR([1]!s_stm07_is($A1606,"W76031679",TEXT($B$1,"yyyy/mm/dd"),1),"")</f>
        <v>865531112.10000002</v>
      </c>
      <c r="E1606">
        <f>IFERROR([1]!s_stm07_is($A1606,"W70752487",TEXT($B$1,"yyyy/mm/dd"),1),"")</f>
        <v>2427134552.8200002</v>
      </c>
      <c r="F1606">
        <f>IFERROR([1]!s_stm07_is_103($A1606,TEXT($B$1,"yyyy/mm/dd"),1),"")</f>
        <v>2005663654.6400001</v>
      </c>
      <c r="G1606">
        <f>IFERROR([1]!s_stm07_is_104($A1606,TEXT($B$1,"yyyy/mm/dd"),1),"")</f>
        <v>86781518.209999993</v>
      </c>
      <c r="H1606">
        <f>IFERROR([1]!s_stm07_is_105($A1606,TEXT($B$1,"yyyy/mm/dd"),1),"")</f>
        <v>168852122.91</v>
      </c>
      <c r="I1606">
        <f>IFERROR([1]!s_stm07_is($A1606,"W72946623",TEXT($B$1,"yyyy/mm/dd"),1),"")</f>
        <v>4908185866.0699997</v>
      </c>
      <c r="J1606">
        <f>IFERROR([1]!s_stm07_is($A1606,"W30028333",TEXT($B$1,"yyyy/mm/dd"),1),"")</f>
        <v>3686410571.8899999</v>
      </c>
      <c r="K1606">
        <f>IFERROR([1]!s_stm07_cs($A1606,"W77130581",TEXT($B$1,"yyyy/mm/dd"),1),"")</f>
        <v>-1294106603.1800001</v>
      </c>
      <c r="L1606">
        <f>IFERROR([1]!s_stm07_cs($A1606,"W77745895",TEXT($B$1,"yyyy/mm/dd"),1),"")</f>
        <v>770270172.41999996</v>
      </c>
      <c r="M1606">
        <f>IFERROR([1]!S_FA_EPS_basic2($A1606,$B$1,"Cur=CNY"),"")</f>
        <v>0.34</v>
      </c>
      <c r="N1606">
        <f>IFERROR([1]!s_fa_arturndays($A1606,TEXT($B$1,"yyyy/mm/dd")),"")</f>
        <v>270.75810000000001</v>
      </c>
      <c r="O1606" t="str">
        <f>IFERROR([1]!fa_apturndays($A1606,TEXT($B$1,"yyyy/mm/dd")),"")</f>
        <v>Fetch...</v>
      </c>
      <c r="P1606">
        <f>IFERROR([1]!s_fa_invturndays($A1606,TEXT($B$1,"yyyy/mm/dd")),"")</f>
        <v>528.32399999999996</v>
      </c>
    </row>
    <row r="1607" spans="1:16">
      <c r="A1607" t="s">
        <v>1620</v>
      </c>
      <c r="B1607">
        <f>IFERROR([1]!s_stm07_is($A1607,"W70156729",TEXT($B$1,"yyyy/mm/dd"),1),"")</f>
        <v>12384638268.110001</v>
      </c>
      <c r="C1607">
        <f>IFERROR([1]!s_stm07_is($A1607,"W75682424",TEXT($B$1,"yyyy/mm/dd"),1),"")</f>
        <v>7534139015.5600004</v>
      </c>
      <c r="D1607">
        <f>IFERROR([1]!s_stm07_is($A1607,"W76031679",TEXT($B$1,"yyyy/mm/dd"),1),"")</f>
        <v>498511080.73000002</v>
      </c>
      <c r="E1607">
        <f>IFERROR([1]!s_stm07_is($A1607,"W70752487",TEXT($B$1,"yyyy/mm/dd"),1),"")</f>
        <v>477875366.88</v>
      </c>
      <c r="F1607">
        <f>IFERROR([1]!s_stm07_is_103($A1607,TEXT($B$1,"yyyy/mm/dd"),1),"")</f>
        <v>2475424032.1599998</v>
      </c>
      <c r="G1607">
        <f>IFERROR([1]!s_stm07_is_104($A1607,TEXT($B$1,"yyyy/mm/dd"),1),"")</f>
        <v>18929895.030000001</v>
      </c>
      <c r="H1607">
        <f>IFERROR([1]!s_stm07_is_105($A1607,TEXT($B$1,"yyyy/mm/dd"),1),"")</f>
        <v>101244935.17</v>
      </c>
      <c r="I1607">
        <f>IFERROR([1]!s_stm07_is($A1607,"W72946623",TEXT($B$1,"yyyy/mm/dd"),1),"")</f>
        <v>2189849396.6599998</v>
      </c>
      <c r="J1607">
        <f>IFERROR([1]!s_stm07_is($A1607,"W30028333",TEXT($B$1,"yyyy/mm/dd"),1),"")</f>
        <v>2111472990.4300001</v>
      </c>
      <c r="K1607">
        <f>IFERROR([1]!s_stm07_cs($A1607,"W77130581",TEXT($B$1,"yyyy/mm/dd"),1),"")</f>
        <v>2295352919.0799999</v>
      </c>
      <c r="L1607">
        <f>IFERROR([1]!s_stm07_cs($A1607,"W77745895",TEXT($B$1,"yyyy/mm/dd"),1),"")</f>
        <v>854927009.60000002</v>
      </c>
      <c r="M1607">
        <f>IFERROR([1]!S_FA_EPS_basic2($A1607,$B$1,"Cur=CNY"),"")</f>
        <v>3.4</v>
      </c>
      <c r="N1607">
        <f>IFERROR([1]!s_fa_arturndays($A1607,TEXT($B$1,"yyyy/mm/dd")),"")</f>
        <v>48.5319</v>
      </c>
      <c r="O1607" t="str">
        <f>IFERROR([1]!fa_apturndays($A1607,TEXT($B$1,"yyyy/mm/dd")),"")</f>
        <v>Fetch...</v>
      </c>
      <c r="P1607">
        <f>IFERROR([1]!s_fa_invturndays($A1607,TEXT($B$1,"yyyy/mm/dd")),"")</f>
        <v>340.48989999999998</v>
      </c>
    </row>
    <row r="1608" spans="1:16">
      <c r="A1608" t="s">
        <v>1621</v>
      </c>
      <c r="B1608">
        <f>IFERROR([1]!s_stm07_is($A1608,"W70156729",TEXT($B$1,"yyyy/mm/dd"),1),"")</f>
        <v>1350632689.26</v>
      </c>
      <c r="C1608">
        <f>IFERROR([1]!s_stm07_is($A1608,"W75682424",TEXT($B$1,"yyyy/mm/dd"),1),"")</f>
        <v>390570219.07999998</v>
      </c>
      <c r="D1608">
        <f>IFERROR([1]!s_stm07_is($A1608,"W76031679",TEXT($B$1,"yyyy/mm/dd"),1),"")</f>
        <v>208295994.19</v>
      </c>
      <c r="E1608">
        <f>IFERROR([1]!s_stm07_is($A1608,"W70752487",TEXT($B$1,"yyyy/mm/dd"),1),"")</f>
        <v>81956482.530000001</v>
      </c>
      <c r="F1608">
        <f>IFERROR([1]!s_stm07_is_103($A1608,TEXT($B$1,"yyyy/mm/dd"),1),"")</f>
        <v>67786192.379999995</v>
      </c>
      <c r="G1608">
        <f>IFERROR([1]!s_stm07_is_104($A1608,TEXT($B$1,"yyyy/mm/dd"),1),"")</f>
        <v>2160567.46</v>
      </c>
      <c r="H1608">
        <f>IFERROR([1]!s_stm07_is_105($A1608,TEXT($B$1,"yyyy/mm/dd"),1),"")</f>
        <v>10926722.380000001</v>
      </c>
      <c r="I1608">
        <f>IFERROR([1]!s_stm07_is($A1608,"W72946623",TEXT($B$1,"yyyy/mm/dd"),1),"")</f>
        <v>653487183.54999995</v>
      </c>
      <c r="J1608">
        <f>IFERROR([1]!s_stm07_is($A1608,"W30028333",TEXT($B$1,"yyyy/mm/dd"),1),"")</f>
        <v>563325654.82000005</v>
      </c>
      <c r="K1608">
        <f>IFERROR([1]!s_stm07_cs($A1608,"W77130581",TEXT($B$1,"yyyy/mm/dd"),1),"")</f>
        <v>573063955.25</v>
      </c>
      <c r="L1608">
        <f>IFERROR([1]!s_stm07_cs($A1608,"W77745895",TEXT($B$1,"yyyy/mm/dd"),1),"")</f>
        <v>303033026.26999998</v>
      </c>
      <c r="M1608">
        <f>IFERROR([1]!S_FA_EPS_basic2($A1608,$B$1,"Cur=CNY"),"")</f>
        <v>4.6500000000000004</v>
      </c>
      <c r="N1608">
        <f>IFERROR([1]!s_fa_arturndays($A1608,TEXT($B$1,"yyyy/mm/dd")),"")</f>
        <v>77.010300000000001</v>
      </c>
      <c r="O1608" t="str">
        <f>IFERROR([1]!fa_apturndays($A1608,TEXT($B$1,"yyyy/mm/dd")),"")</f>
        <v>Fetch...</v>
      </c>
      <c r="P1608">
        <f>IFERROR([1]!s_fa_invturndays($A1608,TEXT($B$1,"yyyy/mm/dd")),"")</f>
        <v>248.2587</v>
      </c>
    </row>
    <row r="1609" spans="1:16">
      <c r="A1609" t="s">
        <v>1622</v>
      </c>
      <c r="B1609">
        <f>IFERROR([1]!s_stm07_is($A1609,"W70156729",TEXT($B$1,"yyyy/mm/dd"),1),"")</f>
        <v>570714025.25999999</v>
      </c>
      <c r="C1609">
        <f>IFERROR([1]!s_stm07_is($A1609,"W75682424",TEXT($B$1,"yyyy/mm/dd"),1),"")</f>
        <v>360091140.11000001</v>
      </c>
      <c r="D1609">
        <f>IFERROR([1]!s_stm07_is($A1609,"W76031679",TEXT($B$1,"yyyy/mm/dd"),1),"")</f>
        <v>13239427.34</v>
      </c>
      <c r="E1609">
        <f>IFERROR([1]!s_stm07_is($A1609,"W70752487",TEXT($B$1,"yyyy/mm/dd"),1),"")</f>
        <v>26415382.199999999</v>
      </c>
      <c r="F1609">
        <f>IFERROR([1]!s_stm07_is_103($A1609,TEXT($B$1,"yyyy/mm/dd"),1),"")</f>
        <v>53907488.939999998</v>
      </c>
      <c r="G1609">
        <f>IFERROR([1]!s_stm07_is_104($A1609,TEXT($B$1,"yyyy/mm/dd"),1),"")</f>
        <v>3969917.27</v>
      </c>
      <c r="H1609">
        <f>IFERROR([1]!s_stm07_is_105($A1609,TEXT($B$1,"yyyy/mm/dd"),1),"")</f>
        <v>2916319.24</v>
      </c>
      <c r="I1609">
        <f>IFERROR([1]!s_stm07_is($A1609,"W72946623",TEXT($B$1,"yyyy/mm/dd"),1),"")</f>
        <v>144303680.16</v>
      </c>
      <c r="J1609">
        <f>IFERROR([1]!s_stm07_is($A1609,"W30028333",TEXT($B$1,"yyyy/mm/dd"),1),"")</f>
        <v>124366913.56999999</v>
      </c>
      <c r="K1609">
        <f>IFERROR([1]!s_stm07_cs($A1609,"W77130581",TEXT($B$1,"yyyy/mm/dd"),1),"")</f>
        <v>152003651.27000001</v>
      </c>
      <c r="L1609">
        <f>IFERROR([1]!s_stm07_cs($A1609,"W77745895",TEXT($B$1,"yyyy/mm/dd"),1),"")</f>
        <v>99744890.430000007</v>
      </c>
      <c r="M1609">
        <f>IFERROR([1]!S_FA_EPS_basic2($A1609,$B$1,"Cur=CNY"),"")</f>
        <v>0.69240000000000002</v>
      </c>
      <c r="N1609">
        <f>IFERROR([1]!s_fa_arturndays($A1609,TEXT($B$1,"yyyy/mm/dd")),"")</f>
        <v>107.559</v>
      </c>
      <c r="O1609" t="str">
        <f>IFERROR([1]!fa_apturndays($A1609,TEXT($B$1,"yyyy/mm/dd")),"")</f>
        <v>Fetch...</v>
      </c>
      <c r="P1609">
        <f>IFERROR([1]!s_fa_invturndays($A1609,TEXT($B$1,"yyyy/mm/dd")),"")</f>
        <v>265.23239999999998</v>
      </c>
    </row>
    <row r="1610" spans="1:16">
      <c r="A1610" t="s">
        <v>1623</v>
      </c>
      <c r="B1610">
        <f>IFERROR([1]!s_stm07_is($A1610,"W70156729",TEXT($B$1,"yyyy/mm/dd"),1),"")</f>
        <v>2565275431.8099999</v>
      </c>
      <c r="C1610">
        <f>IFERROR([1]!s_stm07_is($A1610,"W75682424",TEXT($B$1,"yyyy/mm/dd"),1),"")</f>
        <v>1369187501.55</v>
      </c>
      <c r="D1610">
        <f>IFERROR([1]!s_stm07_is($A1610,"W76031679",TEXT($B$1,"yyyy/mm/dd"),1),"")</f>
        <v>81799951.739999995</v>
      </c>
      <c r="E1610">
        <f>IFERROR([1]!s_stm07_is($A1610,"W70752487",TEXT($B$1,"yyyy/mm/dd"),1),"")</f>
        <v>88725442.5</v>
      </c>
      <c r="F1610">
        <f>IFERROR([1]!s_stm07_is_103($A1610,TEXT($B$1,"yyyy/mm/dd"),1),"")</f>
        <v>603427212.53999996</v>
      </c>
      <c r="G1610">
        <f>IFERROR([1]!s_stm07_is_104($A1610,TEXT($B$1,"yyyy/mm/dd"),1),"")</f>
        <v>5000022.4400000004</v>
      </c>
      <c r="H1610">
        <f>IFERROR([1]!s_stm07_is_105($A1610,TEXT($B$1,"yyyy/mm/dd"),1),"")</f>
        <v>24160292.800000001</v>
      </c>
      <c r="I1610">
        <f>IFERROR([1]!s_stm07_is($A1610,"W72946623",TEXT($B$1,"yyyy/mm/dd"),1),"")</f>
        <v>507687667.25999999</v>
      </c>
      <c r="J1610">
        <f>IFERROR([1]!s_stm07_is($A1610,"W30028333",TEXT($B$1,"yyyy/mm/dd"),1),"")</f>
        <v>497840142.32999998</v>
      </c>
      <c r="K1610">
        <f>IFERROR([1]!s_stm07_cs($A1610,"W77130581",TEXT($B$1,"yyyy/mm/dd"),1),"")</f>
        <v>522622031.73000002</v>
      </c>
      <c r="L1610">
        <f>IFERROR([1]!s_stm07_cs($A1610,"W77745895",TEXT($B$1,"yyyy/mm/dd"),1),"")</f>
        <v>515730504.27999997</v>
      </c>
      <c r="M1610">
        <f>IFERROR([1]!S_FA_EPS_basic2($A1610,$B$1,"Cur=CNY"),"")</f>
        <v>3.1520000000000001</v>
      </c>
      <c r="N1610">
        <f>IFERROR([1]!s_fa_arturndays($A1610,TEXT($B$1,"yyyy/mm/dd")),"")</f>
        <v>43.260399999999997</v>
      </c>
      <c r="O1610" t="str">
        <f>IFERROR([1]!fa_apturndays($A1610,TEXT($B$1,"yyyy/mm/dd")),"")</f>
        <v>Fetch...</v>
      </c>
      <c r="P1610">
        <f>IFERROR([1]!s_fa_invturndays($A1610,TEXT($B$1,"yyyy/mm/dd")),"")</f>
        <v>146.35339999999999</v>
      </c>
    </row>
    <row r="1611" spans="1:16">
      <c r="A1611" t="s">
        <v>1624</v>
      </c>
      <c r="B1611">
        <f>IFERROR([1]!s_stm07_is($A1611,"W70156729",TEXT($B$1,"yyyy/mm/dd"),1),"")</f>
        <v>2504217940.48</v>
      </c>
      <c r="C1611">
        <f>IFERROR([1]!s_stm07_is($A1611,"W75682424",TEXT($B$1,"yyyy/mm/dd"),1),"")</f>
        <v>1083733403.9200001</v>
      </c>
      <c r="D1611">
        <f>IFERROR([1]!s_stm07_is($A1611,"W76031679",TEXT($B$1,"yyyy/mm/dd"),1),"")</f>
        <v>48145592.590000004</v>
      </c>
      <c r="E1611">
        <f>IFERROR([1]!s_stm07_is($A1611,"W70752487",TEXT($B$1,"yyyy/mm/dd"),1),"")</f>
        <v>125134059.70999999</v>
      </c>
      <c r="F1611">
        <f>IFERROR([1]!s_stm07_is_103($A1611,TEXT($B$1,"yyyy/mm/dd"),1),"")</f>
        <v>444701341.42000002</v>
      </c>
      <c r="G1611">
        <f>IFERROR([1]!s_stm07_is_104($A1611,TEXT($B$1,"yyyy/mm/dd"),1),"")</f>
        <v>26918469.289999999</v>
      </c>
      <c r="H1611">
        <f>IFERROR([1]!s_stm07_is_105($A1611,TEXT($B$1,"yyyy/mm/dd"),1),"")</f>
        <v>47042735.140000001</v>
      </c>
      <c r="I1611">
        <f>IFERROR([1]!s_stm07_is($A1611,"W72946623",TEXT($B$1,"yyyy/mm/dd"),1),"")</f>
        <v>849127969.5</v>
      </c>
      <c r="J1611">
        <f>IFERROR([1]!s_stm07_is($A1611,"W30028333",TEXT($B$1,"yyyy/mm/dd"),1),"")</f>
        <v>783648337.86000001</v>
      </c>
      <c r="K1611">
        <f>IFERROR([1]!s_stm07_cs($A1611,"W77130581",TEXT($B$1,"yyyy/mm/dd"),1),"")</f>
        <v>439774055.91000003</v>
      </c>
      <c r="L1611">
        <f>IFERROR([1]!s_stm07_cs($A1611,"W77745895",TEXT($B$1,"yyyy/mm/dd"),1),"")</f>
        <v>355379846.73000002</v>
      </c>
      <c r="M1611">
        <f>IFERROR([1]!S_FA_EPS_basic2($A1611,$B$1,"Cur=CNY"),"")</f>
        <v>4.66</v>
      </c>
      <c r="N1611">
        <f>IFERROR([1]!s_fa_arturndays($A1611,TEXT($B$1,"yyyy/mm/dd")),"")</f>
        <v>67.916799999999995</v>
      </c>
      <c r="O1611" t="str">
        <f>IFERROR([1]!fa_apturndays($A1611,TEXT($B$1,"yyyy/mm/dd")),"")</f>
        <v>Fetch...</v>
      </c>
      <c r="P1611">
        <f>IFERROR([1]!s_fa_invturndays($A1611,TEXT($B$1,"yyyy/mm/dd")),"")</f>
        <v>276.90179999999998</v>
      </c>
    </row>
    <row r="1612" spans="1:16">
      <c r="A1612" t="s">
        <v>1625</v>
      </c>
      <c r="B1612">
        <f>IFERROR([1]!s_stm07_is($A1612,"W70156729",TEXT($B$1,"yyyy/mm/dd"),1),"")</f>
        <v>310457069.27999997</v>
      </c>
      <c r="C1612">
        <f>IFERROR([1]!s_stm07_is($A1612,"W75682424",TEXT($B$1,"yyyy/mm/dd"),1),"")</f>
        <v>150766587.62</v>
      </c>
      <c r="D1612">
        <f>IFERROR([1]!s_stm07_is($A1612,"W76031679",TEXT($B$1,"yyyy/mm/dd"),1),"")</f>
        <v>30870742.510000002</v>
      </c>
      <c r="E1612">
        <f>IFERROR([1]!s_stm07_is($A1612,"W70752487",TEXT($B$1,"yyyy/mm/dd"),1),"")</f>
        <v>88990565</v>
      </c>
      <c r="F1612">
        <f>IFERROR([1]!s_stm07_is_103($A1612,TEXT($B$1,"yyyy/mm/dd"),1),"")</f>
        <v>118714157.44</v>
      </c>
      <c r="G1612">
        <f>IFERROR([1]!s_stm07_is_104($A1612,TEXT($B$1,"yyyy/mm/dd"),1),"")</f>
        <v>273280.09000000003</v>
      </c>
      <c r="H1612">
        <f>IFERROR([1]!s_stm07_is_105($A1612,TEXT($B$1,"yyyy/mm/dd"),1),"")</f>
        <v>21693613.16</v>
      </c>
      <c r="I1612">
        <f>IFERROR([1]!s_stm07_is($A1612,"W72946623",TEXT($B$1,"yyyy/mm/dd"),1),"")</f>
        <v>5226392.3099999996</v>
      </c>
      <c r="J1612">
        <f>IFERROR([1]!s_stm07_is($A1612,"W30028333",TEXT($B$1,"yyyy/mm/dd"),1),"")</f>
        <v>5391908.6500000004</v>
      </c>
      <c r="K1612">
        <f>IFERROR([1]!s_stm07_cs($A1612,"W77130581",TEXT($B$1,"yyyy/mm/dd"),1),"")</f>
        <v>-10895508.33</v>
      </c>
      <c r="L1612">
        <f>IFERROR([1]!s_stm07_cs($A1612,"W77745895",TEXT($B$1,"yyyy/mm/dd"),1),"")</f>
        <v>107310464.68000001</v>
      </c>
      <c r="M1612">
        <f>IFERROR([1]!S_FA_EPS_basic2($A1612,$B$1,"Cur=CNY"),"")</f>
        <v>0.05</v>
      </c>
      <c r="N1612">
        <f>IFERROR([1]!s_fa_arturndays($A1612,TEXT($B$1,"yyyy/mm/dd")),"")</f>
        <v>163.62889999999999</v>
      </c>
      <c r="O1612" t="str">
        <f>IFERROR([1]!fa_apturndays($A1612,TEXT($B$1,"yyyy/mm/dd")),"")</f>
        <v>Fetch...</v>
      </c>
      <c r="P1612">
        <f>IFERROR([1]!s_fa_invturndays($A1612,TEXT($B$1,"yyyy/mm/dd")),"")</f>
        <v>600.80110000000002</v>
      </c>
    </row>
    <row r="1613" spans="1:16">
      <c r="A1613" t="s">
        <v>1626</v>
      </c>
      <c r="B1613">
        <f>IFERROR([1]!s_stm07_is($A1613,"W70156729",TEXT($B$1,"yyyy/mm/dd"),1),"")</f>
        <v>3183783900.3699999</v>
      </c>
      <c r="C1613">
        <f>IFERROR([1]!s_stm07_is($A1613,"W75682424",TEXT($B$1,"yyyy/mm/dd"),1),"")</f>
        <v>1143165422.5</v>
      </c>
      <c r="D1613">
        <f>IFERROR([1]!s_stm07_is($A1613,"W76031679",TEXT($B$1,"yyyy/mm/dd"),1),"")</f>
        <v>745962430.55999994</v>
      </c>
      <c r="E1613">
        <f>IFERROR([1]!s_stm07_is($A1613,"W70752487",TEXT($B$1,"yyyy/mm/dd"),1),"")</f>
        <v>433573915.52999997</v>
      </c>
      <c r="F1613">
        <f>IFERROR([1]!s_stm07_is_103($A1613,TEXT($B$1,"yyyy/mm/dd"),1),"")</f>
        <v>199046344.86000001</v>
      </c>
      <c r="G1613">
        <f>IFERROR([1]!s_stm07_is_104($A1613,TEXT($B$1,"yyyy/mm/dd"),1),"")</f>
        <v>4535442.5999999996</v>
      </c>
      <c r="H1613">
        <f>IFERROR([1]!s_stm07_is_105($A1613,TEXT($B$1,"yyyy/mm/dd"),1),"")</f>
        <v>69364566.879999995</v>
      </c>
      <c r="I1613">
        <f>IFERROR([1]!s_stm07_is($A1613,"W72946623",TEXT($B$1,"yyyy/mm/dd"),1),"")</f>
        <v>691153946.25999999</v>
      </c>
      <c r="J1613">
        <f>IFERROR([1]!s_stm07_is($A1613,"W30028333",TEXT($B$1,"yyyy/mm/dd"),1),"")</f>
        <v>570327371</v>
      </c>
      <c r="K1613">
        <f>IFERROR([1]!s_stm07_cs($A1613,"W77130581",TEXT($B$1,"yyyy/mm/dd"),1),"")</f>
        <v>687945753.63</v>
      </c>
      <c r="L1613">
        <f>IFERROR([1]!s_stm07_cs($A1613,"W77745895",TEXT($B$1,"yyyy/mm/dd"),1),"")</f>
        <v>254930231.13</v>
      </c>
      <c r="M1613">
        <f>IFERROR([1]!S_FA_EPS_basic2($A1613,$B$1,"Cur=CNY"),"")</f>
        <v>3.05</v>
      </c>
      <c r="N1613">
        <f>IFERROR([1]!s_fa_arturndays($A1613,TEXT($B$1,"yyyy/mm/dd")),"")</f>
        <v>54.875500000000002</v>
      </c>
      <c r="O1613" t="str">
        <f>IFERROR([1]!fa_apturndays($A1613,TEXT($B$1,"yyyy/mm/dd")),"")</f>
        <v>Fetch...</v>
      </c>
      <c r="P1613">
        <f>IFERROR([1]!s_fa_invturndays($A1613,TEXT($B$1,"yyyy/mm/dd")),"")</f>
        <v>182.2877</v>
      </c>
    </row>
    <row r="1614" spans="1:16">
      <c r="A1614" t="s">
        <v>1627</v>
      </c>
      <c r="B1614">
        <f>IFERROR([1]!s_stm07_is($A1614,"W70156729",TEXT($B$1,"yyyy/mm/dd"),1),"")</f>
        <v>1932048272.6800001</v>
      </c>
      <c r="C1614">
        <f>IFERROR([1]!s_stm07_is($A1614,"W75682424",TEXT($B$1,"yyyy/mm/dd"),1),"")</f>
        <v>1445360642.6800001</v>
      </c>
      <c r="D1614">
        <f>IFERROR([1]!s_stm07_is($A1614,"W76031679",TEXT($B$1,"yyyy/mm/dd"),1),"")</f>
        <v>298255595.89999998</v>
      </c>
      <c r="E1614">
        <f>IFERROR([1]!s_stm07_is($A1614,"W70752487",TEXT($B$1,"yyyy/mm/dd"),1),"")</f>
        <v>158239663.11000001</v>
      </c>
      <c r="F1614">
        <f>IFERROR([1]!s_stm07_is_103($A1614,TEXT($B$1,"yyyy/mm/dd"),1),"")</f>
        <v>348872957.27999997</v>
      </c>
      <c r="G1614">
        <f>IFERROR([1]!s_stm07_is_104($A1614,TEXT($B$1,"yyyy/mm/dd"),1),"")</f>
        <v>19319172.460000001</v>
      </c>
      <c r="H1614">
        <f>IFERROR([1]!s_stm07_is_105($A1614,TEXT($B$1,"yyyy/mm/dd"),1),"")</f>
        <v>86786252.799999997</v>
      </c>
      <c r="I1614">
        <f>IFERROR([1]!s_stm07_is($A1614,"W72946623",TEXT($B$1,"yyyy/mm/dd"),1),"")</f>
        <v>-233874369.40000001</v>
      </c>
      <c r="J1614">
        <f>IFERROR([1]!s_stm07_is($A1614,"W30028333",TEXT($B$1,"yyyy/mm/dd"),1),"")</f>
        <v>-161123253.66</v>
      </c>
      <c r="K1614">
        <f>IFERROR([1]!s_stm07_cs($A1614,"W77130581",TEXT($B$1,"yyyy/mm/dd"),1),"")</f>
        <v>-286550340.12</v>
      </c>
      <c r="L1614">
        <f>IFERROR([1]!s_stm07_cs($A1614,"W77745895",TEXT($B$1,"yyyy/mm/dd"),1),"")</f>
        <v>507917145.26999998</v>
      </c>
      <c r="M1614">
        <f>IFERROR([1]!S_FA_EPS_basic2($A1614,$B$1,"Cur=CNY"),"")</f>
        <v>-1.31</v>
      </c>
      <c r="N1614">
        <f>IFERROR([1]!s_fa_arturndays($A1614,TEXT($B$1,"yyyy/mm/dd")),"")</f>
        <v>127.35250000000001</v>
      </c>
      <c r="O1614" t="str">
        <f>IFERROR([1]!fa_apturndays($A1614,TEXT($B$1,"yyyy/mm/dd")),"")</f>
        <v>Fetch...</v>
      </c>
      <c r="P1614">
        <f>IFERROR([1]!s_fa_invturndays($A1614,TEXT($B$1,"yyyy/mm/dd")),"")</f>
        <v>263.11939999999998</v>
      </c>
    </row>
    <row r="1615" spans="1:16">
      <c r="A1615" t="s">
        <v>1628</v>
      </c>
      <c r="B1615">
        <f>IFERROR([1]!s_stm07_is($A1615,"W70156729",TEXT($B$1,"yyyy/mm/dd"),1),"")</f>
        <v>65591236007.160004</v>
      </c>
      <c r="C1615">
        <f>IFERROR([1]!s_stm07_is($A1615,"W75682424",TEXT($B$1,"yyyy/mm/dd"),1),"")</f>
        <v>53029788638.43</v>
      </c>
      <c r="D1615">
        <f>IFERROR([1]!s_stm07_is($A1615,"W76031679",TEXT($B$1,"yyyy/mm/dd"),1),"")</f>
        <v>5204016531.21</v>
      </c>
      <c r="E1615">
        <f>IFERROR([1]!s_stm07_is($A1615,"W70752487",TEXT($B$1,"yyyy/mm/dd"),1),"")</f>
        <v>1677526054.8099999</v>
      </c>
      <c r="F1615">
        <f>IFERROR([1]!s_stm07_is_103($A1615,TEXT($B$1,"yyyy/mm/dd"),1),"")</f>
        <v>2950231240.5700002</v>
      </c>
      <c r="G1615">
        <f>IFERROR([1]!s_stm07_is_104($A1615,TEXT($B$1,"yyyy/mm/dd"),1),"")</f>
        <v>68412862.920000002</v>
      </c>
      <c r="H1615">
        <f>IFERROR([1]!s_stm07_is_105($A1615,TEXT($B$1,"yyyy/mm/dd"),1),"")</f>
        <v>294162062.01999998</v>
      </c>
      <c r="I1615">
        <f>IFERROR([1]!s_stm07_is($A1615,"W72946623",TEXT($B$1,"yyyy/mm/dd"),1),"")</f>
        <v>3182827082.6399999</v>
      </c>
      <c r="J1615">
        <f>IFERROR([1]!s_stm07_is($A1615,"W30028333",TEXT($B$1,"yyyy/mm/dd"),1),"")</f>
        <v>2580636983</v>
      </c>
      <c r="K1615">
        <f>IFERROR([1]!s_stm07_cs($A1615,"W77130581",TEXT($B$1,"yyyy/mm/dd"),1),"")</f>
        <v>1420209653.4100001</v>
      </c>
      <c r="L1615">
        <f>IFERROR([1]!s_stm07_cs($A1615,"W77745895",TEXT($B$1,"yyyy/mm/dd"),1),"")</f>
        <v>983141523.26999998</v>
      </c>
      <c r="M1615">
        <f>IFERROR([1]!S_FA_EPS_basic2($A1615,$B$1,"Cur=CNY"),"")</f>
        <v>2.2599999999999998</v>
      </c>
      <c r="N1615">
        <f>IFERROR([1]!s_fa_arturndays($A1615,TEXT($B$1,"yyyy/mm/dd")),"")</f>
        <v>19.492000000000001</v>
      </c>
      <c r="O1615" t="str">
        <f>IFERROR([1]!fa_apturndays($A1615,TEXT($B$1,"yyyy/mm/dd")),"")</f>
        <v>Fetch...</v>
      </c>
      <c r="P1615">
        <f>IFERROR([1]!s_fa_invturndays($A1615,TEXT($B$1,"yyyy/mm/dd")),"")</f>
        <v>59.625399999999999</v>
      </c>
    </row>
    <row r="1616" spans="1:16">
      <c r="A1616" t="s">
        <v>1629</v>
      </c>
      <c r="B1616">
        <f>IFERROR([1]!s_stm07_is($A1616,"W70156729",TEXT($B$1,"yyyy/mm/dd"),1),"")</f>
        <v>1948488261.73</v>
      </c>
      <c r="C1616">
        <f>IFERROR([1]!s_stm07_is($A1616,"W75682424",TEXT($B$1,"yyyy/mm/dd"),1),"")</f>
        <v>1258924766.04</v>
      </c>
      <c r="D1616">
        <f>IFERROR([1]!s_stm07_is($A1616,"W76031679",TEXT($B$1,"yyyy/mm/dd"),1),"")</f>
        <v>149100668.02000001</v>
      </c>
      <c r="E1616">
        <f>IFERROR([1]!s_stm07_is($A1616,"W70752487",TEXT($B$1,"yyyy/mm/dd"),1),"")</f>
        <v>311984718.79000002</v>
      </c>
      <c r="F1616">
        <f>IFERROR([1]!s_stm07_is_103($A1616,TEXT($B$1,"yyyy/mm/dd"),1),"")</f>
        <v>254508089.06</v>
      </c>
      <c r="G1616">
        <f>IFERROR([1]!s_stm07_is_104($A1616,TEXT($B$1,"yyyy/mm/dd"),1),"")</f>
        <v>33072485.43</v>
      </c>
      <c r="H1616">
        <f>IFERROR([1]!s_stm07_is_105($A1616,TEXT($B$1,"yyyy/mm/dd"),1),"")</f>
        <v>10486273.109999999</v>
      </c>
      <c r="I1616">
        <f>IFERROR([1]!s_stm07_is($A1616,"W72946623",TEXT($B$1,"yyyy/mm/dd"),1),"")</f>
        <v>65672262.869999997</v>
      </c>
      <c r="J1616">
        <f>IFERROR([1]!s_stm07_is($A1616,"W30028333",TEXT($B$1,"yyyy/mm/dd"),1),"")</f>
        <v>71705148.180000007</v>
      </c>
      <c r="K1616">
        <f>IFERROR([1]!s_stm07_cs($A1616,"W77130581",TEXT($B$1,"yyyy/mm/dd"),1),"")</f>
        <v>102969693.54000001</v>
      </c>
      <c r="L1616">
        <f>IFERROR([1]!s_stm07_cs($A1616,"W77745895",TEXT($B$1,"yyyy/mm/dd"),1),"")</f>
        <v>200982037.11000001</v>
      </c>
      <c r="M1616">
        <f>IFERROR([1]!S_FA_EPS_basic2($A1616,$B$1,"Cur=CNY"),"")</f>
        <v>0.36</v>
      </c>
      <c r="N1616">
        <f>IFERROR([1]!s_fa_arturndays($A1616,TEXT($B$1,"yyyy/mm/dd")),"")</f>
        <v>92.542599999999993</v>
      </c>
      <c r="O1616" t="str">
        <f>IFERROR([1]!fa_apturndays($A1616,TEXT($B$1,"yyyy/mm/dd")),"")</f>
        <v>Fetch...</v>
      </c>
      <c r="P1616">
        <f>IFERROR([1]!s_fa_invturndays($A1616,TEXT($B$1,"yyyy/mm/dd")),"")</f>
        <v>604.02679999999998</v>
      </c>
    </row>
    <row r="1617" spans="1:16">
      <c r="A1617" t="s">
        <v>1630</v>
      </c>
      <c r="B1617">
        <f>IFERROR([1]!s_stm07_is($A1617,"W70156729",TEXT($B$1,"yyyy/mm/dd"),1),"")</f>
        <v>14376889476.950001</v>
      </c>
      <c r="C1617">
        <f>IFERROR([1]!s_stm07_is($A1617,"W75682424",TEXT($B$1,"yyyy/mm/dd"),1),"")</f>
        <v>6062959699.7700005</v>
      </c>
      <c r="D1617">
        <f>IFERROR([1]!s_stm07_is($A1617,"W76031679",TEXT($B$1,"yyyy/mm/dd"),1),"")</f>
        <v>633029862.79999995</v>
      </c>
      <c r="E1617">
        <f>IFERROR([1]!s_stm07_is($A1617,"W70752487",TEXT($B$1,"yyyy/mm/dd"),1),"")</f>
        <v>134324609.66</v>
      </c>
      <c r="F1617">
        <f>IFERROR([1]!s_stm07_is_103($A1617,TEXT($B$1,"yyyy/mm/dd"),1),"")</f>
        <v>4145328307.4000001</v>
      </c>
      <c r="G1617">
        <f>IFERROR([1]!s_stm07_is_104($A1617,TEXT($B$1,"yyyy/mm/dd"),1),"")</f>
        <v>58206394.240000002</v>
      </c>
      <c r="H1617">
        <f>IFERROR([1]!s_stm07_is_105($A1617,TEXT($B$1,"yyyy/mm/dd"),1),"")</f>
        <v>233784909.19</v>
      </c>
      <c r="I1617">
        <f>IFERROR([1]!s_stm07_is($A1617,"W72946623",TEXT($B$1,"yyyy/mm/dd"),1),"")</f>
        <v>3596219598.6300001</v>
      </c>
      <c r="J1617">
        <f>IFERROR([1]!s_stm07_is($A1617,"W30028333",TEXT($B$1,"yyyy/mm/dd"),1),"")</f>
        <v>2544890905.6199999</v>
      </c>
      <c r="K1617">
        <f>IFERROR([1]!s_stm07_cs($A1617,"W77130581",TEXT($B$1,"yyyy/mm/dd"),1),"")</f>
        <v>2096939063.47</v>
      </c>
      <c r="L1617">
        <f>IFERROR([1]!s_stm07_cs($A1617,"W77745895",TEXT($B$1,"yyyy/mm/dd"),1),"")</f>
        <v>1169990765.5599999</v>
      </c>
      <c r="M1617">
        <f>IFERROR([1]!S_FA_EPS_basic2($A1617,$B$1,"Cur=CNY"),"")</f>
        <v>1.1000000000000001</v>
      </c>
      <c r="N1617">
        <f>IFERROR([1]!s_fa_arturndays($A1617,TEXT($B$1,"yyyy/mm/dd")),"")</f>
        <v>78.990700000000004</v>
      </c>
      <c r="O1617" t="str">
        <f>IFERROR([1]!fa_apturndays($A1617,TEXT($B$1,"yyyy/mm/dd")),"")</f>
        <v>Fetch...</v>
      </c>
      <c r="P1617">
        <f>IFERROR([1]!s_fa_invturndays($A1617,TEXT($B$1,"yyyy/mm/dd")),"")</f>
        <v>351.25380000000001</v>
      </c>
    </row>
    <row r="1618" spans="1:16">
      <c r="A1618" t="s">
        <v>1631</v>
      </c>
      <c r="B1618">
        <f>IFERROR([1]!s_stm07_is($A1618,"W70156729",TEXT($B$1,"yyyy/mm/dd"),1),"")</f>
        <v>635320567.72000003</v>
      </c>
      <c r="C1618">
        <f>IFERROR([1]!s_stm07_is($A1618,"W75682424",TEXT($B$1,"yyyy/mm/dd"),1),"")</f>
        <v>336353953.08999997</v>
      </c>
      <c r="D1618">
        <f>IFERROR([1]!s_stm07_is($A1618,"W76031679",TEXT($B$1,"yyyy/mm/dd"),1),"")</f>
        <v>106552271.62</v>
      </c>
      <c r="E1618">
        <f>IFERROR([1]!s_stm07_is($A1618,"W70752487",TEXT($B$1,"yyyy/mm/dd"),1),"")</f>
        <v>106115560.40000001</v>
      </c>
      <c r="F1618">
        <f>IFERROR([1]!s_stm07_is_103($A1618,TEXT($B$1,"yyyy/mm/dd"),1),"")</f>
        <v>434145859.08999997</v>
      </c>
      <c r="G1618">
        <f>IFERROR([1]!s_stm07_is_104($A1618,TEXT($B$1,"yyyy/mm/dd"),1),"")</f>
        <v>348568.67</v>
      </c>
      <c r="H1618">
        <f>IFERROR([1]!s_stm07_is_105($A1618,TEXT($B$1,"yyyy/mm/dd"),1),"")</f>
        <v>2683514.17</v>
      </c>
      <c r="I1618">
        <f>IFERROR([1]!s_stm07_is($A1618,"W72946623",TEXT($B$1,"yyyy/mm/dd"),1),"")</f>
        <v>-445284645.62</v>
      </c>
      <c r="J1618">
        <f>IFERROR([1]!s_stm07_is($A1618,"W30028333",TEXT($B$1,"yyyy/mm/dd"),1),"")</f>
        <v>-455140256.17000002</v>
      </c>
      <c r="K1618">
        <f>IFERROR([1]!s_stm07_cs($A1618,"W77130581",TEXT($B$1,"yyyy/mm/dd"),1),"")</f>
        <v>-347892732.83999997</v>
      </c>
      <c r="L1618">
        <f>IFERROR([1]!s_stm07_cs($A1618,"W77745895",TEXT($B$1,"yyyy/mm/dd"),1),"")</f>
        <v>47811676.18</v>
      </c>
      <c r="M1618">
        <f>IFERROR([1]!S_FA_EPS_basic2($A1618,$B$1,"Cur=CNY"),"")</f>
        <v>-1.1364000000000001</v>
      </c>
      <c r="N1618">
        <f>IFERROR([1]!s_fa_arturndays($A1618,TEXT($B$1,"yyyy/mm/dd")),"")</f>
        <v>274.1395</v>
      </c>
      <c r="O1618" t="str">
        <f>IFERROR([1]!fa_apturndays($A1618,TEXT($B$1,"yyyy/mm/dd")),"")</f>
        <v>Fetch...</v>
      </c>
      <c r="P1618">
        <f>IFERROR([1]!s_fa_invturndays($A1618,TEXT($B$1,"yyyy/mm/dd")),"")</f>
        <v>936.52449999999999</v>
      </c>
    </row>
    <row r="1619" spans="1:16">
      <c r="A1619" t="s">
        <v>1632</v>
      </c>
      <c r="B1619">
        <f>IFERROR([1]!s_stm07_is($A1619,"W70156729",TEXT($B$1,"yyyy/mm/dd"),1),"")</f>
        <v>477377559.44</v>
      </c>
      <c r="C1619">
        <f>IFERROR([1]!s_stm07_is($A1619,"W75682424",TEXT($B$1,"yyyy/mm/dd"),1),"")</f>
        <v>312498746.51999998</v>
      </c>
      <c r="D1619">
        <f>IFERROR([1]!s_stm07_is($A1619,"W76031679",TEXT($B$1,"yyyy/mm/dd"),1),"")</f>
        <v>13801425.960000001</v>
      </c>
      <c r="E1619">
        <f>IFERROR([1]!s_stm07_is($A1619,"W70752487",TEXT($B$1,"yyyy/mm/dd"),1),"")</f>
        <v>43477359.18</v>
      </c>
      <c r="F1619">
        <f>IFERROR([1]!s_stm07_is_103($A1619,TEXT($B$1,"yyyy/mm/dd"),1),"")</f>
        <v>115439829.97</v>
      </c>
      <c r="G1619">
        <f>IFERROR([1]!s_stm07_is_104($A1619,TEXT($B$1,"yyyy/mm/dd"),1),"")</f>
        <v>920848.12</v>
      </c>
      <c r="H1619">
        <f>IFERROR([1]!s_stm07_is_105($A1619,TEXT($B$1,"yyyy/mm/dd"),1),"")</f>
        <v>20828393.640000001</v>
      </c>
      <c r="I1619">
        <f>IFERROR([1]!s_stm07_is($A1619,"W72946623",TEXT($B$1,"yyyy/mm/dd"),1),"")</f>
        <v>13479732.42</v>
      </c>
      <c r="J1619">
        <f>IFERROR([1]!s_stm07_is($A1619,"W30028333",TEXT($B$1,"yyyy/mm/dd"),1),"")</f>
        <v>21764076.48</v>
      </c>
      <c r="K1619">
        <f>IFERROR([1]!s_stm07_cs($A1619,"W77130581",TEXT($B$1,"yyyy/mm/dd"),1),"")</f>
        <v>21700713.449999999</v>
      </c>
      <c r="L1619">
        <f>IFERROR([1]!s_stm07_cs($A1619,"W77745895",TEXT($B$1,"yyyy/mm/dd"),1),"")</f>
        <v>38944971.469999999</v>
      </c>
      <c r="M1619">
        <f>IFERROR([1]!S_FA_EPS_basic2($A1619,$B$1,"Cur=CNY"),"")</f>
        <v>0.1242</v>
      </c>
      <c r="N1619">
        <f>IFERROR([1]!s_fa_arturndays($A1619,TEXT($B$1,"yyyy/mm/dd")),"")</f>
        <v>98.624700000000004</v>
      </c>
      <c r="O1619" t="str">
        <f>IFERROR([1]!fa_apturndays($A1619,TEXT($B$1,"yyyy/mm/dd")),"")</f>
        <v>Fetch...</v>
      </c>
      <c r="P1619">
        <f>IFERROR([1]!s_fa_invturndays($A1619,TEXT($B$1,"yyyy/mm/dd")),"")</f>
        <v>200.8929</v>
      </c>
    </row>
    <row r="1620" spans="1:16">
      <c r="A1620" t="s">
        <v>1633</v>
      </c>
      <c r="B1620">
        <f>IFERROR([1]!s_stm07_is($A1620,"W70156729",TEXT($B$1,"yyyy/mm/dd"),1),"")</f>
        <v>1482702741.3299999</v>
      </c>
      <c r="C1620">
        <f>IFERROR([1]!s_stm07_is($A1620,"W75682424",TEXT($B$1,"yyyy/mm/dd"),1),"")</f>
        <v>541288873.75</v>
      </c>
      <c r="D1620">
        <f>IFERROR([1]!s_stm07_is($A1620,"W76031679",TEXT($B$1,"yyyy/mm/dd"),1),"")</f>
        <v>257600284.08000001</v>
      </c>
      <c r="E1620">
        <f>IFERROR([1]!s_stm07_is($A1620,"W70752487",TEXT($B$1,"yyyy/mm/dd"),1),"")</f>
        <v>189667113.53</v>
      </c>
      <c r="F1620">
        <f>IFERROR([1]!s_stm07_is_103($A1620,TEXT($B$1,"yyyy/mm/dd"),1),"")</f>
        <v>95654372.790000007</v>
      </c>
      <c r="G1620">
        <f>IFERROR([1]!s_stm07_is_104($A1620,TEXT($B$1,"yyyy/mm/dd"),1),"")</f>
        <v>22984026.27</v>
      </c>
      <c r="H1620">
        <f>IFERROR([1]!s_stm07_is_105($A1620,TEXT($B$1,"yyyy/mm/dd"),1),"")</f>
        <v>3065611.06</v>
      </c>
      <c r="I1620">
        <f>IFERROR([1]!s_stm07_is($A1620,"W72946623",TEXT($B$1,"yyyy/mm/dd"),1),"")</f>
        <v>289262319.37</v>
      </c>
      <c r="J1620">
        <f>IFERROR([1]!s_stm07_is($A1620,"W30028333",TEXT($B$1,"yyyy/mm/dd"),1),"")</f>
        <v>268170112.63999999</v>
      </c>
      <c r="K1620">
        <f>IFERROR([1]!s_stm07_cs($A1620,"W77130581",TEXT($B$1,"yyyy/mm/dd"),1),"")</f>
        <v>369147116.54000002</v>
      </c>
      <c r="L1620">
        <f>IFERROR([1]!s_stm07_cs($A1620,"W77745895",TEXT($B$1,"yyyy/mm/dd"),1),"")</f>
        <v>123138553.20999999</v>
      </c>
      <c r="M1620">
        <f>IFERROR([1]!S_FA_EPS_basic2($A1620,$B$1,"Cur=CNY"),"")</f>
        <v>1.4</v>
      </c>
      <c r="N1620">
        <f>IFERROR([1]!s_fa_arturndays($A1620,TEXT($B$1,"yyyy/mm/dd")),"")</f>
        <v>99.986099999999993</v>
      </c>
      <c r="O1620" t="str">
        <f>IFERROR([1]!fa_apturndays($A1620,TEXT($B$1,"yyyy/mm/dd")),"")</f>
        <v>Fetch...</v>
      </c>
      <c r="P1620">
        <f>IFERROR([1]!s_fa_invturndays($A1620,TEXT($B$1,"yyyy/mm/dd")),"")</f>
        <v>194.81569999999999</v>
      </c>
    </row>
    <row r="1621" spans="1:16">
      <c r="A1621" t="s">
        <v>1634</v>
      </c>
      <c r="B1621">
        <f>IFERROR([1]!s_stm07_is($A1621,"W70156729",TEXT($B$1,"yyyy/mm/dd"),1),"")</f>
        <v>3367823066.23</v>
      </c>
      <c r="C1621">
        <f>IFERROR([1]!s_stm07_is($A1621,"W75682424",TEXT($B$1,"yyyy/mm/dd"),1),"")</f>
        <v>2190629777.1500001</v>
      </c>
      <c r="D1621">
        <f>IFERROR([1]!s_stm07_is($A1621,"W76031679",TEXT($B$1,"yyyy/mm/dd"),1),"")</f>
        <v>260897044.36000001</v>
      </c>
      <c r="E1621">
        <f>IFERROR([1]!s_stm07_is($A1621,"W70752487",TEXT($B$1,"yyyy/mm/dd"),1),"")</f>
        <v>294169596.85000002</v>
      </c>
      <c r="F1621">
        <f>IFERROR([1]!s_stm07_is_103($A1621,TEXT($B$1,"yyyy/mm/dd"),1),"")</f>
        <v>794602749.25</v>
      </c>
      <c r="G1621">
        <f>IFERROR([1]!s_stm07_is_104($A1621,TEXT($B$1,"yyyy/mm/dd"),1),"")</f>
        <v>22671291.600000001</v>
      </c>
      <c r="H1621">
        <f>IFERROR([1]!s_stm07_is_105($A1621,TEXT($B$1,"yyyy/mm/dd"),1),"")</f>
        <v>8356546.1299999999</v>
      </c>
      <c r="I1621">
        <f>IFERROR([1]!s_stm07_is($A1621,"W72946623",TEXT($B$1,"yyyy/mm/dd"),1),"")</f>
        <v>-241195161.77000001</v>
      </c>
      <c r="J1621">
        <f>IFERROR([1]!s_stm07_is($A1621,"W30028333",TEXT($B$1,"yyyy/mm/dd"),1),"")</f>
        <v>-228874593.34</v>
      </c>
      <c r="K1621">
        <f>IFERROR([1]!s_stm07_cs($A1621,"W77130581",TEXT($B$1,"yyyy/mm/dd"),1),"")</f>
        <v>-626627239.84000003</v>
      </c>
      <c r="L1621">
        <f>IFERROR([1]!s_stm07_cs($A1621,"W77745895",TEXT($B$1,"yyyy/mm/dd"),1),"")</f>
        <v>402390672.56999999</v>
      </c>
      <c r="M1621">
        <f>IFERROR([1]!S_FA_EPS_basic2($A1621,$B$1,"Cur=CNY"),"")</f>
        <v>-1.6</v>
      </c>
      <c r="N1621">
        <f>IFERROR([1]!s_fa_arturndays($A1621,TEXT($B$1,"yyyy/mm/dd")),"")</f>
        <v>55.0139</v>
      </c>
      <c r="O1621" t="str">
        <f>IFERROR([1]!fa_apturndays($A1621,TEXT($B$1,"yyyy/mm/dd")),"")</f>
        <v>Fetch...</v>
      </c>
      <c r="P1621">
        <f>IFERROR([1]!s_fa_invturndays($A1621,TEXT($B$1,"yyyy/mm/dd")),"")</f>
        <v>189.73330000000001</v>
      </c>
    </row>
    <row r="1622" spans="1:16">
      <c r="A1622" t="s">
        <v>1635</v>
      </c>
      <c r="B1622">
        <f>IFERROR([1]!s_stm07_is($A1622,"W70156729",TEXT($B$1,"yyyy/mm/dd"),1),"")</f>
        <v>662515554.62</v>
      </c>
      <c r="C1622">
        <f>IFERROR([1]!s_stm07_is($A1622,"W75682424",TEXT($B$1,"yyyy/mm/dd"),1),"")</f>
        <v>64463671.100000001</v>
      </c>
      <c r="D1622">
        <f>IFERROR([1]!s_stm07_is($A1622,"W76031679",TEXT($B$1,"yyyy/mm/dd"),1),"")</f>
        <v>225255980.56999999</v>
      </c>
      <c r="E1622">
        <f>IFERROR([1]!s_stm07_is($A1622,"W70752487",TEXT($B$1,"yyyy/mm/dd"),1),"")</f>
        <v>268571223.41000003</v>
      </c>
      <c r="F1622">
        <f>IFERROR([1]!s_stm07_is_103($A1622,TEXT($B$1,"yyyy/mm/dd"),1),"")</f>
        <v>976960824.37</v>
      </c>
      <c r="G1622">
        <f>IFERROR([1]!s_stm07_is_104($A1622,TEXT($B$1,"yyyy/mm/dd"),1),"")</f>
        <v>90846087.760000005</v>
      </c>
      <c r="H1622">
        <f>IFERROR([1]!s_stm07_is_105($A1622,TEXT($B$1,"yyyy/mm/dd"),1),"")</f>
        <v>7609136.7699999996</v>
      </c>
      <c r="I1622">
        <f>IFERROR([1]!s_stm07_is($A1622,"W72946623",TEXT($B$1,"yyyy/mm/dd"),1),"")</f>
        <v>-956393708.05999994</v>
      </c>
      <c r="J1622">
        <f>IFERROR([1]!s_stm07_is($A1622,"W30028333",TEXT($B$1,"yyyy/mm/dd"),1),"")</f>
        <v>-969333663.42999995</v>
      </c>
      <c r="K1622">
        <f>IFERROR([1]!s_stm07_cs($A1622,"W77130581",TEXT($B$1,"yyyy/mm/dd"),1),"")</f>
        <v>-290223166.42000002</v>
      </c>
      <c r="L1622">
        <f>IFERROR([1]!s_stm07_cs($A1622,"W77745895",TEXT($B$1,"yyyy/mm/dd"),1),"")</f>
        <v>157710880.15000001</v>
      </c>
      <c r="M1622">
        <f>IFERROR([1]!S_FA_EPS_basic2($A1622,$B$1,"Cur=CNY"),"")</f>
        <v>-2.4300000000000002</v>
      </c>
      <c r="N1622">
        <f>IFERROR([1]!s_fa_arturndays($A1622,TEXT($B$1,"yyyy/mm/dd")),"")</f>
        <v>37.529299999999999</v>
      </c>
      <c r="O1622" t="str">
        <f>IFERROR([1]!fa_apturndays($A1622,TEXT($B$1,"yyyy/mm/dd")),"")</f>
        <v>Fetch...</v>
      </c>
      <c r="P1622">
        <f>IFERROR([1]!s_fa_invturndays($A1622,TEXT($B$1,"yyyy/mm/dd")),"")</f>
        <v>1115.5871999999999</v>
      </c>
    </row>
    <row r="1623" spans="1:16">
      <c r="A1623" t="s">
        <v>1636</v>
      </c>
      <c r="B1623">
        <f>IFERROR([1]!s_stm07_is($A1623,"W70156729",TEXT($B$1,"yyyy/mm/dd"),1),"")</f>
        <v>3163792551.0100002</v>
      </c>
      <c r="C1623">
        <f>IFERROR([1]!s_stm07_is($A1623,"W75682424",TEXT($B$1,"yyyy/mm/dd"),1),"")</f>
        <v>2606008099.73</v>
      </c>
      <c r="D1623">
        <f>IFERROR([1]!s_stm07_is($A1623,"W76031679",TEXT($B$1,"yyyy/mm/dd"),1),"")</f>
        <v>160130489.41999999</v>
      </c>
      <c r="E1623">
        <f>IFERROR([1]!s_stm07_is($A1623,"W70752487",TEXT($B$1,"yyyy/mm/dd"),1),"")</f>
        <v>120371536.26000001</v>
      </c>
      <c r="F1623">
        <f>IFERROR([1]!s_stm07_is_103($A1623,TEXT($B$1,"yyyy/mm/dd"),1),"")</f>
        <v>319979152.86000001</v>
      </c>
      <c r="G1623">
        <f>IFERROR([1]!s_stm07_is_104($A1623,TEXT($B$1,"yyyy/mm/dd"),1),"")</f>
        <v>27511555.129999999</v>
      </c>
      <c r="H1623">
        <f>IFERROR([1]!s_stm07_is_105($A1623,TEXT($B$1,"yyyy/mm/dd"),1),"")</f>
        <v>52036396.210000001</v>
      </c>
      <c r="I1623">
        <f>IFERROR([1]!s_stm07_is($A1623,"W72946623",TEXT($B$1,"yyyy/mm/dd"),1),"")</f>
        <v>16740000.85</v>
      </c>
      <c r="J1623">
        <f>IFERROR([1]!s_stm07_is($A1623,"W30028333",TEXT($B$1,"yyyy/mm/dd"),1),"")</f>
        <v>84728759.370000005</v>
      </c>
      <c r="K1623">
        <f>IFERROR([1]!s_stm07_cs($A1623,"W77130581",TEXT($B$1,"yyyy/mm/dd"),1),"")</f>
        <v>682594675.32000005</v>
      </c>
      <c r="L1623">
        <f>IFERROR([1]!s_stm07_cs($A1623,"W77745895",TEXT($B$1,"yyyy/mm/dd"),1),"")</f>
        <v>508643836.07999998</v>
      </c>
      <c r="M1623">
        <f>IFERROR([1]!S_FA_EPS_basic2($A1623,$B$1,"Cur=CNY"),"")</f>
        <v>0.35</v>
      </c>
      <c r="N1623">
        <f>IFERROR([1]!s_fa_arturndays($A1623,TEXT($B$1,"yyyy/mm/dd")),"")</f>
        <v>114.6533</v>
      </c>
      <c r="O1623" t="str">
        <f>IFERROR([1]!fa_apturndays($A1623,TEXT($B$1,"yyyy/mm/dd")),"")</f>
        <v>Fetch...</v>
      </c>
      <c r="P1623">
        <f>IFERROR([1]!s_fa_invturndays($A1623,TEXT($B$1,"yyyy/mm/dd")),"")</f>
        <v>159.58860000000001</v>
      </c>
    </row>
    <row r="1624" spans="1:16">
      <c r="A1624" t="s">
        <v>1637</v>
      </c>
      <c r="B1624">
        <f>IFERROR([1]!s_stm07_is($A1624,"W70156729",TEXT($B$1,"yyyy/mm/dd"),1),"")</f>
        <v>3295051930.2800002</v>
      </c>
      <c r="C1624">
        <f>IFERROR([1]!s_stm07_is($A1624,"W75682424",TEXT($B$1,"yyyy/mm/dd"),1),"")</f>
        <v>2167646190.2399998</v>
      </c>
      <c r="D1624">
        <f>IFERROR([1]!s_stm07_is($A1624,"W76031679",TEXT($B$1,"yyyy/mm/dd"),1),"")</f>
        <v>60062652.359999999</v>
      </c>
      <c r="E1624">
        <f>IFERROR([1]!s_stm07_is($A1624,"W70752487",TEXT($B$1,"yyyy/mm/dd"),1),"")</f>
        <v>174935755.59999999</v>
      </c>
      <c r="F1624">
        <f>IFERROR([1]!s_stm07_is_103($A1624,TEXT($B$1,"yyyy/mm/dd"),1),"")</f>
        <v>237891987.96000001</v>
      </c>
      <c r="G1624">
        <f>IFERROR([1]!s_stm07_is_104($A1624,TEXT($B$1,"yyyy/mm/dd"),1),"")</f>
        <v>8790803.2699999996</v>
      </c>
      <c r="H1624">
        <f>IFERROR([1]!s_stm07_is_105($A1624,TEXT($B$1,"yyyy/mm/dd"),1),"")</f>
        <v>184200749.03</v>
      </c>
      <c r="I1624">
        <f>IFERROR([1]!s_stm07_is($A1624,"W72946623",TEXT($B$1,"yyyy/mm/dd"),1),"")</f>
        <v>630164828.94000006</v>
      </c>
      <c r="J1624">
        <f>IFERROR([1]!s_stm07_is($A1624,"W30028333",TEXT($B$1,"yyyy/mm/dd"),1),"")</f>
        <v>560720036.92999995</v>
      </c>
      <c r="K1624">
        <f>IFERROR([1]!s_stm07_cs($A1624,"W77130581",TEXT($B$1,"yyyy/mm/dd"),1),"")</f>
        <v>404123097.68000001</v>
      </c>
      <c r="L1624">
        <f>IFERROR([1]!s_stm07_cs($A1624,"W77745895",TEXT($B$1,"yyyy/mm/dd"),1),"")</f>
        <v>743459192.80999994</v>
      </c>
      <c r="M1624">
        <f>IFERROR([1]!S_FA_EPS_basic2($A1624,$B$1,"Cur=CNY"),"")</f>
        <v>0.82</v>
      </c>
      <c r="N1624">
        <f>IFERROR([1]!s_fa_arturndays($A1624,TEXT($B$1,"yyyy/mm/dd")),"")</f>
        <v>29.756499999999999</v>
      </c>
      <c r="O1624" t="str">
        <f>IFERROR([1]!fa_apturndays($A1624,TEXT($B$1,"yyyy/mm/dd")),"")</f>
        <v>Fetch...</v>
      </c>
      <c r="P1624">
        <f>IFERROR([1]!s_fa_invturndays($A1624,TEXT($B$1,"yyyy/mm/dd")),"")</f>
        <v>217.6147</v>
      </c>
    </row>
    <row r="1625" spans="1:16">
      <c r="A1625" t="s">
        <v>1638</v>
      </c>
      <c r="B1625">
        <f>IFERROR([1]!s_stm07_is($A1625,"W70156729",TEXT($B$1,"yyyy/mm/dd"),1),"")</f>
        <v>404875328.82999998</v>
      </c>
      <c r="C1625">
        <f>IFERROR([1]!s_stm07_is($A1625,"W75682424",TEXT($B$1,"yyyy/mm/dd"),1),"")</f>
        <v>171780522.83000001</v>
      </c>
      <c r="D1625">
        <f>IFERROR([1]!s_stm07_is($A1625,"W76031679",TEXT($B$1,"yyyy/mm/dd"),1),"")</f>
        <v>220578633.28999999</v>
      </c>
      <c r="E1625">
        <f>IFERROR([1]!s_stm07_is($A1625,"W70752487",TEXT($B$1,"yyyy/mm/dd"),1),"")</f>
        <v>108103239.65000001</v>
      </c>
      <c r="F1625">
        <f>IFERROR([1]!s_stm07_is_103($A1625,TEXT($B$1,"yyyy/mm/dd"),1),"")</f>
        <v>162283848.15000001</v>
      </c>
      <c r="G1625">
        <f>IFERROR([1]!s_stm07_is_104($A1625,TEXT($B$1,"yyyy/mm/dd"),1),"")</f>
        <v>8800371.4499999993</v>
      </c>
      <c r="H1625">
        <f>IFERROR([1]!s_stm07_is_105($A1625,TEXT($B$1,"yyyy/mm/dd"),1),"")</f>
        <v>21440494.329999998</v>
      </c>
      <c r="I1625">
        <f>IFERROR([1]!s_stm07_is($A1625,"W72946623",TEXT($B$1,"yyyy/mm/dd"),1),"")</f>
        <v>-267275739.97999999</v>
      </c>
      <c r="J1625">
        <f>IFERROR([1]!s_stm07_is($A1625,"W30028333",TEXT($B$1,"yyyy/mm/dd"),1),"")</f>
        <v>-216045116.97</v>
      </c>
      <c r="K1625">
        <f>IFERROR([1]!s_stm07_cs($A1625,"W77130581",TEXT($B$1,"yyyy/mm/dd"),1),"")</f>
        <v>-83356823.170000002</v>
      </c>
      <c r="L1625">
        <f>IFERROR([1]!s_stm07_cs($A1625,"W77745895",TEXT($B$1,"yyyy/mm/dd"),1),"")</f>
        <v>43573509.960000001</v>
      </c>
      <c r="M1625">
        <f>IFERROR([1]!S_FA_EPS_basic2($A1625,$B$1,"Cur=CNY"),"")</f>
        <v>-2.5</v>
      </c>
      <c r="N1625">
        <f>IFERROR([1]!s_fa_arturndays($A1625,TEXT($B$1,"yyyy/mm/dd")),"")</f>
        <v>93.322299999999998</v>
      </c>
      <c r="O1625" t="str">
        <f>IFERROR([1]!fa_apturndays($A1625,TEXT($B$1,"yyyy/mm/dd")),"")</f>
        <v>Fetch...</v>
      </c>
      <c r="P1625">
        <f>IFERROR([1]!s_fa_invturndays($A1625,TEXT($B$1,"yyyy/mm/dd")),"")</f>
        <v>170.59989999999999</v>
      </c>
    </row>
    <row r="1626" spans="1:16">
      <c r="A1626" t="s">
        <v>1639</v>
      </c>
      <c r="B1626">
        <f>IFERROR([1]!s_stm07_is($A1626,"W70156729",TEXT($B$1,"yyyy/mm/dd"),1),"")</f>
        <v>6786170247.7600002</v>
      </c>
      <c r="C1626">
        <f>IFERROR([1]!s_stm07_is($A1626,"W75682424",TEXT($B$1,"yyyy/mm/dd"),1),"")</f>
        <v>3507229312.6599998</v>
      </c>
      <c r="D1626">
        <f>IFERROR([1]!s_stm07_is($A1626,"W76031679",TEXT($B$1,"yyyy/mm/dd"),1),"")</f>
        <v>551299154.66999996</v>
      </c>
      <c r="E1626">
        <f>IFERROR([1]!s_stm07_is($A1626,"W70752487",TEXT($B$1,"yyyy/mm/dd"),1),"")</f>
        <v>256758262.41</v>
      </c>
      <c r="F1626">
        <f>IFERROR([1]!s_stm07_is_103($A1626,TEXT($B$1,"yyyy/mm/dd"),1),"")</f>
        <v>1003362375.64</v>
      </c>
      <c r="G1626">
        <f>IFERROR([1]!s_stm07_is_104($A1626,TEXT($B$1,"yyyy/mm/dd"),1),"")</f>
        <v>41278922.770000003</v>
      </c>
      <c r="H1626">
        <f>IFERROR([1]!s_stm07_is_105($A1626,TEXT($B$1,"yyyy/mm/dd"),1),"")</f>
        <v>73791121.890000001</v>
      </c>
      <c r="I1626">
        <f>IFERROR([1]!s_stm07_is($A1626,"W72946623",TEXT($B$1,"yyyy/mm/dd"),1),"")</f>
        <v>1456679049.2</v>
      </c>
      <c r="J1626">
        <f>IFERROR([1]!s_stm07_is($A1626,"W30028333",TEXT($B$1,"yyyy/mm/dd"),1),"")</f>
        <v>1395929467.1300001</v>
      </c>
      <c r="K1626">
        <f>IFERROR([1]!s_stm07_cs($A1626,"W77130581",TEXT($B$1,"yyyy/mm/dd"),1),"")</f>
        <v>238842882.81999999</v>
      </c>
      <c r="L1626">
        <f>IFERROR([1]!s_stm07_cs($A1626,"W77745895",TEXT($B$1,"yyyy/mm/dd"),1),"")</f>
        <v>503962779.14999998</v>
      </c>
      <c r="M1626">
        <f>IFERROR([1]!S_FA_EPS_basic2($A1626,$B$1,"Cur=CNY"),"")</f>
        <v>3.1</v>
      </c>
      <c r="N1626">
        <f>IFERROR([1]!s_fa_arturndays($A1626,TEXT($B$1,"yyyy/mm/dd")),"")</f>
        <v>140.3509</v>
      </c>
      <c r="O1626" t="str">
        <f>IFERROR([1]!fa_apturndays($A1626,TEXT($B$1,"yyyy/mm/dd")),"")</f>
        <v>Fetch...</v>
      </c>
      <c r="P1626">
        <f>IFERROR([1]!s_fa_invturndays($A1626,TEXT($B$1,"yyyy/mm/dd")),"")</f>
        <v>473.31049999999999</v>
      </c>
    </row>
    <row r="1627" spans="1:16">
      <c r="A1627" t="s">
        <v>1640</v>
      </c>
      <c r="B1627">
        <f>IFERROR([1]!s_stm07_is($A1627,"W70156729",TEXT($B$1,"yyyy/mm/dd"),1),"")</f>
        <v>893380059.57000005</v>
      </c>
      <c r="C1627">
        <f>IFERROR([1]!s_stm07_is($A1627,"W75682424",TEXT($B$1,"yyyy/mm/dd"),1),"")</f>
        <v>35998162.399999999</v>
      </c>
      <c r="D1627">
        <f>IFERROR([1]!s_stm07_is($A1627,"W76031679",TEXT($B$1,"yyyy/mm/dd"),1),"")</f>
        <v>402988297.75999999</v>
      </c>
      <c r="E1627">
        <f>IFERROR([1]!s_stm07_is($A1627,"W70752487",TEXT($B$1,"yyyy/mm/dd"),1),"")</f>
        <v>129851353</v>
      </c>
      <c r="F1627">
        <f>IFERROR([1]!s_stm07_is_103($A1627,TEXT($B$1,"yyyy/mm/dd"),1),"")</f>
        <v>462786998.31</v>
      </c>
      <c r="G1627">
        <f>IFERROR([1]!s_stm07_is_104($A1627,TEXT($B$1,"yyyy/mm/dd"),1),"")</f>
        <v>3082947.32</v>
      </c>
      <c r="H1627">
        <f>IFERROR([1]!s_stm07_is_105($A1627,TEXT($B$1,"yyyy/mm/dd"),1),"")</f>
        <v>3246012.85</v>
      </c>
      <c r="I1627">
        <f>IFERROR([1]!s_stm07_is($A1627,"W72946623",TEXT($B$1,"yyyy/mm/dd"),1),"")</f>
        <v>10336259.890000001</v>
      </c>
      <c r="J1627">
        <f>IFERROR([1]!s_stm07_is($A1627,"W30028333",TEXT($B$1,"yyyy/mm/dd"),1),"")</f>
        <v>20745430.239999998</v>
      </c>
      <c r="K1627">
        <f>IFERROR([1]!s_stm07_cs($A1627,"W77130581",TEXT($B$1,"yyyy/mm/dd"),1),"")</f>
        <v>124754273.06999999</v>
      </c>
      <c r="L1627">
        <f>IFERROR([1]!s_stm07_cs($A1627,"W77745895",TEXT($B$1,"yyyy/mm/dd"),1),"")</f>
        <v>94962629.790000007</v>
      </c>
      <c r="M1627">
        <f>IFERROR([1]!S_FA_EPS_basic2($A1627,$B$1,"Cur=CNY"),"")</f>
        <v>0.12</v>
      </c>
      <c r="N1627">
        <f>IFERROR([1]!s_fa_arturndays($A1627,TEXT($B$1,"yyyy/mm/dd")),"")</f>
        <v>46.003999999999998</v>
      </c>
      <c r="O1627" t="str">
        <f>IFERROR([1]!fa_apturndays($A1627,TEXT($B$1,"yyyy/mm/dd")),"")</f>
        <v>Fetch...</v>
      </c>
      <c r="P1627">
        <f>IFERROR([1]!s_fa_invturndays($A1627,TEXT($B$1,"yyyy/mm/dd")),"")</f>
        <v>288.4153</v>
      </c>
    </row>
    <row r="1628" spans="1:16">
      <c r="A1628" t="s">
        <v>1641</v>
      </c>
      <c r="B1628">
        <f>IFERROR([1]!s_stm07_is($A1628,"W70156729",TEXT($B$1,"yyyy/mm/dd"),1),"")</f>
        <v>922970946.26999998</v>
      </c>
      <c r="C1628">
        <f>IFERROR([1]!s_stm07_is($A1628,"W75682424",TEXT($B$1,"yyyy/mm/dd"),1),"")</f>
        <v>98332450.590000004</v>
      </c>
      <c r="D1628">
        <f>IFERROR([1]!s_stm07_is($A1628,"W76031679",TEXT($B$1,"yyyy/mm/dd"),1),"")</f>
        <v>137506013.63</v>
      </c>
      <c r="E1628">
        <f>IFERROR([1]!s_stm07_is($A1628,"W70752487",TEXT($B$1,"yyyy/mm/dd"),1),"")</f>
        <v>73799086.930000007</v>
      </c>
      <c r="F1628">
        <f>IFERROR([1]!s_stm07_is_103($A1628,TEXT($B$1,"yyyy/mm/dd"),1),"")</f>
        <v>429905230.92000002</v>
      </c>
      <c r="G1628">
        <f>IFERROR([1]!s_stm07_is_104($A1628,TEXT($B$1,"yyyy/mm/dd"),1),"")</f>
        <v>521035.42</v>
      </c>
      <c r="H1628">
        <f>IFERROR([1]!s_stm07_is_105($A1628,TEXT($B$1,"yyyy/mm/dd"),1),"")</f>
        <v>40833920.869999997</v>
      </c>
      <c r="I1628">
        <f>IFERROR([1]!s_stm07_is($A1628,"W72946623",TEXT($B$1,"yyyy/mm/dd"),1),"")</f>
        <v>276051400.64999998</v>
      </c>
      <c r="J1628">
        <f>IFERROR([1]!s_stm07_is($A1628,"W30028333",TEXT($B$1,"yyyy/mm/dd"),1),"")</f>
        <v>258406980.24000001</v>
      </c>
      <c r="K1628">
        <f>IFERROR([1]!s_stm07_cs($A1628,"W77130581",TEXT($B$1,"yyyy/mm/dd"),1),"")</f>
        <v>207944989.78999999</v>
      </c>
      <c r="L1628">
        <f>IFERROR([1]!s_stm07_cs($A1628,"W77745895",TEXT($B$1,"yyyy/mm/dd"),1),"")</f>
        <v>18907110.02</v>
      </c>
      <c r="M1628">
        <f>IFERROR([1]!S_FA_EPS_basic2($A1628,$B$1,"Cur=CNY"),"")</f>
        <v>0.64</v>
      </c>
      <c r="N1628">
        <f>IFERROR([1]!s_fa_arturndays($A1628,TEXT($B$1,"yyyy/mm/dd")),"")</f>
        <v>83.509200000000007</v>
      </c>
      <c r="O1628" t="str">
        <f>IFERROR([1]!fa_apturndays($A1628,TEXT($B$1,"yyyy/mm/dd")),"")</f>
        <v>Fetch...</v>
      </c>
      <c r="P1628">
        <f>IFERROR([1]!s_fa_invturndays($A1628,TEXT($B$1,"yyyy/mm/dd")),"")</f>
        <v>35.847999999999999</v>
      </c>
    </row>
    <row r="1629" spans="1:16">
      <c r="A1629" t="s">
        <v>1642</v>
      </c>
      <c r="B1629">
        <f>IFERROR([1]!s_stm07_is($A1629,"W70156729",TEXT($B$1,"yyyy/mm/dd"),1),"")</f>
        <v>316076818.02999997</v>
      </c>
      <c r="C1629">
        <f>IFERROR([1]!s_stm07_is($A1629,"W75682424",TEXT($B$1,"yyyy/mm/dd"),1),"")</f>
        <v>53367631.200000003</v>
      </c>
      <c r="D1629">
        <f>IFERROR([1]!s_stm07_is($A1629,"W76031679",TEXT($B$1,"yyyy/mm/dd"),1),"")</f>
        <v>110046420.16</v>
      </c>
      <c r="E1629">
        <f>IFERROR([1]!s_stm07_is($A1629,"W70752487",TEXT($B$1,"yyyy/mm/dd"),1),"")</f>
        <v>15848995.35</v>
      </c>
      <c r="F1629">
        <f>IFERROR([1]!s_stm07_is_103($A1629,TEXT($B$1,"yyyy/mm/dd"),1),"")</f>
        <v>86366741.790000007</v>
      </c>
      <c r="G1629">
        <f>IFERROR([1]!s_stm07_is_104($A1629,TEXT($B$1,"yyyy/mm/dd"),1),"")</f>
        <v>67150</v>
      </c>
      <c r="H1629">
        <f>IFERROR([1]!s_stm07_is_105($A1629,TEXT($B$1,"yyyy/mm/dd"),1),"")</f>
        <v>13814261.34</v>
      </c>
      <c r="I1629">
        <f>IFERROR([1]!s_stm07_is($A1629,"W72946623",TEXT($B$1,"yyyy/mm/dd"),1),"")</f>
        <v>61149324.719999999</v>
      </c>
      <c r="J1629">
        <f>IFERROR([1]!s_stm07_is($A1629,"W30028333",TEXT($B$1,"yyyy/mm/dd"),1),"")</f>
        <v>64555772.149999999</v>
      </c>
      <c r="K1629">
        <f>IFERROR([1]!s_stm07_cs($A1629,"W77130581",TEXT($B$1,"yyyy/mm/dd"),1),"")</f>
        <v>-19382811.469999999</v>
      </c>
      <c r="L1629">
        <f>IFERROR([1]!s_stm07_cs($A1629,"W77745895",TEXT($B$1,"yyyy/mm/dd"),1),"")</f>
        <v>130089159.91</v>
      </c>
      <c r="M1629">
        <f>IFERROR([1]!S_FA_EPS_basic2($A1629,$B$1,"Cur=CNY"),"")</f>
        <v>0.32</v>
      </c>
      <c r="N1629">
        <f>IFERROR([1]!s_fa_arturndays($A1629,TEXT($B$1,"yyyy/mm/dd")),"")</f>
        <v>84.198700000000002</v>
      </c>
      <c r="O1629" t="str">
        <f>IFERROR([1]!fa_apturndays($A1629,TEXT($B$1,"yyyy/mm/dd")),"")</f>
        <v>Fetch...</v>
      </c>
      <c r="P1629">
        <f>IFERROR([1]!s_fa_invturndays($A1629,TEXT($B$1,"yyyy/mm/dd")),"")</f>
        <v>363.15949999999998</v>
      </c>
    </row>
    <row r="1630" spans="1:16">
      <c r="A1630" t="s">
        <v>1643</v>
      </c>
      <c r="B1630">
        <f>IFERROR([1]!s_stm07_is($A1630,"W70156729",TEXT($B$1,"yyyy/mm/dd"),1),"")</f>
        <v>6565678031</v>
      </c>
      <c r="C1630">
        <f>IFERROR([1]!s_stm07_is($A1630,"W75682424",TEXT($B$1,"yyyy/mm/dd"),1),"")</f>
        <v>4710132271.1400003</v>
      </c>
      <c r="D1630">
        <f>IFERROR([1]!s_stm07_is($A1630,"W76031679",TEXT($B$1,"yyyy/mm/dd"),1),"")</f>
        <v>442860203.19</v>
      </c>
      <c r="E1630">
        <f>IFERROR([1]!s_stm07_is($A1630,"W70752487",TEXT($B$1,"yyyy/mm/dd"),1),"")</f>
        <v>306264178.52999997</v>
      </c>
      <c r="F1630">
        <f>IFERROR([1]!s_stm07_is_103($A1630,TEXT($B$1,"yyyy/mm/dd"),1),"")</f>
        <v>552335102.25999999</v>
      </c>
      <c r="G1630">
        <f>IFERROR([1]!s_stm07_is_104($A1630,TEXT($B$1,"yyyy/mm/dd"),1),"")</f>
        <v>53363046.439999998</v>
      </c>
      <c r="H1630">
        <f>IFERROR([1]!s_stm07_is_105($A1630,TEXT($B$1,"yyyy/mm/dd"),1),"")</f>
        <v>20426553.280000001</v>
      </c>
      <c r="I1630">
        <f>IFERROR([1]!s_stm07_is($A1630,"W72946623",TEXT($B$1,"yyyy/mm/dd"),1),"")</f>
        <v>615043284.24000001</v>
      </c>
      <c r="J1630">
        <f>IFERROR([1]!s_stm07_is($A1630,"W30028333",TEXT($B$1,"yyyy/mm/dd"),1),"")</f>
        <v>593263455.84000003</v>
      </c>
      <c r="K1630">
        <f>IFERROR([1]!s_stm07_cs($A1630,"W77130581",TEXT($B$1,"yyyy/mm/dd"),1),"")</f>
        <v>671561299.60000002</v>
      </c>
      <c r="L1630">
        <f>IFERROR([1]!s_stm07_cs($A1630,"W77745895",TEXT($B$1,"yyyy/mm/dd"),1),"")</f>
        <v>155655277.22</v>
      </c>
      <c r="M1630">
        <f>IFERROR([1]!S_FA_EPS_basic2($A1630,$B$1,"Cur=CNY"),"")</f>
        <v>1.3280000000000001</v>
      </c>
      <c r="N1630">
        <f>IFERROR([1]!s_fa_arturndays($A1630,TEXT($B$1,"yyyy/mm/dd")),"")</f>
        <v>185.7106</v>
      </c>
      <c r="O1630" t="str">
        <f>IFERROR([1]!fa_apturndays($A1630,TEXT($B$1,"yyyy/mm/dd")),"")</f>
        <v>Fetch...</v>
      </c>
      <c r="P1630">
        <f>IFERROR([1]!s_fa_invturndays($A1630,TEXT($B$1,"yyyy/mm/dd")),"")</f>
        <v>299.30160000000001</v>
      </c>
    </row>
    <row r="1631" spans="1:16">
      <c r="A1631" t="s">
        <v>1644</v>
      </c>
      <c r="B1631">
        <f>IFERROR([1]!s_stm07_is($A1631,"W70156729",TEXT($B$1,"yyyy/mm/dd"),1),"")</f>
        <v>6793233578.3500004</v>
      </c>
      <c r="C1631">
        <f>IFERROR([1]!s_stm07_is($A1631,"W75682424",TEXT($B$1,"yyyy/mm/dd"),1),"")</f>
        <v>4213934973.8099999</v>
      </c>
      <c r="D1631">
        <f>IFERROR([1]!s_stm07_is($A1631,"W76031679",TEXT($B$1,"yyyy/mm/dd"),1),"")</f>
        <v>86243701.219999999</v>
      </c>
      <c r="E1631">
        <f>IFERROR([1]!s_stm07_is($A1631,"W70752487",TEXT($B$1,"yyyy/mm/dd"),1),"")</f>
        <v>135311450.13999999</v>
      </c>
      <c r="F1631">
        <f>IFERROR([1]!s_stm07_is_103($A1631,TEXT($B$1,"yyyy/mm/dd"),1),"")</f>
        <v>1551794820.8699999</v>
      </c>
      <c r="G1631">
        <f>IFERROR([1]!s_stm07_is_104($A1631,TEXT($B$1,"yyyy/mm/dd"),1),"")</f>
        <v>977979.65</v>
      </c>
      <c r="H1631">
        <f>IFERROR([1]!s_stm07_is_105($A1631,TEXT($B$1,"yyyy/mm/dd"),1),"")</f>
        <v>90688549.060000002</v>
      </c>
      <c r="I1631">
        <f>IFERROR([1]!s_stm07_is($A1631,"W72946623",TEXT($B$1,"yyyy/mm/dd"),1),"")</f>
        <v>908634969.98000002</v>
      </c>
      <c r="J1631">
        <f>IFERROR([1]!s_stm07_is($A1631,"W30028333",TEXT($B$1,"yyyy/mm/dd"),1),"")</f>
        <v>872984327.35000002</v>
      </c>
      <c r="K1631">
        <f>IFERROR([1]!s_stm07_cs($A1631,"W77130581",TEXT($B$1,"yyyy/mm/dd"),1),"")</f>
        <v>-229733860.81999999</v>
      </c>
      <c r="L1631">
        <f>IFERROR([1]!s_stm07_cs($A1631,"W77745895",TEXT($B$1,"yyyy/mm/dd"),1),"")</f>
        <v>344244290.82999998</v>
      </c>
      <c r="M1631">
        <f>IFERROR([1]!S_FA_EPS_basic2($A1631,$B$1,"Cur=CNY"),"")</f>
        <v>2.08</v>
      </c>
      <c r="N1631">
        <f>IFERROR([1]!s_fa_arturndays($A1631,TEXT($B$1,"yyyy/mm/dd")),"")</f>
        <v>13.553900000000001</v>
      </c>
      <c r="O1631" t="str">
        <f>IFERROR([1]!fa_apturndays($A1631,TEXT($B$1,"yyyy/mm/dd")),"")</f>
        <v>Fetch...</v>
      </c>
      <c r="P1631">
        <f>IFERROR([1]!s_fa_invturndays($A1631,TEXT($B$1,"yyyy/mm/dd")),"")</f>
        <v>168.185</v>
      </c>
    </row>
    <row r="1632" spans="1:16">
      <c r="A1632" t="s">
        <v>1645</v>
      </c>
      <c r="B1632">
        <f>IFERROR([1]!s_stm07_is($A1632,"W70156729",TEXT($B$1,"yyyy/mm/dd"),1),"")</f>
        <v>2977611210.1100001</v>
      </c>
      <c r="C1632">
        <f>IFERROR([1]!s_stm07_is($A1632,"W75682424",TEXT($B$1,"yyyy/mm/dd"),1),"")</f>
        <v>1781613502.1800001</v>
      </c>
      <c r="D1632">
        <f>IFERROR([1]!s_stm07_is($A1632,"W76031679",TEXT($B$1,"yyyy/mm/dd"),1),"")</f>
        <v>135409978</v>
      </c>
      <c r="E1632">
        <f>IFERROR([1]!s_stm07_is($A1632,"W70752487",TEXT($B$1,"yyyy/mm/dd"),1),"")</f>
        <v>52419429.159999996</v>
      </c>
      <c r="F1632">
        <f>IFERROR([1]!s_stm07_is_103($A1632,TEXT($B$1,"yyyy/mm/dd"),1),"")</f>
        <v>231849771.22</v>
      </c>
      <c r="G1632">
        <f>IFERROR([1]!s_stm07_is_104($A1632,TEXT($B$1,"yyyy/mm/dd"),1),"")</f>
        <v>332424.3</v>
      </c>
      <c r="H1632">
        <f>IFERROR([1]!s_stm07_is_105($A1632,TEXT($B$1,"yyyy/mm/dd"),1),"")</f>
        <v>14463670.6</v>
      </c>
      <c r="I1632">
        <f>IFERROR([1]!s_stm07_is($A1632,"W72946623",TEXT($B$1,"yyyy/mm/dd"),1),"")</f>
        <v>778596992.14999998</v>
      </c>
      <c r="J1632">
        <f>IFERROR([1]!s_stm07_is($A1632,"W30028333",TEXT($B$1,"yyyy/mm/dd"),1),"")</f>
        <v>666266924.51999998</v>
      </c>
      <c r="K1632">
        <f>IFERROR([1]!s_stm07_cs($A1632,"W77130581",TEXT($B$1,"yyyy/mm/dd"),1),"")</f>
        <v>516042455.05000001</v>
      </c>
      <c r="L1632">
        <f>IFERROR([1]!s_stm07_cs($A1632,"W77745895",TEXT($B$1,"yyyy/mm/dd"),1),"")</f>
        <v>225094233.83000001</v>
      </c>
      <c r="M1632">
        <f>IFERROR([1]!S_FA_EPS_basic2($A1632,$B$1,"Cur=CNY"),"")</f>
        <v>1.36</v>
      </c>
      <c r="N1632">
        <f>IFERROR([1]!s_fa_arturndays($A1632,TEXT($B$1,"yyyy/mm/dd")),"")</f>
        <v>260.02170000000001</v>
      </c>
      <c r="O1632" t="str">
        <f>IFERROR([1]!fa_apturndays($A1632,TEXT($B$1,"yyyy/mm/dd")),"")</f>
        <v>Fetch...</v>
      </c>
      <c r="P1632">
        <f>IFERROR([1]!s_fa_invturndays($A1632,TEXT($B$1,"yyyy/mm/dd")),"")</f>
        <v>104.4084</v>
      </c>
    </row>
    <row r="1633" spans="1:16">
      <c r="A1633" t="s">
        <v>1646</v>
      </c>
      <c r="B1633">
        <f>IFERROR([1]!s_stm07_is($A1633,"W70156729",TEXT($B$1,"yyyy/mm/dd"),1),"")</f>
        <v>1571594825.47</v>
      </c>
      <c r="C1633">
        <f>IFERROR([1]!s_stm07_is($A1633,"W75682424",TEXT($B$1,"yyyy/mm/dd"),1),"")</f>
        <v>1189397826.4400001</v>
      </c>
      <c r="D1633">
        <f>IFERROR([1]!s_stm07_is($A1633,"W76031679",TEXT($B$1,"yyyy/mm/dd"),1),"")</f>
        <v>26279124.940000001</v>
      </c>
      <c r="E1633">
        <f>IFERROR([1]!s_stm07_is($A1633,"W70752487",TEXT($B$1,"yyyy/mm/dd"),1),"")</f>
        <v>79190777.150000006</v>
      </c>
      <c r="F1633">
        <f>IFERROR([1]!s_stm07_is_103($A1633,TEXT($B$1,"yyyy/mm/dd"),1),"")</f>
        <v>93664027.079999998</v>
      </c>
      <c r="G1633">
        <f>IFERROR([1]!s_stm07_is_104($A1633,TEXT($B$1,"yyyy/mm/dd"),1),"")</f>
        <v>16759103.57</v>
      </c>
      <c r="H1633">
        <f>IFERROR([1]!s_stm07_is_105($A1633,TEXT($B$1,"yyyy/mm/dd"),1),"")</f>
        <v>1259185.8999999999</v>
      </c>
      <c r="I1633">
        <f>IFERROR([1]!s_stm07_is($A1633,"W72946623",TEXT($B$1,"yyyy/mm/dd"),1),"")</f>
        <v>162140110.22</v>
      </c>
      <c r="J1633">
        <f>IFERROR([1]!s_stm07_is($A1633,"W30028333",TEXT($B$1,"yyyy/mm/dd"),1),"")</f>
        <v>147598028.75999999</v>
      </c>
      <c r="K1633">
        <f>IFERROR([1]!s_stm07_cs($A1633,"W77130581",TEXT($B$1,"yyyy/mm/dd"),1),"")</f>
        <v>146859577.47999999</v>
      </c>
      <c r="L1633">
        <f>IFERROR([1]!s_stm07_cs($A1633,"W77745895",TEXT($B$1,"yyyy/mm/dd"),1),"")</f>
        <v>305410337.72000003</v>
      </c>
      <c r="M1633">
        <f>IFERROR([1]!S_FA_EPS_basic2($A1633,$B$1,"Cur=CNY"),"")</f>
        <v>0.2</v>
      </c>
      <c r="N1633">
        <f>IFERROR([1]!s_fa_arturndays($A1633,TEXT($B$1,"yyyy/mm/dd")),"")</f>
        <v>80.797200000000004</v>
      </c>
      <c r="O1633" t="str">
        <f>IFERROR([1]!fa_apturndays($A1633,TEXT($B$1,"yyyy/mm/dd")),"")</f>
        <v>Fetch...</v>
      </c>
      <c r="P1633">
        <f>IFERROR([1]!s_fa_invturndays($A1633,TEXT($B$1,"yyyy/mm/dd")),"")</f>
        <v>88.737700000000004</v>
      </c>
    </row>
    <row r="1634" spans="1:16">
      <c r="A1634" t="s">
        <v>1647</v>
      </c>
      <c r="B1634">
        <f>IFERROR([1]!s_stm07_is($A1634,"W70156729",TEXT($B$1,"yyyy/mm/dd"),1),"")</f>
        <v>2776577015.6599998</v>
      </c>
      <c r="C1634">
        <f>IFERROR([1]!s_stm07_is($A1634,"W75682424",TEXT($B$1,"yyyy/mm/dd"),1),"")</f>
        <v>1951681507.3199999</v>
      </c>
      <c r="D1634">
        <f>IFERROR([1]!s_stm07_is($A1634,"W76031679",TEXT($B$1,"yyyy/mm/dd"),1),"")</f>
        <v>203880862.41999999</v>
      </c>
      <c r="E1634">
        <f>IFERROR([1]!s_stm07_is($A1634,"W70752487",TEXT($B$1,"yyyy/mm/dd"),1),"")</f>
        <v>259961066.13999999</v>
      </c>
      <c r="F1634">
        <f>IFERROR([1]!s_stm07_is_103($A1634,TEXT($B$1,"yyyy/mm/dd"),1),"")</f>
        <v>103143542.89</v>
      </c>
      <c r="G1634">
        <f>IFERROR([1]!s_stm07_is_104($A1634,TEXT($B$1,"yyyy/mm/dd"),1),"")</f>
        <v>61702080.270000003</v>
      </c>
      <c r="H1634">
        <f>IFERROR([1]!s_stm07_is_105($A1634,TEXT($B$1,"yyyy/mm/dd"),1),"")</f>
        <v>5996742.7199999997</v>
      </c>
      <c r="I1634">
        <f>IFERROR([1]!s_stm07_is($A1634,"W72946623",TEXT($B$1,"yyyy/mm/dd"),1),"")</f>
        <v>176940627</v>
      </c>
      <c r="J1634">
        <f>IFERROR([1]!s_stm07_is($A1634,"W30028333",TEXT($B$1,"yyyy/mm/dd"),1),"")</f>
        <v>131924677.64</v>
      </c>
      <c r="K1634">
        <f>IFERROR([1]!s_stm07_cs($A1634,"W77130581",TEXT($B$1,"yyyy/mm/dd"),1),"")</f>
        <v>538022646.38999999</v>
      </c>
      <c r="L1634">
        <f>IFERROR([1]!s_stm07_cs($A1634,"W77745895",TEXT($B$1,"yyyy/mm/dd"),1),"")</f>
        <v>976838039.27999997</v>
      </c>
      <c r="M1634">
        <f>IFERROR([1]!S_FA_EPS_basic2($A1634,$B$1,"Cur=CNY"),"")</f>
        <v>0.28000000000000003</v>
      </c>
      <c r="N1634">
        <f>IFERROR([1]!s_fa_arturndays($A1634,TEXT($B$1,"yyyy/mm/dd")),"")</f>
        <v>52.000599999999999</v>
      </c>
      <c r="O1634" t="str">
        <f>IFERROR([1]!fa_apturndays($A1634,TEXT($B$1,"yyyy/mm/dd")),"")</f>
        <v>Fetch...</v>
      </c>
      <c r="P1634">
        <f>IFERROR([1]!s_fa_invturndays($A1634,TEXT($B$1,"yyyy/mm/dd")),"")</f>
        <v>26.823799999999999</v>
      </c>
    </row>
    <row r="1635" spans="1:16">
      <c r="A1635" t="s">
        <v>1648</v>
      </c>
      <c r="B1635">
        <f>IFERROR([1]!s_stm07_is($A1635,"W70156729",TEXT($B$1,"yyyy/mm/dd"),1),"")</f>
        <v>519996525.11000001</v>
      </c>
      <c r="C1635">
        <f>IFERROR([1]!s_stm07_is($A1635,"W75682424",TEXT($B$1,"yyyy/mm/dd"),1),"")</f>
        <v>296396664.36000001</v>
      </c>
      <c r="D1635">
        <f>IFERROR([1]!s_stm07_is($A1635,"W76031679",TEXT($B$1,"yyyy/mm/dd"),1),"")</f>
        <v>32519712.440000001</v>
      </c>
      <c r="E1635">
        <f>IFERROR([1]!s_stm07_is($A1635,"W70752487",TEXT($B$1,"yyyy/mm/dd"),1),"")</f>
        <v>55655191.770000003</v>
      </c>
      <c r="F1635">
        <f>IFERROR([1]!s_stm07_is_103($A1635,TEXT($B$1,"yyyy/mm/dd"),1),"")</f>
        <v>344912721.54000002</v>
      </c>
      <c r="G1635">
        <f>IFERROR([1]!s_stm07_is_104($A1635,TEXT($B$1,"yyyy/mm/dd"),1),"")</f>
        <v>589084.24</v>
      </c>
      <c r="H1635">
        <f>IFERROR([1]!s_stm07_is_105($A1635,TEXT($B$1,"yyyy/mm/dd"),1),"")</f>
        <v>963949.41</v>
      </c>
      <c r="I1635">
        <f>IFERROR([1]!s_stm07_is($A1635,"W72946623",TEXT($B$1,"yyyy/mm/dd"),1),"")</f>
        <v>-272449975.32999998</v>
      </c>
      <c r="J1635">
        <f>IFERROR([1]!s_stm07_is($A1635,"W30028333",TEXT($B$1,"yyyy/mm/dd"),1),"")</f>
        <v>-272449975.32999998</v>
      </c>
      <c r="K1635">
        <f>IFERROR([1]!s_stm07_cs($A1635,"W77130581",TEXT($B$1,"yyyy/mm/dd"),1),"")</f>
        <v>-128585870.11</v>
      </c>
      <c r="L1635">
        <f>IFERROR([1]!s_stm07_cs($A1635,"W77745895",TEXT($B$1,"yyyy/mm/dd"),1),"")</f>
        <v>20081127.469999999</v>
      </c>
      <c r="M1635">
        <f>IFERROR([1]!S_FA_EPS_basic2($A1635,$B$1,"Cur=CNY"),"")</f>
        <v>-0.67969999999999997</v>
      </c>
      <c r="N1635">
        <f>IFERROR([1]!s_fa_arturndays($A1635,TEXT($B$1,"yyyy/mm/dd")),"")</f>
        <v>104.6116</v>
      </c>
      <c r="O1635" t="str">
        <f>IFERROR([1]!fa_apturndays($A1635,TEXT($B$1,"yyyy/mm/dd")),"")</f>
        <v>Fetch...</v>
      </c>
      <c r="P1635">
        <f>IFERROR([1]!s_fa_invturndays($A1635,TEXT($B$1,"yyyy/mm/dd")),"")</f>
        <v>659.21990000000005</v>
      </c>
    </row>
    <row r="1636" spans="1:16">
      <c r="A1636" t="s">
        <v>1649</v>
      </c>
      <c r="B1636">
        <f>IFERROR([1]!s_stm07_is($A1636,"W70156729",TEXT($B$1,"yyyy/mm/dd"),1),"")</f>
        <v>921425290.95000005</v>
      </c>
      <c r="C1636">
        <f>IFERROR([1]!s_stm07_is($A1636,"W75682424",TEXT($B$1,"yyyy/mm/dd"),1),"")</f>
        <v>695538413.75</v>
      </c>
      <c r="D1636">
        <f>IFERROR([1]!s_stm07_is($A1636,"W76031679",TEXT($B$1,"yyyy/mm/dd"),1),"")</f>
        <v>27821361.239999998</v>
      </c>
      <c r="E1636">
        <f>IFERROR([1]!s_stm07_is($A1636,"W70752487",TEXT($B$1,"yyyy/mm/dd"),1),"")</f>
        <v>88706092.040000007</v>
      </c>
      <c r="F1636">
        <f>IFERROR([1]!s_stm07_is_103($A1636,TEXT($B$1,"yyyy/mm/dd"),1),"")</f>
        <v>215863801.91</v>
      </c>
      <c r="G1636">
        <f>IFERROR([1]!s_stm07_is_104($A1636,TEXT($B$1,"yyyy/mm/dd"),1),"")</f>
        <v>1178455.93</v>
      </c>
      <c r="H1636">
        <f>IFERROR([1]!s_stm07_is_105($A1636,TEXT($B$1,"yyyy/mm/dd"),1),"")</f>
        <v>6566843.9500000002</v>
      </c>
      <c r="I1636">
        <f>IFERROR([1]!s_stm07_is($A1636,"W72946623",TEXT($B$1,"yyyy/mm/dd"),1),"")</f>
        <v>-212066231.81</v>
      </c>
      <c r="J1636">
        <f>IFERROR([1]!s_stm07_is($A1636,"W30028333",TEXT($B$1,"yyyy/mm/dd"),1),"")</f>
        <v>-194793661.22999999</v>
      </c>
      <c r="K1636">
        <f>IFERROR([1]!s_stm07_cs($A1636,"W77130581",TEXT($B$1,"yyyy/mm/dd"),1),"")</f>
        <v>-158178470.78</v>
      </c>
      <c r="L1636">
        <f>IFERROR([1]!s_stm07_cs($A1636,"W77745895",TEXT($B$1,"yyyy/mm/dd"),1),"")</f>
        <v>39145681.030000001</v>
      </c>
      <c r="M1636">
        <f>IFERROR([1]!S_FA_EPS_basic2($A1636,$B$1,"Cur=CNY"),"")</f>
        <v>-0.45</v>
      </c>
      <c r="N1636">
        <f>IFERROR([1]!s_fa_arturndays($A1636,TEXT($B$1,"yyyy/mm/dd")),"")</f>
        <v>58.699800000000003</v>
      </c>
      <c r="O1636" t="str">
        <f>IFERROR([1]!fa_apturndays($A1636,TEXT($B$1,"yyyy/mm/dd")),"")</f>
        <v>Fetch...</v>
      </c>
      <c r="P1636">
        <f>IFERROR([1]!s_fa_invturndays($A1636,TEXT($B$1,"yyyy/mm/dd")),"")</f>
        <v>506.68540000000002</v>
      </c>
    </row>
    <row r="1637" spans="1:16">
      <c r="A1637" t="s">
        <v>1650</v>
      </c>
      <c r="B1637">
        <f>IFERROR([1]!s_stm07_is($A1637,"W70156729",TEXT($B$1,"yyyy/mm/dd"),1),"")</f>
        <v>5928744673.0600004</v>
      </c>
      <c r="C1637">
        <f>IFERROR([1]!s_stm07_is($A1637,"W75682424",TEXT($B$1,"yyyy/mm/dd"),1),"")</f>
        <v>833129464.33000004</v>
      </c>
      <c r="D1637">
        <f>IFERROR([1]!s_stm07_is($A1637,"W76031679",TEXT($B$1,"yyyy/mm/dd"),1),"")</f>
        <v>1139649606.97</v>
      </c>
      <c r="E1637">
        <f>IFERROR([1]!s_stm07_is($A1637,"W70752487",TEXT($B$1,"yyyy/mm/dd"),1),"")</f>
        <v>473845013</v>
      </c>
      <c r="F1637">
        <f>IFERROR([1]!s_stm07_is_103($A1637,TEXT($B$1,"yyyy/mm/dd"),1),"")</f>
        <v>2095238620.5699999</v>
      </c>
      <c r="G1637">
        <f>IFERROR([1]!s_stm07_is_104($A1637,TEXT($B$1,"yyyy/mm/dd"),1),"")</f>
        <v>2502681.2799999998</v>
      </c>
      <c r="H1637">
        <f>IFERROR([1]!s_stm07_is_105($A1637,TEXT($B$1,"yyyy/mm/dd"),1),"")</f>
        <v>6387594.46</v>
      </c>
      <c r="I1637">
        <f>IFERROR([1]!s_stm07_is($A1637,"W72946623",TEXT($B$1,"yyyy/mm/dd"),1),"")</f>
        <v>1952785631.71</v>
      </c>
      <c r="J1637">
        <f>IFERROR([1]!s_stm07_is($A1637,"W30028333",TEXT($B$1,"yyyy/mm/dd"),1),"")</f>
        <v>1836468727.8099999</v>
      </c>
      <c r="K1637">
        <f>IFERROR([1]!s_stm07_cs($A1637,"W77130581",TEXT($B$1,"yyyy/mm/dd"),1),"")</f>
        <v>2501503094.9499998</v>
      </c>
      <c r="L1637">
        <f>IFERROR([1]!s_stm07_cs($A1637,"W77745895",TEXT($B$1,"yyyy/mm/dd"),1),"")</f>
        <v>97886974.769999996</v>
      </c>
      <c r="M1637">
        <f>IFERROR([1]!S_FA_EPS_basic2($A1637,$B$1,"Cur=CNY"),"")</f>
        <v>3.97</v>
      </c>
      <c r="N1637">
        <f>IFERROR([1]!s_fa_arturndays($A1637,TEXT($B$1,"yyyy/mm/dd")),"")</f>
        <v>34.637999999999998</v>
      </c>
      <c r="O1637" t="str">
        <f>IFERROR([1]!fa_apturndays($A1637,TEXT($B$1,"yyyy/mm/dd")),"")</f>
        <v>Fetch...</v>
      </c>
      <c r="P1637">
        <f>IFERROR([1]!s_fa_invturndays($A1637,TEXT($B$1,"yyyy/mm/dd")),"")</f>
        <v>0.34300000000000003</v>
      </c>
    </row>
    <row r="1638" spans="1:16">
      <c r="A1638" t="s">
        <v>1651</v>
      </c>
      <c r="B1638">
        <f>IFERROR([1]!s_stm07_is($A1638,"W70156729",TEXT($B$1,"yyyy/mm/dd"),1),"")</f>
        <v>2779614799.4899998</v>
      </c>
      <c r="C1638">
        <f>IFERROR([1]!s_stm07_is($A1638,"W75682424",TEXT($B$1,"yyyy/mm/dd"),1),"")</f>
        <v>1308771750.0599999</v>
      </c>
      <c r="D1638">
        <f>IFERROR([1]!s_stm07_is($A1638,"W76031679",TEXT($B$1,"yyyy/mm/dd"),1),"")</f>
        <v>701273667.99000001</v>
      </c>
      <c r="E1638">
        <f>IFERROR([1]!s_stm07_is($A1638,"W70752487",TEXT($B$1,"yyyy/mm/dd"),1),"")</f>
        <v>447854686.35000002</v>
      </c>
      <c r="F1638">
        <f>IFERROR([1]!s_stm07_is_103($A1638,TEXT($B$1,"yyyy/mm/dd"),1),"")</f>
        <v>538927781.17999995</v>
      </c>
      <c r="G1638">
        <f>IFERROR([1]!s_stm07_is_104($A1638,TEXT($B$1,"yyyy/mm/dd"),1),"")</f>
        <v>28759746.48</v>
      </c>
      <c r="H1638">
        <f>IFERROR([1]!s_stm07_is_105($A1638,TEXT($B$1,"yyyy/mm/dd"),1),"")</f>
        <v>31456815.890000001</v>
      </c>
      <c r="I1638">
        <f>IFERROR([1]!s_stm07_is($A1638,"W72946623",TEXT($B$1,"yyyy/mm/dd"),1),"")</f>
        <v>-275415160.12</v>
      </c>
      <c r="J1638">
        <f>IFERROR([1]!s_stm07_is($A1638,"W30028333",TEXT($B$1,"yyyy/mm/dd"),1),"")</f>
        <v>-222140785.94999999</v>
      </c>
      <c r="K1638">
        <f>IFERROR([1]!s_stm07_cs($A1638,"W77130581",TEXT($B$1,"yyyy/mm/dd"),1),"")</f>
        <v>218983094.03999999</v>
      </c>
      <c r="L1638">
        <f>IFERROR([1]!s_stm07_cs($A1638,"W77745895",TEXT($B$1,"yyyy/mm/dd"),1),"")</f>
        <v>194492847.74000001</v>
      </c>
      <c r="M1638">
        <f>IFERROR([1]!S_FA_EPS_basic2($A1638,$B$1,"Cur=CNY"),"")</f>
        <v>-0.54</v>
      </c>
      <c r="N1638">
        <f>IFERROR([1]!s_fa_arturndays($A1638,TEXT($B$1,"yyyy/mm/dd")),"")</f>
        <v>186.29679999999999</v>
      </c>
      <c r="O1638" t="str">
        <f>IFERROR([1]!fa_apturndays($A1638,TEXT($B$1,"yyyy/mm/dd")),"")</f>
        <v>Fetch...</v>
      </c>
      <c r="P1638">
        <f>IFERROR([1]!s_fa_invturndays($A1638,TEXT($B$1,"yyyy/mm/dd")),"")</f>
        <v>297.25040000000001</v>
      </c>
    </row>
    <row r="1639" spans="1:16">
      <c r="A1639" t="s">
        <v>1652</v>
      </c>
      <c r="B1639">
        <f>IFERROR([1]!s_stm07_is($A1639,"W70156729",TEXT($B$1,"yyyy/mm/dd"),1),"")</f>
        <v>1297376631.5999999</v>
      </c>
      <c r="C1639">
        <f>IFERROR([1]!s_stm07_is($A1639,"W75682424",TEXT($B$1,"yyyy/mm/dd"),1),"")</f>
        <v>820556644.61000001</v>
      </c>
      <c r="D1639">
        <f>IFERROR([1]!s_stm07_is($A1639,"W76031679",TEXT($B$1,"yyyy/mm/dd"),1),"")</f>
        <v>15687692.08</v>
      </c>
      <c r="E1639">
        <f>IFERROR([1]!s_stm07_is($A1639,"W70752487",TEXT($B$1,"yyyy/mm/dd"),1),"")</f>
        <v>80138228.120000005</v>
      </c>
      <c r="F1639">
        <f>IFERROR([1]!s_stm07_is_103($A1639,TEXT($B$1,"yyyy/mm/dd"),1),"")</f>
        <v>108591826.93000001</v>
      </c>
      <c r="G1639">
        <f>IFERROR([1]!s_stm07_is_104($A1639,TEXT($B$1,"yyyy/mm/dd"),1),"")</f>
        <v>43576705.93</v>
      </c>
      <c r="H1639">
        <f>IFERROR([1]!s_stm07_is_105($A1639,TEXT($B$1,"yyyy/mm/dd"),1),"")</f>
        <v>14040949.76</v>
      </c>
      <c r="I1639">
        <f>IFERROR([1]!s_stm07_is($A1639,"W72946623",TEXT($B$1,"yyyy/mm/dd"),1),"")</f>
        <v>264768134.55000001</v>
      </c>
      <c r="J1639">
        <f>IFERROR([1]!s_stm07_is($A1639,"W30028333",TEXT($B$1,"yyyy/mm/dd"),1),"")</f>
        <v>227803728.53999999</v>
      </c>
      <c r="K1639">
        <f>IFERROR([1]!s_stm07_cs($A1639,"W77130581",TEXT($B$1,"yyyy/mm/dd"),1),"")</f>
        <v>234102123.94</v>
      </c>
      <c r="L1639">
        <f>IFERROR([1]!s_stm07_cs($A1639,"W77745895",TEXT($B$1,"yyyy/mm/dd"),1),"")</f>
        <v>273445829.91000003</v>
      </c>
      <c r="M1639">
        <f>IFERROR([1]!S_FA_EPS_basic2($A1639,$B$1,"Cur=CNY"),"")</f>
        <v>0.63</v>
      </c>
      <c r="N1639">
        <f>IFERROR([1]!s_fa_arturndays($A1639,TEXT($B$1,"yyyy/mm/dd")),"")</f>
        <v>139.24340000000001</v>
      </c>
      <c r="O1639" t="str">
        <f>IFERROR([1]!fa_apturndays($A1639,TEXT($B$1,"yyyy/mm/dd")),"")</f>
        <v>Fetch...</v>
      </c>
      <c r="P1639">
        <f>IFERROR([1]!s_fa_invturndays($A1639,TEXT($B$1,"yyyy/mm/dd")),"")</f>
        <v>95.854299999999995</v>
      </c>
    </row>
    <row r="1640" spans="1:16">
      <c r="A1640" t="s">
        <v>1653</v>
      </c>
      <c r="B1640">
        <f>IFERROR([1]!s_stm07_is($A1640,"W70156729",TEXT($B$1,"yyyy/mm/dd"),1),"")</f>
        <v>4648227726.0500002</v>
      </c>
      <c r="C1640">
        <f>IFERROR([1]!s_stm07_is($A1640,"W75682424",TEXT($B$1,"yyyy/mm/dd"),1),"")</f>
        <v>2704632336.21</v>
      </c>
      <c r="D1640">
        <f>IFERROR([1]!s_stm07_is($A1640,"W76031679",TEXT($B$1,"yyyy/mm/dd"),1),"")</f>
        <v>187407911.77000001</v>
      </c>
      <c r="E1640">
        <f>IFERROR([1]!s_stm07_is($A1640,"W70752487",TEXT($B$1,"yyyy/mm/dd"),1),"")</f>
        <v>310000144.25</v>
      </c>
      <c r="F1640">
        <f>IFERROR([1]!s_stm07_is_103($A1640,TEXT($B$1,"yyyy/mm/dd"),1),"")</f>
        <v>537499356.54999995</v>
      </c>
      <c r="G1640">
        <f>IFERROR([1]!s_stm07_is_104($A1640,TEXT($B$1,"yyyy/mm/dd"),1),"")</f>
        <v>8785016.4499999993</v>
      </c>
      <c r="H1640">
        <f>IFERROR([1]!s_stm07_is_105($A1640,TEXT($B$1,"yyyy/mm/dd"),1),"")</f>
        <v>17375069.359999999</v>
      </c>
      <c r="I1640">
        <f>IFERROR([1]!s_stm07_is($A1640,"W72946623",TEXT($B$1,"yyyy/mm/dd"),1),"")</f>
        <v>1198123572.3499999</v>
      </c>
      <c r="J1640">
        <f>IFERROR([1]!s_stm07_is($A1640,"W30028333",TEXT($B$1,"yyyy/mm/dd"),1),"")</f>
        <v>1083724706.3399999</v>
      </c>
      <c r="K1640">
        <f>IFERROR([1]!s_stm07_cs($A1640,"W77130581",TEXT($B$1,"yyyy/mm/dd"),1),"")</f>
        <v>799821228.41999996</v>
      </c>
      <c r="L1640">
        <f>IFERROR([1]!s_stm07_cs($A1640,"W77745895",TEXT($B$1,"yyyy/mm/dd"),1),"")</f>
        <v>222182202.15000001</v>
      </c>
      <c r="M1640">
        <f>IFERROR([1]!S_FA_EPS_basic2($A1640,$B$1,"Cur=CNY"),"")</f>
        <v>3.0758999999999999</v>
      </c>
      <c r="N1640">
        <f>IFERROR([1]!s_fa_arturndays($A1640,TEXT($B$1,"yyyy/mm/dd")),"")</f>
        <v>62.998699999999999</v>
      </c>
      <c r="O1640" t="str">
        <f>IFERROR([1]!fa_apturndays($A1640,TEXT($B$1,"yyyy/mm/dd")),"")</f>
        <v>Fetch...</v>
      </c>
      <c r="P1640">
        <f>IFERROR([1]!s_fa_invturndays($A1640,TEXT($B$1,"yyyy/mm/dd")),"")</f>
        <v>487.3426</v>
      </c>
    </row>
    <row r="1641" spans="1:16">
      <c r="A1641" t="s">
        <v>1654</v>
      </c>
      <c r="B1641">
        <f>IFERROR([1]!s_stm07_is($A1641,"W70156729",TEXT($B$1,"yyyy/mm/dd"),1),"")</f>
        <v>5225677020.4399996</v>
      </c>
      <c r="C1641">
        <f>IFERROR([1]!s_stm07_is($A1641,"W75682424",TEXT($B$1,"yyyy/mm/dd"),1),"")</f>
        <v>3422426460.4499998</v>
      </c>
      <c r="D1641">
        <f>IFERROR([1]!s_stm07_is($A1641,"W76031679",TEXT($B$1,"yyyy/mm/dd"),1),"")</f>
        <v>39366590.43</v>
      </c>
      <c r="E1641">
        <f>IFERROR([1]!s_stm07_is($A1641,"W70752487",TEXT($B$1,"yyyy/mm/dd"),1),"")</f>
        <v>255356728.56999999</v>
      </c>
      <c r="F1641">
        <f>IFERROR([1]!s_stm07_is_103($A1641,TEXT($B$1,"yyyy/mm/dd"),1),"")</f>
        <v>397693890.51999998</v>
      </c>
      <c r="G1641">
        <f>IFERROR([1]!s_stm07_is_104($A1641,TEXT($B$1,"yyyy/mm/dd"),1),"")</f>
        <v>60184957.649999999</v>
      </c>
      <c r="H1641">
        <f>IFERROR([1]!s_stm07_is_105($A1641,TEXT($B$1,"yyyy/mm/dd"),1),"")</f>
        <v>13216985.710000001</v>
      </c>
      <c r="I1641">
        <f>IFERROR([1]!s_stm07_is($A1641,"W72946623",TEXT($B$1,"yyyy/mm/dd"),1),"")</f>
        <v>1043090067.6799999</v>
      </c>
      <c r="J1641">
        <f>IFERROR([1]!s_stm07_is($A1641,"W30028333",TEXT($B$1,"yyyy/mm/dd"),1),"")</f>
        <v>839271328.05999994</v>
      </c>
      <c r="K1641">
        <f>IFERROR([1]!s_stm07_cs($A1641,"W77130581",TEXT($B$1,"yyyy/mm/dd"),1),"")</f>
        <v>605927648.79999995</v>
      </c>
      <c r="L1641">
        <f>IFERROR([1]!s_stm07_cs($A1641,"W77745895",TEXT($B$1,"yyyy/mm/dd"),1),"")</f>
        <v>315456517.06999999</v>
      </c>
      <c r="M1641">
        <f>IFERROR([1]!S_FA_EPS_basic2($A1641,$B$1,"Cur=CNY"),"")</f>
        <v>1.2919</v>
      </c>
      <c r="N1641">
        <f>IFERROR([1]!s_fa_arturndays($A1641,TEXT($B$1,"yyyy/mm/dd")),"")</f>
        <v>191.4384</v>
      </c>
      <c r="O1641" t="str">
        <f>IFERROR([1]!fa_apturndays($A1641,TEXT($B$1,"yyyy/mm/dd")),"")</f>
        <v>Fetch...</v>
      </c>
      <c r="P1641">
        <f>IFERROR([1]!s_fa_invturndays($A1641,TEXT($B$1,"yyyy/mm/dd")),"")</f>
        <v>440.31310000000002</v>
      </c>
    </row>
    <row r="1642" spans="1:16">
      <c r="A1642" t="s">
        <v>1655</v>
      </c>
      <c r="B1642">
        <f>IFERROR([1]!s_stm07_is($A1642,"W70156729",TEXT($B$1,"yyyy/mm/dd"),1),"")</f>
        <v>1221283642.6300001</v>
      </c>
      <c r="C1642">
        <f>IFERROR([1]!s_stm07_is($A1642,"W75682424",TEXT($B$1,"yyyy/mm/dd"),1),"")</f>
        <v>521611507.44</v>
      </c>
      <c r="D1642">
        <f>IFERROR([1]!s_stm07_is($A1642,"W76031679",TEXT($B$1,"yyyy/mm/dd"),1),"")</f>
        <v>46971550.810000002</v>
      </c>
      <c r="E1642">
        <f>IFERROR([1]!s_stm07_is($A1642,"W70752487",TEXT($B$1,"yyyy/mm/dd"),1),"")</f>
        <v>69376657.390000001</v>
      </c>
      <c r="F1642">
        <f>IFERROR([1]!s_stm07_is_103($A1642,TEXT($B$1,"yyyy/mm/dd"),1),"")</f>
        <v>207814539.80000001</v>
      </c>
      <c r="G1642">
        <f>IFERROR([1]!s_stm07_is_104($A1642,TEXT($B$1,"yyyy/mm/dd"),1),"")</f>
        <v>254618.66</v>
      </c>
      <c r="H1642">
        <f>IFERROR([1]!s_stm07_is_105($A1642,TEXT($B$1,"yyyy/mm/dd"),1),"")</f>
        <v>20424194.59</v>
      </c>
      <c r="I1642">
        <f>IFERROR([1]!s_stm07_is($A1642,"W72946623",TEXT($B$1,"yyyy/mm/dd"),1),"")</f>
        <v>379779183.70999998</v>
      </c>
      <c r="J1642">
        <f>IFERROR([1]!s_stm07_is($A1642,"W30028333",TEXT($B$1,"yyyy/mm/dd"),1),"")</f>
        <v>363576041.92000002</v>
      </c>
      <c r="K1642">
        <f>IFERROR([1]!s_stm07_cs($A1642,"W77130581",TEXT($B$1,"yyyy/mm/dd"),1),"")</f>
        <v>399097661.67000002</v>
      </c>
      <c r="L1642">
        <f>IFERROR([1]!s_stm07_cs($A1642,"W77745895",TEXT($B$1,"yyyy/mm/dd"),1),"")</f>
        <v>56591012.880000003</v>
      </c>
      <c r="M1642">
        <f>IFERROR([1]!S_FA_EPS_basic2($A1642,$B$1,"Cur=CNY"),"")</f>
        <v>2.2999999999999998</v>
      </c>
      <c r="N1642">
        <f>IFERROR([1]!s_fa_arturndays($A1642,TEXT($B$1,"yyyy/mm/dd")),"")</f>
        <v>40.059199999999997</v>
      </c>
      <c r="O1642" t="str">
        <f>IFERROR([1]!fa_apturndays($A1642,TEXT($B$1,"yyyy/mm/dd")),"")</f>
        <v>Fetch...</v>
      </c>
      <c r="P1642">
        <f>IFERROR([1]!s_fa_invturndays($A1642,TEXT($B$1,"yyyy/mm/dd")),"")</f>
        <v>181.4425</v>
      </c>
    </row>
    <row r="1643" spans="1:16">
      <c r="A1643" t="s">
        <v>1656</v>
      </c>
      <c r="B1643">
        <f>IFERROR([1]!s_stm07_is($A1643,"W70156729",TEXT($B$1,"yyyy/mm/dd"),1),"")</f>
        <v>3716030112.23</v>
      </c>
      <c r="C1643">
        <f>IFERROR([1]!s_stm07_is($A1643,"W75682424",TEXT($B$1,"yyyy/mm/dd"),1),"")</f>
        <v>4350069289.8599997</v>
      </c>
      <c r="D1643">
        <f>IFERROR([1]!s_stm07_is($A1643,"W76031679",TEXT($B$1,"yyyy/mm/dd"),1),"")</f>
        <v>77230977.829999998</v>
      </c>
      <c r="E1643">
        <f>IFERROR([1]!s_stm07_is($A1643,"W70752487",TEXT($B$1,"yyyy/mm/dd"),1),"")</f>
        <v>309696491.35000002</v>
      </c>
      <c r="F1643">
        <f>IFERROR([1]!s_stm07_is_103($A1643,TEXT($B$1,"yyyy/mm/dd"),1),"")</f>
        <v>353882683.67000002</v>
      </c>
      <c r="G1643">
        <f>IFERROR([1]!s_stm07_is_104($A1643,TEXT($B$1,"yyyy/mm/dd"),1),"")</f>
        <v>226263228.61000001</v>
      </c>
      <c r="H1643">
        <f>IFERROR([1]!s_stm07_is_105($A1643,TEXT($B$1,"yyyy/mm/dd"),1),"")</f>
        <v>44646445.759999998</v>
      </c>
      <c r="I1643">
        <f>IFERROR([1]!s_stm07_is($A1643,"W72946623",TEXT($B$1,"yyyy/mm/dd"),1),"")</f>
        <v>-1888519911.22</v>
      </c>
      <c r="J1643">
        <f>IFERROR([1]!s_stm07_is($A1643,"W30028333",TEXT($B$1,"yyyy/mm/dd"),1),"")</f>
        <v>-1507506599.5799999</v>
      </c>
      <c r="K1643">
        <f>IFERROR([1]!s_stm07_cs($A1643,"W77130581",TEXT($B$1,"yyyy/mm/dd"),1),"")</f>
        <v>-559239799.83000004</v>
      </c>
      <c r="L1643">
        <f>IFERROR([1]!s_stm07_cs($A1643,"W77745895",TEXT($B$1,"yyyy/mm/dd"),1),"")</f>
        <v>4908662981.9300003</v>
      </c>
      <c r="M1643">
        <f>IFERROR([1]!S_FA_EPS_basic2($A1643,$B$1,"Cur=CNY"),"")</f>
        <v>-0.53900000000000003</v>
      </c>
      <c r="N1643">
        <f>IFERROR([1]!s_fa_arturndays($A1643,TEXT($B$1,"yyyy/mm/dd")),"")</f>
        <v>91.106899999999996</v>
      </c>
      <c r="O1643" t="str">
        <f>IFERROR([1]!fa_apturndays($A1643,TEXT($B$1,"yyyy/mm/dd")),"")</f>
        <v>Fetch...</v>
      </c>
      <c r="P1643">
        <f>IFERROR([1]!s_fa_invturndays($A1643,TEXT($B$1,"yyyy/mm/dd")),"")</f>
        <v>145.1437</v>
      </c>
    </row>
    <row r="1644" spans="1:16">
      <c r="A1644" t="s">
        <v>1657</v>
      </c>
      <c r="B1644">
        <f>IFERROR([1]!s_stm07_is($A1644,"W70156729",TEXT($B$1,"yyyy/mm/dd"),1),"")</f>
        <v>1536016697.6300001</v>
      </c>
      <c r="C1644">
        <f>IFERROR([1]!s_stm07_is($A1644,"W75682424",TEXT($B$1,"yyyy/mm/dd"),1),"")</f>
        <v>874362860.41999996</v>
      </c>
      <c r="D1644">
        <f>IFERROR([1]!s_stm07_is($A1644,"W76031679",TEXT($B$1,"yyyy/mm/dd"),1),"")</f>
        <v>11514726.859999999</v>
      </c>
      <c r="E1644">
        <f>IFERROR([1]!s_stm07_is($A1644,"W70752487",TEXT($B$1,"yyyy/mm/dd"),1),"")</f>
        <v>62252643.5</v>
      </c>
      <c r="F1644">
        <f>IFERROR([1]!s_stm07_is_103($A1644,TEXT($B$1,"yyyy/mm/dd"),1),"")</f>
        <v>122770403.41</v>
      </c>
      <c r="G1644">
        <f>IFERROR([1]!s_stm07_is_104($A1644,TEXT($B$1,"yyyy/mm/dd"),1),"")</f>
        <v>2126854.12</v>
      </c>
      <c r="H1644">
        <f>IFERROR([1]!s_stm07_is_105($A1644,TEXT($B$1,"yyyy/mm/dd"),1),"")</f>
        <v>2606882.7200000002</v>
      </c>
      <c r="I1644">
        <f>IFERROR([1]!s_stm07_is($A1644,"W72946623",TEXT($B$1,"yyyy/mm/dd"),1),"")</f>
        <v>441507264.73000002</v>
      </c>
      <c r="J1644">
        <f>IFERROR([1]!s_stm07_is($A1644,"W30028333",TEXT($B$1,"yyyy/mm/dd"),1),"")</f>
        <v>388820926.25999999</v>
      </c>
      <c r="K1644">
        <f>IFERROR([1]!s_stm07_cs($A1644,"W77130581",TEXT($B$1,"yyyy/mm/dd"),1),"")</f>
        <v>578103418.44000006</v>
      </c>
      <c r="L1644">
        <f>IFERROR([1]!s_stm07_cs($A1644,"W77745895",TEXT($B$1,"yyyy/mm/dd"),1),"")</f>
        <v>477208036.29000002</v>
      </c>
      <c r="M1644">
        <f>IFERROR([1]!S_FA_EPS_basic2($A1644,$B$1,"Cur=CNY"),"")</f>
        <v>0.96</v>
      </c>
      <c r="N1644">
        <f>IFERROR([1]!s_fa_arturndays($A1644,TEXT($B$1,"yyyy/mm/dd")),"")</f>
        <v>67.858000000000004</v>
      </c>
      <c r="O1644" t="str">
        <f>IFERROR([1]!fa_apturndays($A1644,TEXT($B$1,"yyyy/mm/dd")),"")</f>
        <v>Fetch...</v>
      </c>
      <c r="P1644">
        <f>IFERROR([1]!s_fa_invturndays($A1644,TEXT($B$1,"yyyy/mm/dd")),"")</f>
        <v>94.078299999999999</v>
      </c>
    </row>
    <row r="1645" spans="1:16">
      <c r="A1645" t="s">
        <v>1658</v>
      </c>
      <c r="B1645">
        <f>IFERROR([1]!s_stm07_is($A1645,"W70156729",TEXT($B$1,"yyyy/mm/dd"),1),"")</f>
        <v>4766071668.0500002</v>
      </c>
      <c r="C1645">
        <f>IFERROR([1]!s_stm07_is($A1645,"W75682424",TEXT($B$1,"yyyy/mm/dd"),1),"")</f>
        <v>3138256568.25</v>
      </c>
      <c r="D1645">
        <f>IFERROR([1]!s_stm07_is($A1645,"W76031679",TEXT($B$1,"yyyy/mm/dd"),1),"")</f>
        <v>299129961.83999997</v>
      </c>
      <c r="E1645">
        <f>IFERROR([1]!s_stm07_is($A1645,"W70752487",TEXT($B$1,"yyyy/mm/dd"),1),"")</f>
        <v>342335454.94</v>
      </c>
      <c r="F1645">
        <f>IFERROR([1]!s_stm07_is_103($A1645,TEXT($B$1,"yyyy/mm/dd"),1),"")</f>
        <v>405734472.75</v>
      </c>
      <c r="G1645">
        <f>IFERROR([1]!s_stm07_is_104($A1645,TEXT($B$1,"yyyy/mm/dd"),1),"")</f>
        <v>4126076.55</v>
      </c>
      <c r="H1645">
        <f>IFERROR([1]!s_stm07_is_105($A1645,TEXT($B$1,"yyyy/mm/dd"),1),"")</f>
        <v>21656125.989999998</v>
      </c>
      <c r="I1645">
        <f>IFERROR([1]!s_stm07_is($A1645,"W72946623",TEXT($B$1,"yyyy/mm/dd"),1),"")</f>
        <v>607391483.01999998</v>
      </c>
      <c r="J1645">
        <f>IFERROR([1]!s_stm07_is($A1645,"W30028333",TEXT($B$1,"yyyy/mm/dd"),1),"")</f>
        <v>534455183.81999999</v>
      </c>
      <c r="K1645">
        <f>IFERROR([1]!s_stm07_cs($A1645,"W77130581",TEXT($B$1,"yyyy/mm/dd"),1),"")</f>
        <v>1213352579.46</v>
      </c>
      <c r="L1645">
        <f>IFERROR([1]!s_stm07_cs($A1645,"W77745895",TEXT($B$1,"yyyy/mm/dd"),1),"")</f>
        <v>292450909.58999997</v>
      </c>
      <c r="M1645">
        <f>IFERROR([1]!S_FA_EPS_basic2($A1645,$B$1,"Cur=CNY"),"")</f>
        <v>1.32</v>
      </c>
      <c r="N1645">
        <f>IFERROR([1]!s_fa_arturndays($A1645,TEXT($B$1,"yyyy/mm/dd")),"")</f>
        <v>87.082700000000003</v>
      </c>
      <c r="O1645" t="str">
        <f>IFERROR([1]!fa_apturndays($A1645,TEXT($B$1,"yyyy/mm/dd")),"")</f>
        <v>Fetch...</v>
      </c>
      <c r="P1645">
        <f>IFERROR([1]!s_fa_invturndays($A1645,TEXT($B$1,"yyyy/mm/dd")),"")</f>
        <v>279.24290000000002</v>
      </c>
    </row>
    <row r="1646" spans="1:16">
      <c r="A1646" t="s">
        <v>1659</v>
      </c>
      <c r="B1646">
        <f>IFERROR([1]!s_stm07_is($A1646,"W70156729",TEXT($B$1,"yyyy/mm/dd"),1),"")</f>
        <v>2876896205.5799999</v>
      </c>
      <c r="C1646">
        <f>IFERROR([1]!s_stm07_is($A1646,"W75682424",TEXT($B$1,"yyyy/mm/dd"),1),"")</f>
        <v>1521776147.6800001</v>
      </c>
      <c r="D1646">
        <f>IFERROR([1]!s_stm07_is($A1646,"W76031679",TEXT($B$1,"yyyy/mm/dd"),1),"")</f>
        <v>278175670.88999999</v>
      </c>
      <c r="E1646">
        <f>IFERROR([1]!s_stm07_is($A1646,"W70752487",TEXT($B$1,"yyyy/mm/dd"),1),"")</f>
        <v>323909542.56999999</v>
      </c>
      <c r="F1646">
        <f>IFERROR([1]!s_stm07_is_103($A1646,TEXT($B$1,"yyyy/mm/dd"),1),"")</f>
        <v>237617348.41</v>
      </c>
      <c r="G1646">
        <f>IFERROR([1]!s_stm07_is_104($A1646,TEXT($B$1,"yyyy/mm/dd"),1),"")</f>
        <v>53800018.859999999</v>
      </c>
      <c r="H1646">
        <f>IFERROR([1]!s_stm07_is_105($A1646,TEXT($B$1,"yyyy/mm/dd"),1),"")</f>
        <v>14105218.189999999</v>
      </c>
      <c r="I1646">
        <f>IFERROR([1]!s_stm07_is($A1646,"W72946623",TEXT($B$1,"yyyy/mm/dd"),1),"")</f>
        <v>275775558.67000002</v>
      </c>
      <c r="J1646">
        <f>IFERROR([1]!s_stm07_is($A1646,"W30028333",TEXT($B$1,"yyyy/mm/dd"),1),"")</f>
        <v>239806806.41</v>
      </c>
      <c r="K1646">
        <f>IFERROR([1]!s_stm07_cs($A1646,"W77130581",TEXT($B$1,"yyyy/mm/dd"),1),"")</f>
        <v>317749029.62</v>
      </c>
      <c r="L1646">
        <f>IFERROR([1]!s_stm07_cs($A1646,"W77745895",TEXT($B$1,"yyyy/mm/dd"),1),"")</f>
        <v>221785175.99000001</v>
      </c>
      <c r="M1646">
        <f>IFERROR([1]!S_FA_EPS_basic2($A1646,$B$1,"Cur=CNY"),"")</f>
        <v>1.1299999999999999</v>
      </c>
      <c r="N1646">
        <f>IFERROR([1]!s_fa_arturndays($A1646,TEXT($B$1,"yyyy/mm/dd")),"")</f>
        <v>73.087500000000006</v>
      </c>
      <c r="O1646" t="str">
        <f>IFERROR([1]!fa_apturndays($A1646,TEXT($B$1,"yyyy/mm/dd")),"")</f>
        <v>Fetch...</v>
      </c>
      <c r="P1646">
        <f>IFERROR([1]!s_fa_invturndays($A1646,TEXT($B$1,"yyyy/mm/dd")),"")</f>
        <v>313.75279999999998</v>
      </c>
    </row>
    <row r="1647" spans="1:16">
      <c r="A1647" t="s">
        <v>1660</v>
      </c>
      <c r="B1647">
        <f>IFERROR([1]!s_stm07_is($A1647,"W70156729",TEXT($B$1,"yyyy/mm/dd"),1),"")</f>
        <v>2328672376.0100002</v>
      </c>
      <c r="C1647">
        <f>IFERROR([1]!s_stm07_is($A1647,"W75682424",TEXT($B$1,"yyyy/mm/dd"),1),"")</f>
        <v>1239105142.6900001</v>
      </c>
      <c r="D1647">
        <f>IFERROR([1]!s_stm07_is($A1647,"W76031679",TEXT($B$1,"yyyy/mm/dd"),1),"")</f>
        <v>359420983.06999999</v>
      </c>
      <c r="E1647">
        <f>IFERROR([1]!s_stm07_is($A1647,"W70752487",TEXT($B$1,"yyyy/mm/dd"),1),"")</f>
        <v>192799698.62</v>
      </c>
      <c r="F1647">
        <f>IFERROR([1]!s_stm07_is_103($A1647,TEXT($B$1,"yyyy/mm/dd"),1),"")</f>
        <v>323249127.18000001</v>
      </c>
      <c r="G1647">
        <f>IFERROR([1]!s_stm07_is_104($A1647,TEXT($B$1,"yyyy/mm/dd"),1),"")</f>
        <v>3909387.58</v>
      </c>
      <c r="H1647">
        <f>IFERROR([1]!s_stm07_is_105($A1647,TEXT($B$1,"yyyy/mm/dd"),1),"")</f>
        <v>35370669.840000004</v>
      </c>
      <c r="I1647">
        <f>IFERROR([1]!s_stm07_is($A1647,"W72946623",TEXT($B$1,"yyyy/mm/dd"),1),"")</f>
        <v>264759972.83000001</v>
      </c>
      <c r="J1647">
        <f>IFERROR([1]!s_stm07_is($A1647,"W30028333",TEXT($B$1,"yyyy/mm/dd"),1),"")</f>
        <v>250730796.59999999</v>
      </c>
      <c r="K1647">
        <f>IFERROR([1]!s_stm07_cs($A1647,"W77130581",TEXT($B$1,"yyyy/mm/dd"),1),"")</f>
        <v>267894373.18000001</v>
      </c>
      <c r="L1647">
        <f>IFERROR([1]!s_stm07_cs($A1647,"W77745895",TEXT($B$1,"yyyy/mm/dd"),1),"")</f>
        <v>119254456.23999999</v>
      </c>
      <c r="M1647">
        <f>IFERROR([1]!S_FA_EPS_basic2($A1647,$B$1,"Cur=CNY"),"")</f>
        <v>0.8</v>
      </c>
      <c r="N1647">
        <f>IFERROR([1]!s_fa_arturndays($A1647,TEXT($B$1,"yyyy/mm/dd")),"")</f>
        <v>56.293100000000003</v>
      </c>
      <c r="O1647" t="str">
        <f>IFERROR([1]!fa_apturndays($A1647,TEXT($B$1,"yyyy/mm/dd")),"")</f>
        <v>Fetch...</v>
      </c>
      <c r="P1647">
        <f>IFERROR([1]!s_fa_invturndays($A1647,TEXT($B$1,"yyyy/mm/dd")),"")</f>
        <v>102.18559999999999</v>
      </c>
    </row>
    <row r="1648" spans="1:16">
      <c r="A1648" t="s">
        <v>1661</v>
      </c>
      <c r="B1648">
        <f>IFERROR([1]!s_stm07_is($A1648,"W70156729",TEXT($B$1,"yyyy/mm/dd"),1),"")</f>
        <v>2655024754.75</v>
      </c>
      <c r="C1648">
        <f>IFERROR([1]!s_stm07_is($A1648,"W75682424",TEXT($B$1,"yyyy/mm/dd"),1),"")</f>
        <v>1955006586.8299999</v>
      </c>
      <c r="D1648">
        <f>IFERROR([1]!s_stm07_is($A1648,"W76031679",TEXT($B$1,"yyyy/mm/dd"),1),"")</f>
        <v>193558517.38</v>
      </c>
      <c r="E1648">
        <f>IFERROR([1]!s_stm07_is($A1648,"W70752487",TEXT($B$1,"yyyy/mm/dd"),1),"")</f>
        <v>219797608.81</v>
      </c>
      <c r="F1648">
        <f>IFERROR([1]!s_stm07_is_103($A1648,TEXT($B$1,"yyyy/mm/dd"),1),"")</f>
        <v>957277999.71000004</v>
      </c>
      <c r="G1648">
        <f>IFERROR([1]!s_stm07_is_104($A1648,TEXT($B$1,"yyyy/mm/dd"),1),"")</f>
        <v>60869226.030000001</v>
      </c>
      <c r="H1648">
        <f>IFERROR([1]!s_stm07_is_105($A1648,TEXT($B$1,"yyyy/mm/dd"),1),"")</f>
        <v>66391579.5</v>
      </c>
      <c r="I1648">
        <f>IFERROR([1]!s_stm07_is($A1648,"W72946623",TEXT($B$1,"yyyy/mm/dd"),1),"")</f>
        <v>-754027847.47000003</v>
      </c>
      <c r="J1648">
        <f>IFERROR([1]!s_stm07_is($A1648,"W30028333",TEXT($B$1,"yyyy/mm/dd"),1),"")</f>
        <v>-717124210.22000003</v>
      </c>
      <c r="K1648">
        <f>IFERROR([1]!s_stm07_cs($A1648,"W77130581",TEXT($B$1,"yyyy/mm/dd"),1),"")</f>
        <v>-323500458.91000003</v>
      </c>
      <c r="L1648">
        <f>IFERROR([1]!s_stm07_cs($A1648,"W77745895",TEXT($B$1,"yyyy/mm/dd"),1),"")</f>
        <v>215996174.41</v>
      </c>
      <c r="M1648">
        <f>IFERROR([1]!S_FA_EPS_basic2($A1648,$B$1,"Cur=CNY"),"")</f>
        <v>-1.6</v>
      </c>
      <c r="N1648">
        <f>IFERROR([1]!s_fa_arturndays($A1648,TEXT($B$1,"yyyy/mm/dd")),"")</f>
        <v>66.154600000000002</v>
      </c>
      <c r="O1648" t="str">
        <f>IFERROR([1]!fa_apturndays($A1648,TEXT($B$1,"yyyy/mm/dd")),"")</f>
        <v>Fetch...</v>
      </c>
      <c r="P1648">
        <f>IFERROR([1]!s_fa_invturndays($A1648,TEXT($B$1,"yyyy/mm/dd")),"")</f>
        <v>171.6165</v>
      </c>
    </row>
    <row r="1649" spans="1:16">
      <c r="A1649" t="s">
        <v>1662</v>
      </c>
      <c r="B1649">
        <f>IFERROR([1]!s_stm07_is($A1649,"W70156729",TEXT($B$1,"yyyy/mm/dd"),1),"")</f>
        <v>2259975196.9899998</v>
      </c>
      <c r="C1649">
        <f>IFERROR([1]!s_stm07_is($A1649,"W75682424",TEXT($B$1,"yyyy/mm/dd"),1),"")</f>
        <v>1607451649.24</v>
      </c>
      <c r="D1649">
        <f>IFERROR([1]!s_stm07_is($A1649,"W76031679",TEXT($B$1,"yyyy/mm/dd"),1),"")</f>
        <v>130967109.26000001</v>
      </c>
      <c r="E1649">
        <f>IFERROR([1]!s_stm07_is($A1649,"W70752487",TEXT($B$1,"yyyy/mm/dd"),1),"")</f>
        <v>130506934.93000001</v>
      </c>
      <c r="F1649">
        <f>IFERROR([1]!s_stm07_is_103($A1649,TEXT($B$1,"yyyy/mm/dd"),1),"")</f>
        <v>164137499.81999999</v>
      </c>
      <c r="G1649">
        <f>IFERROR([1]!s_stm07_is_104($A1649,TEXT($B$1,"yyyy/mm/dd"),1),"")</f>
        <v>493011.87</v>
      </c>
      <c r="H1649">
        <f>IFERROR([1]!s_stm07_is_105($A1649,TEXT($B$1,"yyyy/mm/dd"),1),"")</f>
        <v>37582978.75</v>
      </c>
      <c r="I1649">
        <f>IFERROR([1]!s_stm07_is($A1649,"W72946623",TEXT($B$1,"yyyy/mm/dd"),1),"")</f>
        <v>382269754.50999999</v>
      </c>
      <c r="J1649">
        <f>IFERROR([1]!s_stm07_is($A1649,"W30028333",TEXT($B$1,"yyyy/mm/dd"),1),"")</f>
        <v>345520085.37</v>
      </c>
      <c r="K1649">
        <f>IFERROR([1]!s_stm07_cs($A1649,"W77130581",TEXT($B$1,"yyyy/mm/dd"),1),"")</f>
        <v>677112854.13</v>
      </c>
      <c r="L1649">
        <f>IFERROR([1]!s_stm07_cs($A1649,"W77745895",TEXT($B$1,"yyyy/mm/dd"),1),"")</f>
        <v>722004843.28999996</v>
      </c>
      <c r="M1649">
        <f>IFERROR([1]!S_FA_EPS_basic2($A1649,$B$1,"Cur=CNY"),"")</f>
        <v>0.65</v>
      </c>
      <c r="N1649">
        <f>IFERROR([1]!s_fa_arturndays($A1649,TEXT($B$1,"yyyy/mm/dd")),"")</f>
        <v>76.373099999999994</v>
      </c>
      <c r="O1649" t="str">
        <f>IFERROR([1]!fa_apturndays($A1649,TEXT($B$1,"yyyy/mm/dd")),"")</f>
        <v>Fetch...</v>
      </c>
      <c r="P1649">
        <f>IFERROR([1]!s_fa_invturndays($A1649,TEXT($B$1,"yyyy/mm/dd")),"")</f>
        <v>65.723399999999998</v>
      </c>
    </row>
    <row r="1650" spans="1:16">
      <c r="A1650" t="s">
        <v>1663</v>
      </c>
      <c r="B1650">
        <f>IFERROR([1]!s_stm07_is($A1650,"W70156729",TEXT($B$1,"yyyy/mm/dd"),1),"")</f>
        <v>2633303190.5300002</v>
      </c>
      <c r="C1650">
        <f>IFERROR([1]!s_stm07_is($A1650,"W75682424",TEXT($B$1,"yyyy/mm/dd"),1),"")</f>
        <v>1772501700.8499999</v>
      </c>
      <c r="D1650">
        <f>IFERROR([1]!s_stm07_is($A1650,"W76031679",TEXT($B$1,"yyyy/mm/dd"),1),"")</f>
        <v>75220922.769999996</v>
      </c>
      <c r="E1650">
        <f>IFERROR([1]!s_stm07_is($A1650,"W70752487",TEXT($B$1,"yyyy/mm/dd"),1),"")</f>
        <v>127882688.2</v>
      </c>
      <c r="F1650">
        <f>IFERROR([1]!s_stm07_is_103($A1650,TEXT($B$1,"yyyy/mm/dd"),1),"")</f>
        <v>265395838.52000001</v>
      </c>
      <c r="G1650">
        <f>IFERROR([1]!s_stm07_is_104($A1650,TEXT($B$1,"yyyy/mm/dd"),1),"")</f>
        <v>67984993.959999993</v>
      </c>
      <c r="H1650">
        <f>IFERROR([1]!s_stm07_is_105($A1650,TEXT($B$1,"yyyy/mm/dd"),1),"")</f>
        <v>8723530.5399999991</v>
      </c>
      <c r="I1650">
        <f>IFERROR([1]!s_stm07_is($A1650,"W72946623",TEXT($B$1,"yyyy/mm/dd"),1),"")</f>
        <v>221228854.22</v>
      </c>
      <c r="J1650">
        <f>IFERROR([1]!s_stm07_is($A1650,"W30028333",TEXT($B$1,"yyyy/mm/dd"),1),"")</f>
        <v>219374207.36000001</v>
      </c>
      <c r="K1650">
        <f>IFERROR([1]!s_stm07_cs($A1650,"W77130581",TEXT($B$1,"yyyy/mm/dd"),1),"")</f>
        <v>390601656.63</v>
      </c>
      <c r="L1650">
        <f>IFERROR([1]!s_stm07_cs($A1650,"W77745895",TEXT($B$1,"yyyy/mm/dd"),1),"")</f>
        <v>279814342.32999998</v>
      </c>
      <c r="M1650">
        <f>IFERROR([1]!S_FA_EPS_basic2($A1650,$B$1,"Cur=CNY"),"")</f>
        <v>0.48</v>
      </c>
      <c r="N1650">
        <f>IFERROR([1]!s_fa_arturndays($A1650,TEXT($B$1,"yyyy/mm/dd")),"")</f>
        <v>99.151700000000005</v>
      </c>
      <c r="O1650" t="str">
        <f>IFERROR([1]!fa_apturndays($A1650,TEXT($B$1,"yyyy/mm/dd")),"")</f>
        <v>Fetch...</v>
      </c>
      <c r="P1650">
        <f>IFERROR([1]!s_fa_invturndays($A1650,TEXT($B$1,"yyyy/mm/dd")),"")</f>
        <v>735.29409999999996</v>
      </c>
    </row>
    <row r="1651" spans="1:16">
      <c r="A1651" t="s">
        <v>1664</v>
      </c>
      <c r="B1651">
        <f>IFERROR([1]!s_stm07_is($A1651,"W70156729",TEXT($B$1,"yyyy/mm/dd"),1),"")</f>
        <v>552186647.20000005</v>
      </c>
      <c r="C1651">
        <f>IFERROR([1]!s_stm07_is($A1651,"W75682424",TEXT($B$1,"yyyy/mm/dd"),1),"")</f>
        <v>149044978.53</v>
      </c>
      <c r="D1651">
        <f>IFERROR([1]!s_stm07_is($A1651,"W76031679",TEXT($B$1,"yyyy/mm/dd"),1),"")</f>
        <v>12792894.369999999</v>
      </c>
      <c r="E1651">
        <f>IFERROR([1]!s_stm07_is($A1651,"W70752487",TEXT($B$1,"yyyy/mm/dd"),1),"")</f>
        <v>67689030.239999995</v>
      </c>
      <c r="F1651">
        <f>IFERROR([1]!s_stm07_is_103($A1651,TEXT($B$1,"yyyy/mm/dd"),1),"")</f>
        <v>71263727.25</v>
      </c>
      <c r="G1651">
        <f>IFERROR([1]!s_stm07_is_104($A1651,TEXT($B$1,"yyyy/mm/dd"),1),"")</f>
        <v>5169049.12</v>
      </c>
      <c r="H1651">
        <f>IFERROR([1]!s_stm07_is_105($A1651,TEXT($B$1,"yyyy/mm/dd"),1),"")</f>
        <v>6048331.0300000003</v>
      </c>
      <c r="I1651">
        <f>IFERROR([1]!s_stm07_is($A1651,"W72946623",TEXT($B$1,"yyyy/mm/dd"),1),"")</f>
        <v>249973930.16999999</v>
      </c>
      <c r="J1651">
        <f>IFERROR([1]!s_stm07_is($A1651,"W30028333",TEXT($B$1,"yyyy/mm/dd"),1),"")</f>
        <v>219157415.44</v>
      </c>
      <c r="K1651">
        <f>IFERROR([1]!s_stm07_cs($A1651,"W77130581",TEXT($B$1,"yyyy/mm/dd"),1),"")</f>
        <v>264056454.83000001</v>
      </c>
      <c r="L1651">
        <f>IFERROR([1]!s_stm07_cs($A1651,"W77745895",TEXT($B$1,"yyyy/mm/dd"),1),"")</f>
        <v>173830279.53</v>
      </c>
      <c r="M1651">
        <f>IFERROR([1]!S_FA_EPS_basic2($A1651,$B$1,"Cur=CNY"),"")</f>
        <v>0.55000000000000004</v>
      </c>
      <c r="N1651">
        <f>IFERROR([1]!s_fa_arturndays($A1651,TEXT($B$1,"yyyy/mm/dd")),"")</f>
        <v>90.406800000000004</v>
      </c>
      <c r="O1651" t="str">
        <f>IFERROR([1]!fa_apturndays($A1651,TEXT($B$1,"yyyy/mm/dd")),"")</f>
        <v>Fetch...</v>
      </c>
      <c r="P1651">
        <f>IFERROR([1]!s_fa_invturndays($A1651,TEXT($B$1,"yyyy/mm/dd")),"")</f>
        <v>278.70249999999999</v>
      </c>
    </row>
    <row r="1652" spans="1:16">
      <c r="A1652" t="s">
        <v>1665</v>
      </c>
      <c r="B1652">
        <f>IFERROR([1]!s_stm07_is($A1652,"W70156729",TEXT($B$1,"yyyy/mm/dd"),1),"")</f>
        <v>2320962267.77</v>
      </c>
      <c r="C1652">
        <f>IFERROR([1]!s_stm07_is($A1652,"W75682424",TEXT($B$1,"yyyy/mm/dd"),1),"")</f>
        <v>1733799894.55</v>
      </c>
      <c r="D1652">
        <f>IFERROR([1]!s_stm07_is($A1652,"W76031679",TEXT($B$1,"yyyy/mm/dd"),1),"")</f>
        <v>52990019.899999999</v>
      </c>
      <c r="E1652">
        <f>IFERROR([1]!s_stm07_is($A1652,"W70752487",TEXT($B$1,"yyyy/mm/dd"),1),"")</f>
        <v>138487274.50999999</v>
      </c>
      <c r="F1652">
        <f>IFERROR([1]!s_stm07_is_103($A1652,TEXT($B$1,"yyyy/mm/dd"),1),"")</f>
        <v>416339822.02999997</v>
      </c>
      <c r="G1652">
        <f>IFERROR([1]!s_stm07_is_104($A1652,TEXT($B$1,"yyyy/mm/dd"),1),"")</f>
        <v>5631429.9699999997</v>
      </c>
      <c r="H1652">
        <f>IFERROR([1]!s_stm07_is_105($A1652,TEXT($B$1,"yyyy/mm/dd"),1),"")</f>
        <v>54101884.259999998</v>
      </c>
      <c r="I1652">
        <f>IFERROR([1]!s_stm07_is($A1652,"W72946623",TEXT($B$1,"yyyy/mm/dd"),1),"")</f>
        <v>18114716.260000002</v>
      </c>
      <c r="J1652">
        <f>IFERROR([1]!s_stm07_is($A1652,"W30028333",TEXT($B$1,"yyyy/mm/dd"),1),"")</f>
        <v>43632306.420000002</v>
      </c>
      <c r="K1652">
        <f>IFERROR([1]!s_stm07_cs($A1652,"W77130581",TEXT($B$1,"yyyy/mm/dd"),1),"")</f>
        <v>774396082.65999997</v>
      </c>
      <c r="L1652">
        <f>IFERROR([1]!s_stm07_cs($A1652,"W77745895",TEXT($B$1,"yyyy/mm/dd"),1),"")</f>
        <v>196427892.52000001</v>
      </c>
      <c r="M1652">
        <f>IFERROR([1]!S_FA_EPS_basic2($A1652,$B$1,"Cur=CNY"),"")</f>
        <v>0.1</v>
      </c>
      <c r="N1652">
        <f>IFERROR([1]!s_fa_arturndays($A1652,TEXT($B$1,"yyyy/mm/dd")),"")</f>
        <v>61.7973</v>
      </c>
      <c r="O1652" t="str">
        <f>IFERROR([1]!fa_apturndays($A1652,TEXT($B$1,"yyyy/mm/dd")),"")</f>
        <v>Fetch...</v>
      </c>
      <c r="P1652">
        <f>IFERROR([1]!s_fa_invturndays($A1652,TEXT($B$1,"yyyy/mm/dd")),"")</f>
        <v>131.53569999999999</v>
      </c>
    </row>
    <row r="1653" spans="1:16">
      <c r="A1653" t="s">
        <v>1666</v>
      </c>
      <c r="B1653">
        <f>IFERROR([1]!s_stm07_is($A1653,"W70156729",TEXT($B$1,"yyyy/mm/dd"),1),"")</f>
        <v>1699357006.3099999</v>
      </c>
      <c r="C1653">
        <f>IFERROR([1]!s_stm07_is($A1653,"W75682424",TEXT($B$1,"yyyy/mm/dd"),1),"")</f>
        <v>1262052234.26</v>
      </c>
      <c r="D1653">
        <f>IFERROR([1]!s_stm07_is($A1653,"W76031679",TEXT($B$1,"yyyy/mm/dd"),1),"")</f>
        <v>183241130.15000001</v>
      </c>
      <c r="E1653">
        <f>IFERROR([1]!s_stm07_is($A1653,"W70752487",TEXT($B$1,"yyyy/mm/dd"),1),"")</f>
        <v>136392904.05000001</v>
      </c>
      <c r="F1653">
        <f>IFERROR([1]!s_stm07_is_103($A1653,TEXT($B$1,"yyyy/mm/dd"),1),"")</f>
        <v>194110457.03</v>
      </c>
      <c r="G1653">
        <f>IFERROR([1]!s_stm07_is_104($A1653,TEXT($B$1,"yyyy/mm/dd"),1),"")</f>
        <v>3611893.17</v>
      </c>
      <c r="H1653">
        <f>IFERROR([1]!s_stm07_is_105($A1653,TEXT($B$1,"yyyy/mm/dd"),1),"")</f>
        <v>4813706.16</v>
      </c>
      <c r="I1653">
        <f>IFERROR([1]!s_stm07_is($A1653,"W72946623",TEXT($B$1,"yyyy/mm/dd"),1),"")</f>
        <v>-60762203.68</v>
      </c>
      <c r="J1653">
        <f>IFERROR([1]!s_stm07_is($A1653,"W30028333",TEXT($B$1,"yyyy/mm/dd"),1),"")</f>
        <v>-73553359.459999993</v>
      </c>
      <c r="K1653">
        <f>IFERROR([1]!s_stm07_cs($A1653,"W77130581",TEXT($B$1,"yyyy/mm/dd"),1),"")</f>
        <v>242531267.28999999</v>
      </c>
      <c r="L1653">
        <f>IFERROR([1]!s_stm07_cs($A1653,"W77745895",TEXT($B$1,"yyyy/mm/dd"),1),"")</f>
        <v>702898207.99000001</v>
      </c>
      <c r="M1653">
        <f>IFERROR([1]!S_FA_EPS_basic2($A1653,$B$1,"Cur=CNY"),"")</f>
        <v>-0.16</v>
      </c>
      <c r="N1653">
        <f>IFERROR([1]!s_fa_arturndays($A1653,TEXT($B$1,"yyyy/mm/dd")),"")</f>
        <v>94.485699999999994</v>
      </c>
      <c r="O1653" t="str">
        <f>IFERROR([1]!fa_apturndays($A1653,TEXT($B$1,"yyyy/mm/dd")),"")</f>
        <v>Fetch...</v>
      </c>
      <c r="P1653">
        <f>IFERROR([1]!s_fa_invturndays($A1653,TEXT($B$1,"yyyy/mm/dd")),"")</f>
        <v>7.6809000000000003</v>
      </c>
    </row>
    <row r="1654" spans="1:16">
      <c r="A1654" t="s">
        <v>1667</v>
      </c>
      <c r="B1654">
        <f>IFERROR([1]!s_stm07_is($A1654,"W70156729",TEXT($B$1,"yyyy/mm/dd"),1),"")</f>
        <v>932129358.71000004</v>
      </c>
      <c r="C1654">
        <f>IFERROR([1]!s_stm07_is($A1654,"W75682424",TEXT($B$1,"yyyy/mm/dd"),1),"")</f>
        <v>883509457.5</v>
      </c>
      <c r="D1654">
        <f>IFERROR([1]!s_stm07_is($A1654,"W76031679",TEXT($B$1,"yyyy/mm/dd"),1),"")</f>
        <v>129067358.29000001</v>
      </c>
      <c r="E1654">
        <f>IFERROR([1]!s_stm07_is($A1654,"W70752487",TEXT($B$1,"yyyy/mm/dd"),1),"")</f>
        <v>193412951.90000001</v>
      </c>
      <c r="F1654">
        <f>IFERROR([1]!s_stm07_is_103($A1654,TEXT($B$1,"yyyy/mm/dd"),1),"")</f>
        <v>194196542.81</v>
      </c>
      <c r="G1654">
        <f>IFERROR([1]!s_stm07_is_104($A1654,TEXT($B$1,"yyyy/mm/dd"),1),"")</f>
        <v>31724701.140000001</v>
      </c>
      <c r="H1654">
        <f>IFERROR([1]!s_stm07_is_105($A1654,TEXT($B$1,"yyyy/mm/dd"),1),"")</f>
        <v>5553925.1699999999</v>
      </c>
      <c r="I1654">
        <f>IFERROR([1]!s_stm07_is($A1654,"W72946623",TEXT($B$1,"yyyy/mm/dd"),1),"")</f>
        <v>-633459721.70000005</v>
      </c>
      <c r="J1654">
        <f>IFERROR([1]!s_stm07_is($A1654,"W30028333",TEXT($B$1,"yyyy/mm/dd"),1),"")</f>
        <v>-497088962.38999999</v>
      </c>
      <c r="K1654">
        <f>IFERROR([1]!s_stm07_cs($A1654,"W77130581",TEXT($B$1,"yyyy/mm/dd"),1),"")</f>
        <v>-197727675.61000001</v>
      </c>
      <c r="L1654">
        <f>IFERROR([1]!s_stm07_cs($A1654,"W77745895",TEXT($B$1,"yyyy/mm/dd"),1),"")</f>
        <v>184738126.72</v>
      </c>
      <c r="M1654">
        <f>IFERROR([1]!S_FA_EPS_basic2($A1654,$B$1,"Cur=CNY"),"")</f>
        <v>-0.95</v>
      </c>
      <c r="N1654">
        <f>IFERROR([1]!s_fa_arturndays($A1654,TEXT($B$1,"yyyy/mm/dd")),"")</f>
        <v>311.79629999999997</v>
      </c>
      <c r="O1654" t="str">
        <f>IFERROR([1]!fa_apturndays($A1654,TEXT($B$1,"yyyy/mm/dd")),"")</f>
        <v>Fetch...</v>
      </c>
      <c r="P1654">
        <f>IFERROR([1]!s_fa_invturndays($A1654,TEXT($B$1,"yyyy/mm/dd")),"")</f>
        <v>148.25800000000001</v>
      </c>
    </row>
    <row r="1655" spans="1:16">
      <c r="A1655" t="s">
        <v>1668</v>
      </c>
      <c r="B1655">
        <f>IFERROR([1]!s_stm07_is($A1655,"W70156729",TEXT($B$1,"yyyy/mm/dd"),1),"")</f>
        <v>1223640129.98</v>
      </c>
      <c r="C1655">
        <f>IFERROR([1]!s_stm07_is($A1655,"W75682424",TEXT($B$1,"yyyy/mm/dd"),1),"")</f>
        <v>601611553.11000001</v>
      </c>
      <c r="D1655">
        <f>IFERROR([1]!s_stm07_is($A1655,"W76031679",TEXT($B$1,"yyyy/mm/dd"),1),"")</f>
        <v>78021529.359999999</v>
      </c>
      <c r="E1655">
        <f>IFERROR([1]!s_stm07_is($A1655,"W70752487",TEXT($B$1,"yyyy/mm/dd"),1),"")</f>
        <v>154505701.97999999</v>
      </c>
      <c r="F1655">
        <f>IFERROR([1]!s_stm07_is_103($A1655,TEXT($B$1,"yyyy/mm/dd"),1),"")</f>
        <v>304947050.73000002</v>
      </c>
      <c r="G1655">
        <f>IFERROR([1]!s_stm07_is_104($A1655,TEXT($B$1,"yyyy/mm/dd"),1),"")</f>
        <v>62957015.060000002</v>
      </c>
      <c r="H1655">
        <f>IFERROR([1]!s_stm07_is_105($A1655,TEXT($B$1,"yyyy/mm/dd"),1),"")</f>
        <v>5547241.5</v>
      </c>
      <c r="I1655">
        <f>IFERROR([1]!s_stm07_is($A1655,"W72946623",TEXT($B$1,"yyyy/mm/dd"),1),"")</f>
        <v>13908830.66</v>
      </c>
      <c r="J1655">
        <f>IFERROR([1]!s_stm07_is($A1655,"W30028333",TEXT($B$1,"yyyy/mm/dd"),1),"")</f>
        <v>54514680.920000002</v>
      </c>
      <c r="K1655">
        <f>IFERROR([1]!s_stm07_cs($A1655,"W77130581",TEXT($B$1,"yyyy/mm/dd"),1),"")</f>
        <v>325190811.50999999</v>
      </c>
      <c r="L1655">
        <f>IFERROR([1]!s_stm07_cs($A1655,"W77745895",TEXT($B$1,"yyyy/mm/dd"),1),"")</f>
        <v>453408729.10000002</v>
      </c>
      <c r="M1655">
        <f>IFERROR([1]!S_FA_EPS_basic2($A1655,$B$1,"Cur=CNY"),"")</f>
        <v>0.13</v>
      </c>
      <c r="N1655">
        <f>IFERROR([1]!s_fa_arturndays($A1655,TEXT($B$1,"yyyy/mm/dd")),"")</f>
        <v>94.764300000000006</v>
      </c>
      <c r="O1655" t="str">
        <f>IFERROR([1]!fa_apturndays($A1655,TEXT($B$1,"yyyy/mm/dd")),"")</f>
        <v>Fetch...</v>
      </c>
      <c r="P1655">
        <f>IFERROR([1]!s_fa_invturndays($A1655,TEXT($B$1,"yyyy/mm/dd")),"")</f>
        <v>218.0761</v>
      </c>
    </row>
    <row r="1656" spans="1:16">
      <c r="A1656" t="s">
        <v>1669</v>
      </c>
      <c r="B1656">
        <f>IFERROR([1]!s_stm07_is($A1656,"W70156729",TEXT($B$1,"yyyy/mm/dd"),1),"")</f>
        <v>18694776828</v>
      </c>
      <c r="C1656">
        <f>IFERROR([1]!s_stm07_is($A1656,"W75682424",TEXT($B$1,"yyyy/mm/dd"),1),"")</f>
        <v>10777539438</v>
      </c>
      <c r="D1656">
        <f>IFERROR([1]!s_stm07_is($A1656,"W76031679",TEXT($B$1,"yyyy/mm/dd"),1),"")</f>
        <v>4894346162</v>
      </c>
      <c r="E1656">
        <f>IFERROR([1]!s_stm07_is($A1656,"W70752487",TEXT($B$1,"yyyy/mm/dd"),1),"")</f>
        <v>431013352</v>
      </c>
      <c r="F1656">
        <f>IFERROR([1]!s_stm07_is_103($A1656,TEXT($B$1,"yyyy/mm/dd"),1),"")</f>
        <v>1419566173</v>
      </c>
      <c r="G1656">
        <f>IFERROR([1]!s_stm07_is_104($A1656,TEXT($B$1,"yyyy/mm/dd"),1),"")</f>
        <v>10122182</v>
      </c>
      <c r="H1656">
        <f>IFERROR([1]!s_stm07_is_105($A1656,TEXT($B$1,"yyyy/mm/dd"),1),"")</f>
        <v>158554289</v>
      </c>
      <c r="I1656">
        <f>IFERROR([1]!s_stm07_is($A1656,"W72946623",TEXT($B$1,"yyyy/mm/dd"),1),"")</f>
        <v>1446874526</v>
      </c>
      <c r="J1656">
        <f>IFERROR([1]!s_stm07_is($A1656,"W30028333",TEXT($B$1,"yyyy/mm/dd"),1),"")</f>
        <v>1363322277</v>
      </c>
      <c r="K1656">
        <f>IFERROR([1]!s_stm07_cs($A1656,"W77130581",TEXT($B$1,"yyyy/mm/dd"),1),"")</f>
        <v>773566263</v>
      </c>
      <c r="L1656">
        <f>IFERROR([1]!s_stm07_cs($A1656,"W77745895",TEXT($B$1,"yyyy/mm/dd"),1),"")</f>
        <v>480678876</v>
      </c>
      <c r="M1656">
        <f>IFERROR([1]!S_FA_EPS_basic2($A1656,$B$1,"Cur=CNY"),"")</f>
        <v>5.29</v>
      </c>
      <c r="N1656">
        <f>IFERROR([1]!s_fa_arturndays($A1656,TEXT($B$1,"yyyy/mm/dd")),"")</f>
        <v>20.759399999999999</v>
      </c>
      <c r="O1656" t="str">
        <f>IFERROR([1]!fa_apturndays($A1656,TEXT($B$1,"yyyy/mm/dd")),"")</f>
        <v>Fetch...</v>
      </c>
      <c r="P1656">
        <f>IFERROR([1]!s_fa_invturndays($A1656,TEXT($B$1,"yyyy/mm/dd")),"")</f>
        <v>69.232100000000003</v>
      </c>
    </row>
    <row r="1657" spans="1:16">
      <c r="A1657" t="s">
        <v>1670</v>
      </c>
      <c r="B1657">
        <f>IFERROR([1]!s_stm07_is($A1657,"W70156729",TEXT($B$1,"yyyy/mm/dd"),1),"")</f>
        <v>1833263543.04</v>
      </c>
      <c r="C1657">
        <f>IFERROR([1]!s_stm07_is($A1657,"W75682424",TEXT($B$1,"yyyy/mm/dd"),1),"")</f>
        <v>1711161659.3399999</v>
      </c>
      <c r="D1657">
        <f>IFERROR([1]!s_stm07_is($A1657,"W76031679",TEXT($B$1,"yyyy/mm/dd"),1),"")</f>
        <v>59461380.890000001</v>
      </c>
      <c r="E1657">
        <f>IFERROR([1]!s_stm07_is($A1657,"W70752487",TEXT($B$1,"yyyy/mm/dd"),1),"")</f>
        <v>390384517.04000002</v>
      </c>
      <c r="F1657">
        <f>IFERROR([1]!s_stm07_is_103($A1657,TEXT($B$1,"yyyy/mm/dd"),1),"")</f>
        <v>801816963.60000002</v>
      </c>
      <c r="G1657">
        <f>IFERROR([1]!s_stm07_is_104($A1657,TEXT($B$1,"yyyy/mm/dd"),1),"")</f>
        <v>25322993.57</v>
      </c>
      <c r="H1657">
        <f>IFERROR([1]!s_stm07_is_105($A1657,TEXT($B$1,"yyyy/mm/dd"),1),"")</f>
        <v>62301647.420000002</v>
      </c>
      <c r="I1657">
        <f>IFERROR([1]!s_stm07_is($A1657,"W72946623",TEXT($B$1,"yyyy/mm/dd"),1),"")</f>
        <v>-673635372.90999997</v>
      </c>
      <c r="J1657">
        <f>IFERROR([1]!s_stm07_is($A1657,"W30028333",TEXT($B$1,"yyyy/mm/dd"),1),"")</f>
        <v>-407807520.25</v>
      </c>
      <c r="K1657">
        <f>IFERROR([1]!s_stm07_cs($A1657,"W77130581",TEXT($B$1,"yyyy/mm/dd"),1),"")</f>
        <v>580342989.50999999</v>
      </c>
      <c r="L1657">
        <f>IFERROR([1]!s_stm07_cs($A1657,"W77745895",TEXT($B$1,"yyyy/mm/dd"),1),"")</f>
        <v>13761069653.85</v>
      </c>
      <c r="M1657">
        <f>IFERROR([1]!S_FA_EPS_basic2($A1657,$B$1,"Cur=CNY"),"")</f>
        <v>-0.31</v>
      </c>
      <c r="N1657">
        <f>IFERROR([1]!s_fa_arturndays($A1657,TEXT($B$1,"yyyy/mm/dd")),"")</f>
        <v>263.75560000000002</v>
      </c>
      <c r="O1657" t="str">
        <f>IFERROR([1]!fa_apturndays($A1657,TEXT($B$1,"yyyy/mm/dd")),"")</f>
        <v>Fetch...</v>
      </c>
      <c r="P1657">
        <f>IFERROR([1]!s_fa_invturndays($A1657,TEXT($B$1,"yyyy/mm/dd")),"")</f>
        <v>183.39279999999999</v>
      </c>
    </row>
    <row r="1658" spans="1:16">
      <c r="A1658" t="s">
        <v>1671</v>
      </c>
      <c r="B1658">
        <f>IFERROR([1]!s_stm07_is($A1658,"W70156729",TEXT($B$1,"yyyy/mm/dd"),1),"")</f>
        <v>935217111.71000004</v>
      </c>
      <c r="C1658">
        <f>IFERROR([1]!s_stm07_is($A1658,"W75682424",TEXT($B$1,"yyyy/mm/dd"),1),"")</f>
        <v>197219867.52000001</v>
      </c>
      <c r="D1658">
        <f>IFERROR([1]!s_stm07_is($A1658,"W76031679",TEXT($B$1,"yyyy/mm/dd"),1),"")</f>
        <v>284554934.86000001</v>
      </c>
      <c r="E1658">
        <f>IFERROR([1]!s_stm07_is($A1658,"W70752487",TEXT($B$1,"yyyy/mm/dd"),1),"")</f>
        <v>51735918.920000002</v>
      </c>
      <c r="F1658">
        <f>IFERROR([1]!s_stm07_is_103($A1658,TEXT($B$1,"yyyy/mm/dd"),1),"")</f>
        <v>800153781.91999996</v>
      </c>
      <c r="G1658">
        <f>IFERROR([1]!s_stm07_is_104($A1658,TEXT($B$1,"yyyy/mm/dd"),1),"")</f>
        <v>20066203.34</v>
      </c>
      <c r="H1658">
        <f>IFERROR([1]!s_stm07_is_105($A1658,TEXT($B$1,"yyyy/mm/dd"),1),"")</f>
        <v>3848757.95</v>
      </c>
      <c r="I1658">
        <f>IFERROR([1]!s_stm07_is($A1658,"W72946623",TEXT($B$1,"yyyy/mm/dd"),1),"")</f>
        <v>-331648430.30000001</v>
      </c>
      <c r="J1658">
        <f>IFERROR([1]!s_stm07_is($A1658,"W30028333",TEXT($B$1,"yyyy/mm/dd"),1),"")</f>
        <v>-331940823.75</v>
      </c>
      <c r="K1658">
        <f>IFERROR([1]!s_stm07_cs($A1658,"W77130581",TEXT($B$1,"yyyy/mm/dd"),1),"")</f>
        <v>-82111673.239999995</v>
      </c>
      <c r="L1658">
        <f>IFERROR([1]!s_stm07_cs($A1658,"W77745895",TEXT($B$1,"yyyy/mm/dd"),1),"")</f>
        <v>121744305.59</v>
      </c>
      <c r="M1658">
        <f>IFERROR([1]!S_FA_EPS_basic2($A1658,$B$1,"Cur=CNY"),"")</f>
        <v>-0.8</v>
      </c>
      <c r="N1658">
        <f>IFERROR([1]!s_fa_arturndays($A1658,TEXT($B$1,"yyyy/mm/dd")),"")</f>
        <v>51.743499999999997</v>
      </c>
      <c r="O1658" t="str">
        <f>IFERROR([1]!fa_apturndays($A1658,TEXT($B$1,"yyyy/mm/dd")),"")</f>
        <v>Fetch...</v>
      </c>
      <c r="P1658">
        <f>IFERROR([1]!s_fa_invturndays($A1658,TEXT($B$1,"yyyy/mm/dd")),"")</f>
        <v>516.12900000000002</v>
      </c>
    </row>
    <row r="1659" spans="1:16">
      <c r="A1659" t="s">
        <v>1672</v>
      </c>
      <c r="B1659">
        <f>IFERROR([1]!s_stm07_is($A1659,"W70156729",TEXT($B$1,"yyyy/mm/dd"),1),"")</f>
        <v>2498420333.9699998</v>
      </c>
      <c r="C1659">
        <f>IFERROR([1]!s_stm07_is($A1659,"W75682424",TEXT($B$1,"yyyy/mm/dd"),1),"")</f>
        <v>466504699.5</v>
      </c>
      <c r="D1659">
        <f>IFERROR([1]!s_stm07_is($A1659,"W76031679",TEXT($B$1,"yyyy/mm/dd"),1),"")</f>
        <v>1052990110.91</v>
      </c>
      <c r="E1659">
        <f>IFERROR([1]!s_stm07_is($A1659,"W70752487",TEXT($B$1,"yyyy/mm/dd"),1),"")</f>
        <v>494437195.29000002</v>
      </c>
      <c r="F1659">
        <f>IFERROR([1]!s_stm07_is_103($A1659,TEXT($B$1,"yyyy/mm/dd"),1),"")</f>
        <v>1342123173.5599999</v>
      </c>
      <c r="G1659">
        <f>IFERROR([1]!s_stm07_is_104($A1659,TEXT($B$1,"yyyy/mm/dd"),1),"")</f>
        <v>64317116.520000003</v>
      </c>
      <c r="H1659">
        <f>IFERROR([1]!s_stm07_is_105($A1659,TEXT($B$1,"yyyy/mm/dd"),1),"")</f>
        <v>31884720.609999999</v>
      </c>
      <c r="I1659">
        <f>IFERROR([1]!s_stm07_is($A1659,"W72946623",TEXT($B$1,"yyyy/mm/dd"),1),"")</f>
        <v>-1023274342.0700001</v>
      </c>
      <c r="J1659">
        <f>IFERROR([1]!s_stm07_is($A1659,"W30028333",TEXT($B$1,"yyyy/mm/dd"),1),"")</f>
        <v>-875174332.71000004</v>
      </c>
      <c r="K1659">
        <f>IFERROR([1]!s_stm07_cs($A1659,"W77130581",TEXT($B$1,"yyyy/mm/dd"),1),"")</f>
        <v>-519567732.31999999</v>
      </c>
      <c r="L1659">
        <f>IFERROR([1]!s_stm07_cs($A1659,"W77745895",TEXT($B$1,"yyyy/mm/dd"),1),"")</f>
        <v>768298592.70000005</v>
      </c>
      <c r="M1659">
        <f>IFERROR([1]!S_FA_EPS_basic2($A1659,$B$1,"Cur=CNY"),"")</f>
        <v>-0.87</v>
      </c>
      <c r="N1659">
        <f>IFERROR([1]!s_fa_arturndays($A1659,TEXT($B$1,"yyyy/mm/dd")),"")</f>
        <v>73.216899999999995</v>
      </c>
      <c r="O1659" t="str">
        <f>IFERROR([1]!fa_apturndays($A1659,TEXT($B$1,"yyyy/mm/dd")),"")</f>
        <v>Fetch...</v>
      </c>
      <c r="P1659">
        <f>IFERROR([1]!s_fa_invturndays($A1659,TEXT($B$1,"yyyy/mm/dd")),"")</f>
        <v>446.65010000000001</v>
      </c>
    </row>
    <row r="1660" spans="1:16">
      <c r="A1660" t="s">
        <v>1673</v>
      </c>
      <c r="B1660">
        <f>IFERROR([1]!s_stm07_is($A1660,"W70156729",TEXT($B$1,"yyyy/mm/dd"),1),"")</f>
        <v>723715977.49000001</v>
      </c>
      <c r="C1660">
        <f>IFERROR([1]!s_stm07_is($A1660,"W75682424",TEXT($B$1,"yyyy/mm/dd"),1),"")</f>
        <v>498901524.24000001</v>
      </c>
      <c r="D1660">
        <f>IFERROR([1]!s_stm07_is($A1660,"W76031679",TEXT($B$1,"yyyy/mm/dd"),1),"")</f>
        <v>7827175.04</v>
      </c>
      <c r="E1660">
        <f>IFERROR([1]!s_stm07_is($A1660,"W70752487",TEXT($B$1,"yyyy/mm/dd"),1),"")</f>
        <v>49297337.310000002</v>
      </c>
      <c r="F1660">
        <f>IFERROR([1]!s_stm07_is_103($A1660,TEXT($B$1,"yyyy/mm/dd"),1),"")</f>
        <v>44097809.829999998</v>
      </c>
      <c r="G1660">
        <f>IFERROR([1]!s_stm07_is_104($A1660,TEXT($B$1,"yyyy/mm/dd"),1),"")</f>
        <v>33643.58</v>
      </c>
      <c r="H1660">
        <f>IFERROR([1]!s_stm07_is_105($A1660,TEXT($B$1,"yyyy/mm/dd"),1),"")</f>
        <v>5590563.5099999998</v>
      </c>
      <c r="I1660">
        <f>IFERROR([1]!s_stm07_is($A1660,"W72946623",TEXT($B$1,"yyyy/mm/dd"),1),"")</f>
        <v>140869843.03999999</v>
      </c>
      <c r="J1660">
        <f>IFERROR([1]!s_stm07_is($A1660,"W30028333",TEXT($B$1,"yyyy/mm/dd"),1),"")</f>
        <v>120362812.78</v>
      </c>
      <c r="K1660">
        <f>IFERROR([1]!s_stm07_cs($A1660,"W77130581",TEXT($B$1,"yyyy/mm/dd"),1),"")</f>
        <v>25623237.34</v>
      </c>
      <c r="L1660">
        <f>IFERROR([1]!s_stm07_cs($A1660,"W77745895",TEXT($B$1,"yyyy/mm/dd"),1),"")</f>
        <v>412076618.23000002</v>
      </c>
      <c r="M1660">
        <f>IFERROR([1]!S_FA_EPS_basic2($A1660,$B$1,"Cur=CNY"),"")</f>
        <v>0.3</v>
      </c>
      <c r="N1660">
        <f>IFERROR([1]!s_fa_arturndays($A1660,TEXT($B$1,"yyyy/mm/dd")),"")</f>
        <v>122.4115</v>
      </c>
      <c r="O1660" t="str">
        <f>IFERROR([1]!fa_apturndays($A1660,TEXT($B$1,"yyyy/mm/dd")),"")</f>
        <v>Fetch...</v>
      </c>
      <c r="P1660">
        <f>IFERROR([1]!s_fa_invturndays($A1660,TEXT($B$1,"yyyy/mm/dd")),"")</f>
        <v>161.93600000000001</v>
      </c>
    </row>
    <row r="1661" spans="1:16">
      <c r="A1661" t="s">
        <v>1674</v>
      </c>
      <c r="B1661">
        <f>IFERROR([1]!s_stm07_is($A1661,"W70156729",TEXT($B$1,"yyyy/mm/dd"),1),"")</f>
        <v>9493763839.1800003</v>
      </c>
      <c r="C1661">
        <f>IFERROR([1]!s_stm07_is($A1661,"W75682424",TEXT($B$1,"yyyy/mm/dd"),1),"")</f>
        <v>6535132448.8000002</v>
      </c>
      <c r="D1661">
        <f>IFERROR([1]!s_stm07_is($A1661,"W76031679",TEXT($B$1,"yyyy/mm/dd"),1),"")</f>
        <v>306820644.47000003</v>
      </c>
      <c r="E1661">
        <f>IFERROR([1]!s_stm07_is($A1661,"W70752487",TEXT($B$1,"yyyy/mm/dd"),1),"")</f>
        <v>326625857.85000002</v>
      </c>
      <c r="F1661">
        <f>IFERROR([1]!s_stm07_is_103($A1661,TEXT($B$1,"yyyy/mm/dd"),1),"")</f>
        <v>487860319.55000001</v>
      </c>
      <c r="G1661">
        <f>IFERROR([1]!s_stm07_is_104($A1661,TEXT($B$1,"yyyy/mm/dd"),1),"")</f>
        <v>70121935.349999994</v>
      </c>
      <c r="H1661">
        <f>IFERROR([1]!s_stm07_is_105($A1661,TEXT($B$1,"yyyy/mm/dd"),1),"")</f>
        <v>5499063.2800000003</v>
      </c>
      <c r="I1661">
        <f>IFERROR([1]!s_stm07_is($A1661,"W72946623",TEXT($B$1,"yyyy/mm/dd"),1),"")</f>
        <v>1658012228.28</v>
      </c>
      <c r="J1661">
        <f>IFERROR([1]!s_stm07_is($A1661,"W30028333",TEXT($B$1,"yyyy/mm/dd"),1),"")</f>
        <v>1473148860.3499999</v>
      </c>
      <c r="K1661">
        <f>IFERROR([1]!s_stm07_cs($A1661,"W77130581",TEXT($B$1,"yyyy/mm/dd"),1),"")</f>
        <v>1621124475.95</v>
      </c>
      <c r="L1661">
        <f>IFERROR([1]!s_stm07_cs($A1661,"W77745895",TEXT($B$1,"yyyy/mm/dd"),1),"")</f>
        <v>1639857362.1199999</v>
      </c>
      <c r="M1661">
        <f>IFERROR([1]!S_FA_EPS_basic2($A1661,$B$1,"Cur=CNY"),"")</f>
        <v>1.8</v>
      </c>
      <c r="N1661">
        <f>IFERROR([1]!s_fa_arturndays($A1661,TEXT($B$1,"yyyy/mm/dd")),"")</f>
        <v>86.807599999999994</v>
      </c>
      <c r="O1661" t="str">
        <f>IFERROR([1]!fa_apturndays($A1661,TEXT($B$1,"yyyy/mm/dd")),"")</f>
        <v>Fetch...</v>
      </c>
      <c r="P1661">
        <f>IFERROR([1]!s_fa_invturndays($A1661,TEXT($B$1,"yyyy/mm/dd")),"")</f>
        <v>75.299599999999998</v>
      </c>
    </row>
    <row r="1662" spans="1:16">
      <c r="A1662" t="s">
        <v>1675</v>
      </c>
      <c r="B1662">
        <f>IFERROR([1]!s_stm07_is($A1662,"W70156729",TEXT($B$1,"yyyy/mm/dd"),1),"")</f>
        <v>1067907137.7</v>
      </c>
      <c r="C1662">
        <f>IFERROR([1]!s_stm07_is($A1662,"W75682424",TEXT($B$1,"yyyy/mm/dd"),1),"")</f>
        <v>240161697.72999999</v>
      </c>
      <c r="D1662">
        <f>IFERROR([1]!s_stm07_is($A1662,"W76031679",TEXT($B$1,"yyyy/mm/dd"),1),"")</f>
        <v>416726120.24000001</v>
      </c>
      <c r="E1662">
        <f>IFERROR([1]!s_stm07_is($A1662,"W70752487",TEXT($B$1,"yyyy/mm/dd"),1),"")</f>
        <v>158354103.40000001</v>
      </c>
      <c r="F1662">
        <f>IFERROR([1]!s_stm07_is_103($A1662,TEXT($B$1,"yyyy/mm/dd"),1),"")</f>
        <v>313038295.88999999</v>
      </c>
      <c r="G1662">
        <f>IFERROR([1]!s_stm07_is_104($A1662,TEXT($B$1,"yyyy/mm/dd"),1),"")</f>
        <v>39606306.07</v>
      </c>
      <c r="H1662">
        <f>IFERROR([1]!s_stm07_is_105($A1662,TEXT($B$1,"yyyy/mm/dd"),1),"")</f>
        <v>34764951.579999998</v>
      </c>
      <c r="I1662">
        <f>IFERROR([1]!s_stm07_is($A1662,"W72946623",TEXT($B$1,"yyyy/mm/dd"),1),"")</f>
        <v>21738291.789999999</v>
      </c>
      <c r="J1662">
        <f>IFERROR([1]!s_stm07_is($A1662,"W30028333",TEXT($B$1,"yyyy/mm/dd"),1),"")</f>
        <v>27872718</v>
      </c>
      <c r="K1662">
        <f>IFERROR([1]!s_stm07_cs($A1662,"W77130581",TEXT($B$1,"yyyy/mm/dd"),1),"")</f>
        <v>90982409.849999994</v>
      </c>
      <c r="L1662">
        <f>IFERROR([1]!s_stm07_cs($A1662,"W77745895",TEXT($B$1,"yyyy/mm/dd"),1),"")</f>
        <v>243901370.68000001</v>
      </c>
      <c r="M1662">
        <f>IFERROR([1]!S_FA_EPS_basic2($A1662,$B$1,"Cur=CNY"),"")</f>
        <v>0.11</v>
      </c>
      <c r="N1662">
        <f>IFERROR([1]!s_fa_arturndays($A1662,TEXT($B$1,"yyyy/mm/dd")),"")</f>
        <v>256.28250000000003</v>
      </c>
      <c r="O1662" t="str">
        <f>IFERROR([1]!fa_apturndays($A1662,TEXT($B$1,"yyyy/mm/dd")),"")</f>
        <v>Fetch...</v>
      </c>
      <c r="P1662">
        <f>IFERROR([1]!s_fa_invturndays($A1662,TEXT($B$1,"yyyy/mm/dd")),"")</f>
        <v>473.12389999999999</v>
      </c>
    </row>
    <row r="1663" spans="1:16">
      <c r="A1663" t="s">
        <v>1676</v>
      </c>
      <c r="B1663">
        <f>IFERROR([1]!s_stm07_is($A1663,"W70156729",TEXT($B$1,"yyyy/mm/dd"),1),"")</f>
        <v>28702700063</v>
      </c>
      <c r="C1663">
        <f>IFERROR([1]!s_stm07_is($A1663,"W75682424",TEXT($B$1,"yyyy/mm/dd"),1),"")</f>
        <v>19106801504</v>
      </c>
      <c r="D1663">
        <f>IFERROR([1]!s_stm07_is($A1663,"W76031679",TEXT($B$1,"yyyy/mm/dd"),1),"")</f>
        <v>586917932</v>
      </c>
      <c r="E1663">
        <f>IFERROR([1]!s_stm07_is($A1663,"W70752487",TEXT($B$1,"yyyy/mm/dd"),1),"")</f>
        <v>1227083317</v>
      </c>
      <c r="F1663">
        <f>IFERROR([1]!s_stm07_is_103($A1663,TEXT($B$1,"yyyy/mm/dd"),1),"")</f>
        <v>3011318327</v>
      </c>
      <c r="G1663">
        <f>IFERROR([1]!s_stm07_is_104($A1663,TEXT($B$1,"yyyy/mm/dd"),1),"")</f>
        <v>26238709</v>
      </c>
      <c r="H1663">
        <f>IFERROR([1]!s_stm07_is_105($A1663,TEXT($B$1,"yyyy/mm/dd"),1),"")</f>
        <v>305300440</v>
      </c>
      <c r="I1663">
        <f>IFERROR([1]!s_stm07_is($A1663,"W72946623",TEXT($B$1,"yyyy/mm/dd"),1),"")</f>
        <v>4873642919</v>
      </c>
      <c r="J1663">
        <f>IFERROR([1]!s_stm07_is($A1663,"W30028333",TEXT($B$1,"yyyy/mm/dd"),1),"")</f>
        <v>4096540421</v>
      </c>
      <c r="K1663">
        <f>IFERROR([1]!s_stm07_cs($A1663,"W77130581",TEXT($B$1,"yyyy/mm/dd"),1),"")</f>
        <v>3964724300</v>
      </c>
      <c r="L1663">
        <f>IFERROR([1]!s_stm07_cs($A1663,"W77745895",TEXT($B$1,"yyyy/mm/dd"),1),"")</f>
        <v>4009770595</v>
      </c>
      <c r="M1663">
        <f>IFERROR([1]!S_FA_EPS_basic2($A1663,$B$1,"Cur=CNY"),"")</f>
        <v>2.99</v>
      </c>
      <c r="N1663">
        <f>IFERROR([1]!s_fa_arturndays($A1663,TEXT($B$1,"yyyy/mm/dd")),"")</f>
        <v>149.6944</v>
      </c>
      <c r="O1663" t="str">
        <f>IFERROR([1]!fa_apturndays($A1663,TEXT($B$1,"yyyy/mm/dd")),"")</f>
        <v>Fetch...</v>
      </c>
      <c r="P1663">
        <f>IFERROR([1]!s_fa_invturndays($A1663,TEXT($B$1,"yyyy/mm/dd")),"")</f>
        <v>168.0437</v>
      </c>
    </row>
    <row r="1664" spans="1:16">
      <c r="A1664" t="s">
        <v>1677</v>
      </c>
      <c r="B1664">
        <f>IFERROR([1]!s_stm07_is($A1664,"W70156729",TEXT($B$1,"yyyy/mm/dd"),1),"")</f>
        <v>2195632312.9200001</v>
      </c>
      <c r="C1664">
        <f>IFERROR([1]!s_stm07_is($A1664,"W75682424",TEXT($B$1,"yyyy/mm/dd"),1),"")</f>
        <v>490538075.95999998</v>
      </c>
      <c r="D1664">
        <f>IFERROR([1]!s_stm07_is($A1664,"W76031679",TEXT($B$1,"yyyy/mm/dd"),1),"")</f>
        <v>136843512.52000001</v>
      </c>
      <c r="E1664">
        <f>IFERROR([1]!s_stm07_is($A1664,"W70752487",TEXT($B$1,"yyyy/mm/dd"),1),"")</f>
        <v>155677643.77000001</v>
      </c>
      <c r="F1664">
        <f>IFERROR([1]!s_stm07_is_103($A1664,TEXT($B$1,"yyyy/mm/dd"),1),"")</f>
        <v>341329531.45999998</v>
      </c>
      <c r="G1664">
        <f>IFERROR([1]!s_stm07_is_104($A1664,TEXT($B$1,"yyyy/mm/dd"),1),"")</f>
        <v>327690.23999999999</v>
      </c>
      <c r="H1664">
        <f>IFERROR([1]!s_stm07_is_105($A1664,TEXT($B$1,"yyyy/mm/dd"),1),"")</f>
        <v>33878569.009999998</v>
      </c>
      <c r="I1664">
        <f>IFERROR([1]!s_stm07_is($A1664,"W72946623",TEXT($B$1,"yyyy/mm/dd"),1),"")</f>
        <v>1244310625.5899999</v>
      </c>
      <c r="J1664">
        <f>IFERROR([1]!s_stm07_is($A1664,"W30028333",TEXT($B$1,"yyyy/mm/dd"),1),"")</f>
        <v>1112547607.75</v>
      </c>
      <c r="K1664">
        <f>IFERROR([1]!s_stm07_cs($A1664,"W77130581",TEXT($B$1,"yyyy/mm/dd"),1),"")</f>
        <v>1104320726.22</v>
      </c>
      <c r="L1664">
        <f>IFERROR([1]!s_stm07_cs($A1664,"W77745895",TEXT($B$1,"yyyy/mm/dd"),1),"")</f>
        <v>35202823.719999999</v>
      </c>
      <c r="M1664">
        <f>IFERROR([1]!S_FA_EPS_basic2($A1664,$B$1,"Cur=CNY"),"")</f>
        <v>3.86</v>
      </c>
      <c r="N1664">
        <f>IFERROR([1]!s_fa_arturndays($A1664,TEXT($B$1,"yyyy/mm/dd")),"")</f>
        <v>23.854600000000001</v>
      </c>
      <c r="O1664" t="str">
        <f>IFERROR([1]!fa_apturndays($A1664,TEXT($B$1,"yyyy/mm/dd")),"")</f>
        <v>Fetch...</v>
      </c>
      <c r="P1664">
        <f>IFERROR([1]!s_fa_invturndays($A1664,TEXT($B$1,"yyyy/mm/dd")),"")</f>
        <v>152.2199</v>
      </c>
    </row>
    <row r="1665" spans="1:16">
      <c r="A1665" t="s">
        <v>1678</v>
      </c>
      <c r="B1665">
        <f>IFERROR([1]!s_stm07_is($A1665,"W70156729",TEXT($B$1,"yyyy/mm/dd"),1),"")</f>
        <v>1889590923.1300001</v>
      </c>
      <c r="C1665">
        <f>IFERROR([1]!s_stm07_is($A1665,"W75682424",TEXT($B$1,"yyyy/mm/dd"),1),"")</f>
        <v>1365457346.6700001</v>
      </c>
      <c r="D1665">
        <f>IFERROR([1]!s_stm07_is($A1665,"W76031679",TEXT($B$1,"yyyy/mm/dd"),1),"")</f>
        <v>36026912.07</v>
      </c>
      <c r="E1665">
        <f>IFERROR([1]!s_stm07_is($A1665,"W70752487",TEXT($B$1,"yyyy/mm/dd"),1),"")</f>
        <v>37952827.659999996</v>
      </c>
      <c r="F1665">
        <f>IFERROR([1]!s_stm07_is_103($A1665,TEXT($B$1,"yyyy/mm/dd"),1),"")</f>
        <v>118518546.59</v>
      </c>
      <c r="G1665">
        <f>IFERROR([1]!s_stm07_is_104($A1665,TEXT($B$1,"yyyy/mm/dd"),1),"")</f>
        <v>2241636.0499999998</v>
      </c>
      <c r="H1665">
        <f>IFERROR([1]!s_stm07_is_105($A1665,TEXT($B$1,"yyyy/mm/dd"),1),"")</f>
        <v>1286039.1399999999</v>
      </c>
      <c r="I1665">
        <f>IFERROR([1]!s_stm07_is($A1665,"W72946623",TEXT($B$1,"yyyy/mm/dd"),1),"")</f>
        <v>338921034.31999999</v>
      </c>
      <c r="J1665">
        <f>IFERROR([1]!s_stm07_is($A1665,"W30028333",TEXT($B$1,"yyyy/mm/dd"),1),"")</f>
        <v>294389731.94</v>
      </c>
      <c r="K1665">
        <f>IFERROR([1]!s_stm07_cs($A1665,"W77130581",TEXT($B$1,"yyyy/mm/dd"),1),"")</f>
        <v>31115083.670000002</v>
      </c>
      <c r="L1665">
        <f>IFERROR([1]!s_stm07_cs($A1665,"W77745895",TEXT($B$1,"yyyy/mm/dd"),1),"")</f>
        <v>34538667.43</v>
      </c>
      <c r="M1665">
        <f>IFERROR([1]!S_FA_EPS_basic2($A1665,$B$1,"Cur=CNY"),"")</f>
        <v>2.4531999999999998</v>
      </c>
      <c r="N1665">
        <f>IFERROR([1]!s_fa_arturndays($A1665,TEXT($B$1,"yyyy/mm/dd")),"")</f>
        <v>109.6224</v>
      </c>
      <c r="O1665" t="str">
        <f>IFERROR([1]!fa_apturndays($A1665,TEXT($B$1,"yyyy/mm/dd")),"")</f>
        <v>Fetch...</v>
      </c>
      <c r="P1665">
        <f>IFERROR([1]!s_fa_invturndays($A1665,TEXT($B$1,"yyyy/mm/dd")),"")</f>
        <v>49.195099999999996</v>
      </c>
    </row>
    <row r="1666" spans="1:16">
      <c r="A1666" t="s">
        <v>1679</v>
      </c>
      <c r="B1666">
        <f>IFERROR([1]!s_stm07_is($A1666,"W70156729",TEXT($B$1,"yyyy/mm/dd"),1),"")</f>
        <v>801135558.28999996</v>
      </c>
      <c r="C1666">
        <f>IFERROR([1]!s_stm07_is($A1666,"W75682424",TEXT($B$1,"yyyy/mm/dd"),1),"")</f>
        <v>34228877.369999997</v>
      </c>
      <c r="D1666">
        <f>IFERROR([1]!s_stm07_is($A1666,"W76031679",TEXT($B$1,"yyyy/mm/dd"),1),"")</f>
        <v>570792086.75</v>
      </c>
      <c r="E1666">
        <f>IFERROR([1]!s_stm07_is($A1666,"W70752487",TEXT($B$1,"yyyy/mm/dd"),1),"")</f>
        <v>160154685.31</v>
      </c>
      <c r="F1666">
        <f>IFERROR([1]!s_stm07_is_103($A1666,TEXT($B$1,"yyyy/mm/dd"),1),"")</f>
        <v>855608765.66999996</v>
      </c>
      <c r="G1666">
        <f>IFERROR([1]!s_stm07_is_104($A1666,TEXT($B$1,"yyyy/mm/dd"),1),"")</f>
        <v>31215788.09</v>
      </c>
      <c r="H1666">
        <f>IFERROR([1]!s_stm07_is_105($A1666,TEXT($B$1,"yyyy/mm/dd"),1),"")</f>
        <v>2136412.46</v>
      </c>
      <c r="I1666">
        <f>IFERROR([1]!s_stm07_is($A1666,"W72946623",TEXT($B$1,"yyyy/mm/dd"),1),"")</f>
        <v>-767126713.41999996</v>
      </c>
      <c r="J1666">
        <f>IFERROR([1]!s_stm07_is($A1666,"W30028333",TEXT($B$1,"yyyy/mm/dd"),1),"")</f>
        <v>-764049492.71000004</v>
      </c>
      <c r="K1666">
        <f>IFERROR([1]!s_stm07_cs($A1666,"W77130581",TEXT($B$1,"yyyy/mm/dd"),1),"")</f>
        <v>-588324788.57000005</v>
      </c>
      <c r="L1666">
        <f>IFERROR([1]!s_stm07_cs($A1666,"W77745895",TEXT($B$1,"yyyy/mm/dd"),1),"")</f>
        <v>170469026.06</v>
      </c>
      <c r="M1666">
        <f>IFERROR([1]!S_FA_EPS_basic2($A1666,$B$1,"Cur=CNY"),"")</f>
        <v>-1.71</v>
      </c>
      <c r="N1666">
        <f>IFERROR([1]!s_fa_arturndays($A1666,TEXT($B$1,"yyyy/mm/dd")),"")</f>
        <v>38.406100000000002</v>
      </c>
      <c r="O1666" t="str">
        <f>IFERROR([1]!fa_apturndays($A1666,TEXT($B$1,"yyyy/mm/dd")),"")</f>
        <v>Fetch...</v>
      </c>
      <c r="P1666">
        <f>IFERROR([1]!s_fa_invturndays($A1666,TEXT($B$1,"yyyy/mm/dd")),"")</f>
        <v>426.28769999999997</v>
      </c>
    </row>
    <row r="1667" spans="1:16">
      <c r="A1667" t="s">
        <v>1680</v>
      </c>
      <c r="B1667">
        <f>IFERROR([1]!s_stm07_is($A1667,"W70156729",TEXT($B$1,"yyyy/mm/dd"),1),"")</f>
        <v>1346410627.3900001</v>
      </c>
      <c r="C1667">
        <f>IFERROR([1]!s_stm07_is($A1667,"W75682424",TEXT($B$1,"yyyy/mm/dd"),1),"")</f>
        <v>352840384.92000002</v>
      </c>
      <c r="D1667">
        <f>IFERROR([1]!s_stm07_is($A1667,"W76031679",TEXT($B$1,"yyyy/mm/dd"),1),"")</f>
        <v>156823378.96000001</v>
      </c>
      <c r="E1667">
        <f>IFERROR([1]!s_stm07_is($A1667,"W70752487",TEXT($B$1,"yyyy/mm/dd"),1),"")</f>
        <v>65129987.93</v>
      </c>
      <c r="F1667">
        <f>IFERROR([1]!s_stm07_is_103($A1667,TEXT($B$1,"yyyy/mm/dd"),1),"")</f>
        <v>265716727.94999999</v>
      </c>
      <c r="G1667">
        <f>IFERROR([1]!s_stm07_is_104($A1667,TEXT($B$1,"yyyy/mm/dd"),1),"")</f>
        <v>849899.03</v>
      </c>
      <c r="H1667">
        <f>IFERROR([1]!s_stm07_is_105($A1667,TEXT($B$1,"yyyy/mm/dd"),1),"")</f>
        <v>44391563.950000003</v>
      </c>
      <c r="I1667">
        <f>IFERROR([1]!s_stm07_is($A1667,"W72946623",TEXT($B$1,"yyyy/mm/dd"),1),"")</f>
        <v>583185639.41999996</v>
      </c>
      <c r="J1667">
        <f>IFERROR([1]!s_stm07_is($A1667,"W30028333",TEXT($B$1,"yyyy/mm/dd"),1),"")</f>
        <v>536096078.24000001</v>
      </c>
      <c r="K1667">
        <f>IFERROR([1]!s_stm07_cs($A1667,"W77130581",TEXT($B$1,"yyyy/mm/dd"),1),"")</f>
        <v>304200814.12</v>
      </c>
      <c r="L1667">
        <f>IFERROR([1]!s_stm07_cs($A1667,"W77745895",TEXT($B$1,"yyyy/mm/dd"),1),"")</f>
        <v>66186982.93</v>
      </c>
      <c r="M1667">
        <f>IFERROR([1]!S_FA_EPS_basic2($A1667,$B$1,"Cur=CNY"),"")</f>
        <v>3.96</v>
      </c>
      <c r="N1667">
        <f>IFERROR([1]!s_fa_arturndays($A1667,TEXT($B$1,"yyyy/mm/dd")),"")</f>
        <v>117.5702</v>
      </c>
      <c r="O1667" t="str">
        <f>IFERROR([1]!fa_apturndays($A1667,TEXT($B$1,"yyyy/mm/dd")),"")</f>
        <v>Fetch...</v>
      </c>
      <c r="P1667">
        <f>IFERROR([1]!s_fa_invturndays($A1667,TEXT($B$1,"yyyy/mm/dd")),"")</f>
        <v>246.0865</v>
      </c>
    </row>
    <row r="1668" spans="1:16">
      <c r="A1668" t="s">
        <v>1681</v>
      </c>
      <c r="B1668">
        <f>IFERROR([1]!s_stm07_is($A1668,"W70156729",TEXT($B$1,"yyyy/mm/dd"),1),"")</f>
        <v>933791450</v>
      </c>
      <c r="C1668">
        <f>IFERROR([1]!s_stm07_is($A1668,"W75682424",TEXT($B$1,"yyyy/mm/dd"),1),"")</f>
        <v>676481800</v>
      </c>
      <c r="D1668">
        <f>IFERROR([1]!s_stm07_is($A1668,"W76031679",TEXT($B$1,"yyyy/mm/dd"),1),"")</f>
        <v>47854600</v>
      </c>
      <c r="E1668">
        <f>IFERROR([1]!s_stm07_is($A1668,"W70752487",TEXT($B$1,"yyyy/mm/dd"),1),"")</f>
        <v>35532480</v>
      </c>
      <c r="F1668">
        <f>IFERROR([1]!s_stm07_is_103($A1668,TEXT($B$1,"yyyy/mm/dd"),1),"")</f>
        <v>110288910</v>
      </c>
      <c r="G1668">
        <f>IFERROR([1]!s_stm07_is_104($A1668,TEXT($B$1,"yyyy/mm/dd"),1),"")</f>
        <v>90030</v>
      </c>
      <c r="H1668">
        <f>IFERROR([1]!s_stm07_is_105($A1668,TEXT($B$1,"yyyy/mm/dd"),1),"")</f>
        <v>2123760</v>
      </c>
      <c r="I1668">
        <f>IFERROR([1]!s_stm07_is($A1668,"W72946623",TEXT($B$1,"yyyy/mm/dd"),1),"")</f>
        <v>72429290</v>
      </c>
      <c r="J1668">
        <f>IFERROR([1]!s_stm07_is($A1668,"W30028333",TEXT($B$1,"yyyy/mm/dd"),1),"")</f>
        <v>71555910</v>
      </c>
      <c r="K1668">
        <f>IFERROR([1]!s_stm07_cs($A1668,"W77130581",TEXT($B$1,"yyyy/mm/dd"),1),"")</f>
        <v>51923110</v>
      </c>
      <c r="L1668">
        <f>IFERROR([1]!s_stm07_cs($A1668,"W77745895",TEXT($B$1,"yyyy/mm/dd"),1),"")</f>
        <v>197008940</v>
      </c>
      <c r="M1668">
        <f>IFERROR([1]!S_FA_EPS_basic2($A1668,$B$1,"Cur=CNY"),"")</f>
        <v>0.45</v>
      </c>
      <c r="N1668">
        <f>IFERROR([1]!s_fa_arturndays($A1668,TEXT($B$1,"yyyy/mm/dd")),"")</f>
        <v>90.5137</v>
      </c>
      <c r="O1668" t="str">
        <f>IFERROR([1]!fa_apturndays($A1668,TEXT($B$1,"yyyy/mm/dd")),"")</f>
        <v>Fetch...</v>
      </c>
      <c r="P1668">
        <f>IFERROR([1]!s_fa_invturndays($A1668,TEXT($B$1,"yyyy/mm/dd")),"")</f>
        <v>239.3458</v>
      </c>
    </row>
    <row r="1669" spans="1:16">
      <c r="A1669" t="s">
        <v>1682</v>
      </c>
      <c r="B1669">
        <f>IFERROR([1]!s_stm07_is($A1669,"W70156729",TEXT($B$1,"yyyy/mm/dd"),1),"")</f>
        <v>483670553.41000003</v>
      </c>
      <c r="C1669">
        <f>IFERROR([1]!s_stm07_is($A1669,"W75682424",TEXT($B$1,"yyyy/mm/dd"),1),"")</f>
        <v>63406481.520000003</v>
      </c>
      <c r="D1669">
        <f>IFERROR([1]!s_stm07_is($A1669,"W76031679",TEXT($B$1,"yyyy/mm/dd"),1),"")</f>
        <v>90321659.790000007</v>
      </c>
      <c r="E1669">
        <f>IFERROR([1]!s_stm07_is($A1669,"W70752487",TEXT($B$1,"yyyy/mm/dd"),1),"")</f>
        <v>62079641.170000002</v>
      </c>
      <c r="F1669">
        <f>IFERROR([1]!s_stm07_is_103($A1669,TEXT($B$1,"yyyy/mm/dd"),1),"")</f>
        <v>307656496.05000001</v>
      </c>
      <c r="G1669">
        <f>IFERROR([1]!s_stm07_is_104($A1669,TEXT($B$1,"yyyy/mm/dd"),1),"")</f>
        <v>76925.25</v>
      </c>
      <c r="H1669">
        <f>IFERROR([1]!s_stm07_is_105($A1669,TEXT($B$1,"yyyy/mm/dd"),1),"")</f>
        <v>5060038.84</v>
      </c>
      <c r="I1669">
        <f>IFERROR([1]!s_stm07_is($A1669,"W72946623",TEXT($B$1,"yyyy/mm/dd"),1),"")</f>
        <v>41203080.130000003</v>
      </c>
      <c r="J1669">
        <f>IFERROR([1]!s_stm07_is($A1669,"W30028333",TEXT($B$1,"yyyy/mm/dd"),1),"")</f>
        <v>34243200.130000003</v>
      </c>
      <c r="K1669">
        <f>IFERROR([1]!s_stm07_cs($A1669,"W77130581",TEXT($B$1,"yyyy/mm/dd"),1),"")</f>
        <v>137764379.03999999</v>
      </c>
      <c r="L1669">
        <f>IFERROR([1]!s_stm07_cs($A1669,"W77745895",TEXT($B$1,"yyyy/mm/dd"),1),"")</f>
        <v>97219498.719999999</v>
      </c>
      <c r="M1669">
        <f>IFERROR([1]!S_FA_EPS_basic2($A1669,$B$1,"Cur=CNY"),"")</f>
        <v>0.08</v>
      </c>
      <c r="N1669">
        <f>IFERROR([1]!s_fa_arturndays($A1669,TEXT($B$1,"yyyy/mm/dd")),"")</f>
        <v>165.44120000000001</v>
      </c>
      <c r="O1669" t="str">
        <f>IFERROR([1]!fa_apturndays($A1669,TEXT($B$1,"yyyy/mm/dd")),"")</f>
        <v>Fetch...</v>
      </c>
      <c r="P1669">
        <f>IFERROR([1]!s_fa_invturndays($A1669,TEXT($B$1,"yyyy/mm/dd")),"")</f>
        <v>320.28469999999999</v>
      </c>
    </row>
    <row r="1670" spans="1:16">
      <c r="A1670" t="s">
        <v>1683</v>
      </c>
      <c r="B1670">
        <f>IFERROR([1]!s_stm07_is($A1670,"W70156729",TEXT($B$1,"yyyy/mm/dd"),1),"")</f>
        <v>4832751860.9099998</v>
      </c>
      <c r="C1670">
        <f>IFERROR([1]!s_stm07_is($A1670,"W75682424",TEXT($B$1,"yyyy/mm/dd"),1),"")</f>
        <v>2123193935.28</v>
      </c>
      <c r="D1670">
        <f>IFERROR([1]!s_stm07_is($A1670,"W76031679",TEXT($B$1,"yyyy/mm/dd"),1),"")</f>
        <v>574522935.78999996</v>
      </c>
      <c r="E1670">
        <f>IFERROR([1]!s_stm07_is($A1670,"W70752487",TEXT($B$1,"yyyy/mm/dd"),1),"")</f>
        <v>395727313.27999997</v>
      </c>
      <c r="F1670">
        <f>IFERROR([1]!s_stm07_is_103($A1670,TEXT($B$1,"yyyy/mm/dd"),1),"")</f>
        <v>774630849.60000002</v>
      </c>
      <c r="G1670">
        <f>IFERROR([1]!s_stm07_is_104($A1670,TEXT($B$1,"yyyy/mm/dd"),1),"")</f>
        <v>74627945.200000003</v>
      </c>
      <c r="H1670">
        <f>IFERROR([1]!s_stm07_is_105($A1670,TEXT($B$1,"yyyy/mm/dd"),1),"")</f>
        <v>28306891.289999999</v>
      </c>
      <c r="I1670">
        <f>IFERROR([1]!s_stm07_is($A1670,"W72946623",TEXT($B$1,"yyyy/mm/dd"),1),"")</f>
        <v>1079121405.8199999</v>
      </c>
      <c r="J1670">
        <f>IFERROR([1]!s_stm07_is($A1670,"W30028333",TEXT($B$1,"yyyy/mm/dd"),1),"")</f>
        <v>935875122.30999994</v>
      </c>
      <c r="K1670">
        <f>IFERROR([1]!s_stm07_cs($A1670,"W77130581",TEXT($B$1,"yyyy/mm/dd"),1),"")</f>
        <v>595597662.21000004</v>
      </c>
      <c r="L1670">
        <f>IFERROR([1]!s_stm07_cs($A1670,"W77745895",TEXT($B$1,"yyyy/mm/dd"),1),"")</f>
        <v>132026059.17</v>
      </c>
      <c r="M1670">
        <f>IFERROR([1]!S_FA_EPS_basic2($A1670,$B$1,"Cur=CNY"),"")</f>
        <v>1.42</v>
      </c>
      <c r="N1670">
        <f>IFERROR([1]!s_fa_arturndays($A1670,TEXT($B$1,"yyyy/mm/dd")),"")</f>
        <v>74.659400000000005</v>
      </c>
      <c r="O1670" t="str">
        <f>IFERROR([1]!fa_apturndays($A1670,TEXT($B$1,"yyyy/mm/dd")),"")</f>
        <v>Fetch...</v>
      </c>
      <c r="P1670">
        <f>IFERROR([1]!s_fa_invturndays($A1670,TEXT($B$1,"yyyy/mm/dd")),"")</f>
        <v>239.02799999999999</v>
      </c>
    </row>
    <row r="1671" spans="1:16">
      <c r="A1671" t="s">
        <v>1684</v>
      </c>
      <c r="B1671">
        <f>IFERROR([1]!s_stm07_is($A1671,"W70156729",TEXT($B$1,"yyyy/mm/dd"),1),"")</f>
        <v>1609228659.1400001</v>
      </c>
      <c r="C1671">
        <f>IFERROR([1]!s_stm07_is($A1671,"W75682424",TEXT($B$1,"yyyy/mm/dd"),1),"")</f>
        <v>1055965296.27</v>
      </c>
      <c r="D1671">
        <f>IFERROR([1]!s_stm07_is($A1671,"W76031679",TEXT($B$1,"yyyy/mm/dd"),1),"")</f>
        <v>38945351.759999998</v>
      </c>
      <c r="E1671">
        <f>IFERROR([1]!s_stm07_is($A1671,"W70752487",TEXT($B$1,"yyyy/mm/dd"),1),"")</f>
        <v>57427408.350000001</v>
      </c>
      <c r="F1671">
        <f>IFERROR([1]!s_stm07_is_103($A1671,TEXT($B$1,"yyyy/mm/dd"),1),"")</f>
        <v>317589878.52999997</v>
      </c>
      <c r="G1671">
        <f>IFERROR([1]!s_stm07_is_104($A1671,TEXT($B$1,"yyyy/mm/dd"),1),"")</f>
        <v>1227137.48</v>
      </c>
      <c r="H1671">
        <f>IFERROR([1]!s_stm07_is_105($A1671,TEXT($B$1,"yyyy/mm/dd"),1),"")</f>
        <v>21936940.789999999</v>
      </c>
      <c r="I1671">
        <f>IFERROR([1]!s_stm07_is($A1671,"W72946623",TEXT($B$1,"yyyy/mm/dd"),1),"")</f>
        <v>169708209.27000001</v>
      </c>
      <c r="J1671">
        <f>IFERROR([1]!s_stm07_is($A1671,"W30028333",TEXT($B$1,"yyyy/mm/dd"),1),"")</f>
        <v>177974383.61000001</v>
      </c>
      <c r="K1671">
        <f>IFERROR([1]!s_stm07_cs($A1671,"W77130581",TEXT($B$1,"yyyy/mm/dd"),1),"")</f>
        <v>27420497.609999999</v>
      </c>
      <c r="L1671">
        <f>IFERROR([1]!s_stm07_cs($A1671,"W77745895",TEXT($B$1,"yyyy/mm/dd"),1),"")</f>
        <v>69057859.430000007</v>
      </c>
      <c r="M1671">
        <f>IFERROR([1]!S_FA_EPS_basic2($A1671,$B$1,"Cur=CNY"),"")</f>
        <v>0.41</v>
      </c>
      <c r="N1671">
        <f>IFERROR([1]!s_fa_arturndays($A1671,TEXT($B$1,"yyyy/mm/dd")),"")</f>
        <v>35.070999999999998</v>
      </c>
      <c r="O1671" t="str">
        <f>IFERROR([1]!fa_apturndays($A1671,TEXT($B$1,"yyyy/mm/dd")),"")</f>
        <v>Fetch...</v>
      </c>
      <c r="P1671">
        <f>IFERROR([1]!s_fa_invturndays($A1671,TEXT($B$1,"yyyy/mm/dd")),"")</f>
        <v>164.9409</v>
      </c>
    </row>
    <row r="1672" spans="1:16">
      <c r="A1672" t="s">
        <v>1685</v>
      </c>
      <c r="B1672">
        <f>IFERROR([1]!s_stm07_is($A1672,"W70156729",TEXT($B$1,"yyyy/mm/dd"),1),"")</f>
        <v>9031240394.2600002</v>
      </c>
      <c r="C1672">
        <f>IFERROR([1]!s_stm07_is($A1672,"W75682424",TEXT($B$1,"yyyy/mm/dd"),1),"")</f>
        <v>6894546120.6300001</v>
      </c>
      <c r="D1672">
        <f>IFERROR([1]!s_stm07_is($A1672,"W76031679",TEXT($B$1,"yyyy/mm/dd"),1),"")</f>
        <v>150303560.63999999</v>
      </c>
      <c r="E1672">
        <f>IFERROR([1]!s_stm07_is($A1672,"W70752487",TEXT($B$1,"yyyy/mm/dd"),1),"")</f>
        <v>135264229.02000001</v>
      </c>
      <c r="F1672">
        <f>IFERROR([1]!s_stm07_is_103($A1672,TEXT($B$1,"yyyy/mm/dd"),1),"")</f>
        <v>618145242.55999994</v>
      </c>
      <c r="G1672">
        <f>IFERROR([1]!s_stm07_is_104($A1672,TEXT($B$1,"yyyy/mm/dd"),1),"")</f>
        <v>75862463.689999998</v>
      </c>
      <c r="H1672">
        <f>IFERROR([1]!s_stm07_is_105($A1672,TEXT($B$1,"yyyy/mm/dd"),1),"")</f>
        <v>19070933.579999998</v>
      </c>
      <c r="I1672">
        <f>IFERROR([1]!s_stm07_is($A1672,"W72946623",TEXT($B$1,"yyyy/mm/dd"),1),"")</f>
        <v>1088524991.53</v>
      </c>
      <c r="J1672">
        <f>IFERROR([1]!s_stm07_is($A1672,"W30028333",TEXT($B$1,"yyyy/mm/dd"),1),"")</f>
        <v>1001246790.35</v>
      </c>
      <c r="K1672">
        <f>IFERROR([1]!s_stm07_cs($A1672,"W77130581",TEXT($B$1,"yyyy/mm/dd"),1),"")</f>
        <v>107848844.09999999</v>
      </c>
      <c r="L1672">
        <f>IFERROR([1]!s_stm07_cs($A1672,"W77745895",TEXT($B$1,"yyyy/mm/dd"),1),"")</f>
        <v>595419795.04999995</v>
      </c>
      <c r="M1672">
        <f>IFERROR([1]!S_FA_EPS_basic2($A1672,$B$1,"Cur=CNY"),"")</f>
        <v>2.4900000000000002</v>
      </c>
      <c r="N1672">
        <f>IFERROR([1]!s_fa_arturndays($A1672,TEXT($B$1,"yyyy/mm/dd")),"")</f>
        <v>52.894500000000001</v>
      </c>
      <c r="O1672" t="str">
        <f>IFERROR([1]!fa_apturndays($A1672,TEXT($B$1,"yyyy/mm/dd")),"")</f>
        <v>Fetch...</v>
      </c>
      <c r="P1672">
        <f>IFERROR([1]!s_fa_invturndays($A1672,TEXT($B$1,"yyyy/mm/dd")),"")</f>
        <v>200.42310000000001</v>
      </c>
    </row>
    <row r="1673" spans="1:16">
      <c r="A1673" t="s">
        <v>1686</v>
      </c>
      <c r="B1673">
        <f>IFERROR([1]!s_stm07_is($A1673,"W70156729",TEXT($B$1,"yyyy/mm/dd"),1),"")</f>
        <v>3816803498.3600001</v>
      </c>
      <c r="C1673">
        <f>IFERROR([1]!s_stm07_is($A1673,"W75682424",TEXT($B$1,"yyyy/mm/dd"),1),"")</f>
        <v>2864395013.04</v>
      </c>
      <c r="D1673">
        <f>IFERROR([1]!s_stm07_is($A1673,"W76031679",TEXT($B$1,"yyyy/mm/dd"),1),"")</f>
        <v>23970712.629999999</v>
      </c>
      <c r="E1673">
        <f>IFERROR([1]!s_stm07_is($A1673,"W70752487",TEXT($B$1,"yyyy/mm/dd"),1),"")</f>
        <v>141107929.25999999</v>
      </c>
      <c r="F1673">
        <f>IFERROR([1]!s_stm07_is_103($A1673,TEXT($B$1,"yyyy/mm/dd"),1),"")</f>
        <v>1298746416.1300001</v>
      </c>
      <c r="G1673">
        <f>IFERROR([1]!s_stm07_is_104($A1673,TEXT($B$1,"yyyy/mm/dd"),1),"")</f>
        <v>5990204.4699999997</v>
      </c>
      <c r="H1673">
        <f>IFERROR([1]!s_stm07_is_105($A1673,TEXT($B$1,"yyyy/mm/dd"),1),"")</f>
        <v>67941600.510000005</v>
      </c>
      <c r="I1673">
        <f>IFERROR([1]!s_stm07_is($A1673,"W72946623",TEXT($B$1,"yyyy/mm/dd"),1),"")</f>
        <v>-350637004</v>
      </c>
      <c r="J1673">
        <f>IFERROR([1]!s_stm07_is($A1673,"W30028333",TEXT($B$1,"yyyy/mm/dd"),1),"")</f>
        <v>-390285176.74000001</v>
      </c>
      <c r="K1673">
        <f>IFERROR([1]!s_stm07_cs($A1673,"W77130581",TEXT($B$1,"yyyy/mm/dd"),1),"")</f>
        <v>-432025298.20999998</v>
      </c>
      <c r="L1673">
        <f>IFERROR([1]!s_stm07_cs($A1673,"W77745895",TEXT($B$1,"yyyy/mm/dd"),1),"")</f>
        <v>110809045.84</v>
      </c>
      <c r="M1673">
        <f>IFERROR([1]!S_FA_EPS_basic2($A1673,$B$1,"Cur=CNY"),"")</f>
        <v>-0.96</v>
      </c>
      <c r="N1673">
        <f>IFERROR([1]!s_fa_arturndays($A1673,TEXT($B$1,"yyyy/mm/dd")),"")</f>
        <v>30.5245</v>
      </c>
      <c r="O1673" t="str">
        <f>IFERROR([1]!fa_apturndays($A1673,TEXT($B$1,"yyyy/mm/dd")),"")</f>
        <v>Fetch...</v>
      </c>
      <c r="P1673">
        <f>IFERROR([1]!s_fa_invturndays($A1673,TEXT($B$1,"yyyy/mm/dd")),"")</f>
        <v>192.28710000000001</v>
      </c>
    </row>
    <row r="1674" spans="1:16">
      <c r="A1674" t="s">
        <v>1687</v>
      </c>
      <c r="B1674">
        <f>IFERROR([1]!s_stm07_is($A1674,"W70156729",TEXT($B$1,"yyyy/mm/dd"),1),"")</f>
        <v>65491869060.269997</v>
      </c>
      <c r="C1674">
        <f>IFERROR([1]!s_stm07_is($A1674,"W75682424",TEXT($B$1,"yyyy/mm/dd"),1),"")</f>
        <v>65881786526.489998</v>
      </c>
      <c r="D1674">
        <f>IFERROR([1]!s_stm07_is($A1674,"W76031679",TEXT($B$1,"yyyy/mm/dd"),1),"")</f>
        <v>1978447592.8800001</v>
      </c>
      <c r="E1674">
        <f>IFERROR([1]!s_stm07_is($A1674,"W70752487",TEXT($B$1,"yyyy/mm/dd"),1),"")</f>
        <v>2184904584.46</v>
      </c>
      <c r="F1674">
        <f>IFERROR([1]!s_stm07_is_103($A1674,TEXT($B$1,"yyyy/mm/dd"),1),"")</f>
        <v>878905193.24000001</v>
      </c>
      <c r="G1674">
        <f>IFERROR([1]!s_stm07_is_104($A1674,TEXT($B$1,"yyyy/mm/dd"),1),"")</f>
        <v>1707814674.3900001</v>
      </c>
      <c r="H1674">
        <f>IFERROR([1]!s_stm07_is_105($A1674,TEXT($B$1,"yyyy/mm/dd"),1),"")</f>
        <v>452759141.00999999</v>
      </c>
      <c r="I1674">
        <f>IFERROR([1]!s_stm07_is($A1674,"W72946623",TEXT($B$1,"yyyy/mm/dd"),1),"")</f>
        <v>-9245740045.1000004</v>
      </c>
      <c r="J1674">
        <f>IFERROR([1]!s_stm07_is($A1674,"W30028333",TEXT($B$1,"yyyy/mm/dd"),1),"")</f>
        <v>-6881512301.1199999</v>
      </c>
      <c r="K1674">
        <f>IFERROR([1]!s_stm07_cs($A1674,"W77130581",TEXT($B$1,"yyyy/mm/dd"),1),"")</f>
        <v>2000400259.6800001</v>
      </c>
      <c r="L1674">
        <f>IFERROR([1]!s_stm07_cs($A1674,"W77745895",TEXT($B$1,"yyyy/mm/dd"),1),"")</f>
        <v>2852021128.0300002</v>
      </c>
      <c r="M1674">
        <f>IFERROR([1]!S_FA_EPS_basic2($A1674,$B$1,"Cur=CNY"),"")</f>
        <v>-0.69</v>
      </c>
      <c r="N1674">
        <f>IFERROR([1]!s_fa_arturndays($A1674,TEXT($B$1,"yyyy/mm/dd")),"")</f>
        <v>73.604600000000005</v>
      </c>
      <c r="O1674" t="str">
        <f>IFERROR([1]!fa_apturndays($A1674,TEXT($B$1,"yyyy/mm/dd")),"")</f>
        <v>Fetch...</v>
      </c>
      <c r="P1674">
        <f>IFERROR([1]!s_fa_invturndays($A1674,TEXT($B$1,"yyyy/mm/dd")),"")</f>
        <v>76.780299999999997</v>
      </c>
    </row>
    <row r="1675" spans="1:16">
      <c r="A1675" t="s">
        <v>1688</v>
      </c>
      <c r="B1675">
        <f>IFERROR([1]!s_stm07_is($A1675,"W70156729",TEXT($B$1,"yyyy/mm/dd"),1),"")</f>
        <v>1837026658.54</v>
      </c>
      <c r="C1675">
        <f>IFERROR([1]!s_stm07_is($A1675,"W75682424",TEXT($B$1,"yyyy/mm/dd"),1),"")</f>
        <v>745201234.03999996</v>
      </c>
      <c r="D1675">
        <f>IFERROR([1]!s_stm07_is($A1675,"W76031679",TEXT($B$1,"yyyy/mm/dd"),1),"")</f>
        <v>479824660.55000001</v>
      </c>
      <c r="E1675">
        <f>IFERROR([1]!s_stm07_is($A1675,"W70752487",TEXT($B$1,"yyyy/mm/dd"),1),"")</f>
        <v>173061161.66999999</v>
      </c>
      <c r="F1675">
        <f>IFERROR([1]!s_stm07_is_103($A1675,TEXT($B$1,"yyyy/mm/dd"),1),"")</f>
        <v>397643039.04000002</v>
      </c>
      <c r="G1675">
        <f>IFERROR([1]!s_stm07_is_104($A1675,TEXT($B$1,"yyyy/mm/dd"),1),"")</f>
        <v>401662.99</v>
      </c>
      <c r="H1675">
        <f>IFERROR([1]!s_stm07_is_105($A1675,TEXT($B$1,"yyyy/mm/dd"),1),"")</f>
        <v>14298248.140000001</v>
      </c>
      <c r="I1675">
        <f>IFERROR([1]!s_stm07_is($A1675,"W72946623",TEXT($B$1,"yyyy/mm/dd"),1),"")</f>
        <v>60877232.600000001</v>
      </c>
      <c r="J1675">
        <f>IFERROR([1]!s_stm07_is($A1675,"W30028333",TEXT($B$1,"yyyy/mm/dd"),1),"")</f>
        <v>36138797.030000001</v>
      </c>
      <c r="K1675">
        <f>IFERROR([1]!s_stm07_cs($A1675,"W77130581",TEXT($B$1,"yyyy/mm/dd"),1),"")</f>
        <v>266195747.31</v>
      </c>
      <c r="L1675">
        <f>IFERROR([1]!s_stm07_cs($A1675,"W77745895",TEXT($B$1,"yyyy/mm/dd"),1),"")</f>
        <v>252608177.59999999</v>
      </c>
      <c r="M1675">
        <f>IFERROR([1]!S_FA_EPS_basic2($A1675,$B$1,"Cur=CNY"),"")</f>
        <v>0.11</v>
      </c>
      <c r="N1675">
        <f>IFERROR([1]!s_fa_arturndays($A1675,TEXT($B$1,"yyyy/mm/dd")),"")</f>
        <v>245.4992</v>
      </c>
      <c r="O1675" t="str">
        <f>IFERROR([1]!fa_apturndays($A1675,TEXT($B$1,"yyyy/mm/dd")),"")</f>
        <v>Fetch...</v>
      </c>
      <c r="P1675">
        <f>IFERROR([1]!s_fa_invturndays($A1675,TEXT($B$1,"yyyy/mm/dd")),"")</f>
        <v>209.63140000000001</v>
      </c>
    </row>
    <row r="1676" spans="1:16">
      <c r="A1676" t="s">
        <v>1689</v>
      </c>
      <c r="B1676">
        <f>IFERROR([1]!s_stm07_is($A1676,"W70156729",TEXT($B$1,"yyyy/mm/dd"),1),"")</f>
        <v>1464882451.01</v>
      </c>
      <c r="C1676">
        <f>IFERROR([1]!s_stm07_is($A1676,"W75682424",TEXT($B$1,"yyyy/mm/dd"),1),"")</f>
        <v>1273654846.96</v>
      </c>
      <c r="D1676">
        <f>IFERROR([1]!s_stm07_is($A1676,"W76031679",TEXT($B$1,"yyyy/mm/dd"),1),"")</f>
        <v>31059400.48</v>
      </c>
      <c r="E1676">
        <f>IFERROR([1]!s_stm07_is($A1676,"W70752487",TEXT($B$1,"yyyy/mm/dd"),1),"")</f>
        <v>185499508.19999999</v>
      </c>
      <c r="F1676">
        <f>IFERROR([1]!s_stm07_is_103($A1676,TEXT($B$1,"yyyy/mm/dd"),1),"")</f>
        <v>165836009.30000001</v>
      </c>
      <c r="G1676">
        <f>IFERROR([1]!s_stm07_is_104($A1676,TEXT($B$1,"yyyy/mm/dd"),1),"")</f>
        <v>28195210.890000001</v>
      </c>
      <c r="H1676">
        <f>IFERROR([1]!s_stm07_is_105($A1676,TEXT($B$1,"yyyy/mm/dd"),1),"")</f>
        <v>40889792.770000003</v>
      </c>
      <c r="I1676">
        <f>IFERROR([1]!s_stm07_is($A1676,"W72946623",TEXT($B$1,"yyyy/mm/dd"),1),"")</f>
        <v>-199374027.11000001</v>
      </c>
      <c r="J1676">
        <f>IFERROR([1]!s_stm07_is($A1676,"W30028333",TEXT($B$1,"yyyy/mm/dd"),1),"")</f>
        <v>-208319118.22999999</v>
      </c>
      <c r="K1676">
        <f>IFERROR([1]!s_stm07_cs($A1676,"W77130581",TEXT($B$1,"yyyy/mm/dd"),1),"")</f>
        <v>230625128.15000001</v>
      </c>
      <c r="L1676">
        <f>IFERROR([1]!s_stm07_cs($A1676,"W77745895",TEXT($B$1,"yyyy/mm/dd"),1),"")</f>
        <v>403330094.83999997</v>
      </c>
      <c r="M1676">
        <f>IFERROR([1]!S_FA_EPS_basic2($A1676,$B$1,"Cur=CNY"),"")</f>
        <v>-0.47</v>
      </c>
      <c r="N1676">
        <f>IFERROR([1]!s_fa_arturndays($A1676,TEXT($B$1,"yyyy/mm/dd")),"")</f>
        <v>130.21299999999999</v>
      </c>
      <c r="O1676" t="str">
        <f>IFERROR([1]!fa_apturndays($A1676,TEXT($B$1,"yyyy/mm/dd")),"")</f>
        <v>Fetch...</v>
      </c>
      <c r="P1676">
        <f>IFERROR([1]!s_fa_invturndays($A1676,TEXT($B$1,"yyyy/mm/dd")),"")</f>
        <v>294.71960000000001</v>
      </c>
    </row>
    <row r="1677" spans="1:16">
      <c r="A1677" t="s">
        <v>1690</v>
      </c>
      <c r="B1677">
        <f>IFERROR([1]!s_stm07_is($A1677,"W70156729",TEXT($B$1,"yyyy/mm/dd"),1),"")</f>
        <v>38224999000</v>
      </c>
      <c r="C1677">
        <f>IFERROR([1]!s_stm07_is($A1677,"W75682424",TEXT($B$1,"yyyy/mm/dd"),1),"")</f>
        <v>4734652000</v>
      </c>
      <c r="D1677">
        <f>IFERROR([1]!s_stm07_is($A1677,"W76031679",TEXT($B$1,"yyyy/mm/dd"),1),"")</f>
        <v>10601703000</v>
      </c>
      <c r="E1677">
        <f>IFERROR([1]!s_stm07_is($A1677,"W70752487",TEXT($B$1,"yyyy/mm/dd"),1),"")</f>
        <v>4351366000</v>
      </c>
      <c r="F1677">
        <f>IFERROR([1]!s_stm07_is_103($A1677,TEXT($B$1,"yyyy/mm/dd"),1),"")</f>
        <v>15507524000</v>
      </c>
      <c r="G1677">
        <f>IFERROR([1]!s_stm07_is_104($A1677,TEXT($B$1,"yyyy/mm/dd"),1),"")</f>
        <v>427272000</v>
      </c>
      <c r="H1677">
        <f>IFERROR([1]!s_stm07_is_105($A1677,TEXT($B$1,"yyyy/mm/dd"),1),"")</f>
        <v>136930000</v>
      </c>
      <c r="I1677">
        <f>IFERROR([1]!s_stm07_is($A1677,"W72946623",TEXT($B$1,"yyyy/mm/dd"),1),"")</f>
        <v>2596680000</v>
      </c>
      <c r="J1677">
        <f>IFERROR([1]!s_stm07_is($A1677,"W30028333",TEXT($B$1,"yyyy/mm/dd"),1),"")</f>
        <v>1460710000</v>
      </c>
      <c r="K1677">
        <f>IFERROR([1]!s_stm07_cs($A1677,"W77130581",TEXT($B$1,"yyyy/mm/dd"),1),"")</f>
        <v>13713064000</v>
      </c>
      <c r="L1677">
        <f>IFERROR([1]!s_stm07_cs($A1677,"W77745895",TEXT($B$1,"yyyy/mm/dd"),1),"")</f>
        <v>1436647000</v>
      </c>
      <c r="M1677">
        <f>IFERROR([1]!S_FA_EPS_basic2($A1677,$B$1,"Cur=CNY"),"")</f>
        <v>1.03</v>
      </c>
      <c r="N1677">
        <f>IFERROR([1]!s_fa_arturndays($A1677,TEXT($B$1,"yyyy/mm/dd")),"")</f>
        <v>51.036299999999997</v>
      </c>
      <c r="O1677" t="str">
        <f>IFERROR([1]!fa_apturndays($A1677,TEXT($B$1,"yyyy/mm/dd")),"")</f>
        <v>Fetch...</v>
      </c>
      <c r="P1677">
        <f>IFERROR([1]!s_fa_invturndays($A1677,TEXT($B$1,"yyyy/mm/dd")),"")</f>
        <v>298.4085</v>
      </c>
    </row>
    <row r="1678" spans="1:16">
      <c r="A1678" t="s">
        <v>1691</v>
      </c>
      <c r="B1678">
        <f>IFERROR([1]!s_stm07_is($A1678,"W70156729",TEXT($B$1,"yyyy/mm/dd"),1),"")</f>
        <v>3684742958.0300002</v>
      </c>
      <c r="C1678">
        <f>IFERROR([1]!s_stm07_is($A1678,"W75682424",TEXT($B$1,"yyyy/mm/dd"),1),"")</f>
        <v>2587101876.04</v>
      </c>
      <c r="D1678">
        <f>IFERROR([1]!s_stm07_is($A1678,"W76031679",TEXT($B$1,"yyyy/mm/dd"),1),"")</f>
        <v>109924921.81999999</v>
      </c>
      <c r="E1678">
        <f>IFERROR([1]!s_stm07_is($A1678,"W70752487",TEXT($B$1,"yyyy/mm/dd"),1),"")</f>
        <v>244677925.36000001</v>
      </c>
      <c r="F1678">
        <f>IFERROR([1]!s_stm07_is_103($A1678,TEXT($B$1,"yyyy/mm/dd"),1),"")</f>
        <v>278802690.81</v>
      </c>
      <c r="G1678">
        <f>IFERROR([1]!s_stm07_is_104($A1678,TEXT($B$1,"yyyy/mm/dd"),1),"")</f>
        <v>3149698.9</v>
      </c>
      <c r="H1678">
        <f>IFERROR([1]!s_stm07_is_105($A1678,TEXT($B$1,"yyyy/mm/dd"),1),"")</f>
        <v>5021150.16</v>
      </c>
      <c r="I1678">
        <f>IFERROR([1]!s_stm07_is($A1678,"W72946623",TEXT($B$1,"yyyy/mm/dd"),1),"")</f>
        <v>468968509.97000003</v>
      </c>
      <c r="J1678">
        <f>IFERROR([1]!s_stm07_is($A1678,"W30028333",TEXT($B$1,"yyyy/mm/dd"),1),"")</f>
        <v>420839411.88</v>
      </c>
      <c r="K1678">
        <f>IFERROR([1]!s_stm07_cs($A1678,"W77130581",TEXT($B$1,"yyyy/mm/dd"),1),"")</f>
        <v>484756303.69999999</v>
      </c>
      <c r="L1678">
        <f>IFERROR([1]!s_stm07_cs($A1678,"W77745895",TEXT($B$1,"yyyy/mm/dd"),1),"")</f>
        <v>129996296.22</v>
      </c>
      <c r="M1678">
        <f>IFERROR([1]!S_FA_EPS_basic2($A1678,$B$1,"Cur=CNY"),"")</f>
        <v>0.75</v>
      </c>
      <c r="N1678">
        <f>IFERROR([1]!s_fa_arturndays($A1678,TEXT($B$1,"yyyy/mm/dd")),"")</f>
        <v>56.991799999999998</v>
      </c>
      <c r="O1678" t="str">
        <f>IFERROR([1]!fa_apturndays($A1678,TEXT($B$1,"yyyy/mm/dd")),"")</f>
        <v>Fetch...</v>
      </c>
      <c r="P1678">
        <f>IFERROR([1]!s_fa_invturndays($A1678,TEXT($B$1,"yyyy/mm/dd")),"")</f>
        <v>116.89449999999999</v>
      </c>
    </row>
    <row r="1679" spans="1:16">
      <c r="A1679" t="s">
        <v>1692</v>
      </c>
      <c r="B1679">
        <f>IFERROR([1]!s_stm07_is($A1679,"W70156729",TEXT($B$1,"yyyy/mm/dd"),1),"")</f>
        <v>2189567163.1799998</v>
      </c>
      <c r="C1679">
        <f>IFERROR([1]!s_stm07_is($A1679,"W75682424",TEXT($B$1,"yyyy/mm/dd"),1),"")</f>
        <v>1678943273.3</v>
      </c>
      <c r="D1679">
        <f>IFERROR([1]!s_stm07_is($A1679,"W76031679",TEXT($B$1,"yyyy/mm/dd"),1),"")</f>
        <v>78352279.739999995</v>
      </c>
      <c r="E1679">
        <f>IFERROR([1]!s_stm07_is($A1679,"W70752487",TEXT($B$1,"yyyy/mm/dd"),1),"")</f>
        <v>28175971.210000001</v>
      </c>
      <c r="F1679">
        <f>IFERROR([1]!s_stm07_is_103($A1679,TEXT($B$1,"yyyy/mm/dd"),1),"")</f>
        <v>205876504.50999999</v>
      </c>
      <c r="G1679">
        <f>IFERROR([1]!s_stm07_is_104($A1679,TEXT($B$1,"yyyy/mm/dd"),1),"")</f>
        <v>0</v>
      </c>
      <c r="H1679">
        <f>IFERROR([1]!s_stm07_is_105($A1679,TEXT($B$1,"yyyy/mm/dd"),1),"")</f>
        <v>0</v>
      </c>
      <c r="I1679">
        <f>IFERROR([1]!s_stm07_is($A1679,"W72946623",TEXT($B$1,"yyyy/mm/dd"),1),"")</f>
        <v>250807142.43000001</v>
      </c>
      <c r="J1679">
        <f>IFERROR([1]!s_stm07_is($A1679,"W30028333",TEXT($B$1,"yyyy/mm/dd"),1),"")</f>
        <v>233513593.68000001</v>
      </c>
      <c r="K1679">
        <f>IFERROR([1]!s_stm07_cs($A1679,"W77130581",TEXT($B$1,"yyyy/mm/dd"),1),"")</f>
        <v>280850679.31999999</v>
      </c>
      <c r="L1679">
        <f>IFERROR([1]!s_stm07_cs($A1679,"W77745895",TEXT($B$1,"yyyy/mm/dd"),1),"")</f>
        <v>23335070.170000002</v>
      </c>
      <c r="M1679">
        <f>IFERROR([1]!S_FA_EPS_basic2($A1679,$B$1,"Cur=CNY"),"")</f>
        <v>0.56999999999999995</v>
      </c>
      <c r="N1679">
        <f>IFERROR([1]!s_fa_arturndays($A1679,TEXT($B$1,"yyyy/mm/dd")),"")</f>
        <v>36.2104</v>
      </c>
      <c r="O1679" t="str">
        <f>IFERROR([1]!fa_apturndays($A1679,TEXT($B$1,"yyyy/mm/dd")),"")</f>
        <v>Fetch...</v>
      </c>
      <c r="P1679">
        <f>IFERROR([1]!s_fa_invturndays($A1679,TEXT($B$1,"yyyy/mm/dd")),"")</f>
        <v>49.745699999999999</v>
      </c>
    </row>
    <row r="1680" spans="1:16">
      <c r="A1680" t="s">
        <v>1693</v>
      </c>
      <c r="B1680">
        <f>IFERROR([1]!s_stm07_is($A1680,"W70156729",TEXT($B$1,"yyyy/mm/dd"),1),"")</f>
        <v>6497196198.6800003</v>
      </c>
      <c r="C1680">
        <f>IFERROR([1]!s_stm07_is($A1680,"W75682424",TEXT($B$1,"yyyy/mm/dd"),1),"")</f>
        <v>2913883194.4899998</v>
      </c>
      <c r="D1680">
        <f>IFERROR([1]!s_stm07_is($A1680,"W76031679",TEXT($B$1,"yyyy/mm/dd"),1),"")</f>
        <v>68024669.560000002</v>
      </c>
      <c r="E1680">
        <f>IFERROR([1]!s_stm07_is($A1680,"W70752487",TEXT($B$1,"yyyy/mm/dd"),1),"")</f>
        <v>198094908.59</v>
      </c>
      <c r="F1680">
        <f>IFERROR([1]!s_stm07_is_103($A1680,TEXT($B$1,"yyyy/mm/dd"),1),"")</f>
        <v>1350804571.97</v>
      </c>
      <c r="G1680">
        <f>IFERROR([1]!s_stm07_is_104($A1680,TEXT($B$1,"yyyy/mm/dd"),1),"")</f>
        <v>2087905.23</v>
      </c>
      <c r="H1680">
        <f>IFERROR([1]!s_stm07_is_105($A1680,TEXT($B$1,"yyyy/mm/dd"),1),"")</f>
        <v>13156620.15</v>
      </c>
      <c r="I1680">
        <f>IFERROR([1]!s_stm07_is($A1680,"W72946623",TEXT($B$1,"yyyy/mm/dd"),1),"")</f>
        <v>2059381570.3499999</v>
      </c>
      <c r="J1680">
        <f>IFERROR([1]!s_stm07_is($A1680,"W30028333",TEXT($B$1,"yyyy/mm/dd"),1),"")</f>
        <v>2059228538.6700001</v>
      </c>
      <c r="K1680">
        <f>IFERROR([1]!s_stm07_cs($A1680,"W77130581",TEXT($B$1,"yyyy/mm/dd"),1),"")</f>
        <v>-498398137.00999999</v>
      </c>
      <c r="L1680">
        <f>IFERROR([1]!s_stm07_cs($A1680,"W77745895",TEXT($B$1,"yyyy/mm/dd"),1),"")</f>
        <v>568697888.63</v>
      </c>
      <c r="M1680">
        <f>IFERROR([1]!S_FA_EPS_basic2($A1680,$B$1,"Cur=CNY"),"")</f>
        <v>4.93</v>
      </c>
      <c r="N1680">
        <f>IFERROR([1]!s_fa_arturndays($A1680,TEXT($B$1,"yyyy/mm/dd")),"")</f>
        <v>27.0183</v>
      </c>
      <c r="O1680" t="str">
        <f>IFERROR([1]!fa_apturndays($A1680,TEXT($B$1,"yyyy/mm/dd")),"")</f>
        <v>Fetch...</v>
      </c>
      <c r="P1680">
        <f>IFERROR([1]!s_fa_invturndays($A1680,TEXT($B$1,"yyyy/mm/dd")),"")</f>
        <v>416.5702</v>
      </c>
    </row>
    <row r="1681" spans="1:16">
      <c r="A1681" t="s">
        <v>1694</v>
      </c>
      <c r="B1681">
        <f>IFERROR([1]!s_stm07_is($A1681,"W70156729",TEXT($B$1,"yyyy/mm/dd"),1),"")</f>
        <v>531881904.41000003</v>
      </c>
      <c r="C1681">
        <f>IFERROR([1]!s_stm07_is($A1681,"W75682424",TEXT($B$1,"yyyy/mm/dd"),1),"")</f>
        <v>415769745.11000001</v>
      </c>
      <c r="D1681">
        <f>IFERROR([1]!s_stm07_is($A1681,"W76031679",TEXT($B$1,"yyyy/mm/dd"),1),"")</f>
        <v>59975223.75</v>
      </c>
      <c r="E1681">
        <f>IFERROR([1]!s_stm07_is($A1681,"W70752487",TEXT($B$1,"yyyy/mm/dd"),1),"")</f>
        <v>62540496.240000002</v>
      </c>
      <c r="F1681">
        <f>IFERROR([1]!s_stm07_is_103($A1681,TEXT($B$1,"yyyy/mm/dd"),1),"")</f>
        <v>336313434.25</v>
      </c>
      <c r="G1681">
        <f>IFERROR([1]!s_stm07_is_104($A1681,TEXT($B$1,"yyyy/mm/dd"),1),"")</f>
        <v>1248168.1399999999</v>
      </c>
      <c r="H1681">
        <f>IFERROR([1]!s_stm07_is_105($A1681,TEXT($B$1,"yyyy/mm/dd"),1),"")</f>
        <v>940991.2</v>
      </c>
      <c r="I1681">
        <f>IFERROR([1]!s_stm07_is($A1681,"W72946623",TEXT($B$1,"yyyy/mm/dd"),1),"")</f>
        <v>-317515023.98000002</v>
      </c>
      <c r="J1681">
        <f>IFERROR([1]!s_stm07_is($A1681,"W30028333",TEXT($B$1,"yyyy/mm/dd"),1),"")</f>
        <v>-254125543.99000001</v>
      </c>
      <c r="K1681">
        <f>IFERROR([1]!s_stm07_cs($A1681,"W77130581",TEXT($B$1,"yyyy/mm/dd"),1),"")</f>
        <v>-16772036.689999999</v>
      </c>
      <c r="L1681">
        <f>IFERROR([1]!s_stm07_cs($A1681,"W77745895",TEXT($B$1,"yyyy/mm/dd"),1),"")</f>
        <v>115842528.84999999</v>
      </c>
      <c r="M1681">
        <f>IFERROR([1]!S_FA_EPS_basic2($A1681,$B$1,"Cur=CNY"),"")</f>
        <v>-0.77</v>
      </c>
      <c r="N1681">
        <f>IFERROR([1]!s_fa_arturndays($A1681,TEXT($B$1,"yyyy/mm/dd")),"")</f>
        <v>118.8276</v>
      </c>
      <c r="O1681" t="str">
        <f>IFERROR([1]!fa_apturndays($A1681,TEXT($B$1,"yyyy/mm/dd")),"")</f>
        <v>Fetch...</v>
      </c>
      <c r="P1681">
        <f>IFERROR([1]!s_fa_invturndays($A1681,TEXT($B$1,"yyyy/mm/dd")),"")</f>
        <v>321.31380000000001</v>
      </c>
    </row>
    <row r="1682" spans="1:16">
      <c r="A1682" t="s">
        <v>1695</v>
      </c>
      <c r="B1682">
        <f>IFERROR([1]!s_stm07_is($A1682,"W70156729",TEXT($B$1,"yyyy/mm/dd"),1),"")</f>
        <v>810484651.17999995</v>
      </c>
      <c r="C1682">
        <f>IFERROR([1]!s_stm07_is($A1682,"W75682424",TEXT($B$1,"yyyy/mm/dd"),1),"")</f>
        <v>77633816.980000004</v>
      </c>
      <c r="D1682">
        <f>IFERROR([1]!s_stm07_is($A1682,"W76031679",TEXT($B$1,"yyyy/mm/dd"),1),"")</f>
        <v>465358770.52999997</v>
      </c>
      <c r="E1682">
        <f>IFERROR([1]!s_stm07_is($A1682,"W70752487",TEXT($B$1,"yyyy/mm/dd"),1),"")</f>
        <v>74240714.689999998</v>
      </c>
      <c r="F1682">
        <f>IFERROR([1]!s_stm07_is_103($A1682,TEXT($B$1,"yyyy/mm/dd"),1),"")</f>
        <v>429907244.95999998</v>
      </c>
      <c r="G1682">
        <f>IFERROR([1]!s_stm07_is_104($A1682,TEXT($B$1,"yyyy/mm/dd"),1),"")</f>
        <v>24201125.239999998</v>
      </c>
      <c r="H1682">
        <f>IFERROR([1]!s_stm07_is_105($A1682,TEXT($B$1,"yyyy/mm/dd"),1),"")</f>
        <v>55124916.890000001</v>
      </c>
      <c r="I1682">
        <f>IFERROR([1]!s_stm07_is($A1682,"W72946623",TEXT($B$1,"yyyy/mm/dd"),1),"")</f>
        <v>-168654782.77000001</v>
      </c>
      <c r="J1682">
        <f>IFERROR([1]!s_stm07_is($A1682,"W30028333",TEXT($B$1,"yyyy/mm/dd"),1),"")</f>
        <v>-162946167.56999999</v>
      </c>
      <c r="K1682">
        <f>IFERROR([1]!s_stm07_cs($A1682,"W77130581",TEXT($B$1,"yyyy/mm/dd"),1),"")</f>
        <v>-28781986.239999998</v>
      </c>
      <c r="L1682">
        <f>IFERROR([1]!s_stm07_cs($A1682,"W77745895",TEXT($B$1,"yyyy/mm/dd"),1),"")</f>
        <v>181466703.44</v>
      </c>
      <c r="M1682">
        <f>IFERROR([1]!S_FA_EPS_basic2($A1682,$B$1,"Cur=CNY"),"")</f>
        <v>-0.62</v>
      </c>
      <c r="N1682">
        <f>IFERROR([1]!s_fa_arturndays($A1682,TEXT($B$1,"yyyy/mm/dd")),"")</f>
        <v>65.411699999999996</v>
      </c>
      <c r="O1682" t="str">
        <f>IFERROR([1]!fa_apturndays($A1682,TEXT($B$1,"yyyy/mm/dd")),"")</f>
        <v>Fetch...</v>
      </c>
      <c r="P1682">
        <f>IFERROR([1]!s_fa_invturndays($A1682,TEXT($B$1,"yyyy/mm/dd")),"")</f>
        <v>825.68809999999996</v>
      </c>
    </row>
    <row r="1683" spans="1:16">
      <c r="A1683" t="s">
        <v>1696</v>
      </c>
      <c r="B1683">
        <f>IFERROR([1]!s_stm07_is($A1683,"W70156729",TEXT($B$1,"yyyy/mm/dd"),1),"")</f>
        <v>13800251663.950001</v>
      </c>
      <c r="C1683">
        <f>IFERROR([1]!s_stm07_is($A1683,"W75682424",TEXT($B$1,"yyyy/mm/dd"),1),"")</f>
        <v>7312582446.96</v>
      </c>
      <c r="D1683">
        <f>IFERROR([1]!s_stm07_is($A1683,"W76031679",TEXT($B$1,"yyyy/mm/dd"),1),"")</f>
        <v>2261407623.1799998</v>
      </c>
      <c r="E1683">
        <f>IFERROR([1]!s_stm07_is($A1683,"W70752487",TEXT($B$1,"yyyy/mm/dd"),1),"")</f>
        <v>626904263.89999998</v>
      </c>
      <c r="F1683">
        <f>IFERROR([1]!s_stm07_is_103($A1683,TEXT($B$1,"yyyy/mm/dd"),1),"")</f>
        <v>1841943294.3499999</v>
      </c>
      <c r="G1683">
        <f>IFERROR([1]!s_stm07_is_104($A1683,TEXT($B$1,"yyyy/mm/dd"),1),"")</f>
        <v>18769868</v>
      </c>
      <c r="H1683">
        <f>IFERROR([1]!s_stm07_is_105($A1683,TEXT($B$1,"yyyy/mm/dd"),1),"")</f>
        <v>85727321.209999993</v>
      </c>
      <c r="I1683">
        <f>IFERROR([1]!s_stm07_is($A1683,"W72946623",TEXT($B$1,"yyyy/mm/dd"),1),"")</f>
        <v>1981395004.53</v>
      </c>
      <c r="J1683">
        <f>IFERROR([1]!s_stm07_is($A1683,"W30028333",TEXT($B$1,"yyyy/mm/dd"),1),"")</f>
        <v>1869300805.6500001</v>
      </c>
      <c r="K1683">
        <f>IFERROR([1]!s_stm07_cs($A1683,"W77130581",TEXT($B$1,"yyyy/mm/dd"),1),"")</f>
        <v>2679018849.4899998</v>
      </c>
      <c r="L1683">
        <f>IFERROR([1]!s_stm07_cs($A1683,"W77745895",TEXT($B$1,"yyyy/mm/dd"),1),"")</f>
        <v>2093181965.21</v>
      </c>
      <c r="M1683">
        <f>IFERROR([1]!S_FA_EPS_basic2($A1683,$B$1,"Cur=CNY"),"")</f>
        <v>2.2799999999999998</v>
      </c>
      <c r="N1683">
        <f>IFERROR([1]!s_fa_arturndays($A1683,TEXT($B$1,"yyyy/mm/dd")),"")</f>
        <v>129.7671</v>
      </c>
      <c r="O1683" t="str">
        <f>IFERROR([1]!fa_apturndays($A1683,TEXT($B$1,"yyyy/mm/dd")),"")</f>
        <v>Fetch...</v>
      </c>
      <c r="P1683">
        <f>IFERROR([1]!s_fa_invturndays($A1683,TEXT($B$1,"yyyy/mm/dd")),"")</f>
        <v>279.30790000000002</v>
      </c>
    </row>
    <row r="1684" spans="1:16">
      <c r="A1684" t="s">
        <v>1697</v>
      </c>
      <c r="B1684">
        <f>IFERROR([1]!s_stm07_is($A1684,"W70156729",TEXT($B$1,"yyyy/mm/dd"),1),"")</f>
        <v>605072927.67999995</v>
      </c>
      <c r="C1684">
        <f>IFERROR([1]!s_stm07_is($A1684,"W75682424",TEXT($B$1,"yyyy/mm/dd"),1),"")</f>
        <v>160735359.97999999</v>
      </c>
      <c r="D1684">
        <f>IFERROR([1]!s_stm07_is($A1684,"W76031679",TEXT($B$1,"yyyy/mm/dd"),1),"")</f>
        <v>389343796.85000002</v>
      </c>
      <c r="E1684">
        <f>IFERROR([1]!s_stm07_is($A1684,"W70752487",TEXT($B$1,"yyyy/mm/dd"),1),"")</f>
        <v>110708965.23999999</v>
      </c>
      <c r="F1684">
        <f>IFERROR([1]!s_stm07_is_103($A1684,TEXT($B$1,"yyyy/mm/dd"),1),"")</f>
        <v>177099616.61000001</v>
      </c>
      <c r="G1684">
        <f>IFERROR([1]!s_stm07_is_104($A1684,TEXT($B$1,"yyyy/mm/dd"),1),"")</f>
        <v>3903768.29</v>
      </c>
      <c r="H1684">
        <f>IFERROR([1]!s_stm07_is_105($A1684,TEXT($B$1,"yyyy/mm/dd"),1),"")</f>
        <v>3071826.7</v>
      </c>
      <c r="I1684">
        <f>IFERROR([1]!s_stm07_is($A1684,"W72946623",TEXT($B$1,"yyyy/mm/dd"),1),"")</f>
        <v>-331903612.67000002</v>
      </c>
      <c r="J1684">
        <f>IFERROR([1]!s_stm07_is($A1684,"W30028333",TEXT($B$1,"yyyy/mm/dd"),1),"")</f>
        <v>-262580724.19</v>
      </c>
      <c r="K1684">
        <f>IFERROR([1]!s_stm07_cs($A1684,"W77130581",TEXT($B$1,"yyyy/mm/dd"),1),"")</f>
        <v>231207058.16999999</v>
      </c>
      <c r="L1684">
        <f>IFERROR([1]!s_stm07_cs($A1684,"W77745895",TEXT($B$1,"yyyy/mm/dd"),1),"")</f>
        <v>406486505.06999999</v>
      </c>
      <c r="M1684">
        <f>IFERROR([1]!S_FA_EPS_basic2($A1684,$B$1,"Cur=CNY"),"")</f>
        <v>-0.64</v>
      </c>
      <c r="N1684">
        <f>IFERROR([1]!s_fa_arturndays($A1684,TEXT($B$1,"yyyy/mm/dd")),"")</f>
        <v>696.86410000000001</v>
      </c>
      <c r="O1684" t="str">
        <f>IFERROR([1]!fa_apturndays($A1684,TEXT($B$1,"yyyy/mm/dd")),"")</f>
        <v>Fetch...</v>
      </c>
      <c r="P1684">
        <f>IFERROR([1]!s_fa_invturndays($A1684,TEXT($B$1,"yyyy/mm/dd")),"")</f>
        <v>444.93880000000001</v>
      </c>
    </row>
    <row r="1685" spans="1:16">
      <c r="A1685" t="s">
        <v>1698</v>
      </c>
      <c r="B1685">
        <f>IFERROR([1]!s_stm07_is($A1685,"W70156729",TEXT($B$1,"yyyy/mm/dd"),1),"")</f>
        <v>3695567867.6300001</v>
      </c>
      <c r="C1685">
        <f>IFERROR([1]!s_stm07_is($A1685,"W75682424",TEXT($B$1,"yyyy/mm/dd"),1),"")</f>
        <v>259990596.78</v>
      </c>
      <c r="D1685">
        <f>IFERROR([1]!s_stm07_is($A1685,"W76031679",TEXT($B$1,"yyyy/mm/dd"),1),"")</f>
        <v>1451400170.5899999</v>
      </c>
      <c r="E1685">
        <f>IFERROR([1]!s_stm07_is($A1685,"W70752487",TEXT($B$1,"yyyy/mm/dd"),1),"")</f>
        <v>363909982.98000002</v>
      </c>
      <c r="F1685">
        <f>IFERROR([1]!s_stm07_is_103($A1685,TEXT($B$1,"yyyy/mm/dd"),1),"")</f>
        <v>388025752.66000003</v>
      </c>
      <c r="G1685">
        <f>IFERROR([1]!s_stm07_is_104($A1685,TEXT($B$1,"yyyy/mm/dd"),1),"")</f>
        <v>1424517.72</v>
      </c>
      <c r="H1685">
        <f>IFERROR([1]!s_stm07_is_105($A1685,TEXT($B$1,"yyyy/mm/dd"),1),"")</f>
        <v>4042479.94</v>
      </c>
      <c r="I1685">
        <f>IFERROR([1]!s_stm07_is($A1685,"W72946623",TEXT($B$1,"yyyy/mm/dd"),1),"")</f>
        <v>1175374781.05</v>
      </c>
      <c r="J1685">
        <f>IFERROR([1]!s_stm07_is($A1685,"W30028333",TEXT($B$1,"yyyy/mm/dd"),1),"")</f>
        <v>1031236252.58</v>
      </c>
      <c r="K1685">
        <f>IFERROR([1]!s_stm07_cs($A1685,"W77130581",TEXT($B$1,"yyyy/mm/dd"),1),"")</f>
        <v>729375868.86000001</v>
      </c>
      <c r="L1685">
        <f>IFERROR([1]!s_stm07_cs($A1685,"W77745895",TEXT($B$1,"yyyy/mm/dd"),1),"")</f>
        <v>256143258.09999999</v>
      </c>
      <c r="M1685">
        <f>IFERROR([1]!S_FA_EPS_basic2($A1685,$B$1,"Cur=CNY"),"")</f>
        <v>2.5299999999999998</v>
      </c>
      <c r="N1685">
        <f>IFERROR([1]!s_fa_arturndays($A1685,TEXT($B$1,"yyyy/mm/dd")),"")</f>
        <v>89.652600000000007</v>
      </c>
      <c r="O1685" t="str">
        <f>IFERROR([1]!fa_apturndays($A1685,TEXT($B$1,"yyyy/mm/dd")),"")</f>
        <v>Fetch...</v>
      </c>
      <c r="P1685">
        <f>IFERROR([1]!s_fa_invturndays($A1685,TEXT($B$1,"yyyy/mm/dd")),"")</f>
        <v>469.72859999999997</v>
      </c>
    </row>
    <row r="1686" spans="1:16">
      <c r="A1686" t="s">
        <v>1699</v>
      </c>
      <c r="B1686">
        <f>IFERROR([1]!s_stm07_is($A1686,"W70156729",TEXT($B$1,"yyyy/mm/dd"),1),"")</f>
        <v>773904376.96000004</v>
      </c>
      <c r="C1686">
        <f>IFERROR([1]!s_stm07_is($A1686,"W75682424",TEXT($B$1,"yyyy/mm/dd"),1),"")</f>
        <v>367057496.32999998</v>
      </c>
      <c r="D1686">
        <f>IFERROR([1]!s_stm07_is($A1686,"W76031679",TEXT($B$1,"yyyy/mm/dd"),1),"")</f>
        <v>40427754.409999996</v>
      </c>
      <c r="E1686">
        <f>IFERROR([1]!s_stm07_is($A1686,"W70752487",TEXT($B$1,"yyyy/mm/dd"),1),"")</f>
        <v>52905748.799999997</v>
      </c>
      <c r="F1686">
        <f>IFERROR([1]!s_stm07_is_103($A1686,TEXT($B$1,"yyyy/mm/dd"),1),"")</f>
        <v>169145554.13</v>
      </c>
      <c r="G1686">
        <f>IFERROR([1]!s_stm07_is_104($A1686,TEXT($B$1,"yyyy/mm/dd"),1),"")</f>
        <v>0</v>
      </c>
      <c r="H1686">
        <f>IFERROR([1]!s_stm07_is_105($A1686,TEXT($B$1,"yyyy/mm/dd"),1),"")</f>
        <v>3258405.23</v>
      </c>
      <c r="I1686">
        <f>IFERROR([1]!s_stm07_is($A1686,"W72946623",TEXT($B$1,"yyyy/mm/dd"),1),"")</f>
        <v>225679939.16999999</v>
      </c>
      <c r="J1686">
        <f>IFERROR([1]!s_stm07_is($A1686,"W30028333",TEXT($B$1,"yyyy/mm/dd"),1),"")</f>
        <v>218935518.03999999</v>
      </c>
      <c r="K1686">
        <f>IFERROR([1]!s_stm07_cs($A1686,"W77130581",TEXT($B$1,"yyyy/mm/dd"),1),"")</f>
        <v>228246082.13999999</v>
      </c>
      <c r="L1686">
        <f>IFERROR([1]!s_stm07_cs($A1686,"W77745895",TEXT($B$1,"yyyy/mm/dd"),1),"")</f>
        <v>241751487.86000001</v>
      </c>
      <c r="M1686">
        <f>IFERROR([1]!S_FA_EPS_basic2($A1686,$B$1,"Cur=CNY"),"")</f>
        <v>2.16</v>
      </c>
      <c r="N1686">
        <f>IFERROR([1]!s_fa_arturndays($A1686,TEXT($B$1,"yyyy/mm/dd")),"")</f>
        <v>4.2172000000000001</v>
      </c>
      <c r="O1686" t="str">
        <f>IFERROR([1]!fa_apturndays($A1686,TEXT($B$1,"yyyy/mm/dd")),"")</f>
        <v>Fetch...</v>
      </c>
      <c r="P1686">
        <f>IFERROR([1]!s_fa_invturndays($A1686,TEXT($B$1,"yyyy/mm/dd")),"")</f>
        <v>171.0376</v>
      </c>
    </row>
    <row r="1687" spans="1:16">
      <c r="A1687" t="s">
        <v>1700</v>
      </c>
      <c r="B1687">
        <f>IFERROR([1]!s_stm07_is($A1687,"W70156729",TEXT($B$1,"yyyy/mm/dd"),1),"")</f>
        <v>1243760802.8699999</v>
      </c>
      <c r="C1687">
        <f>IFERROR([1]!s_stm07_is($A1687,"W75682424",TEXT($B$1,"yyyy/mm/dd"),1),"")</f>
        <v>704051164.78999996</v>
      </c>
      <c r="D1687">
        <f>IFERROR([1]!s_stm07_is($A1687,"W76031679",TEXT($B$1,"yyyy/mm/dd"),1),"")</f>
        <v>26771323.100000001</v>
      </c>
      <c r="E1687">
        <f>IFERROR([1]!s_stm07_is($A1687,"W70752487",TEXT($B$1,"yyyy/mm/dd"),1),"")</f>
        <v>88798938.739999995</v>
      </c>
      <c r="F1687">
        <f>IFERROR([1]!s_stm07_is_103($A1687,TEXT($B$1,"yyyy/mm/dd"),1),"")</f>
        <v>149841912.09999999</v>
      </c>
      <c r="G1687">
        <f>IFERROR([1]!s_stm07_is_104($A1687,TEXT($B$1,"yyyy/mm/dd"),1),"")</f>
        <v>20564920.789999999</v>
      </c>
      <c r="H1687">
        <f>IFERROR([1]!s_stm07_is_105($A1687,TEXT($B$1,"yyyy/mm/dd"),1),"")</f>
        <v>3097419.34</v>
      </c>
      <c r="I1687">
        <f>IFERROR([1]!s_stm07_is($A1687,"W72946623",TEXT($B$1,"yyyy/mm/dd"),1),"")</f>
        <v>304525987.10000002</v>
      </c>
      <c r="J1687">
        <f>IFERROR([1]!s_stm07_is($A1687,"W30028333",TEXT($B$1,"yyyy/mm/dd"),1),"")</f>
        <v>307228073.13999999</v>
      </c>
      <c r="K1687">
        <f>IFERROR([1]!s_stm07_cs($A1687,"W77130581",TEXT($B$1,"yyyy/mm/dd"),1),"")</f>
        <v>566699556.29999995</v>
      </c>
      <c r="L1687">
        <f>IFERROR([1]!s_stm07_cs($A1687,"W77745895",TEXT($B$1,"yyyy/mm/dd"),1),"")</f>
        <v>362888071.86000001</v>
      </c>
      <c r="M1687">
        <f>IFERROR([1]!S_FA_EPS_basic2($A1687,$B$1,"Cur=CNY"),"")</f>
        <v>1.1299999999999999</v>
      </c>
      <c r="N1687">
        <f>IFERROR([1]!s_fa_arturndays($A1687,TEXT($B$1,"yyyy/mm/dd")),"")</f>
        <v>232.00360000000001</v>
      </c>
      <c r="O1687" t="str">
        <f>IFERROR([1]!fa_apturndays($A1687,TEXT($B$1,"yyyy/mm/dd")),"")</f>
        <v>Fetch...</v>
      </c>
      <c r="P1687">
        <f>IFERROR([1]!s_fa_invturndays($A1687,TEXT($B$1,"yyyy/mm/dd")),"")</f>
        <v>136.06979999999999</v>
      </c>
    </row>
    <row r="1688" spans="1:16">
      <c r="A1688" t="s">
        <v>1701</v>
      </c>
      <c r="B1688">
        <f>IFERROR([1]!s_stm07_is($A1688,"W70156729",TEXT($B$1,"yyyy/mm/dd"),1),"")</f>
        <v>1641533008.1900001</v>
      </c>
      <c r="C1688">
        <f>IFERROR([1]!s_stm07_is($A1688,"W75682424",TEXT($B$1,"yyyy/mm/dd"),1),"")</f>
        <v>397479157.73000002</v>
      </c>
      <c r="D1688">
        <f>IFERROR([1]!s_stm07_is($A1688,"W76031679",TEXT($B$1,"yyyy/mm/dd"),1),"")</f>
        <v>601703210.64999998</v>
      </c>
      <c r="E1688">
        <f>IFERROR([1]!s_stm07_is($A1688,"W70752487",TEXT($B$1,"yyyy/mm/dd"),1),"")</f>
        <v>220526563.06</v>
      </c>
      <c r="F1688">
        <f>IFERROR([1]!s_stm07_is_103($A1688,TEXT($B$1,"yyyy/mm/dd"),1),"")</f>
        <v>229114830.75999999</v>
      </c>
      <c r="G1688">
        <f>IFERROR([1]!s_stm07_is_104($A1688,TEXT($B$1,"yyyy/mm/dd"),1),"")</f>
        <v>23291424.559999999</v>
      </c>
      <c r="H1688">
        <f>IFERROR([1]!s_stm07_is_105($A1688,TEXT($B$1,"yyyy/mm/dd"),1),"")</f>
        <v>86818264.870000005</v>
      </c>
      <c r="I1688">
        <f>IFERROR([1]!s_stm07_is($A1688,"W72946623",TEXT($B$1,"yyyy/mm/dd"),1),"")</f>
        <v>175083963.55000001</v>
      </c>
      <c r="J1688">
        <f>IFERROR([1]!s_stm07_is($A1688,"W30028333",TEXT($B$1,"yyyy/mm/dd"),1),"")</f>
        <v>198937411.41999999</v>
      </c>
      <c r="K1688">
        <f>IFERROR([1]!s_stm07_cs($A1688,"W77130581",TEXT($B$1,"yyyy/mm/dd"),1),"")</f>
        <v>183960843.69999999</v>
      </c>
      <c r="L1688">
        <f>IFERROR([1]!s_stm07_cs($A1688,"W77745895",TEXT($B$1,"yyyy/mm/dd"),1),"")</f>
        <v>369767235.79000002</v>
      </c>
      <c r="M1688">
        <f>IFERROR([1]!S_FA_EPS_basic2($A1688,$B$1,"Cur=CNY"),"")</f>
        <v>0.34</v>
      </c>
      <c r="N1688">
        <f>IFERROR([1]!s_fa_arturndays($A1688,TEXT($B$1,"yyyy/mm/dd")),"")</f>
        <v>126.1874</v>
      </c>
      <c r="O1688" t="str">
        <f>IFERROR([1]!fa_apturndays($A1688,TEXT($B$1,"yyyy/mm/dd")),"")</f>
        <v>Fetch...</v>
      </c>
      <c r="P1688">
        <f>IFERROR([1]!s_fa_invturndays($A1688,TEXT($B$1,"yyyy/mm/dd")),"")</f>
        <v>365.18560000000002</v>
      </c>
    </row>
    <row r="1689" spans="1:16">
      <c r="A1689" t="s">
        <v>1702</v>
      </c>
      <c r="B1689">
        <f>IFERROR([1]!s_stm07_is($A1689,"W70156729",TEXT($B$1,"yyyy/mm/dd"),1),"")</f>
        <v>2193737675.52</v>
      </c>
      <c r="C1689">
        <f>IFERROR([1]!s_stm07_is($A1689,"W75682424",TEXT($B$1,"yyyy/mm/dd"),1),"")</f>
        <v>1810790736.8399999</v>
      </c>
      <c r="D1689">
        <f>IFERROR([1]!s_stm07_is($A1689,"W76031679",TEXT($B$1,"yyyy/mm/dd"),1),"")</f>
        <v>32777969.329999998</v>
      </c>
      <c r="E1689">
        <f>IFERROR([1]!s_stm07_is($A1689,"W70752487",TEXT($B$1,"yyyy/mm/dd"),1),"")</f>
        <v>109650768.13</v>
      </c>
      <c r="F1689">
        <f>IFERROR([1]!s_stm07_is_103($A1689,TEXT($B$1,"yyyy/mm/dd"),1),"")</f>
        <v>164011147.38999999</v>
      </c>
      <c r="G1689">
        <f>IFERROR([1]!s_stm07_is_104($A1689,TEXT($B$1,"yyyy/mm/dd"),1),"")</f>
        <v>45742302.240000002</v>
      </c>
      <c r="H1689">
        <f>IFERROR([1]!s_stm07_is_105($A1689,TEXT($B$1,"yyyy/mm/dd"),1),"")</f>
        <v>20879388.550000001</v>
      </c>
      <c r="I1689">
        <f>IFERROR([1]!s_stm07_is($A1689,"W72946623",TEXT($B$1,"yyyy/mm/dd"),1),"")</f>
        <v>92581506.909999996</v>
      </c>
      <c r="J1689">
        <f>IFERROR([1]!s_stm07_is($A1689,"W30028333",TEXT($B$1,"yyyy/mm/dd"),1),"")</f>
        <v>96184096.909999996</v>
      </c>
      <c r="K1689">
        <f>IFERROR([1]!s_stm07_cs($A1689,"W77130581",TEXT($B$1,"yyyy/mm/dd"),1),"")</f>
        <v>374804194.18000001</v>
      </c>
      <c r="L1689">
        <f>IFERROR([1]!s_stm07_cs($A1689,"W77745895",TEXT($B$1,"yyyy/mm/dd"),1),"")</f>
        <v>1155605392.53</v>
      </c>
      <c r="M1689">
        <f>IFERROR([1]!S_FA_EPS_basic2($A1689,$B$1,"Cur=CNY"),"")</f>
        <v>0.11</v>
      </c>
      <c r="N1689">
        <f>IFERROR([1]!s_fa_arturndays($A1689,TEXT($B$1,"yyyy/mm/dd")),"")</f>
        <v>35.064100000000003</v>
      </c>
      <c r="O1689" t="str">
        <f>IFERROR([1]!fa_apturndays($A1689,TEXT($B$1,"yyyy/mm/dd")),"")</f>
        <v>Fetch...</v>
      </c>
      <c r="P1689">
        <f>IFERROR([1]!s_fa_invturndays($A1689,TEXT($B$1,"yyyy/mm/dd")),"")</f>
        <v>95.376900000000006</v>
      </c>
    </row>
    <row r="1690" spans="1:16">
      <c r="A1690" t="s">
        <v>1703</v>
      </c>
      <c r="B1690">
        <f>IFERROR([1]!s_stm07_is($A1690,"W70156729",TEXT($B$1,"yyyy/mm/dd"),1),"")</f>
        <v>3015851378.0100002</v>
      </c>
      <c r="C1690">
        <f>IFERROR([1]!s_stm07_is($A1690,"W75682424",TEXT($B$1,"yyyy/mm/dd"),1),"")</f>
        <v>2677027999.3699999</v>
      </c>
      <c r="D1690">
        <f>IFERROR([1]!s_stm07_is($A1690,"W76031679",TEXT($B$1,"yyyy/mm/dd"),1),"")</f>
        <v>24086470.440000001</v>
      </c>
      <c r="E1690">
        <f>IFERROR([1]!s_stm07_is($A1690,"W70752487",TEXT($B$1,"yyyy/mm/dd"),1),"")</f>
        <v>128845057.13</v>
      </c>
      <c r="F1690">
        <f>IFERROR([1]!s_stm07_is_103($A1690,TEXT($B$1,"yyyy/mm/dd"),1),"")</f>
        <v>146731778.25</v>
      </c>
      <c r="G1690">
        <f>IFERROR([1]!s_stm07_is_104($A1690,TEXT($B$1,"yyyy/mm/dd"),1),"")</f>
        <v>4974977.78</v>
      </c>
      <c r="H1690">
        <f>IFERROR([1]!s_stm07_is_105($A1690,TEXT($B$1,"yyyy/mm/dd"),1),"")</f>
        <v>18960568.059999999</v>
      </c>
      <c r="I1690">
        <f>IFERROR([1]!s_stm07_is($A1690,"W72946623",TEXT($B$1,"yyyy/mm/dd"),1),"")</f>
        <v>73476131.109999999</v>
      </c>
      <c r="J1690">
        <f>IFERROR([1]!s_stm07_is($A1690,"W30028333",TEXT($B$1,"yyyy/mm/dd"),1),"")</f>
        <v>88574871.159999996</v>
      </c>
      <c r="K1690">
        <f>IFERROR([1]!s_stm07_cs($A1690,"W77130581",TEXT($B$1,"yyyy/mm/dd"),1),"")</f>
        <v>-1387969326.6300001</v>
      </c>
      <c r="L1690">
        <f>IFERROR([1]!s_stm07_cs($A1690,"W77745895",TEXT($B$1,"yyyy/mm/dd"),1),"")</f>
        <v>119831848.56</v>
      </c>
      <c r="M1690">
        <f>IFERROR([1]!S_FA_EPS_basic2($A1690,$B$1,"Cur=CNY"),"")</f>
        <v>0.13</v>
      </c>
      <c r="N1690">
        <f>IFERROR([1]!s_fa_arturndays($A1690,TEXT($B$1,"yyyy/mm/dd")),"")</f>
        <v>191.77500000000001</v>
      </c>
      <c r="O1690" t="str">
        <f>IFERROR([1]!fa_apturndays($A1690,TEXT($B$1,"yyyy/mm/dd")),"")</f>
        <v>Fetch...</v>
      </c>
      <c r="P1690">
        <f>IFERROR([1]!s_fa_invturndays($A1690,TEXT($B$1,"yyyy/mm/dd")),"")</f>
        <v>364.00400000000002</v>
      </c>
    </row>
    <row r="1691" spans="1:16">
      <c r="A1691" t="s">
        <v>1704</v>
      </c>
      <c r="B1691">
        <f>IFERROR([1]!s_stm07_is($A1691,"W70156729",TEXT($B$1,"yyyy/mm/dd"),1),"")</f>
        <v>1115503534.99</v>
      </c>
      <c r="C1691">
        <f>IFERROR([1]!s_stm07_is($A1691,"W75682424",TEXT($B$1,"yyyy/mm/dd"),1),"")</f>
        <v>661941436.42999995</v>
      </c>
      <c r="D1691">
        <f>IFERROR([1]!s_stm07_is($A1691,"W76031679",TEXT($B$1,"yyyy/mm/dd"),1),"")</f>
        <v>14605982.050000001</v>
      </c>
      <c r="E1691">
        <f>IFERROR([1]!s_stm07_is($A1691,"W70752487",TEXT($B$1,"yyyy/mm/dd"),1),"")</f>
        <v>57872444.75</v>
      </c>
      <c r="F1691">
        <f>IFERROR([1]!s_stm07_is_103($A1691,TEXT($B$1,"yyyy/mm/dd"),1),"")</f>
        <v>64165904.079999998</v>
      </c>
      <c r="G1691">
        <f>IFERROR([1]!s_stm07_is_104($A1691,TEXT($B$1,"yyyy/mm/dd"),1),"")</f>
        <v>1454082.66</v>
      </c>
      <c r="H1691">
        <f>IFERROR([1]!s_stm07_is_105($A1691,TEXT($B$1,"yyyy/mm/dd"),1),"")</f>
        <v>3797108.39</v>
      </c>
      <c r="I1691">
        <f>IFERROR([1]!s_stm07_is($A1691,"W72946623",TEXT($B$1,"yyyy/mm/dd"),1),"")</f>
        <v>334233152.74000001</v>
      </c>
      <c r="J1691">
        <f>IFERROR([1]!s_stm07_is($A1691,"W30028333",TEXT($B$1,"yyyy/mm/dd"),1),"")</f>
        <v>292644734.72000003</v>
      </c>
      <c r="K1691">
        <f>IFERROR([1]!s_stm07_cs($A1691,"W77130581",TEXT($B$1,"yyyy/mm/dd"),1),"")</f>
        <v>255480449.94999999</v>
      </c>
      <c r="L1691">
        <f>IFERROR([1]!s_stm07_cs($A1691,"W77745895",TEXT($B$1,"yyyy/mm/dd"),1),"")</f>
        <v>98317057.900000006</v>
      </c>
      <c r="M1691">
        <f>IFERROR([1]!S_FA_EPS_basic2($A1691,$B$1,"Cur=CNY"),"")</f>
        <v>1.21</v>
      </c>
      <c r="N1691">
        <f>IFERROR([1]!s_fa_arturndays($A1691,TEXT($B$1,"yyyy/mm/dd")),"")</f>
        <v>83.890699999999995</v>
      </c>
      <c r="O1691" t="str">
        <f>IFERROR([1]!fa_apturndays($A1691,TEXT($B$1,"yyyy/mm/dd")),"")</f>
        <v>Fetch...</v>
      </c>
      <c r="P1691">
        <f>IFERROR([1]!s_fa_invturndays($A1691,TEXT($B$1,"yyyy/mm/dd")),"")</f>
        <v>66.931899999999999</v>
      </c>
    </row>
    <row r="1692" spans="1:16">
      <c r="A1692" t="s">
        <v>1705</v>
      </c>
      <c r="B1692">
        <f>IFERROR([1]!s_stm07_is($A1692,"W70156729",TEXT($B$1,"yyyy/mm/dd"),1),"")</f>
        <v>2250738368.0500002</v>
      </c>
      <c r="C1692">
        <f>IFERROR([1]!s_stm07_is($A1692,"W75682424",TEXT($B$1,"yyyy/mm/dd"),1),"")</f>
        <v>1094817796.9300001</v>
      </c>
      <c r="D1692">
        <f>IFERROR([1]!s_stm07_is($A1692,"W76031679",TEXT($B$1,"yyyy/mm/dd"),1),"")</f>
        <v>87206010.599999994</v>
      </c>
      <c r="E1692">
        <f>IFERROR([1]!s_stm07_is($A1692,"W70752487",TEXT($B$1,"yyyy/mm/dd"),1),"")</f>
        <v>126466138.31999999</v>
      </c>
      <c r="F1692">
        <f>IFERROR([1]!s_stm07_is_103($A1692,TEXT($B$1,"yyyy/mm/dd"),1),"")</f>
        <v>339699828.51999998</v>
      </c>
      <c r="G1692">
        <f>IFERROR([1]!s_stm07_is_104($A1692,TEXT($B$1,"yyyy/mm/dd"),1),"")</f>
        <v>26687522.59</v>
      </c>
      <c r="H1692">
        <f>IFERROR([1]!s_stm07_is_105($A1692,TEXT($B$1,"yyyy/mm/dd"),1),"")</f>
        <v>27641957.670000002</v>
      </c>
      <c r="I1692">
        <f>IFERROR([1]!s_stm07_is($A1692,"W72946623",TEXT($B$1,"yyyy/mm/dd"),1),"")</f>
        <v>685652533.84000003</v>
      </c>
      <c r="J1692">
        <f>IFERROR([1]!s_stm07_is($A1692,"W30028333",TEXT($B$1,"yyyy/mm/dd"),1),"")</f>
        <v>650011497.02999997</v>
      </c>
      <c r="K1692">
        <f>IFERROR([1]!s_stm07_cs($A1692,"W77130581",TEXT($B$1,"yyyy/mm/dd"),1),"")</f>
        <v>1301798050.3299999</v>
      </c>
      <c r="L1692">
        <f>IFERROR([1]!s_stm07_cs($A1692,"W77745895",TEXT($B$1,"yyyy/mm/dd"),1),"")</f>
        <v>1686269279.54</v>
      </c>
      <c r="M1692">
        <f>IFERROR([1]!S_FA_EPS_basic2($A1692,$B$1,"Cur=CNY"),"")</f>
        <v>3.2</v>
      </c>
      <c r="N1692">
        <f>IFERROR([1]!s_fa_arturndays($A1692,TEXT($B$1,"yyyy/mm/dd")),"")</f>
        <v>117.66630000000001</v>
      </c>
      <c r="O1692" t="str">
        <f>IFERROR([1]!fa_apturndays($A1692,TEXT($B$1,"yyyy/mm/dd")),"")</f>
        <v>Fetch...</v>
      </c>
      <c r="P1692">
        <f>IFERROR([1]!s_fa_invturndays($A1692,TEXT($B$1,"yyyy/mm/dd")),"")</f>
        <v>266.4298</v>
      </c>
    </row>
    <row r="1693" spans="1:16">
      <c r="A1693" t="s">
        <v>1706</v>
      </c>
      <c r="B1693">
        <f>IFERROR([1]!s_stm07_is($A1693,"W70156729",TEXT($B$1,"yyyy/mm/dd"),1),"")</f>
        <v>4838526099.9899998</v>
      </c>
      <c r="C1693">
        <f>IFERROR([1]!s_stm07_is($A1693,"W75682424",TEXT($B$1,"yyyy/mm/dd"),1),"")</f>
        <v>4941483884.5299997</v>
      </c>
      <c r="D1693">
        <f>IFERROR([1]!s_stm07_is($A1693,"W76031679",TEXT($B$1,"yyyy/mm/dd"),1),"")</f>
        <v>23797424.699999999</v>
      </c>
      <c r="E1693">
        <f>IFERROR([1]!s_stm07_is($A1693,"W70752487",TEXT($B$1,"yyyy/mm/dd"),1),"")</f>
        <v>260429300.03999999</v>
      </c>
      <c r="F1693">
        <f>IFERROR([1]!s_stm07_is_103($A1693,TEXT($B$1,"yyyy/mm/dd"),1),"")</f>
        <v>18573699.559999999</v>
      </c>
      <c r="G1693">
        <f>IFERROR([1]!s_stm07_is_104($A1693,TEXT($B$1,"yyyy/mm/dd"),1),"")</f>
        <v>33826118.920000002</v>
      </c>
      <c r="H1693">
        <f>IFERROR([1]!s_stm07_is_105($A1693,TEXT($B$1,"yyyy/mm/dd"),1),"")</f>
        <v>14353290.439999999</v>
      </c>
      <c r="I1693">
        <f>IFERROR([1]!s_stm07_is($A1693,"W72946623",TEXT($B$1,"yyyy/mm/dd"),1),"")</f>
        <v>-1280168235.77</v>
      </c>
      <c r="J1693">
        <f>IFERROR([1]!s_stm07_is($A1693,"W30028333",TEXT($B$1,"yyyy/mm/dd"),1),"")</f>
        <v>-1129167857.6700001</v>
      </c>
      <c r="K1693">
        <f>IFERROR([1]!s_stm07_cs($A1693,"W77130581",TEXT($B$1,"yyyy/mm/dd"),1),"")</f>
        <v>-1577387141.72</v>
      </c>
      <c r="L1693">
        <f>IFERROR([1]!s_stm07_cs($A1693,"W77745895",TEXT($B$1,"yyyy/mm/dd"),1),"")</f>
        <v>166710217.21000001</v>
      </c>
      <c r="M1693">
        <f>IFERROR([1]!S_FA_EPS_basic2($A1693,$B$1,"Cur=CNY"),"")</f>
        <v>-0.53</v>
      </c>
      <c r="N1693">
        <f>IFERROR([1]!s_fa_arturndays($A1693,TEXT($B$1,"yyyy/mm/dd")),"")</f>
        <v>8.6999999999999994E-3</v>
      </c>
      <c r="O1693" t="str">
        <f>IFERROR([1]!fa_apturndays($A1693,TEXT($B$1,"yyyy/mm/dd")),"")</f>
        <v>Fetch...</v>
      </c>
      <c r="P1693">
        <f>IFERROR([1]!s_fa_invturndays($A1693,TEXT($B$1,"yyyy/mm/dd")),"")</f>
        <v>92.771600000000007</v>
      </c>
    </row>
    <row r="1694" spans="1:16">
      <c r="A1694" t="s">
        <v>1707</v>
      </c>
      <c r="B1694">
        <f>IFERROR([1]!s_stm07_is($A1694,"W70156729",TEXT($B$1,"yyyy/mm/dd"),1),"")</f>
        <v>2559884674.3099999</v>
      </c>
      <c r="C1694">
        <f>IFERROR([1]!s_stm07_is($A1694,"W75682424",TEXT($B$1,"yyyy/mm/dd"),1),"")</f>
        <v>1998016979.8299999</v>
      </c>
      <c r="D1694">
        <f>IFERROR([1]!s_stm07_is($A1694,"W76031679",TEXT($B$1,"yyyy/mm/dd"),1),"")</f>
        <v>140453022.27000001</v>
      </c>
      <c r="E1694">
        <f>IFERROR([1]!s_stm07_is($A1694,"W70752487",TEXT($B$1,"yyyy/mm/dd"),1),"")</f>
        <v>268981743.5</v>
      </c>
      <c r="F1694">
        <f>IFERROR([1]!s_stm07_is_103($A1694,TEXT($B$1,"yyyy/mm/dd"),1),"")</f>
        <v>67273822.849999994</v>
      </c>
      <c r="G1694">
        <f>IFERROR([1]!s_stm07_is_104($A1694,TEXT($B$1,"yyyy/mm/dd"),1),"")</f>
        <v>49778618.909999996</v>
      </c>
      <c r="H1694">
        <f>IFERROR([1]!s_stm07_is_105($A1694,TEXT($B$1,"yyyy/mm/dd"),1),"")</f>
        <v>6307261.8600000003</v>
      </c>
      <c r="I1694">
        <f>IFERROR([1]!s_stm07_is($A1694,"W72946623",TEXT($B$1,"yyyy/mm/dd"),1),"")</f>
        <v>13428234.439999999</v>
      </c>
      <c r="J1694">
        <f>IFERROR([1]!s_stm07_is($A1694,"W30028333",TEXT($B$1,"yyyy/mm/dd"),1),"")</f>
        <v>12223914.640000001</v>
      </c>
      <c r="K1694">
        <f>IFERROR([1]!s_stm07_cs($A1694,"W77130581",TEXT($B$1,"yyyy/mm/dd"),1),"")</f>
        <v>80445542.719999999</v>
      </c>
      <c r="L1694">
        <f>IFERROR([1]!s_stm07_cs($A1694,"W77745895",TEXT($B$1,"yyyy/mm/dd"),1),"")</f>
        <v>71897378.180000007</v>
      </c>
      <c r="M1694">
        <f>IFERROR([1]!S_FA_EPS_basic2($A1694,$B$1,"Cur=CNY"),"")</f>
        <v>1.01E-2</v>
      </c>
      <c r="N1694">
        <f>IFERROR([1]!s_fa_arturndays($A1694,TEXT($B$1,"yyyy/mm/dd")),"")</f>
        <v>61.967500000000001</v>
      </c>
      <c r="O1694" t="str">
        <f>IFERROR([1]!fa_apturndays($A1694,TEXT($B$1,"yyyy/mm/dd")),"")</f>
        <v>Fetch...</v>
      </c>
      <c r="P1694">
        <f>IFERROR([1]!s_fa_invturndays($A1694,TEXT($B$1,"yyyy/mm/dd")),"")</f>
        <v>294.40629999999999</v>
      </c>
    </row>
    <row r="1695" spans="1:16">
      <c r="A1695" t="s">
        <v>1708</v>
      </c>
      <c r="B1695">
        <f>IFERROR([1]!s_stm07_is($A1695,"W70156729",TEXT($B$1,"yyyy/mm/dd"),1),"")</f>
        <v>2129124774.1300001</v>
      </c>
      <c r="C1695">
        <f>IFERROR([1]!s_stm07_is($A1695,"W75682424",TEXT($B$1,"yyyy/mm/dd"),1),"")</f>
        <v>1422572693.79</v>
      </c>
      <c r="D1695">
        <f>IFERROR([1]!s_stm07_is($A1695,"W76031679",TEXT($B$1,"yyyy/mm/dd"),1),"")</f>
        <v>39858463.310000002</v>
      </c>
      <c r="E1695">
        <f>IFERROR([1]!s_stm07_is($A1695,"W70752487",TEXT($B$1,"yyyy/mm/dd"),1),"")</f>
        <v>102821474.39</v>
      </c>
      <c r="F1695">
        <f>IFERROR([1]!s_stm07_is_103($A1695,TEXT($B$1,"yyyy/mm/dd"),1),"")</f>
        <v>132727812.08</v>
      </c>
      <c r="G1695">
        <f>IFERROR([1]!s_stm07_is_104($A1695,TEXT($B$1,"yyyy/mm/dd"),1),"")</f>
        <v>5754408.1500000004</v>
      </c>
      <c r="H1695">
        <f>IFERROR([1]!s_stm07_is_105($A1695,TEXT($B$1,"yyyy/mm/dd"),1),"")</f>
        <v>8152607.5599999996</v>
      </c>
      <c r="I1695">
        <f>IFERROR([1]!s_stm07_is($A1695,"W72946623",TEXT($B$1,"yyyy/mm/dd"),1),"")</f>
        <v>389953597.10000002</v>
      </c>
      <c r="J1695">
        <f>IFERROR([1]!s_stm07_is($A1695,"W30028333",TEXT($B$1,"yyyy/mm/dd"),1),"")</f>
        <v>372228513.24000001</v>
      </c>
      <c r="K1695">
        <f>IFERROR([1]!s_stm07_cs($A1695,"W77130581",TEXT($B$1,"yyyy/mm/dd"),1),"")</f>
        <v>74556307.510000005</v>
      </c>
      <c r="L1695">
        <f>IFERROR([1]!s_stm07_cs($A1695,"W77745895",TEXT($B$1,"yyyy/mm/dd"),1),"")</f>
        <v>193674782.65000001</v>
      </c>
      <c r="M1695">
        <f>IFERROR([1]!S_FA_EPS_basic2($A1695,$B$1,"Cur=CNY"),"")</f>
        <v>0.82350000000000001</v>
      </c>
      <c r="N1695">
        <f>IFERROR([1]!s_fa_arturndays($A1695,TEXT($B$1,"yyyy/mm/dd")),"")</f>
        <v>77.654799999999994</v>
      </c>
      <c r="O1695" t="str">
        <f>IFERROR([1]!fa_apturndays($A1695,TEXT($B$1,"yyyy/mm/dd")),"")</f>
        <v>Fetch...</v>
      </c>
      <c r="P1695">
        <f>IFERROR([1]!s_fa_invturndays($A1695,TEXT($B$1,"yyyy/mm/dd")),"")</f>
        <v>104.53270000000001</v>
      </c>
    </row>
    <row r="1696" spans="1:16">
      <c r="A1696" t="s">
        <v>1709</v>
      </c>
      <c r="B1696">
        <f>IFERROR([1]!s_stm07_is($A1696,"W70156729",TEXT($B$1,"yyyy/mm/dd"),1),"")</f>
        <v>368098617.43000001</v>
      </c>
      <c r="C1696">
        <f>IFERROR([1]!s_stm07_is($A1696,"W75682424",TEXT($B$1,"yyyy/mm/dd"),1),"")</f>
        <v>63169468.82</v>
      </c>
      <c r="D1696">
        <f>IFERROR([1]!s_stm07_is($A1696,"W76031679",TEXT($B$1,"yyyy/mm/dd"),1),"")</f>
        <v>6659639.9699999997</v>
      </c>
      <c r="E1696">
        <f>IFERROR([1]!s_stm07_is($A1696,"W70752487",TEXT($B$1,"yyyy/mm/dd"),1),"")</f>
        <v>9631156.2400000002</v>
      </c>
      <c r="F1696">
        <f>IFERROR([1]!s_stm07_is_103($A1696,TEXT($B$1,"yyyy/mm/dd"),1),"")</f>
        <v>85579472.739999995</v>
      </c>
      <c r="G1696">
        <f>IFERROR([1]!s_stm07_is_104($A1696,TEXT($B$1,"yyyy/mm/dd"),1),"")</f>
        <v>25157.41</v>
      </c>
      <c r="H1696">
        <f>IFERROR([1]!s_stm07_is_105($A1696,TEXT($B$1,"yyyy/mm/dd"),1),"")</f>
        <v>24728051.149999999</v>
      </c>
      <c r="I1696">
        <f>IFERROR([1]!s_stm07_is($A1696,"W72946623",TEXT($B$1,"yyyy/mm/dd"),1),"")</f>
        <v>353164529.37</v>
      </c>
      <c r="J1696">
        <f>IFERROR([1]!s_stm07_is($A1696,"W30028333",TEXT($B$1,"yyyy/mm/dd"),1),"")</f>
        <v>315403210.44</v>
      </c>
      <c r="K1696">
        <f>IFERROR([1]!s_stm07_cs($A1696,"W77130581",TEXT($B$1,"yyyy/mm/dd"),1),"")</f>
        <v>174602057.47</v>
      </c>
      <c r="L1696">
        <f>IFERROR([1]!s_stm07_cs($A1696,"W77745895",TEXT($B$1,"yyyy/mm/dd"),1),"")</f>
        <v>55450280.700000003</v>
      </c>
      <c r="M1696">
        <f>IFERROR([1]!S_FA_EPS_basic2($A1696,$B$1,"Cur=CNY"),"")</f>
        <v>1.23</v>
      </c>
      <c r="N1696">
        <f>IFERROR([1]!s_fa_arturndays($A1696,TEXT($B$1,"yyyy/mm/dd")),"")</f>
        <v>43.347900000000003</v>
      </c>
      <c r="O1696" t="str">
        <f>IFERROR([1]!fa_apturndays($A1696,TEXT($B$1,"yyyy/mm/dd")),"")</f>
        <v>Fetch...</v>
      </c>
      <c r="P1696">
        <f>IFERROR([1]!s_fa_invturndays($A1696,TEXT($B$1,"yyyy/mm/dd")),"")</f>
        <v>3.1194000000000002</v>
      </c>
    </row>
    <row r="1697" spans="1:16">
      <c r="A1697" t="s">
        <v>1710</v>
      </c>
      <c r="B1697">
        <f>IFERROR([1]!s_stm07_is($A1697,"W70156729",TEXT($B$1,"yyyy/mm/dd"),1),"")</f>
        <v>910061840.72000003</v>
      </c>
      <c r="C1697">
        <f>IFERROR([1]!s_stm07_is($A1697,"W75682424",TEXT($B$1,"yyyy/mm/dd"),1),"")</f>
        <v>117232405.12</v>
      </c>
      <c r="D1697">
        <f>IFERROR([1]!s_stm07_is($A1697,"W76031679",TEXT($B$1,"yyyy/mm/dd"),1),"")</f>
        <v>381219426.87</v>
      </c>
      <c r="E1697">
        <f>IFERROR([1]!s_stm07_is($A1697,"W70752487",TEXT($B$1,"yyyy/mm/dd"),1),"")</f>
        <v>93283627.319999993</v>
      </c>
      <c r="F1697">
        <f>IFERROR([1]!s_stm07_is_103($A1697,TEXT($B$1,"yyyy/mm/dd"),1),"")</f>
        <v>221622337.71000001</v>
      </c>
      <c r="G1697">
        <f>IFERROR([1]!s_stm07_is_104($A1697,TEXT($B$1,"yyyy/mm/dd"),1),"")</f>
        <v>35697501.649999999</v>
      </c>
      <c r="H1697">
        <f>IFERROR([1]!s_stm07_is_105($A1697,TEXT($B$1,"yyyy/mm/dd"),1),"")</f>
        <v>17043959.300000001</v>
      </c>
      <c r="I1697">
        <f>IFERROR([1]!s_stm07_is($A1697,"W72946623",TEXT($B$1,"yyyy/mm/dd"),1),"")</f>
        <v>50052450.530000001</v>
      </c>
      <c r="J1697">
        <f>IFERROR([1]!s_stm07_is($A1697,"W30028333",TEXT($B$1,"yyyy/mm/dd"),1),"")</f>
        <v>50959162.560000002</v>
      </c>
      <c r="K1697">
        <f>IFERROR([1]!s_stm07_cs($A1697,"W77130581",TEXT($B$1,"yyyy/mm/dd"),1),"")</f>
        <v>96965358.290000007</v>
      </c>
      <c r="L1697">
        <f>IFERROR([1]!s_stm07_cs($A1697,"W77745895",TEXT($B$1,"yyyy/mm/dd"),1),"")</f>
        <v>178602604.91999999</v>
      </c>
      <c r="M1697">
        <f>IFERROR([1]!S_FA_EPS_basic2($A1697,$B$1,"Cur=CNY"),"")</f>
        <v>0.125</v>
      </c>
      <c r="N1697">
        <f>IFERROR([1]!s_fa_arturndays($A1697,TEXT($B$1,"yyyy/mm/dd")),"")</f>
        <v>88.408600000000007</v>
      </c>
      <c r="O1697" t="str">
        <f>IFERROR([1]!fa_apturndays($A1697,TEXT($B$1,"yyyy/mm/dd")),"")</f>
        <v>Fetch...</v>
      </c>
      <c r="P1697">
        <f>IFERROR([1]!s_fa_invturndays($A1697,TEXT($B$1,"yyyy/mm/dd")),"")</f>
        <v>153.62289999999999</v>
      </c>
    </row>
    <row r="1698" spans="1:16">
      <c r="A1698" t="s">
        <v>1711</v>
      </c>
      <c r="B1698">
        <f>IFERROR([1]!s_stm07_is($A1698,"W70156729",TEXT($B$1,"yyyy/mm/dd"),1),"")</f>
        <v>940743637.64999998</v>
      </c>
      <c r="C1698">
        <f>IFERROR([1]!s_stm07_is($A1698,"W75682424",TEXT($B$1,"yyyy/mm/dd"),1),"")</f>
        <v>529116920.08999997</v>
      </c>
      <c r="D1698">
        <f>IFERROR([1]!s_stm07_is($A1698,"W76031679",TEXT($B$1,"yyyy/mm/dd"),1),"")</f>
        <v>69112158.349999994</v>
      </c>
      <c r="E1698">
        <f>IFERROR([1]!s_stm07_is($A1698,"W70752487",TEXT($B$1,"yyyy/mm/dd"),1),"")</f>
        <v>92174776.159999996</v>
      </c>
      <c r="F1698">
        <f>IFERROR([1]!s_stm07_is_103($A1698,TEXT($B$1,"yyyy/mm/dd"),1),"")</f>
        <v>202534069.33000001</v>
      </c>
      <c r="G1698">
        <f>IFERROR([1]!s_stm07_is_104($A1698,TEXT($B$1,"yyyy/mm/dd"),1),"")</f>
        <v>2550709.02</v>
      </c>
      <c r="H1698">
        <f>IFERROR([1]!s_stm07_is_105($A1698,TEXT($B$1,"yyyy/mm/dd"),1),"")</f>
        <v>10378280</v>
      </c>
      <c r="I1698">
        <f>IFERROR([1]!s_stm07_is($A1698,"W72946623",TEXT($B$1,"yyyy/mm/dd"),1),"")</f>
        <v>118826108.92</v>
      </c>
      <c r="J1698">
        <f>IFERROR([1]!s_stm07_is($A1698,"W30028333",TEXT($B$1,"yyyy/mm/dd"),1),"")</f>
        <v>127909973.81</v>
      </c>
      <c r="K1698">
        <f>IFERROR([1]!s_stm07_cs($A1698,"W77130581",TEXT($B$1,"yyyy/mm/dd"),1),"")</f>
        <v>82724070.420000002</v>
      </c>
      <c r="L1698">
        <f>IFERROR([1]!s_stm07_cs($A1698,"W77745895",TEXT($B$1,"yyyy/mm/dd"),1),"")</f>
        <v>63116339.670000002</v>
      </c>
      <c r="M1698">
        <f>IFERROR([1]!S_FA_EPS_basic2($A1698,$B$1,"Cur=CNY"),"")</f>
        <v>0.32</v>
      </c>
      <c r="N1698">
        <f>IFERROR([1]!s_fa_arturndays($A1698,TEXT($B$1,"yyyy/mm/dd")),"")</f>
        <v>46.984499999999997</v>
      </c>
      <c r="O1698" t="str">
        <f>IFERROR([1]!fa_apturndays($A1698,TEXT($B$1,"yyyy/mm/dd")),"")</f>
        <v>Fetch...</v>
      </c>
      <c r="P1698">
        <f>IFERROR([1]!s_fa_invturndays($A1698,TEXT($B$1,"yyyy/mm/dd")),"")</f>
        <v>137.97329999999999</v>
      </c>
    </row>
    <row r="1699" spans="1:16">
      <c r="A1699" t="s">
        <v>1712</v>
      </c>
      <c r="B1699">
        <f>IFERROR([1]!s_stm07_is($A1699,"W70156729",TEXT($B$1,"yyyy/mm/dd"),1),"")</f>
        <v>6848097114.29</v>
      </c>
      <c r="C1699">
        <f>IFERROR([1]!s_stm07_is($A1699,"W75682424",TEXT($B$1,"yyyy/mm/dd"),1),"")</f>
        <v>5245649973.04</v>
      </c>
      <c r="D1699">
        <f>IFERROR([1]!s_stm07_is($A1699,"W76031679",TEXT($B$1,"yyyy/mm/dd"),1),"")</f>
        <v>300790853.24000001</v>
      </c>
      <c r="E1699">
        <f>IFERROR([1]!s_stm07_is($A1699,"W70752487",TEXT($B$1,"yyyy/mm/dd"),1),"")</f>
        <v>372825258</v>
      </c>
      <c r="F1699">
        <f>IFERROR([1]!s_stm07_is_103($A1699,TEXT($B$1,"yyyy/mm/dd"),1),"")</f>
        <v>828951069.77999997</v>
      </c>
      <c r="G1699">
        <f>IFERROR([1]!s_stm07_is_104($A1699,TEXT($B$1,"yyyy/mm/dd"),1),"")</f>
        <v>25859429.359999999</v>
      </c>
      <c r="H1699">
        <f>IFERROR([1]!s_stm07_is_105($A1699,TEXT($B$1,"yyyy/mm/dd"),1),"")</f>
        <v>25712741.109999999</v>
      </c>
      <c r="I1699">
        <f>IFERROR([1]!s_stm07_is($A1699,"W72946623",TEXT($B$1,"yyyy/mm/dd"),1),"")</f>
        <v>72354039.290000007</v>
      </c>
      <c r="J1699">
        <f>IFERROR([1]!s_stm07_is($A1699,"W30028333",TEXT($B$1,"yyyy/mm/dd"),1),"")</f>
        <v>100239645.81</v>
      </c>
      <c r="K1699">
        <f>IFERROR([1]!s_stm07_cs($A1699,"W77130581",TEXT($B$1,"yyyy/mm/dd"),1),"")</f>
        <v>55483998.399999999</v>
      </c>
      <c r="L1699">
        <f>IFERROR([1]!s_stm07_cs($A1699,"W77745895",TEXT($B$1,"yyyy/mm/dd"),1),"")</f>
        <v>698667222.36000001</v>
      </c>
      <c r="M1699">
        <f>IFERROR([1]!S_FA_EPS_basic2($A1699,$B$1,"Cur=CNY"),"")</f>
        <v>0.89</v>
      </c>
      <c r="N1699">
        <f>IFERROR([1]!s_fa_arturndays($A1699,TEXT($B$1,"yyyy/mm/dd")),"")</f>
        <v>104.09139999999999</v>
      </c>
      <c r="O1699" t="str">
        <f>IFERROR([1]!fa_apturndays($A1699,TEXT($B$1,"yyyy/mm/dd")),"")</f>
        <v>Fetch...</v>
      </c>
      <c r="P1699">
        <f>IFERROR([1]!s_fa_invturndays($A1699,TEXT($B$1,"yyyy/mm/dd")),"")</f>
        <v>113.343</v>
      </c>
    </row>
    <row r="1700" spans="1:16">
      <c r="A1700" t="s">
        <v>1713</v>
      </c>
      <c r="B1700">
        <f>IFERROR([1]!s_stm07_is($A1700,"W70156729",TEXT($B$1,"yyyy/mm/dd"),1),"")</f>
        <v>500598522.33999997</v>
      </c>
      <c r="C1700">
        <f>IFERROR([1]!s_stm07_is($A1700,"W75682424",TEXT($B$1,"yyyy/mm/dd"),1),"")</f>
        <v>357330932.86000001</v>
      </c>
      <c r="D1700">
        <f>IFERROR([1]!s_stm07_is($A1700,"W76031679",TEXT($B$1,"yyyy/mm/dd"),1),"")</f>
        <v>124502316.56</v>
      </c>
      <c r="E1700">
        <f>IFERROR([1]!s_stm07_is($A1700,"W70752487",TEXT($B$1,"yyyy/mm/dd"),1),"")</f>
        <v>176129587.68000001</v>
      </c>
      <c r="F1700">
        <f>IFERROR([1]!s_stm07_is_103($A1700,TEXT($B$1,"yyyy/mm/dd"),1),"")</f>
        <v>209835291.69</v>
      </c>
      <c r="G1700">
        <f>IFERROR([1]!s_stm07_is_104($A1700,TEXT($B$1,"yyyy/mm/dd"),1),"")</f>
        <v>11377137.130000001</v>
      </c>
      <c r="H1700">
        <f>IFERROR([1]!s_stm07_is_105($A1700,TEXT($B$1,"yyyy/mm/dd"),1),"")</f>
        <v>15070278.199999999</v>
      </c>
      <c r="I1700">
        <f>IFERROR([1]!s_stm07_is($A1700,"W72946623",TEXT($B$1,"yyyy/mm/dd"),1),"")</f>
        <v>-573849149.32000005</v>
      </c>
      <c r="J1700">
        <f>IFERROR([1]!s_stm07_is($A1700,"W30028333",TEXT($B$1,"yyyy/mm/dd"),1),"")</f>
        <v>-555609808.03999996</v>
      </c>
      <c r="K1700">
        <f>IFERROR([1]!s_stm07_cs($A1700,"W77130581",TEXT($B$1,"yyyy/mm/dd"),1),"")</f>
        <v>-80651462.189999998</v>
      </c>
      <c r="L1700">
        <f>IFERROR([1]!s_stm07_cs($A1700,"W77745895",TEXT($B$1,"yyyy/mm/dd"),1),"")</f>
        <v>2131400</v>
      </c>
      <c r="M1700">
        <f>IFERROR([1]!S_FA_EPS_basic2($A1700,$B$1,"Cur=CNY"),"")</f>
        <v>-0.54</v>
      </c>
      <c r="N1700">
        <f>IFERROR([1]!s_fa_arturndays($A1700,TEXT($B$1,"yyyy/mm/dd")),"")</f>
        <v>183.87049999999999</v>
      </c>
      <c r="O1700" t="str">
        <f>IFERROR([1]!fa_apturndays($A1700,TEXT($B$1,"yyyy/mm/dd")),"")</f>
        <v>Fetch...</v>
      </c>
      <c r="P1700">
        <f>IFERROR([1]!s_fa_invturndays($A1700,TEXT($B$1,"yyyy/mm/dd")),"")</f>
        <v>270.53429999999997</v>
      </c>
    </row>
    <row r="1701" spans="1:16">
      <c r="A1701" t="s">
        <v>1714</v>
      </c>
      <c r="B1701">
        <f>IFERROR([1]!s_stm07_is($A1701,"W70156729",TEXT($B$1,"yyyy/mm/dd"),1),"")</f>
        <v>3251051061.9299998</v>
      </c>
      <c r="C1701">
        <f>IFERROR([1]!s_stm07_is($A1701,"W75682424",TEXT($B$1,"yyyy/mm/dd"),1),"")</f>
        <v>413540499.76999998</v>
      </c>
      <c r="D1701">
        <f>IFERROR([1]!s_stm07_is($A1701,"W76031679",TEXT($B$1,"yyyy/mm/dd"),1),"")</f>
        <v>1111444227.1099999</v>
      </c>
      <c r="E1701">
        <f>IFERROR([1]!s_stm07_is($A1701,"W70752487",TEXT($B$1,"yyyy/mm/dd"),1),"")</f>
        <v>364275477.75</v>
      </c>
      <c r="F1701">
        <f>IFERROR([1]!s_stm07_is_103($A1701,TEXT($B$1,"yyyy/mm/dd"),1),"")</f>
        <v>1218748679.23</v>
      </c>
      <c r="G1701">
        <f>IFERROR([1]!s_stm07_is_104($A1701,TEXT($B$1,"yyyy/mm/dd"),1),"")</f>
        <v>70168113.760000005</v>
      </c>
      <c r="H1701">
        <f>IFERROR([1]!s_stm07_is_105($A1701,TEXT($B$1,"yyyy/mm/dd"),1),"")</f>
        <v>4594430.84</v>
      </c>
      <c r="I1701">
        <f>IFERROR([1]!s_stm07_is($A1701,"W72946623",TEXT($B$1,"yyyy/mm/dd"),1),"")</f>
        <v>710398488.34000003</v>
      </c>
      <c r="J1701">
        <f>IFERROR([1]!s_stm07_is($A1701,"W30028333",TEXT($B$1,"yyyy/mm/dd"),1),"")</f>
        <v>709649797.13999999</v>
      </c>
      <c r="K1701">
        <f>IFERROR([1]!s_stm07_cs($A1701,"W77130581",TEXT($B$1,"yyyy/mm/dd"),1),"")</f>
        <v>52951895.380000003</v>
      </c>
      <c r="L1701">
        <f>IFERROR([1]!s_stm07_cs($A1701,"W77745895",TEXT($B$1,"yyyy/mm/dd"),1),"")</f>
        <v>200006319.47</v>
      </c>
      <c r="M1701">
        <f>IFERROR([1]!S_FA_EPS_basic2($A1701,$B$1,"Cur=CNY"),"")</f>
        <v>1.29</v>
      </c>
      <c r="N1701">
        <f>IFERROR([1]!s_fa_arturndays($A1701,TEXT($B$1,"yyyy/mm/dd")),"")</f>
        <v>44.634599999999999</v>
      </c>
      <c r="O1701" t="str">
        <f>IFERROR([1]!fa_apturndays($A1701,TEXT($B$1,"yyyy/mm/dd")),"")</f>
        <v>Fetch...</v>
      </c>
      <c r="P1701">
        <f>IFERROR([1]!s_fa_invturndays($A1701,TEXT($B$1,"yyyy/mm/dd")),"")</f>
        <v>574.89620000000002</v>
      </c>
    </row>
    <row r="1702" spans="1:16">
      <c r="A1702" t="s">
        <v>1715</v>
      </c>
      <c r="B1702">
        <f>IFERROR([1]!s_stm07_is($A1702,"W70156729",TEXT($B$1,"yyyy/mm/dd"),1),"")</f>
        <v>1841575191.8099999</v>
      </c>
      <c r="C1702">
        <f>IFERROR([1]!s_stm07_is($A1702,"W75682424",TEXT($B$1,"yyyy/mm/dd"),1),"")</f>
        <v>1433014208</v>
      </c>
      <c r="D1702">
        <f>IFERROR([1]!s_stm07_is($A1702,"W76031679",TEXT($B$1,"yyyy/mm/dd"),1),"")</f>
        <v>8764079.4399999995</v>
      </c>
      <c r="E1702">
        <f>IFERROR([1]!s_stm07_is($A1702,"W70752487",TEXT($B$1,"yyyy/mm/dd"),1),"")</f>
        <v>32540809.440000001</v>
      </c>
      <c r="F1702">
        <f>IFERROR([1]!s_stm07_is_103($A1702,TEXT($B$1,"yyyy/mm/dd"),1),"")</f>
        <v>169317406.25999999</v>
      </c>
      <c r="G1702">
        <f>IFERROR([1]!s_stm07_is_104($A1702,TEXT($B$1,"yyyy/mm/dd"),1),"")</f>
        <v>7064964.3600000003</v>
      </c>
      <c r="H1702">
        <f>IFERROR([1]!s_stm07_is_105($A1702,TEXT($B$1,"yyyy/mm/dd"),1),"")</f>
        <v>44000835.090000004</v>
      </c>
      <c r="I1702">
        <f>IFERROR([1]!s_stm07_is($A1702,"W72946623",TEXT($B$1,"yyyy/mm/dd"),1),"")</f>
        <v>1547245057.73</v>
      </c>
      <c r="J1702">
        <f>IFERROR([1]!s_stm07_is($A1702,"W30028333",TEXT($B$1,"yyyy/mm/dd"),1),"")</f>
        <v>1415455005.76</v>
      </c>
      <c r="K1702">
        <f>IFERROR([1]!s_stm07_cs($A1702,"W77130581",TEXT($B$1,"yyyy/mm/dd"),1),"")</f>
        <v>64051503.68</v>
      </c>
      <c r="L1702">
        <f>IFERROR([1]!s_stm07_cs($A1702,"W77745895",TEXT($B$1,"yyyy/mm/dd"),1),"")</f>
        <v>25175858.719999999</v>
      </c>
      <c r="M1702">
        <f>IFERROR([1]!S_FA_EPS_basic2($A1702,$B$1,"Cur=CNY"),"")</f>
        <v>11.75</v>
      </c>
      <c r="N1702">
        <f>IFERROR([1]!s_fa_arturndays($A1702,TEXT($B$1,"yyyy/mm/dd")),"")</f>
        <v>13.222</v>
      </c>
      <c r="O1702" t="str">
        <f>IFERROR([1]!fa_apturndays($A1702,TEXT($B$1,"yyyy/mm/dd")),"")</f>
        <v>Fetch...</v>
      </c>
      <c r="P1702">
        <f>IFERROR([1]!s_fa_invturndays($A1702,TEXT($B$1,"yyyy/mm/dd")),"")</f>
        <v>163.85980000000001</v>
      </c>
    </row>
    <row r="1703" spans="1:16">
      <c r="A1703" t="s">
        <v>1716</v>
      </c>
      <c r="B1703">
        <f>IFERROR([1]!s_stm07_is($A1703,"W70156729",TEXT($B$1,"yyyy/mm/dd"),1),"")</f>
        <v>1851668118.6300001</v>
      </c>
      <c r="C1703">
        <f>IFERROR([1]!s_stm07_is($A1703,"W75682424",TEXT($B$1,"yyyy/mm/dd"),1),"")</f>
        <v>1153234832</v>
      </c>
      <c r="D1703">
        <f>IFERROR([1]!s_stm07_is($A1703,"W76031679",TEXT($B$1,"yyyy/mm/dd"),1),"")</f>
        <v>119768710.94</v>
      </c>
      <c r="E1703">
        <f>IFERROR([1]!s_stm07_is($A1703,"W70752487",TEXT($B$1,"yyyy/mm/dd"),1),"")</f>
        <v>101593866.64</v>
      </c>
      <c r="F1703">
        <f>IFERROR([1]!s_stm07_is_103($A1703,TEXT($B$1,"yyyy/mm/dd"),1),"")</f>
        <v>241551267.83000001</v>
      </c>
      <c r="G1703">
        <f>IFERROR([1]!s_stm07_is_104($A1703,TEXT($B$1,"yyyy/mm/dd"),1),"")</f>
        <v>24104615.260000002</v>
      </c>
      <c r="H1703">
        <f>IFERROR([1]!s_stm07_is_105($A1703,TEXT($B$1,"yyyy/mm/dd"),1),"")</f>
        <v>1988436.78</v>
      </c>
      <c r="I1703">
        <f>IFERROR([1]!s_stm07_is($A1703,"W72946623",TEXT($B$1,"yyyy/mm/dd"),1),"")</f>
        <v>215941533.72</v>
      </c>
      <c r="J1703">
        <f>IFERROR([1]!s_stm07_is($A1703,"W30028333",TEXT($B$1,"yyyy/mm/dd"),1),"")</f>
        <v>203795259.24000001</v>
      </c>
      <c r="K1703">
        <f>IFERROR([1]!s_stm07_cs($A1703,"W77130581",TEXT($B$1,"yyyy/mm/dd"),1),"")</f>
        <v>238718406.06</v>
      </c>
      <c r="L1703">
        <f>IFERROR([1]!s_stm07_cs($A1703,"W77745895",TEXT($B$1,"yyyy/mm/dd"),1),"")</f>
        <v>1245426784.29</v>
      </c>
      <c r="M1703">
        <f>IFERROR([1]!S_FA_EPS_basic2($A1703,$B$1,"Cur=CNY"),"")</f>
        <v>0.75370000000000004</v>
      </c>
      <c r="N1703">
        <f>IFERROR([1]!s_fa_arturndays($A1703,TEXT($B$1,"yyyy/mm/dd")),"")</f>
        <v>211.7647</v>
      </c>
      <c r="O1703" t="str">
        <f>IFERROR([1]!fa_apturndays($A1703,TEXT($B$1,"yyyy/mm/dd")),"")</f>
        <v>Fetch...</v>
      </c>
      <c r="P1703">
        <f>IFERROR([1]!s_fa_invturndays($A1703,TEXT($B$1,"yyyy/mm/dd")),"")</f>
        <v>354.40050000000002</v>
      </c>
    </row>
    <row r="1704" spans="1:16">
      <c r="A1704" t="s">
        <v>1717</v>
      </c>
      <c r="B1704">
        <f>IFERROR([1]!s_stm07_is($A1704,"W70156729",TEXT($B$1,"yyyy/mm/dd"),1),"")</f>
        <v>4199118365.6500001</v>
      </c>
      <c r="C1704">
        <f>IFERROR([1]!s_stm07_is($A1704,"W75682424",TEXT($B$1,"yyyy/mm/dd"),1),"")</f>
        <v>332952490.42000002</v>
      </c>
      <c r="D1704">
        <f>IFERROR([1]!s_stm07_is($A1704,"W76031679",TEXT($B$1,"yyyy/mm/dd"),1),"")</f>
        <v>198737180.75999999</v>
      </c>
      <c r="E1704">
        <f>IFERROR([1]!s_stm07_is($A1704,"W70752487",TEXT($B$1,"yyyy/mm/dd"),1),"")</f>
        <v>100973755.79000001</v>
      </c>
      <c r="F1704">
        <f>IFERROR([1]!s_stm07_is_103($A1704,TEXT($B$1,"yyyy/mm/dd"),1),"")</f>
        <v>434954607.88999999</v>
      </c>
      <c r="G1704">
        <f>IFERROR([1]!s_stm07_is_104($A1704,TEXT($B$1,"yyyy/mm/dd"),1),"")</f>
        <v>569402.79</v>
      </c>
      <c r="H1704">
        <f>IFERROR([1]!s_stm07_is_105($A1704,TEXT($B$1,"yyyy/mm/dd"),1),"")</f>
        <v>84322307.810000002</v>
      </c>
      <c r="I1704">
        <f>IFERROR([1]!s_stm07_is($A1704,"W72946623",TEXT($B$1,"yyyy/mm/dd"),1),"")</f>
        <v>3318537476.9299998</v>
      </c>
      <c r="J1704">
        <f>IFERROR([1]!s_stm07_is($A1704,"W30028333",TEXT($B$1,"yyyy/mm/dd"),1),"")</f>
        <v>2899304586.7600002</v>
      </c>
      <c r="K1704">
        <f>IFERROR([1]!s_stm07_cs($A1704,"W77130581",TEXT($B$1,"yyyy/mm/dd"),1),"")</f>
        <v>3043452365.02</v>
      </c>
      <c r="L1704">
        <f>IFERROR([1]!s_stm07_cs($A1704,"W77745895",TEXT($B$1,"yyyy/mm/dd"),1),"")</f>
        <v>252945176.91</v>
      </c>
      <c r="M1704">
        <f>IFERROR([1]!S_FA_EPS_basic2($A1704,$B$1,"Cur=CNY"),"")</f>
        <v>4.7</v>
      </c>
      <c r="N1704">
        <f>IFERROR([1]!s_fa_arturndays($A1704,TEXT($B$1,"yyyy/mm/dd")),"")</f>
        <v>12.5601</v>
      </c>
      <c r="O1704" t="str">
        <f>IFERROR([1]!fa_apturndays($A1704,TEXT($B$1,"yyyy/mm/dd")),"")</f>
        <v>Fetch...</v>
      </c>
      <c r="P1704">
        <f>IFERROR([1]!s_fa_invturndays($A1704,TEXT($B$1,"yyyy/mm/dd")),"")</f>
        <v>264.9787</v>
      </c>
    </row>
    <row r="1705" spans="1:16">
      <c r="A1705" t="s">
        <v>1718</v>
      </c>
      <c r="B1705">
        <f>IFERROR([1]!s_stm07_is($A1705,"W70156729",TEXT($B$1,"yyyy/mm/dd"),1),"")</f>
        <v>900233978.55999994</v>
      </c>
      <c r="C1705">
        <f>IFERROR([1]!s_stm07_is($A1705,"W75682424",TEXT($B$1,"yyyy/mm/dd"),1),"")</f>
        <v>404381916.05000001</v>
      </c>
      <c r="D1705">
        <f>IFERROR([1]!s_stm07_is($A1705,"W76031679",TEXT($B$1,"yyyy/mm/dd"),1),"")</f>
        <v>122459093.94</v>
      </c>
      <c r="E1705">
        <f>IFERROR([1]!s_stm07_is($A1705,"W70752487",TEXT($B$1,"yyyy/mm/dd"),1),"")</f>
        <v>98251082.650000006</v>
      </c>
      <c r="F1705">
        <f>IFERROR([1]!s_stm07_is_103($A1705,TEXT($B$1,"yyyy/mm/dd"),1),"")</f>
        <v>225894779.13999999</v>
      </c>
      <c r="G1705">
        <f>IFERROR([1]!s_stm07_is_104($A1705,TEXT($B$1,"yyyy/mm/dd"),1),"")</f>
        <v>8745473.8900000006</v>
      </c>
      <c r="H1705">
        <f>IFERROR([1]!s_stm07_is_105($A1705,TEXT($B$1,"yyyy/mm/dd"),1),"")</f>
        <v>3116091.18</v>
      </c>
      <c r="I1705">
        <f>IFERROR([1]!s_stm07_is($A1705,"W72946623",TEXT($B$1,"yyyy/mm/dd"),1),"")</f>
        <v>91053558.780000001</v>
      </c>
      <c r="J1705">
        <f>IFERROR([1]!s_stm07_is($A1705,"W30028333",TEXT($B$1,"yyyy/mm/dd"),1),"")</f>
        <v>86083759.569999993</v>
      </c>
      <c r="K1705">
        <f>IFERROR([1]!s_stm07_cs($A1705,"W77130581",TEXT($B$1,"yyyy/mm/dd"),1),"")</f>
        <v>96468039.659999996</v>
      </c>
      <c r="L1705">
        <f>IFERROR([1]!s_stm07_cs($A1705,"W77745895",TEXT($B$1,"yyyy/mm/dd"),1),"")</f>
        <v>61077515.710000001</v>
      </c>
      <c r="M1705">
        <f>IFERROR([1]!S_FA_EPS_basic2($A1705,$B$1,"Cur=CNY"),"")</f>
        <v>0.44</v>
      </c>
      <c r="N1705">
        <f>IFERROR([1]!s_fa_arturndays($A1705,TEXT($B$1,"yyyy/mm/dd")),"")</f>
        <v>71.834800000000001</v>
      </c>
      <c r="O1705" t="str">
        <f>IFERROR([1]!fa_apturndays($A1705,TEXT($B$1,"yyyy/mm/dd")),"")</f>
        <v>Fetch...</v>
      </c>
      <c r="P1705">
        <f>IFERROR([1]!s_fa_invturndays($A1705,TEXT($B$1,"yyyy/mm/dd")),"")</f>
        <v>266.44959999999998</v>
      </c>
    </row>
    <row r="1706" spans="1:16">
      <c r="A1706" t="s">
        <v>1719</v>
      </c>
      <c r="B1706">
        <f>IFERROR([1]!s_stm07_is($A1706,"W70156729",TEXT($B$1,"yyyy/mm/dd"),1),"")</f>
        <v>1339284102.97</v>
      </c>
      <c r="C1706">
        <f>IFERROR([1]!s_stm07_is($A1706,"W75682424",TEXT($B$1,"yyyy/mm/dd"),1),"")</f>
        <v>971098919.53999996</v>
      </c>
      <c r="D1706">
        <f>IFERROR([1]!s_stm07_is($A1706,"W76031679",TEXT($B$1,"yyyy/mm/dd"),1),"")</f>
        <v>164191981.25</v>
      </c>
      <c r="E1706">
        <f>IFERROR([1]!s_stm07_is($A1706,"W70752487",TEXT($B$1,"yyyy/mm/dd"),1),"")</f>
        <v>216270035.38</v>
      </c>
      <c r="F1706">
        <f>IFERROR([1]!s_stm07_is_103($A1706,TEXT($B$1,"yyyy/mm/dd"),1),"")</f>
        <v>445462545.00999999</v>
      </c>
      <c r="G1706">
        <f>IFERROR([1]!s_stm07_is_104($A1706,TEXT($B$1,"yyyy/mm/dd"),1),"")</f>
        <v>27861137.800000001</v>
      </c>
      <c r="H1706">
        <f>IFERROR([1]!s_stm07_is_105($A1706,TEXT($B$1,"yyyy/mm/dd"),1),"")</f>
        <v>3971897.15</v>
      </c>
      <c r="I1706">
        <f>IFERROR([1]!s_stm07_is($A1706,"W72946623",TEXT($B$1,"yyyy/mm/dd"),1),"")</f>
        <v>-414635942.12</v>
      </c>
      <c r="J1706">
        <f>IFERROR([1]!s_stm07_is($A1706,"W30028333",TEXT($B$1,"yyyy/mm/dd"),1),"")</f>
        <v>-422194330.45999998</v>
      </c>
      <c r="K1706">
        <f>IFERROR([1]!s_stm07_cs($A1706,"W77130581",TEXT($B$1,"yyyy/mm/dd"),1),"")</f>
        <v>265826018.53</v>
      </c>
      <c r="L1706">
        <f>IFERROR([1]!s_stm07_cs($A1706,"W77745895",TEXT($B$1,"yyyy/mm/dd"),1),"")</f>
        <v>115916475.16</v>
      </c>
      <c r="M1706">
        <f>IFERROR([1]!S_FA_EPS_basic2($A1706,$B$1,"Cur=CNY"),"")</f>
        <v>-1.18</v>
      </c>
      <c r="N1706">
        <f>IFERROR([1]!s_fa_arturndays($A1706,TEXT($B$1,"yyyy/mm/dd")),"")</f>
        <v>187.20750000000001</v>
      </c>
      <c r="O1706" t="str">
        <f>IFERROR([1]!fa_apturndays($A1706,TEXT($B$1,"yyyy/mm/dd")),"")</f>
        <v>Fetch...</v>
      </c>
      <c r="P1706">
        <f>IFERROR([1]!s_fa_invturndays($A1706,TEXT($B$1,"yyyy/mm/dd")),"")</f>
        <v>102.61969999999999</v>
      </c>
    </row>
    <row r="1707" spans="1:16">
      <c r="A1707" t="s">
        <v>1720</v>
      </c>
      <c r="B1707">
        <f>IFERROR([1]!s_stm07_is($A1707,"W70156729",TEXT($B$1,"yyyy/mm/dd"),1),"")</f>
        <v>17291450660.779999</v>
      </c>
      <c r="C1707">
        <f>IFERROR([1]!s_stm07_is($A1707,"W75682424",TEXT($B$1,"yyyy/mm/dd"),1),"")</f>
        <v>14053808467.950001</v>
      </c>
      <c r="D1707">
        <f>IFERROR([1]!s_stm07_is($A1707,"W76031679",TEXT($B$1,"yyyy/mm/dd"),1),"")</f>
        <v>78186488.799999997</v>
      </c>
      <c r="E1707">
        <f>IFERROR([1]!s_stm07_is($A1707,"W70752487",TEXT($B$1,"yyyy/mm/dd"),1),"")</f>
        <v>848062707.08000004</v>
      </c>
      <c r="F1707">
        <f>IFERROR([1]!s_stm07_is_103($A1707,TEXT($B$1,"yyyy/mm/dd"),1),"")</f>
        <v>1971217660.49</v>
      </c>
      <c r="G1707">
        <f>IFERROR([1]!s_stm07_is_104($A1707,TEXT($B$1,"yyyy/mm/dd"),1),"")</f>
        <v>488221890.69</v>
      </c>
      <c r="H1707">
        <f>IFERROR([1]!s_stm07_is_105($A1707,TEXT($B$1,"yyyy/mm/dd"),1),"")</f>
        <v>427677492.47000003</v>
      </c>
      <c r="I1707">
        <f>IFERROR([1]!s_stm07_is($A1707,"W72946623",TEXT($B$1,"yyyy/mm/dd"),1),"")</f>
        <v>-651006116.35000002</v>
      </c>
      <c r="J1707">
        <f>IFERROR([1]!s_stm07_is($A1707,"W30028333",TEXT($B$1,"yyyy/mm/dd"),1),"")</f>
        <v>376611422.56</v>
      </c>
      <c r="K1707">
        <f>IFERROR([1]!s_stm07_cs($A1707,"W77130581",TEXT($B$1,"yyyy/mm/dd"),1),"")</f>
        <v>5065421315.3500004</v>
      </c>
      <c r="L1707">
        <f>IFERROR([1]!s_stm07_cs($A1707,"W77745895",TEXT($B$1,"yyyy/mm/dd"),1),"")</f>
        <v>12931401008.84</v>
      </c>
      <c r="M1707">
        <f>IFERROR([1]!S_FA_EPS_basic2($A1707,$B$1,"Cur=CNY"),"")</f>
        <v>0.22</v>
      </c>
      <c r="N1707">
        <f>IFERROR([1]!s_fa_arturndays($A1707,TEXT($B$1,"yyyy/mm/dd")),"")</f>
        <v>34.6267</v>
      </c>
      <c r="O1707" t="str">
        <f>IFERROR([1]!fa_apturndays($A1707,TEXT($B$1,"yyyy/mm/dd")),"")</f>
        <v>Fetch...</v>
      </c>
      <c r="P1707">
        <f>IFERROR([1]!s_fa_invturndays($A1707,TEXT($B$1,"yyyy/mm/dd")),"")</f>
        <v>131.83920000000001</v>
      </c>
    </row>
    <row r="1708" spans="1:16">
      <c r="A1708" t="s">
        <v>1721</v>
      </c>
      <c r="B1708">
        <f>IFERROR([1]!s_stm07_is($A1708,"W70156729",TEXT($B$1,"yyyy/mm/dd"),1),"")</f>
        <v>1187571563.6700001</v>
      </c>
      <c r="C1708">
        <f>IFERROR([1]!s_stm07_is($A1708,"W75682424",TEXT($B$1,"yyyy/mm/dd"),1),"")</f>
        <v>914759460.26999998</v>
      </c>
      <c r="D1708">
        <f>IFERROR([1]!s_stm07_is($A1708,"W76031679",TEXT($B$1,"yyyy/mm/dd"),1),"")</f>
        <v>136069815.18000001</v>
      </c>
      <c r="E1708">
        <f>IFERROR([1]!s_stm07_is($A1708,"W70752487",TEXT($B$1,"yyyy/mm/dd"),1),"")</f>
        <v>87066373.790000007</v>
      </c>
      <c r="F1708">
        <f>IFERROR([1]!s_stm07_is_103($A1708,TEXT($B$1,"yyyy/mm/dd"),1),"")</f>
        <v>118807980.95</v>
      </c>
      <c r="G1708">
        <f>IFERROR([1]!s_stm07_is_104($A1708,TEXT($B$1,"yyyy/mm/dd"),1),"")</f>
        <v>9550325.1099999994</v>
      </c>
      <c r="H1708">
        <f>IFERROR([1]!s_stm07_is_105($A1708,TEXT($B$1,"yyyy/mm/dd"),1),"")</f>
        <v>11354747.390000001</v>
      </c>
      <c r="I1708">
        <f>IFERROR([1]!s_stm07_is($A1708,"W72946623",TEXT($B$1,"yyyy/mm/dd"),1),"")</f>
        <v>-160586036.34999999</v>
      </c>
      <c r="J1708">
        <f>IFERROR([1]!s_stm07_is($A1708,"W30028333",TEXT($B$1,"yyyy/mm/dd"),1),"")</f>
        <v>-134359773.22999999</v>
      </c>
      <c r="K1708">
        <f>IFERROR([1]!s_stm07_cs($A1708,"W77130581",TEXT($B$1,"yyyy/mm/dd"),1),"")</f>
        <v>161434602.78</v>
      </c>
      <c r="L1708">
        <f>IFERROR([1]!s_stm07_cs($A1708,"W77745895",TEXT($B$1,"yyyy/mm/dd"),1),"")</f>
        <v>378705031.50999999</v>
      </c>
      <c r="M1708">
        <f>IFERROR([1]!S_FA_EPS_basic2($A1708,$B$1,"Cur=CNY"),"")</f>
        <v>-0.87</v>
      </c>
      <c r="N1708">
        <f>IFERROR([1]!s_fa_arturndays($A1708,TEXT($B$1,"yyyy/mm/dd")),"")</f>
        <v>107.9104</v>
      </c>
      <c r="O1708" t="str">
        <f>IFERROR([1]!fa_apturndays($A1708,TEXT($B$1,"yyyy/mm/dd")),"")</f>
        <v>Fetch...</v>
      </c>
      <c r="P1708">
        <f>IFERROR([1]!s_fa_invturndays($A1708,TEXT($B$1,"yyyy/mm/dd")),"")</f>
        <v>403.04520000000002</v>
      </c>
    </row>
    <row r="1709" spans="1:16">
      <c r="A1709" t="s">
        <v>1722</v>
      </c>
      <c r="B1709">
        <f>IFERROR([1]!s_stm07_is($A1709,"W70156729",TEXT($B$1,"yyyy/mm/dd"),1),"")</f>
        <v>27380358000</v>
      </c>
      <c r="C1709">
        <f>IFERROR([1]!s_stm07_is($A1709,"W75682424",TEXT($B$1,"yyyy/mm/dd"),1),"")</f>
        <v>24724611000</v>
      </c>
      <c r="D1709">
        <f>IFERROR([1]!s_stm07_is($A1709,"W76031679",TEXT($B$1,"yyyy/mm/dd"),1),"")</f>
        <v>691429000</v>
      </c>
      <c r="E1709">
        <f>IFERROR([1]!s_stm07_is($A1709,"W70752487",TEXT($B$1,"yyyy/mm/dd"),1),"")</f>
        <v>694672000</v>
      </c>
      <c r="F1709">
        <f>IFERROR([1]!s_stm07_is_103($A1709,TEXT($B$1,"yyyy/mm/dd"),1),"")</f>
        <v>807031000</v>
      </c>
      <c r="G1709">
        <f>IFERROR([1]!s_stm07_is_104($A1709,TEXT($B$1,"yyyy/mm/dd"),1),"")</f>
        <v>83081000</v>
      </c>
      <c r="H1709">
        <f>IFERROR([1]!s_stm07_is_105($A1709,TEXT($B$1,"yyyy/mm/dd"),1),"")</f>
        <v>188380000</v>
      </c>
      <c r="I1709">
        <f>IFERROR([1]!s_stm07_is($A1709,"W72946623",TEXT($B$1,"yyyy/mm/dd"),1),"")</f>
        <v>787359000</v>
      </c>
      <c r="J1709">
        <f>IFERROR([1]!s_stm07_is($A1709,"W30028333",TEXT($B$1,"yyyy/mm/dd"),1),"")</f>
        <v>712212000</v>
      </c>
      <c r="K1709">
        <f>IFERROR([1]!s_stm07_cs($A1709,"W77130581",TEXT($B$1,"yyyy/mm/dd"),1),"")</f>
        <v>-895531000</v>
      </c>
      <c r="L1709">
        <f>IFERROR([1]!s_stm07_cs($A1709,"W77745895",TEXT($B$1,"yyyy/mm/dd"),1),"")</f>
        <v>1406261000</v>
      </c>
      <c r="M1709">
        <f>IFERROR([1]!S_FA_EPS_basic2($A1709,$B$1,"Cur=CNY"),"")</f>
        <v>0.58750000000000002</v>
      </c>
      <c r="N1709">
        <f>IFERROR([1]!s_fa_arturndays($A1709,TEXT($B$1,"yyyy/mm/dd")),"")</f>
        <v>66.590199999999996</v>
      </c>
      <c r="O1709" t="str">
        <f>IFERROR([1]!fa_apturndays($A1709,TEXT($B$1,"yyyy/mm/dd")),"")</f>
        <v>Fetch...</v>
      </c>
      <c r="P1709">
        <f>IFERROR([1]!s_fa_invturndays($A1709,TEXT($B$1,"yyyy/mm/dd")),"")</f>
        <v>131.57409999999999</v>
      </c>
    </row>
    <row r="1710" spans="1:16">
      <c r="A1710" t="s">
        <v>1723</v>
      </c>
      <c r="B1710">
        <f>IFERROR([1]!s_stm07_is($A1710,"W70156729",TEXT($B$1,"yyyy/mm/dd"),1),"")</f>
        <v>464531979.47000003</v>
      </c>
      <c r="C1710">
        <f>IFERROR([1]!s_stm07_is($A1710,"W75682424",TEXT($B$1,"yyyy/mm/dd"),1),"")</f>
        <v>195221050.33000001</v>
      </c>
      <c r="D1710">
        <f>IFERROR([1]!s_stm07_is($A1710,"W76031679",TEXT($B$1,"yyyy/mm/dd"),1),"")</f>
        <v>133219020.2</v>
      </c>
      <c r="E1710">
        <f>IFERROR([1]!s_stm07_is($A1710,"W70752487",TEXT($B$1,"yyyy/mm/dd"),1),"")</f>
        <v>43276172.530000001</v>
      </c>
      <c r="F1710">
        <f>IFERROR([1]!s_stm07_is_103($A1710,TEXT($B$1,"yyyy/mm/dd"),1),"")</f>
        <v>64081885.07</v>
      </c>
      <c r="G1710">
        <f>IFERROR([1]!s_stm07_is_104($A1710,TEXT($B$1,"yyyy/mm/dd"),1),"")</f>
        <v>300075.96000000002</v>
      </c>
      <c r="H1710">
        <f>IFERROR([1]!s_stm07_is_105($A1710,TEXT($B$1,"yyyy/mm/dd"),1),"")</f>
        <v>4062066.25</v>
      </c>
      <c r="I1710">
        <f>IFERROR([1]!s_stm07_is($A1710,"W72946623",TEXT($B$1,"yyyy/mm/dd"),1),"")</f>
        <v>51342888.549999997</v>
      </c>
      <c r="J1710">
        <f>IFERROR([1]!s_stm07_is($A1710,"W30028333",TEXT($B$1,"yyyy/mm/dd"),1),"")</f>
        <v>51082300.240000002</v>
      </c>
      <c r="K1710">
        <f>IFERROR([1]!s_stm07_cs($A1710,"W77130581",TEXT($B$1,"yyyy/mm/dd"),1),"")</f>
        <v>90897682.439999998</v>
      </c>
      <c r="L1710">
        <f>IFERROR([1]!s_stm07_cs($A1710,"W77745895",TEXT($B$1,"yyyy/mm/dd"),1),"")</f>
        <v>122229828.81999999</v>
      </c>
      <c r="M1710">
        <f>IFERROR([1]!S_FA_EPS_basic2($A1710,$B$1,"Cur=CNY"),"")</f>
        <v>0.1085</v>
      </c>
      <c r="N1710">
        <f>IFERROR([1]!s_fa_arturndays($A1710,TEXT($B$1,"yyyy/mm/dd")),"")</f>
        <v>58.878399999999999</v>
      </c>
      <c r="O1710" t="str">
        <f>IFERROR([1]!fa_apturndays($A1710,TEXT($B$1,"yyyy/mm/dd")),"")</f>
        <v>Fetch...</v>
      </c>
      <c r="P1710">
        <f>IFERROR([1]!s_fa_invturndays($A1710,TEXT($B$1,"yyyy/mm/dd")),"")</f>
        <v>264.8032</v>
      </c>
    </row>
    <row r="1711" spans="1:16">
      <c r="A1711" t="s">
        <v>1724</v>
      </c>
      <c r="B1711">
        <f>IFERROR([1]!s_stm07_is($A1711,"W70156729",TEXT($B$1,"yyyy/mm/dd"),1),"")</f>
        <v>2190261246.4499998</v>
      </c>
      <c r="C1711">
        <f>IFERROR([1]!s_stm07_is($A1711,"W75682424",TEXT($B$1,"yyyy/mm/dd"),1),"")</f>
        <v>1553191383.5599999</v>
      </c>
      <c r="D1711">
        <f>IFERROR([1]!s_stm07_is($A1711,"W76031679",TEXT($B$1,"yyyy/mm/dd"),1),"")</f>
        <v>16422546.369999999</v>
      </c>
      <c r="E1711">
        <f>IFERROR([1]!s_stm07_is($A1711,"W70752487",TEXT($B$1,"yyyy/mm/dd"),1),"")</f>
        <v>115670724.42</v>
      </c>
      <c r="F1711">
        <f>IFERROR([1]!s_stm07_is_103($A1711,TEXT($B$1,"yyyy/mm/dd"),1),"")</f>
        <v>195787691.80000001</v>
      </c>
      <c r="G1711">
        <f>IFERROR([1]!s_stm07_is_104($A1711,TEXT($B$1,"yyyy/mm/dd"),1),"")</f>
        <v>16045105.33</v>
      </c>
      <c r="H1711">
        <f>IFERROR([1]!s_stm07_is_105($A1711,TEXT($B$1,"yyyy/mm/dd"),1),"")</f>
        <v>21245778.219999999</v>
      </c>
      <c r="I1711">
        <f>IFERROR([1]!s_stm07_is($A1711,"W72946623",TEXT($B$1,"yyyy/mm/dd"),1),"")</f>
        <v>300349680.80000001</v>
      </c>
      <c r="J1711">
        <f>IFERROR([1]!s_stm07_is($A1711,"W30028333",TEXT($B$1,"yyyy/mm/dd"),1),"")</f>
        <v>265790812.36000001</v>
      </c>
      <c r="K1711">
        <f>IFERROR([1]!s_stm07_cs($A1711,"W77130581",TEXT($B$1,"yyyy/mm/dd"),1),"")</f>
        <v>611000524.91999996</v>
      </c>
      <c r="L1711">
        <f>IFERROR([1]!s_stm07_cs($A1711,"W77745895",TEXT($B$1,"yyyy/mm/dd"),1),"")</f>
        <v>678105662.99000001</v>
      </c>
      <c r="M1711">
        <f>IFERROR([1]!S_FA_EPS_basic2($A1711,$B$1,"Cur=CNY"),"")</f>
        <v>0.22</v>
      </c>
      <c r="N1711">
        <f>IFERROR([1]!s_fa_arturndays($A1711,TEXT($B$1,"yyyy/mm/dd")),"")</f>
        <v>36.652799999999999</v>
      </c>
      <c r="O1711" t="str">
        <f>IFERROR([1]!fa_apturndays($A1711,TEXT($B$1,"yyyy/mm/dd")),"")</f>
        <v>Fetch...</v>
      </c>
      <c r="P1711">
        <f>IFERROR([1]!s_fa_invturndays($A1711,TEXT($B$1,"yyyy/mm/dd")),"")</f>
        <v>125.1564</v>
      </c>
    </row>
    <row r="1712" spans="1:16">
      <c r="A1712" t="s">
        <v>1725</v>
      </c>
      <c r="B1712">
        <f>IFERROR([1]!s_stm07_is($A1712,"W70156729",TEXT($B$1,"yyyy/mm/dd"),1),"")</f>
        <v>2053298171.74</v>
      </c>
      <c r="C1712">
        <f>IFERROR([1]!s_stm07_is($A1712,"W75682424",TEXT($B$1,"yyyy/mm/dd"),1),"")</f>
        <v>1028143933.5700001</v>
      </c>
      <c r="D1712">
        <f>IFERROR([1]!s_stm07_is($A1712,"W76031679",TEXT($B$1,"yyyy/mm/dd"),1),"")</f>
        <v>151863588.99000001</v>
      </c>
      <c r="E1712">
        <f>IFERROR([1]!s_stm07_is($A1712,"W70752487",TEXT($B$1,"yyyy/mm/dd"),1),"")</f>
        <v>212080553.88999999</v>
      </c>
      <c r="F1712">
        <f>IFERROR([1]!s_stm07_is_103($A1712,TEXT($B$1,"yyyy/mm/dd"),1),"")</f>
        <v>656111506.75999999</v>
      </c>
      <c r="G1712">
        <f>IFERROR([1]!s_stm07_is_104($A1712,TEXT($B$1,"yyyy/mm/dd"),1),"")</f>
        <v>17839100.690000001</v>
      </c>
      <c r="H1712">
        <f>IFERROR([1]!s_stm07_is_105($A1712,TEXT($B$1,"yyyy/mm/dd"),1),"")</f>
        <v>3709011.45</v>
      </c>
      <c r="I1712">
        <f>IFERROR([1]!s_stm07_is($A1712,"W72946623",TEXT($B$1,"yyyy/mm/dd"),1),"")</f>
        <v>44540321.82</v>
      </c>
      <c r="J1712">
        <f>IFERROR([1]!s_stm07_is($A1712,"W30028333",TEXT($B$1,"yyyy/mm/dd"),1),"")</f>
        <v>58652552.170000002</v>
      </c>
      <c r="K1712">
        <f>IFERROR([1]!s_stm07_cs($A1712,"W77130581",TEXT($B$1,"yyyy/mm/dd"),1),"")</f>
        <v>-862171235.17999995</v>
      </c>
      <c r="L1712">
        <f>IFERROR([1]!s_stm07_cs($A1712,"W77745895",TEXT($B$1,"yyyy/mm/dd"),1),"")</f>
        <v>576595671.26999998</v>
      </c>
      <c r="M1712">
        <f>IFERROR([1]!S_FA_EPS_basic2($A1712,$B$1,"Cur=CNY"),"")</f>
        <v>0.18</v>
      </c>
      <c r="N1712">
        <f>IFERROR([1]!s_fa_arturndays($A1712,TEXT($B$1,"yyyy/mm/dd")),"")</f>
        <v>94.791700000000006</v>
      </c>
      <c r="O1712" t="str">
        <f>IFERROR([1]!fa_apturndays($A1712,TEXT($B$1,"yyyy/mm/dd")),"")</f>
        <v>Fetch...</v>
      </c>
      <c r="P1712">
        <f>IFERROR([1]!s_fa_invturndays($A1712,TEXT($B$1,"yyyy/mm/dd")),"")</f>
        <v>787.22940000000006</v>
      </c>
    </row>
    <row r="1713" spans="1:16">
      <c r="A1713" t="s">
        <v>1726</v>
      </c>
      <c r="B1713">
        <f>IFERROR([1]!s_stm07_is($A1713,"W70156729",TEXT($B$1,"yyyy/mm/dd"),1),"")</f>
        <v>4398366248.3199997</v>
      </c>
      <c r="C1713">
        <f>IFERROR([1]!s_stm07_is($A1713,"W75682424",TEXT($B$1,"yyyy/mm/dd"),1),"")</f>
        <v>3666666588.0799999</v>
      </c>
      <c r="D1713">
        <f>IFERROR([1]!s_stm07_is($A1713,"W76031679",TEXT($B$1,"yyyy/mm/dd"),1),"")</f>
        <v>43495563.32</v>
      </c>
      <c r="E1713">
        <f>IFERROR([1]!s_stm07_is($A1713,"W70752487",TEXT($B$1,"yyyy/mm/dd"),1),"")</f>
        <v>273281185.26999998</v>
      </c>
      <c r="F1713">
        <f>IFERROR([1]!s_stm07_is_103($A1713,TEXT($B$1,"yyyy/mm/dd"),1),"")</f>
        <v>291504060</v>
      </c>
      <c r="G1713">
        <f>IFERROR([1]!s_stm07_is_104($A1713,TEXT($B$1,"yyyy/mm/dd"),1),"")</f>
        <v>250679935.50999999</v>
      </c>
      <c r="H1713">
        <f>IFERROR([1]!s_stm07_is_105($A1713,TEXT($B$1,"yyyy/mm/dd"),1),"")</f>
        <v>38120223.210000001</v>
      </c>
      <c r="I1713">
        <f>IFERROR([1]!s_stm07_is($A1713,"W72946623",TEXT($B$1,"yyyy/mm/dd"),1),"")</f>
        <v>35560850.640000001</v>
      </c>
      <c r="J1713">
        <f>IFERROR([1]!s_stm07_is($A1713,"W30028333",TEXT($B$1,"yyyy/mm/dd"),1),"")</f>
        <v>81728642.560000002</v>
      </c>
      <c r="K1713">
        <f>IFERROR([1]!s_stm07_cs($A1713,"W77130581",TEXT($B$1,"yyyy/mm/dd"),1),"")</f>
        <v>1688958317.5899999</v>
      </c>
      <c r="L1713">
        <f>IFERROR([1]!s_stm07_cs($A1713,"W77745895",TEXT($B$1,"yyyy/mm/dd"),1),"")</f>
        <v>2230026657.9000001</v>
      </c>
      <c r="M1713">
        <f>IFERROR([1]!S_FA_EPS_basic2($A1713,$B$1,"Cur=CNY"),"")</f>
        <v>0.2</v>
      </c>
      <c r="N1713">
        <f>IFERROR([1]!s_fa_arturndays($A1713,TEXT($B$1,"yyyy/mm/dd")),"")</f>
        <v>66.295900000000003</v>
      </c>
      <c r="O1713" t="str">
        <f>IFERROR([1]!fa_apturndays($A1713,TEXT($B$1,"yyyy/mm/dd")),"")</f>
        <v>Fetch...</v>
      </c>
      <c r="P1713">
        <f>IFERROR([1]!s_fa_invturndays($A1713,TEXT($B$1,"yyyy/mm/dd")),"")</f>
        <v>43.095700000000001</v>
      </c>
    </row>
    <row r="1714" spans="1:16">
      <c r="A1714" t="s">
        <v>1727</v>
      </c>
      <c r="B1714">
        <f>IFERROR([1]!s_stm07_is($A1714,"W70156729",TEXT($B$1,"yyyy/mm/dd"),1),"")</f>
        <v>4199089274.5500002</v>
      </c>
      <c r="C1714">
        <f>IFERROR([1]!s_stm07_is($A1714,"W75682424",TEXT($B$1,"yyyy/mm/dd"),1),"")</f>
        <v>1245918494.01</v>
      </c>
      <c r="D1714">
        <f>IFERROR([1]!s_stm07_is($A1714,"W76031679",TEXT($B$1,"yyyy/mm/dd"),1),"")</f>
        <v>1514819690.96</v>
      </c>
      <c r="E1714">
        <f>IFERROR([1]!s_stm07_is($A1714,"W70752487",TEXT($B$1,"yyyy/mm/dd"),1),"")</f>
        <v>541749778.09000003</v>
      </c>
      <c r="F1714">
        <f>IFERROR([1]!s_stm07_is_103($A1714,TEXT($B$1,"yyyy/mm/dd"),1),"")</f>
        <v>472143898.88999999</v>
      </c>
      <c r="G1714">
        <f>IFERROR([1]!s_stm07_is_104($A1714,TEXT($B$1,"yyyy/mm/dd"),1),"")</f>
        <v>4146493.55</v>
      </c>
      <c r="H1714">
        <f>IFERROR([1]!s_stm07_is_105($A1714,TEXT($B$1,"yyyy/mm/dd"),1),"")</f>
        <v>7632886.6399999997</v>
      </c>
      <c r="I1714">
        <f>IFERROR([1]!s_stm07_is($A1714,"W72946623",TEXT($B$1,"yyyy/mm/dd"),1),"")</f>
        <v>333802004.81999999</v>
      </c>
      <c r="J1714">
        <f>IFERROR([1]!s_stm07_is($A1714,"W30028333",TEXT($B$1,"yyyy/mm/dd"),1),"")</f>
        <v>292058565.60000002</v>
      </c>
      <c r="K1714">
        <f>IFERROR([1]!s_stm07_cs($A1714,"W77130581",TEXT($B$1,"yyyy/mm/dd"),1),"")</f>
        <v>627449932.32000005</v>
      </c>
      <c r="L1714">
        <f>IFERROR([1]!s_stm07_cs($A1714,"W77745895",TEXT($B$1,"yyyy/mm/dd"),1),"")</f>
        <v>325677846.27999997</v>
      </c>
      <c r="M1714">
        <f>IFERROR([1]!S_FA_EPS_basic2($A1714,$B$1,"Cur=CNY"),"")</f>
        <v>0.61</v>
      </c>
      <c r="N1714">
        <f>IFERROR([1]!s_fa_arturndays($A1714,TEXT($B$1,"yyyy/mm/dd")),"")</f>
        <v>47.467700000000001</v>
      </c>
      <c r="O1714" t="str">
        <f>IFERROR([1]!fa_apturndays($A1714,TEXT($B$1,"yyyy/mm/dd")),"")</f>
        <v>Fetch...</v>
      </c>
      <c r="P1714">
        <f>IFERROR([1]!s_fa_invturndays($A1714,TEXT($B$1,"yyyy/mm/dd")),"")</f>
        <v>321.94600000000003</v>
      </c>
    </row>
    <row r="1715" spans="1:16">
      <c r="A1715" t="s">
        <v>1728</v>
      </c>
      <c r="B1715">
        <f>IFERROR([1]!s_stm07_is($A1715,"W70156729",TEXT($B$1,"yyyy/mm/dd"),1),"")</f>
        <v>1574642416.3900001</v>
      </c>
      <c r="C1715">
        <f>IFERROR([1]!s_stm07_is($A1715,"W75682424",TEXT($B$1,"yyyy/mm/dd"),1),"")</f>
        <v>954739408.41999996</v>
      </c>
      <c r="D1715">
        <f>IFERROR([1]!s_stm07_is($A1715,"W76031679",TEXT($B$1,"yyyy/mm/dd"),1),"")</f>
        <v>42369239.380000003</v>
      </c>
      <c r="E1715">
        <f>IFERROR([1]!s_stm07_is($A1715,"W70752487",TEXT($B$1,"yyyy/mm/dd"),1),"")</f>
        <v>86572925.019999996</v>
      </c>
      <c r="F1715">
        <f>IFERROR([1]!s_stm07_is_103($A1715,TEXT($B$1,"yyyy/mm/dd"),1),"")</f>
        <v>172011033.69</v>
      </c>
      <c r="G1715">
        <f>IFERROR([1]!s_stm07_is_104($A1715,TEXT($B$1,"yyyy/mm/dd"),1),"")</f>
        <v>64265031.600000001</v>
      </c>
      <c r="H1715">
        <f>IFERROR([1]!s_stm07_is_105($A1715,TEXT($B$1,"yyyy/mm/dd"),1),"")</f>
        <v>2359393.27</v>
      </c>
      <c r="I1715">
        <f>IFERROR([1]!s_stm07_is($A1715,"W72946623",TEXT($B$1,"yyyy/mm/dd"),1),"")</f>
        <v>318547098.37</v>
      </c>
      <c r="J1715">
        <f>IFERROR([1]!s_stm07_is($A1715,"W30028333",TEXT($B$1,"yyyy/mm/dd"),1),"")</f>
        <v>303198635.91000003</v>
      </c>
      <c r="K1715">
        <f>IFERROR([1]!s_stm07_cs($A1715,"W77130581",TEXT($B$1,"yyyy/mm/dd"),1),"")</f>
        <v>706080184.32000005</v>
      </c>
      <c r="L1715">
        <f>IFERROR([1]!s_stm07_cs($A1715,"W77745895",TEXT($B$1,"yyyy/mm/dd"),1),"")</f>
        <v>2945981040.5999999</v>
      </c>
      <c r="M1715">
        <f>IFERROR([1]!S_FA_EPS_basic2($A1715,$B$1,"Cur=CNY"),"")</f>
        <v>2.04</v>
      </c>
      <c r="N1715">
        <f>IFERROR([1]!s_fa_arturndays($A1715,TEXT($B$1,"yyyy/mm/dd")),"")</f>
        <v>100.688</v>
      </c>
      <c r="O1715" t="str">
        <f>IFERROR([1]!fa_apturndays($A1715,TEXT($B$1,"yyyy/mm/dd")),"")</f>
        <v>Fetch...</v>
      </c>
      <c r="P1715">
        <f>IFERROR([1]!s_fa_invturndays($A1715,TEXT($B$1,"yyyy/mm/dd")),"")</f>
        <v>5.5063000000000004</v>
      </c>
    </row>
    <row r="1716" spans="1:16">
      <c r="A1716" t="s">
        <v>1729</v>
      </c>
      <c r="B1716">
        <f>IFERROR([1]!s_stm07_is($A1716,"W70156729",TEXT($B$1,"yyyy/mm/dd"),1),"")</f>
        <v>2385999472.8699999</v>
      </c>
      <c r="C1716">
        <f>IFERROR([1]!s_stm07_is($A1716,"W75682424",TEXT($B$1,"yyyy/mm/dd"),1),"")</f>
        <v>1381761190.55</v>
      </c>
      <c r="D1716">
        <f>IFERROR([1]!s_stm07_is($A1716,"W76031679",TEXT($B$1,"yyyy/mm/dd"),1),"")</f>
        <v>14510449.939999999</v>
      </c>
      <c r="E1716">
        <f>IFERROR([1]!s_stm07_is($A1716,"W70752487",TEXT($B$1,"yyyy/mm/dd"),1),"")</f>
        <v>144449990.11000001</v>
      </c>
      <c r="F1716">
        <f>IFERROR([1]!s_stm07_is_103($A1716,TEXT($B$1,"yyyy/mm/dd"),1),"")</f>
        <v>302774884.79000002</v>
      </c>
      <c r="G1716">
        <f>IFERROR([1]!s_stm07_is_104($A1716,TEXT($B$1,"yyyy/mm/dd"),1),"")</f>
        <v>3692321.89</v>
      </c>
      <c r="H1716">
        <f>IFERROR([1]!s_stm07_is_105($A1716,TEXT($B$1,"yyyy/mm/dd"),1),"")</f>
        <v>18605996.539999999</v>
      </c>
      <c r="I1716">
        <f>IFERROR([1]!s_stm07_is($A1716,"W72946623",TEXT($B$1,"yyyy/mm/dd"),1),"")</f>
        <v>540737639.69000006</v>
      </c>
      <c r="J1716">
        <f>IFERROR([1]!s_stm07_is($A1716,"W30028333",TEXT($B$1,"yyyy/mm/dd"),1),"")</f>
        <v>507526326.11000001</v>
      </c>
      <c r="K1716">
        <f>IFERROR([1]!s_stm07_cs($A1716,"W77130581",TEXT($B$1,"yyyy/mm/dd"),1),"")</f>
        <v>888971079.28999996</v>
      </c>
      <c r="L1716">
        <f>IFERROR([1]!s_stm07_cs($A1716,"W77745895",TEXT($B$1,"yyyy/mm/dd"),1),"")</f>
        <v>374143813.58999997</v>
      </c>
      <c r="M1716">
        <f>IFERROR([1]!S_FA_EPS_basic2($A1716,$B$1,"Cur=CNY"),"")</f>
        <v>0.85</v>
      </c>
      <c r="N1716">
        <f>IFERROR([1]!s_fa_arturndays($A1716,TEXT($B$1,"yyyy/mm/dd")),"")</f>
        <v>401.06950000000001</v>
      </c>
      <c r="O1716" t="str">
        <f>IFERROR([1]!fa_apturndays($A1716,TEXT($B$1,"yyyy/mm/dd")),"")</f>
        <v>Fetch...</v>
      </c>
      <c r="P1716">
        <f>IFERROR([1]!s_fa_invturndays($A1716,TEXT($B$1,"yyyy/mm/dd")),"")</f>
        <v>87.1143</v>
      </c>
    </row>
    <row r="1717" spans="1:16">
      <c r="A1717" t="s">
        <v>1730</v>
      </c>
      <c r="B1717">
        <f>IFERROR([1]!s_stm07_is($A1717,"W70156729",TEXT($B$1,"yyyy/mm/dd"),1),"")</f>
        <v>1122150053.8599999</v>
      </c>
      <c r="C1717">
        <f>IFERROR([1]!s_stm07_is($A1717,"W75682424",TEXT($B$1,"yyyy/mm/dd"),1),"")</f>
        <v>737457524.14999998</v>
      </c>
      <c r="D1717">
        <f>IFERROR([1]!s_stm07_is($A1717,"W76031679",TEXT($B$1,"yyyy/mm/dd"),1),"")</f>
        <v>23806607.350000001</v>
      </c>
      <c r="E1717">
        <f>IFERROR([1]!s_stm07_is($A1717,"W70752487",TEXT($B$1,"yyyy/mm/dd"),1),"")</f>
        <v>54234901.090000004</v>
      </c>
      <c r="F1717">
        <f>IFERROR([1]!s_stm07_is_103($A1717,TEXT($B$1,"yyyy/mm/dd"),1),"")</f>
        <v>124178082.44</v>
      </c>
      <c r="G1717">
        <f>IFERROR([1]!s_stm07_is_104($A1717,TEXT($B$1,"yyyy/mm/dd"),1),"")</f>
        <v>2059326.89</v>
      </c>
      <c r="H1717">
        <f>IFERROR([1]!s_stm07_is_105($A1717,TEXT($B$1,"yyyy/mm/dd"),1),"")</f>
        <v>1278555.8500000001</v>
      </c>
      <c r="I1717">
        <f>IFERROR([1]!s_stm07_is($A1717,"W72946623",TEXT($B$1,"yyyy/mm/dd"),1),"")</f>
        <v>305029744.5</v>
      </c>
      <c r="J1717">
        <f>IFERROR([1]!s_stm07_is($A1717,"W30028333",TEXT($B$1,"yyyy/mm/dd"),1),"")</f>
        <v>284181478.86000001</v>
      </c>
      <c r="K1717">
        <f>IFERROR([1]!s_stm07_cs($A1717,"W77130581",TEXT($B$1,"yyyy/mm/dd"),1),"")</f>
        <v>260477632.74000001</v>
      </c>
      <c r="L1717">
        <f>IFERROR([1]!s_stm07_cs($A1717,"W77745895",TEXT($B$1,"yyyy/mm/dd"),1),"")</f>
        <v>123394877.54000001</v>
      </c>
      <c r="M1717">
        <f>IFERROR([1]!S_FA_EPS_basic2($A1717,$B$1,"Cur=CNY"),"")</f>
        <v>0.71</v>
      </c>
      <c r="N1717">
        <f>IFERROR([1]!s_fa_arturndays($A1717,TEXT($B$1,"yyyy/mm/dd")),"")</f>
        <v>60.689799999999998</v>
      </c>
      <c r="O1717" t="str">
        <f>IFERROR([1]!fa_apturndays($A1717,TEXT($B$1,"yyyy/mm/dd")),"")</f>
        <v>Fetch...</v>
      </c>
      <c r="P1717">
        <f>IFERROR([1]!s_fa_invturndays($A1717,TEXT($B$1,"yyyy/mm/dd")),"")</f>
        <v>175.35310000000001</v>
      </c>
    </row>
    <row r="1718" spans="1:16">
      <c r="A1718" t="s">
        <v>1731</v>
      </c>
      <c r="B1718">
        <f>IFERROR([1]!s_stm07_is($A1718,"W70156729",TEXT($B$1,"yyyy/mm/dd"),1),"")</f>
        <v>37289660.960000001</v>
      </c>
      <c r="C1718">
        <f>IFERROR([1]!s_stm07_is($A1718,"W75682424",TEXT($B$1,"yyyy/mm/dd"),1),"")</f>
        <v>5018016.83</v>
      </c>
      <c r="D1718">
        <f>IFERROR([1]!s_stm07_is($A1718,"W76031679",TEXT($B$1,"yyyy/mm/dd"),1),"")</f>
        <v>0</v>
      </c>
      <c r="E1718">
        <f>IFERROR([1]!s_stm07_is($A1718,"W70752487",TEXT($B$1,"yyyy/mm/dd"),1),"")</f>
        <v>45256666.539999999</v>
      </c>
      <c r="F1718">
        <f>IFERROR([1]!s_stm07_is_103($A1718,TEXT($B$1,"yyyy/mm/dd"),1),"")</f>
        <v>325792456.14999998</v>
      </c>
      <c r="G1718">
        <f>IFERROR([1]!s_stm07_is_104($A1718,TEXT($B$1,"yyyy/mm/dd"),1),"")</f>
        <v>835121.69</v>
      </c>
      <c r="H1718">
        <f>IFERROR([1]!s_stm07_is_105($A1718,TEXT($B$1,"yyyy/mm/dd"),1),"")</f>
        <v>24985601.940000001</v>
      </c>
      <c r="I1718">
        <f>IFERROR([1]!s_stm07_is($A1718,"W72946623",TEXT($B$1,"yyyy/mm/dd"),1),"")</f>
        <v>-316626274.68000001</v>
      </c>
      <c r="J1718">
        <f>IFERROR([1]!s_stm07_is($A1718,"W30028333",TEXT($B$1,"yyyy/mm/dd"),1),"")</f>
        <v>-316865800.68000001</v>
      </c>
      <c r="K1718">
        <f>IFERROR([1]!s_stm07_cs($A1718,"W77130581",TEXT($B$1,"yyyy/mm/dd"),1),"")</f>
        <v>-155444824.97999999</v>
      </c>
      <c r="L1718">
        <f>IFERROR([1]!s_stm07_cs($A1718,"W77745895",TEXT($B$1,"yyyy/mm/dd"),1),"")</f>
        <v>6916564.9199999999</v>
      </c>
      <c r="M1718">
        <f>IFERROR([1]!S_FA_EPS_basic2($A1718,$B$1,"Cur=CNY"),"")</f>
        <v>-0.54790000000000005</v>
      </c>
      <c r="N1718">
        <f>IFERROR([1]!s_fa_arturndays($A1718,TEXT($B$1,"yyyy/mm/dd")),"")</f>
        <v>1206.8388</v>
      </c>
      <c r="O1718" t="str">
        <f>IFERROR([1]!fa_apturndays($A1718,TEXT($B$1,"yyyy/mm/dd")),"")</f>
        <v>Fetch...</v>
      </c>
      <c r="P1718">
        <f>IFERROR([1]!s_fa_invturndays($A1718,TEXT($B$1,"yyyy/mm/dd")),"")</f>
        <v>0</v>
      </c>
    </row>
    <row r="1719" spans="1:16">
      <c r="A1719" t="s">
        <v>1732</v>
      </c>
      <c r="B1719">
        <f>IFERROR([1]!s_stm07_is($A1719,"W70156729",TEXT($B$1,"yyyy/mm/dd"),1),"")</f>
        <v>3982261101.52</v>
      </c>
      <c r="C1719">
        <f>IFERROR([1]!s_stm07_is($A1719,"W75682424",TEXT($B$1,"yyyy/mm/dd"),1),"")</f>
        <v>1744807063.3</v>
      </c>
      <c r="D1719">
        <f>IFERROR([1]!s_stm07_is($A1719,"W76031679",TEXT($B$1,"yyyy/mm/dd"),1),"")</f>
        <v>238793628.27000001</v>
      </c>
      <c r="E1719">
        <f>IFERROR([1]!s_stm07_is($A1719,"W70752487",TEXT($B$1,"yyyy/mm/dd"),1),"")</f>
        <v>184127203.13999999</v>
      </c>
      <c r="F1719">
        <f>IFERROR([1]!s_stm07_is_103($A1719,TEXT($B$1,"yyyy/mm/dd"),1),"")</f>
        <v>1222742123.48</v>
      </c>
      <c r="G1719">
        <f>IFERROR([1]!s_stm07_is_104($A1719,TEXT($B$1,"yyyy/mm/dd"),1),"")</f>
        <v>38076618.07</v>
      </c>
      <c r="H1719">
        <f>IFERROR([1]!s_stm07_is_105($A1719,TEXT($B$1,"yyyy/mm/dd"),1),"")</f>
        <v>16073359.98</v>
      </c>
      <c r="I1719">
        <f>IFERROR([1]!s_stm07_is($A1719,"W72946623",TEXT($B$1,"yyyy/mm/dd"),1),"")</f>
        <v>202347222.28999999</v>
      </c>
      <c r="J1719">
        <f>IFERROR([1]!s_stm07_is($A1719,"W30028333",TEXT($B$1,"yyyy/mm/dd"),1),"")</f>
        <v>232337565.03999999</v>
      </c>
      <c r="K1719">
        <f>IFERROR([1]!s_stm07_cs($A1719,"W77130581",TEXT($B$1,"yyyy/mm/dd"),1),"")</f>
        <v>784163172.21000004</v>
      </c>
      <c r="L1719">
        <f>IFERROR([1]!s_stm07_cs($A1719,"W77745895",TEXT($B$1,"yyyy/mm/dd"),1),"")</f>
        <v>265440363.22999999</v>
      </c>
      <c r="M1719">
        <f>IFERROR([1]!S_FA_EPS_basic2($A1719,$B$1,"Cur=CNY"),"")</f>
        <v>0.28000000000000003</v>
      </c>
      <c r="N1719">
        <f>IFERROR([1]!s_fa_arturndays($A1719,TEXT($B$1,"yyyy/mm/dd")),"")</f>
        <v>152.3552</v>
      </c>
      <c r="O1719" t="str">
        <f>IFERROR([1]!fa_apturndays($A1719,TEXT($B$1,"yyyy/mm/dd")),"")</f>
        <v>Fetch...</v>
      </c>
      <c r="P1719">
        <f>IFERROR([1]!s_fa_invturndays($A1719,TEXT($B$1,"yyyy/mm/dd")),"")</f>
        <v>595.3365</v>
      </c>
    </row>
    <row r="1720" spans="1:16">
      <c r="A1720" t="s">
        <v>1733</v>
      </c>
      <c r="B1720">
        <f>IFERROR([1]!s_stm07_is($A1720,"W70156729",TEXT($B$1,"yyyy/mm/dd"),1),"")</f>
        <v>6145069282.3699999</v>
      </c>
      <c r="C1720">
        <f>IFERROR([1]!s_stm07_is($A1720,"W75682424",TEXT($B$1,"yyyy/mm/dd"),1),"")</f>
        <v>4726505952.0799999</v>
      </c>
      <c r="D1720">
        <f>IFERROR([1]!s_stm07_is($A1720,"W76031679",TEXT($B$1,"yyyy/mm/dd"),1),"")</f>
        <v>306769742.41000003</v>
      </c>
      <c r="E1720">
        <f>IFERROR([1]!s_stm07_is($A1720,"W70752487",TEXT($B$1,"yyyy/mm/dd"),1),"")</f>
        <v>178607060.66</v>
      </c>
      <c r="F1720">
        <f>IFERROR([1]!s_stm07_is_103($A1720,TEXT($B$1,"yyyy/mm/dd"),1),"")</f>
        <v>1125244391.45</v>
      </c>
      <c r="G1720">
        <f>IFERROR([1]!s_stm07_is_104($A1720,TEXT($B$1,"yyyy/mm/dd"),1),"")</f>
        <v>21875031.030000001</v>
      </c>
      <c r="H1720">
        <f>IFERROR([1]!s_stm07_is_105($A1720,TEXT($B$1,"yyyy/mm/dd"),1),"")</f>
        <v>37752620.960000001</v>
      </c>
      <c r="I1720">
        <f>IFERROR([1]!s_stm07_is($A1720,"W72946623",TEXT($B$1,"yyyy/mm/dd"),1),"")</f>
        <v>-210961714.31</v>
      </c>
      <c r="J1720">
        <f>IFERROR([1]!s_stm07_is($A1720,"W30028333",TEXT($B$1,"yyyy/mm/dd"),1),"")</f>
        <v>-269549462.20999998</v>
      </c>
      <c r="K1720">
        <f>IFERROR([1]!s_stm07_cs($A1720,"W77130581",TEXT($B$1,"yyyy/mm/dd"),1),"")</f>
        <v>598421801.04999995</v>
      </c>
      <c r="L1720">
        <f>IFERROR([1]!s_stm07_cs($A1720,"W77745895",TEXT($B$1,"yyyy/mm/dd"),1),"")</f>
        <v>408546622.70999998</v>
      </c>
      <c r="M1720">
        <f>IFERROR([1]!S_FA_EPS_basic2($A1720,$B$1,"Cur=CNY"),"")</f>
        <v>-0.08</v>
      </c>
      <c r="N1720">
        <f>IFERROR([1]!s_fa_arturndays($A1720,TEXT($B$1,"yyyy/mm/dd")),"")</f>
        <v>307.29829999999998</v>
      </c>
      <c r="O1720" t="str">
        <f>IFERROR([1]!fa_apturndays($A1720,TEXT($B$1,"yyyy/mm/dd")),"")</f>
        <v>Fetch...</v>
      </c>
      <c r="P1720">
        <f>IFERROR([1]!s_fa_invturndays($A1720,TEXT($B$1,"yyyy/mm/dd")),"")</f>
        <v>114.9058</v>
      </c>
    </row>
    <row r="1721" spans="1:16">
      <c r="A1721" t="s">
        <v>1734</v>
      </c>
      <c r="B1721">
        <f>IFERROR([1]!s_stm07_is($A1721,"W70156729",TEXT($B$1,"yyyy/mm/dd"),1),"")</f>
        <v>8889189182.2099991</v>
      </c>
      <c r="C1721">
        <f>IFERROR([1]!s_stm07_is($A1721,"W75682424",TEXT($B$1,"yyyy/mm/dd"),1),"")</f>
        <v>6976813725.5799999</v>
      </c>
      <c r="D1721">
        <f>IFERROR([1]!s_stm07_is($A1721,"W76031679",TEXT($B$1,"yyyy/mm/dd"),1),"")</f>
        <v>695496655.37</v>
      </c>
      <c r="E1721">
        <f>IFERROR([1]!s_stm07_is($A1721,"W70752487",TEXT($B$1,"yyyy/mm/dd"),1),"")</f>
        <v>372886243.88999999</v>
      </c>
      <c r="F1721">
        <f>IFERROR([1]!s_stm07_is_103($A1721,TEXT($B$1,"yyyy/mm/dd"),1),"")</f>
        <v>613698670.79999995</v>
      </c>
      <c r="G1721">
        <f>IFERROR([1]!s_stm07_is_104($A1721,TEXT($B$1,"yyyy/mm/dd"),1),"")</f>
        <v>41163755.280000001</v>
      </c>
      <c r="H1721">
        <f>IFERROR([1]!s_stm07_is_105($A1721,TEXT($B$1,"yyyy/mm/dd"),1),"")</f>
        <v>9293568.8499999996</v>
      </c>
      <c r="I1721">
        <f>IFERROR([1]!s_stm07_is($A1721,"W72946623",TEXT($B$1,"yyyy/mm/dd"),1),"")</f>
        <v>104680643.93000001</v>
      </c>
      <c r="J1721">
        <f>IFERROR([1]!s_stm07_is($A1721,"W30028333",TEXT($B$1,"yyyy/mm/dd"),1),"")</f>
        <v>134913396.53</v>
      </c>
      <c r="K1721">
        <f>IFERROR([1]!s_stm07_cs($A1721,"W77130581",TEXT($B$1,"yyyy/mm/dd"),1),"")</f>
        <v>644644798.51999998</v>
      </c>
      <c r="L1721">
        <f>IFERROR([1]!s_stm07_cs($A1721,"W77745895",TEXT($B$1,"yyyy/mm/dd"),1),"")</f>
        <v>126254855.51000001</v>
      </c>
      <c r="M1721">
        <f>IFERROR([1]!S_FA_EPS_basic2($A1721,$B$1,"Cur=CNY"),"")</f>
        <v>0.56000000000000005</v>
      </c>
      <c r="N1721">
        <f>IFERROR([1]!s_fa_arturndays($A1721,TEXT($B$1,"yyyy/mm/dd")),"")</f>
        <v>57.017099999999999</v>
      </c>
      <c r="O1721" t="str">
        <f>IFERROR([1]!fa_apturndays($A1721,TEXT($B$1,"yyyy/mm/dd")),"")</f>
        <v>Fetch...</v>
      </c>
      <c r="P1721">
        <f>IFERROR([1]!s_fa_invturndays($A1721,TEXT($B$1,"yyyy/mm/dd")),"")</f>
        <v>136.69499999999999</v>
      </c>
    </row>
    <row r="1722" spans="1:16">
      <c r="A1722" t="s">
        <v>1735</v>
      </c>
      <c r="B1722">
        <f>IFERROR([1]!s_stm07_is($A1722,"W70156729",TEXT($B$1,"yyyy/mm/dd"),1),"")</f>
        <v>11053792007.48</v>
      </c>
      <c r="C1722">
        <f>IFERROR([1]!s_stm07_is($A1722,"W75682424",TEXT($B$1,"yyyy/mm/dd"),1),"")</f>
        <v>8137474951.5699997</v>
      </c>
      <c r="D1722">
        <f>IFERROR([1]!s_stm07_is($A1722,"W76031679",TEXT($B$1,"yyyy/mm/dd"),1),"")</f>
        <v>176135806.28</v>
      </c>
      <c r="E1722">
        <f>IFERROR([1]!s_stm07_is($A1722,"W70752487",TEXT($B$1,"yyyy/mm/dd"),1),"")</f>
        <v>571364811.52999997</v>
      </c>
      <c r="F1722">
        <f>IFERROR([1]!s_stm07_is_103($A1722,TEXT($B$1,"yyyy/mm/dd"),1),"")</f>
        <v>1168441292.49</v>
      </c>
      <c r="G1722">
        <f>IFERROR([1]!s_stm07_is_104($A1722,TEXT($B$1,"yyyy/mm/dd"),1),"")</f>
        <v>9079111.3900000006</v>
      </c>
      <c r="H1722">
        <f>IFERROR([1]!s_stm07_is_105($A1722,TEXT($B$1,"yyyy/mm/dd"),1),"")</f>
        <v>192526468.59</v>
      </c>
      <c r="I1722">
        <f>IFERROR([1]!s_stm07_is($A1722,"W72946623",TEXT($B$1,"yyyy/mm/dd"),1),"")</f>
        <v>722393334.60000002</v>
      </c>
      <c r="J1722">
        <f>IFERROR([1]!s_stm07_is($A1722,"W30028333",TEXT($B$1,"yyyy/mm/dd"),1),"")</f>
        <v>660543164.51999998</v>
      </c>
      <c r="K1722">
        <f>IFERROR([1]!s_stm07_cs($A1722,"W77130581",TEXT($B$1,"yyyy/mm/dd"),1),"")</f>
        <v>2084735426.01</v>
      </c>
      <c r="L1722">
        <f>IFERROR([1]!s_stm07_cs($A1722,"W77745895",TEXT($B$1,"yyyy/mm/dd"),1),"")</f>
        <v>1508044279.5699999</v>
      </c>
      <c r="M1722">
        <f>IFERROR([1]!S_FA_EPS_basic2($A1722,$B$1,"Cur=CNY"),"")</f>
        <v>0.49790000000000001</v>
      </c>
      <c r="N1722">
        <f>IFERROR([1]!s_fa_arturndays($A1722,TEXT($B$1,"yyyy/mm/dd")),"")</f>
        <v>53.709699999999998</v>
      </c>
      <c r="O1722" t="str">
        <f>IFERROR([1]!fa_apturndays($A1722,TEXT($B$1,"yyyy/mm/dd")),"")</f>
        <v>Fetch...</v>
      </c>
      <c r="P1722">
        <f>IFERROR([1]!s_fa_invturndays($A1722,TEXT($B$1,"yyyy/mm/dd")),"")</f>
        <v>96.792400000000001</v>
      </c>
    </row>
    <row r="1723" spans="1:16">
      <c r="A1723" t="s">
        <v>1736</v>
      </c>
      <c r="B1723">
        <f>IFERROR([1]!s_stm07_is($A1723,"W70156729",TEXT($B$1,"yyyy/mm/dd"),1),"")</f>
        <v>2911672425.4299998</v>
      </c>
      <c r="C1723">
        <f>IFERROR([1]!s_stm07_is($A1723,"W75682424",TEXT($B$1,"yyyy/mm/dd"),1),"")</f>
        <v>1898795259.1700001</v>
      </c>
      <c r="D1723">
        <f>IFERROR([1]!s_stm07_is($A1723,"W76031679",TEXT($B$1,"yyyy/mm/dd"),1),"")</f>
        <v>283770830.41000003</v>
      </c>
      <c r="E1723">
        <f>IFERROR([1]!s_stm07_is($A1723,"W70752487",TEXT($B$1,"yyyy/mm/dd"),1),"")</f>
        <v>224637103.93000001</v>
      </c>
      <c r="F1723">
        <f>IFERROR([1]!s_stm07_is_103($A1723,TEXT($B$1,"yyyy/mm/dd"),1),"")</f>
        <v>484150018.80000001</v>
      </c>
      <c r="G1723">
        <f>IFERROR([1]!s_stm07_is_104($A1723,TEXT($B$1,"yyyy/mm/dd"),1),"")</f>
        <v>22273474.460000001</v>
      </c>
      <c r="H1723">
        <f>IFERROR([1]!s_stm07_is_105($A1723,TEXT($B$1,"yyyy/mm/dd"),1),"")</f>
        <v>28786048.280000001</v>
      </c>
      <c r="I1723">
        <f>IFERROR([1]!s_stm07_is($A1723,"W72946623",TEXT($B$1,"yyyy/mm/dd"),1),"")</f>
        <v>143134647.06999999</v>
      </c>
      <c r="J1723">
        <f>IFERROR([1]!s_stm07_is($A1723,"W30028333",TEXT($B$1,"yyyy/mm/dd"),1),"")</f>
        <v>161351703.22999999</v>
      </c>
      <c r="K1723">
        <f>IFERROR([1]!s_stm07_cs($A1723,"W77130581",TEXT($B$1,"yyyy/mm/dd"),1),"")</f>
        <v>146760132.56</v>
      </c>
      <c r="L1723">
        <f>IFERROR([1]!s_stm07_cs($A1723,"W77745895",TEXT($B$1,"yyyy/mm/dd"),1),"")</f>
        <v>95664660.420000002</v>
      </c>
      <c r="M1723">
        <f>IFERROR([1]!S_FA_EPS_basic2($A1723,$B$1,"Cur=CNY"),"")</f>
        <v>0.35</v>
      </c>
      <c r="N1723">
        <f>IFERROR([1]!s_fa_arturndays($A1723,TEXT($B$1,"yyyy/mm/dd")),"")</f>
        <v>138.54150000000001</v>
      </c>
      <c r="O1723" t="str">
        <f>IFERROR([1]!fa_apturndays($A1723,TEXT($B$1,"yyyy/mm/dd")),"")</f>
        <v>Fetch...</v>
      </c>
      <c r="P1723">
        <f>IFERROR([1]!s_fa_invturndays($A1723,TEXT($B$1,"yyyy/mm/dd")),"")</f>
        <v>82.477999999999994</v>
      </c>
    </row>
    <row r="1724" spans="1:16">
      <c r="A1724" t="s">
        <v>1737</v>
      </c>
      <c r="B1724">
        <f>IFERROR([1]!s_stm07_is($A1724,"W70156729",TEXT($B$1,"yyyy/mm/dd"),1),"")</f>
        <v>1783135467.97</v>
      </c>
      <c r="C1724">
        <f>IFERROR([1]!s_stm07_is($A1724,"W75682424",TEXT($B$1,"yyyy/mm/dd"),1),"")</f>
        <v>1395393914.51</v>
      </c>
      <c r="D1724">
        <f>IFERROR([1]!s_stm07_is($A1724,"W76031679",TEXT($B$1,"yyyy/mm/dd"),1),"")</f>
        <v>12348160.24</v>
      </c>
      <c r="E1724">
        <f>IFERROR([1]!s_stm07_is($A1724,"W70752487",TEXT($B$1,"yyyy/mm/dd"),1),"")</f>
        <v>75981415.170000002</v>
      </c>
      <c r="F1724">
        <f>IFERROR([1]!s_stm07_is_103($A1724,TEXT($B$1,"yyyy/mm/dd"),1),"")</f>
        <v>117688166.95</v>
      </c>
      <c r="G1724">
        <f>IFERROR([1]!s_stm07_is_104($A1724,TEXT($B$1,"yyyy/mm/dd"),1),"")</f>
        <v>37133921.640000001</v>
      </c>
      <c r="H1724">
        <f>IFERROR([1]!s_stm07_is_105($A1724,TEXT($B$1,"yyyy/mm/dd"),1),"")</f>
        <v>2796207.76</v>
      </c>
      <c r="I1724">
        <f>IFERROR([1]!s_stm07_is($A1724,"W72946623",TEXT($B$1,"yyyy/mm/dd"),1),"")</f>
        <v>159014574.99000001</v>
      </c>
      <c r="J1724">
        <f>IFERROR([1]!s_stm07_is($A1724,"W30028333",TEXT($B$1,"yyyy/mm/dd"),1),"")</f>
        <v>154730588.81</v>
      </c>
      <c r="K1724">
        <f>IFERROR([1]!s_stm07_cs($A1724,"W77130581",TEXT($B$1,"yyyy/mm/dd"),1),"")</f>
        <v>692458788.25999999</v>
      </c>
      <c r="L1724">
        <f>IFERROR([1]!s_stm07_cs($A1724,"W77745895",TEXT($B$1,"yyyy/mm/dd"),1),"")</f>
        <v>459814645.64999998</v>
      </c>
      <c r="M1724">
        <f>IFERROR([1]!S_FA_EPS_basic2($A1724,$B$1,"Cur=CNY"),"")</f>
        <v>0.19</v>
      </c>
      <c r="N1724">
        <f>IFERROR([1]!s_fa_arturndays($A1724,TEXT($B$1,"yyyy/mm/dd")),"")</f>
        <v>63.964700000000001</v>
      </c>
      <c r="O1724" t="str">
        <f>IFERROR([1]!fa_apturndays($A1724,TEXT($B$1,"yyyy/mm/dd")),"")</f>
        <v>Fetch...</v>
      </c>
      <c r="P1724">
        <f>IFERROR([1]!s_fa_invturndays($A1724,TEXT($B$1,"yyyy/mm/dd")),"")</f>
        <v>76.381200000000007</v>
      </c>
    </row>
    <row r="1725" spans="1:16">
      <c r="A1725" t="s">
        <v>1738</v>
      </c>
      <c r="B1725">
        <f>IFERROR([1]!s_stm07_is($A1725,"W70156729",TEXT($B$1,"yyyy/mm/dd"),1),"")</f>
        <v>6884708007.9899998</v>
      </c>
      <c r="C1725">
        <f>IFERROR([1]!s_stm07_is($A1725,"W75682424",TEXT($B$1,"yyyy/mm/dd"),1),"")</f>
        <v>5706441337.9799995</v>
      </c>
      <c r="D1725">
        <f>IFERROR([1]!s_stm07_is($A1725,"W76031679",TEXT($B$1,"yyyy/mm/dd"),1),"")</f>
        <v>242507873.97</v>
      </c>
      <c r="E1725">
        <f>IFERROR([1]!s_stm07_is($A1725,"W70752487",TEXT($B$1,"yyyy/mm/dd"),1),"")</f>
        <v>389191180.01999998</v>
      </c>
      <c r="F1725">
        <f>IFERROR([1]!s_stm07_is_103($A1725,TEXT($B$1,"yyyy/mm/dd"),1),"")</f>
        <v>160946614.46000001</v>
      </c>
      <c r="G1725">
        <f>IFERROR([1]!s_stm07_is_104($A1725,TEXT($B$1,"yyyy/mm/dd"),1),"")</f>
        <v>57118441.640000001</v>
      </c>
      <c r="H1725">
        <f>IFERROR([1]!s_stm07_is_105($A1725,TEXT($B$1,"yyyy/mm/dd"),1),"")</f>
        <v>15626638.32</v>
      </c>
      <c r="I1725">
        <f>IFERROR([1]!s_stm07_is($A1725,"W72946623",TEXT($B$1,"yyyy/mm/dd"),1),"")</f>
        <v>38596778.469999999</v>
      </c>
      <c r="J1725">
        <f>IFERROR([1]!s_stm07_is($A1725,"W30028333",TEXT($B$1,"yyyy/mm/dd"),1),"")</f>
        <v>-10102644.210000001</v>
      </c>
      <c r="K1725">
        <f>IFERROR([1]!s_stm07_cs($A1725,"W77130581",TEXT($B$1,"yyyy/mm/dd"),1),"")</f>
        <v>-1133686404.96</v>
      </c>
      <c r="L1725">
        <f>IFERROR([1]!s_stm07_cs($A1725,"W77745895",TEXT($B$1,"yyyy/mm/dd"),1),"")</f>
        <v>443565274.19</v>
      </c>
      <c r="M1725">
        <f>IFERROR([1]!S_FA_EPS_basic2($A1725,$B$1,"Cur=CNY"),"")</f>
        <v>-0.05</v>
      </c>
      <c r="N1725">
        <f>IFERROR([1]!s_fa_arturndays($A1725,TEXT($B$1,"yyyy/mm/dd")),"")</f>
        <v>90.347800000000007</v>
      </c>
      <c r="O1725" t="str">
        <f>IFERROR([1]!fa_apturndays($A1725,TEXT($B$1,"yyyy/mm/dd")),"")</f>
        <v>Fetch...</v>
      </c>
      <c r="P1725">
        <f>IFERROR([1]!s_fa_invturndays($A1725,TEXT($B$1,"yyyy/mm/dd")),"")</f>
        <v>159.18639999999999</v>
      </c>
    </row>
    <row r="1726" spans="1:16">
      <c r="A1726" t="s">
        <v>1739</v>
      </c>
      <c r="B1726">
        <f>IFERROR([1]!s_stm07_is($A1726,"W70156729",TEXT($B$1,"yyyy/mm/dd"),1),"")</f>
        <v>3543436313.1599998</v>
      </c>
      <c r="C1726">
        <f>IFERROR([1]!s_stm07_is($A1726,"W75682424",TEXT($B$1,"yyyy/mm/dd"),1),"")</f>
        <v>2755688525.8400002</v>
      </c>
      <c r="D1726">
        <f>IFERROR([1]!s_stm07_is($A1726,"W76031679",TEXT($B$1,"yyyy/mm/dd"),1),"")</f>
        <v>83787827.390000001</v>
      </c>
      <c r="E1726">
        <f>IFERROR([1]!s_stm07_is($A1726,"W70752487",TEXT($B$1,"yyyy/mm/dd"),1),"")</f>
        <v>374461545.47000003</v>
      </c>
      <c r="F1726">
        <f>IFERROR([1]!s_stm07_is_103($A1726,TEXT($B$1,"yyyy/mm/dd"),1),"")</f>
        <v>273499349.38999999</v>
      </c>
      <c r="G1726">
        <f>IFERROR([1]!s_stm07_is_104($A1726,TEXT($B$1,"yyyy/mm/dd"),1),"")</f>
        <v>56746696.350000001</v>
      </c>
      <c r="H1726">
        <f>IFERROR([1]!s_stm07_is_105($A1726,TEXT($B$1,"yyyy/mm/dd"),1),"")</f>
        <v>18151384.289999999</v>
      </c>
      <c r="I1726">
        <f>IFERROR([1]!s_stm07_is($A1726,"W72946623",TEXT($B$1,"yyyy/mm/dd"),1),"")</f>
        <v>27291163.98</v>
      </c>
      <c r="J1726">
        <f>IFERROR([1]!s_stm07_is($A1726,"W30028333",TEXT($B$1,"yyyy/mm/dd"),1),"")</f>
        <v>-8611495.0899999999</v>
      </c>
      <c r="K1726">
        <f>IFERROR([1]!s_stm07_cs($A1726,"W77130581",TEXT($B$1,"yyyy/mm/dd"),1),"")</f>
        <v>386790118.51999998</v>
      </c>
      <c r="L1726">
        <f>IFERROR([1]!s_stm07_cs($A1726,"W77745895",TEXT($B$1,"yyyy/mm/dd"),1),"")</f>
        <v>827729977.86000001</v>
      </c>
      <c r="M1726">
        <f>IFERROR([1]!S_FA_EPS_basic2($A1726,$B$1,"Cur=CNY"),"")</f>
        <v>-0.03</v>
      </c>
      <c r="N1726">
        <f>IFERROR([1]!s_fa_arturndays($A1726,TEXT($B$1,"yyyy/mm/dd")),"")</f>
        <v>129.42660000000001</v>
      </c>
      <c r="O1726" t="str">
        <f>IFERROR([1]!fa_apturndays($A1726,TEXT($B$1,"yyyy/mm/dd")),"")</f>
        <v>Fetch...</v>
      </c>
      <c r="P1726">
        <f>IFERROR([1]!s_fa_invturndays($A1726,TEXT($B$1,"yyyy/mm/dd")),"")</f>
        <v>127.4066</v>
      </c>
    </row>
    <row r="1727" spans="1:16">
      <c r="A1727" t="s">
        <v>1740</v>
      </c>
      <c r="B1727">
        <f>IFERROR([1]!s_stm07_is($A1727,"W70156729",TEXT($B$1,"yyyy/mm/dd"),1),"")</f>
        <v>10045298702.639999</v>
      </c>
      <c r="C1727">
        <f>IFERROR([1]!s_stm07_is($A1727,"W75682424",TEXT($B$1,"yyyy/mm/dd"),1),"")</f>
        <v>7124191202.8000002</v>
      </c>
      <c r="D1727">
        <f>IFERROR([1]!s_stm07_is($A1727,"W76031679",TEXT($B$1,"yyyy/mm/dd"),1),"")</f>
        <v>298390764.5</v>
      </c>
      <c r="E1727">
        <f>IFERROR([1]!s_stm07_is($A1727,"W70752487",TEXT($B$1,"yyyy/mm/dd"),1),"")</f>
        <v>287592301.54000002</v>
      </c>
      <c r="F1727">
        <f>IFERROR([1]!s_stm07_is_103($A1727,TEXT($B$1,"yyyy/mm/dd"),1),"")</f>
        <v>801712162.08000004</v>
      </c>
      <c r="G1727">
        <f>IFERROR([1]!s_stm07_is_104($A1727,TEXT($B$1,"yyyy/mm/dd"),1),"")</f>
        <v>31998751.329999998</v>
      </c>
      <c r="H1727">
        <f>IFERROR([1]!s_stm07_is_105($A1727,TEXT($B$1,"yyyy/mm/dd"),1),"")</f>
        <v>19090132.73</v>
      </c>
      <c r="I1727">
        <f>IFERROR([1]!s_stm07_is($A1727,"W72946623",TEXT($B$1,"yyyy/mm/dd"),1),"")</f>
        <v>1667056384.5999999</v>
      </c>
      <c r="J1727">
        <f>IFERROR([1]!s_stm07_is($A1727,"W30028333",TEXT($B$1,"yyyy/mm/dd"),1),"")</f>
        <v>1483028394.3299999</v>
      </c>
      <c r="K1727">
        <f>IFERROR([1]!s_stm07_cs($A1727,"W77130581",TEXT($B$1,"yyyy/mm/dd"),1),"")</f>
        <v>1100910637.77</v>
      </c>
      <c r="L1727">
        <f>IFERROR([1]!s_stm07_cs($A1727,"W77745895",TEXT($B$1,"yyyy/mm/dd"),1),"")</f>
        <v>82921952.890000001</v>
      </c>
      <c r="M1727">
        <f>IFERROR([1]!S_FA_EPS_basic2($A1727,$B$1,"Cur=CNY"),"")</f>
        <v>0.27810000000000001</v>
      </c>
      <c r="N1727">
        <f>IFERROR([1]!s_fa_arturndays($A1727,TEXT($B$1,"yyyy/mm/dd")),"")</f>
        <v>298.8048</v>
      </c>
      <c r="O1727" t="str">
        <f>IFERROR([1]!fa_apturndays($A1727,TEXT($B$1,"yyyy/mm/dd")),"")</f>
        <v>Fetch...</v>
      </c>
      <c r="P1727">
        <f>IFERROR([1]!s_fa_invturndays($A1727,TEXT($B$1,"yyyy/mm/dd")),"")</f>
        <v>275.31360000000001</v>
      </c>
    </row>
    <row r="1728" spans="1:16">
      <c r="A1728" t="s">
        <v>1741</v>
      </c>
      <c r="B1728">
        <f>IFERROR([1]!s_stm07_is($A1728,"W70156729",TEXT($B$1,"yyyy/mm/dd"),1),"")</f>
        <v>1005245724.48</v>
      </c>
      <c r="C1728">
        <f>IFERROR([1]!s_stm07_is($A1728,"W75682424",TEXT($B$1,"yyyy/mm/dd"),1),"")</f>
        <v>636140413.42999995</v>
      </c>
      <c r="D1728">
        <f>IFERROR([1]!s_stm07_is($A1728,"W76031679",TEXT($B$1,"yyyy/mm/dd"),1),"")</f>
        <v>16020375.25</v>
      </c>
      <c r="E1728">
        <f>IFERROR([1]!s_stm07_is($A1728,"W70752487",TEXT($B$1,"yyyy/mm/dd"),1),"")</f>
        <v>45814401.270000003</v>
      </c>
      <c r="F1728">
        <f>IFERROR([1]!s_stm07_is_103($A1728,TEXT($B$1,"yyyy/mm/dd"),1),"")</f>
        <v>92414261.560000002</v>
      </c>
      <c r="G1728">
        <f>IFERROR([1]!s_stm07_is_104($A1728,TEXT($B$1,"yyyy/mm/dd"),1),"")</f>
        <v>203196.71</v>
      </c>
      <c r="H1728">
        <f>IFERROR([1]!s_stm07_is_105($A1728,TEXT($B$1,"yyyy/mm/dd"),1),"")</f>
        <v>9545308.1099999994</v>
      </c>
      <c r="I1728">
        <f>IFERROR([1]!s_stm07_is($A1728,"W72946623",TEXT($B$1,"yyyy/mm/dd"),1),"")</f>
        <v>287202945.75</v>
      </c>
      <c r="J1728">
        <f>IFERROR([1]!s_stm07_is($A1728,"W30028333",TEXT($B$1,"yyyy/mm/dd"),1),"")</f>
        <v>209280637.59999999</v>
      </c>
      <c r="K1728">
        <f>IFERROR([1]!s_stm07_cs($A1728,"W77130581",TEXT($B$1,"yyyy/mm/dd"),1),"")</f>
        <v>274190663.38999999</v>
      </c>
      <c r="L1728">
        <f>IFERROR([1]!s_stm07_cs($A1728,"W77745895",TEXT($B$1,"yyyy/mm/dd"),1),"")</f>
        <v>143788957.53</v>
      </c>
      <c r="M1728">
        <f>IFERROR([1]!S_FA_EPS_basic2($A1728,$B$1,"Cur=CNY"),"")</f>
        <v>0.16819999999999999</v>
      </c>
      <c r="N1728">
        <f>IFERROR([1]!s_fa_arturndays($A1728,TEXT($B$1,"yyyy/mm/dd")),"")</f>
        <v>89.690600000000003</v>
      </c>
      <c r="O1728" t="str">
        <f>IFERROR([1]!fa_apturndays($A1728,TEXT($B$1,"yyyy/mm/dd")),"")</f>
        <v>Fetch...</v>
      </c>
      <c r="P1728">
        <f>IFERROR([1]!s_fa_invturndays($A1728,TEXT($B$1,"yyyy/mm/dd")),"")</f>
        <v>121.041</v>
      </c>
    </row>
    <row r="1729" spans="1:16">
      <c r="A1729" t="s">
        <v>1742</v>
      </c>
      <c r="B1729">
        <f>IFERROR([1]!s_stm07_is($A1729,"W70156729",TEXT($B$1,"yyyy/mm/dd"),1),"")</f>
        <v>715466518.66999996</v>
      </c>
      <c r="C1729">
        <f>IFERROR([1]!s_stm07_is($A1729,"W75682424",TEXT($B$1,"yyyy/mm/dd"),1),"")</f>
        <v>404408185.68000001</v>
      </c>
      <c r="D1729">
        <f>IFERROR([1]!s_stm07_is($A1729,"W76031679",TEXT($B$1,"yyyy/mm/dd"),1),"")</f>
        <v>69489418.719999999</v>
      </c>
      <c r="E1729">
        <f>IFERROR([1]!s_stm07_is($A1729,"W70752487",TEXT($B$1,"yyyy/mm/dd"),1),"")</f>
        <v>56449626.640000001</v>
      </c>
      <c r="F1729">
        <f>IFERROR([1]!s_stm07_is_103($A1729,TEXT($B$1,"yyyy/mm/dd"),1),"")</f>
        <v>129068978.55</v>
      </c>
      <c r="G1729">
        <f>IFERROR([1]!s_stm07_is_104($A1729,TEXT($B$1,"yyyy/mm/dd"),1),"")</f>
        <v>73632.72</v>
      </c>
      <c r="H1729">
        <f>IFERROR([1]!s_stm07_is_105($A1729,TEXT($B$1,"yyyy/mm/dd"),1),"")</f>
        <v>12194021.32</v>
      </c>
      <c r="I1729">
        <f>IFERROR([1]!s_stm07_is($A1729,"W72946623",TEXT($B$1,"yyyy/mm/dd"),1),"")</f>
        <v>67295468.890000001</v>
      </c>
      <c r="J1729">
        <f>IFERROR([1]!s_stm07_is($A1729,"W30028333",TEXT($B$1,"yyyy/mm/dd"),1),"")</f>
        <v>69005423.689999998</v>
      </c>
      <c r="K1729">
        <f>IFERROR([1]!s_stm07_cs($A1729,"W77130581",TEXT($B$1,"yyyy/mm/dd"),1),"")</f>
        <v>77522886.180000007</v>
      </c>
      <c r="L1729">
        <f>IFERROR([1]!s_stm07_cs($A1729,"W77745895",TEXT($B$1,"yyyy/mm/dd"),1),"")</f>
        <v>97619252.510000005</v>
      </c>
      <c r="M1729">
        <f>IFERROR([1]!S_FA_EPS_basic2($A1729,$B$1,"Cur=CNY"),"")</f>
        <v>0.17</v>
      </c>
      <c r="N1729">
        <f>IFERROR([1]!s_fa_arturndays($A1729,TEXT($B$1,"yyyy/mm/dd")),"")</f>
        <v>161.81229999999999</v>
      </c>
      <c r="O1729" t="str">
        <f>IFERROR([1]!fa_apturndays($A1729,TEXT($B$1,"yyyy/mm/dd")),"")</f>
        <v>Fetch...</v>
      </c>
      <c r="P1729">
        <f>IFERROR([1]!s_fa_invturndays($A1729,TEXT($B$1,"yyyy/mm/dd")),"")</f>
        <v>374.2593</v>
      </c>
    </row>
    <row r="1730" spans="1:16">
      <c r="A1730" t="s">
        <v>1743</v>
      </c>
      <c r="B1730">
        <f>IFERROR([1]!s_stm07_is($A1730,"W70156729",TEXT($B$1,"yyyy/mm/dd"),1),"")</f>
        <v>771623013.67999995</v>
      </c>
      <c r="C1730">
        <f>IFERROR([1]!s_stm07_is($A1730,"W75682424",TEXT($B$1,"yyyy/mm/dd"),1),"")</f>
        <v>305192513.38</v>
      </c>
      <c r="D1730">
        <f>IFERROR([1]!s_stm07_is($A1730,"W76031679",TEXT($B$1,"yyyy/mm/dd"),1),"")</f>
        <v>49904508.600000001</v>
      </c>
      <c r="E1730">
        <f>IFERROR([1]!s_stm07_is($A1730,"W70752487",TEXT($B$1,"yyyy/mm/dd"),1),"")</f>
        <v>93360133.099999994</v>
      </c>
      <c r="F1730">
        <f>IFERROR([1]!s_stm07_is_103($A1730,TEXT($B$1,"yyyy/mm/dd"),1),"")</f>
        <v>171653038.06</v>
      </c>
      <c r="G1730">
        <f>IFERROR([1]!s_stm07_is_104($A1730,TEXT($B$1,"yyyy/mm/dd"),1),"")</f>
        <v>2767959.28</v>
      </c>
      <c r="H1730">
        <f>IFERROR([1]!s_stm07_is_105($A1730,TEXT($B$1,"yyyy/mm/dd"),1),"")</f>
        <v>3856836.78</v>
      </c>
      <c r="I1730">
        <f>IFERROR([1]!s_stm07_is($A1730,"W72946623",TEXT($B$1,"yyyy/mm/dd"),1),"")</f>
        <v>171355637.63</v>
      </c>
      <c r="J1730">
        <f>IFERROR([1]!s_stm07_is($A1730,"W30028333",TEXT($B$1,"yyyy/mm/dd"),1),"")</f>
        <v>170040775.08000001</v>
      </c>
      <c r="K1730">
        <f>IFERROR([1]!s_stm07_cs($A1730,"W77130581",TEXT($B$1,"yyyy/mm/dd"),1),"")</f>
        <v>552367853.25999999</v>
      </c>
      <c r="L1730">
        <f>IFERROR([1]!s_stm07_cs($A1730,"W77745895",TEXT($B$1,"yyyy/mm/dd"),1),"")</f>
        <v>87283846.670000002</v>
      </c>
      <c r="M1730">
        <f>IFERROR([1]!S_FA_EPS_basic2($A1730,$B$1,"Cur=CNY"),"")</f>
        <v>0.85019999999999996</v>
      </c>
      <c r="N1730">
        <f>IFERROR([1]!s_fa_arturndays($A1730,TEXT($B$1,"yyyy/mm/dd")),"")</f>
        <v>678.47720000000004</v>
      </c>
      <c r="O1730" t="str">
        <f>IFERROR([1]!fa_apturndays($A1730,TEXT($B$1,"yyyy/mm/dd")),"")</f>
        <v>Fetch...</v>
      </c>
      <c r="P1730">
        <f>IFERROR([1]!s_fa_invturndays($A1730,TEXT($B$1,"yyyy/mm/dd")),"")</f>
        <v>804.46929999999998</v>
      </c>
    </row>
    <row r="1731" spans="1:16">
      <c r="A1731" t="s">
        <v>1744</v>
      </c>
      <c r="B1731">
        <f>IFERROR([1]!s_stm07_is($A1731,"W70156729",TEXT($B$1,"yyyy/mm/dd"),1),"")</f>
        <v>230726829.59</v>
      </c>
      <c r="C1731">
        <f>IFERROR([1]!s_stm07_is($A1731,"W75682424",TEXT($B$1,"yyyy/mm/dd"),1),"")</f>
        <v>16093662.48</v>
      </c>
      <c r="D1731">
        <f>IFERROR([1]!s_stm07_is($A1731,"W76031679",TEXT($B$1,"yyyy/mm/dd"),1),"")</f>
        <v>243628251.19</v>
      </c>
      <c r="E1731">
        <f>IFERROR([1]!s_stm07_is($A1731,"W70752487",TEXT($B$1,"yyyy/mm/dd"),1),"")</f>
        <v>75367183.599999994</v>
      </c>
      <c r="F1731">
        <f>IFERROR([1]!s_stm07_is_103($A1731,TEXT($B$1,"yyyy/mm/dd"),1),"")</f>
        <v>472832444.35000002</v>
      </c>
      <c r="G1731">
        <f>IFERROR([1]!s_stm07_is_104($A1731,TEXT($B$1,"yyyy/mm/dd"),1),"")</f>
        <v>31405595.780000001</v>
      </c>
      <c r="H1731">
        <f>IFERROR([1]!s_stm07_is_105($A1731,TEXT($B$1,"yyyy/mm/dd"),1),"")</f>
        <v>35869601.670000002</v>
      </c>
      <c r="I1731">
        <f>IFERROR([1]!s_stm07_is($A1731,"W72946623",TEXT($B$1,"yyyy/mm/dd"),1),"")</f>
        <v>-535649614.87</v>
      </c>
      <c r="J1731">
        <f>IFERROR([1]!s_stm07_is($A1731,"W30028333",TEXT($B$1,"yyyy/mm/dd"),1),"")</f>
        <v>-535649614.87</v>
      </c>
      <c r="K1731">
        <f>IFERROR([1]!s_stm07_cs($A1731,"W77130581",TEXT($B$1,"yyyy/mm/dd"),1),"")</f>
        <v>-337905452.26999998</v>
      </c>
      <c r="L1731">
        <f>IFERROR([1]!s_stm07_cs($A1731,"W77745895",TEXT($B$1,"yyyy/mm/dd"),1),"")</f>
        <v>85421878.709999993</v>
      </c>
      <c r="M1731">
        <f>IFERROR([1]!S_FA_EPS_basic2($A1731,$B$1,"Cur=CNY"),"")</f>
        <v>-1.46</v>
      </c>
      <c r="N1731">
        <f>IFERROR([1]!s_fa_arturndays($A1731,TEXT($B$1,"yyyy/mm/dd")),"")</f>
        <v>25.814599999999999</v>
      </c>
      <c r="O1731" t="str">
        <f>IFERROR([1]!fa_apturndays($A1731,TEXT($B$1,"yyyy/mm/dd")),"")</f>
        <v>Fetch...</v>
      </c>
      <c r="P1731">
        <f>IFERROR([1]!s_fa_invturndays($A1731,TEXT($B$1,"yyyy/mm/dd")),"")</f>
        <v>1635.6202000000001</v>
      </c>
    </row>
    <row r="1732" spans="1:16">
      <c r="A1732" t="s">
        <v>1745</v>
      </c>
      <c r="B1732">
        <f>IFERROR([1]!s_stm07_is($A1732,"W70156729",TEXT($B$1,"yyyy/mm/dd"),1),"")</f>
        <v>8179732880.3699999</v>
      </c>
      <c r="C1732">
        <f>IFERROR([1]!s_stm07_is($A1732,"W75682424",TEXT($B$1,"yyyy/mm/dd"),1),"")</f>
        <v>7729052558.1800003</v>
      </c>
      <c r="D1732">
        <f>IFERROR([1]!s_stm07_is($A1732,"W76031679",TEXT($B$1,"yyyy/mm/dd"),1),"")</f>
        <v>73311620.930000007</v>
      </c>
      <c r="E1732">
        <f>IFERROR([1]!s_stm07_is($A1732,"W70752487",TEXT($B$1,"yyyy/mm/dd"),1),"")</f>
        <v>187864795.09999999</v>
      </c>
      <c r="F1732">
        <f>IFERROR([1]!s_stm07_is_103($A1732,TEXT($B$1,"yyyy/mm/dd"),1),"")</f>
        <v>1838208171.3800001</v>
      </c>
      <c r="G1732">
        <f>IFERROR([1]!s_stm07_is_104($A1732,TEXT($B$1,"yyyy/mm/dd"),1),"")</f>
        <v>235238106.25</v>
      </c>
      <c r="H1732">
        <f>IFERROR([1]!s_stm07_is_105($A1732,TEXT($B$1,"yyyy/mm/dd"),1),"")</f>
        <v>16687438.65</v>
      </c>
      <c r="I1732">
        <f>IFERROR([1]!s_stm07_is($A1732,"W72946623",TEXT($B$1,"yyyy/mm/dd"),1),"")</f>
        <v>-1932576414.3599999</v>
      </c>
      <c r="J1732">
        <f>IFERROR([1]!s_stm07_is($A1732,"W30028333",TEXT($B$1,"yyyy/mm/dd"),1),"")</f>
        <v>-594893008.05999994</v>
      </c>
      <c r="K1732">
        <f>IFERROR([1]!s_stm07_cs($A1732,"W77130581",TEXT($B$1,"yyyy/mm/dd"),1),"")</f>
        <v>2134608728.1900001</v>
      </c>
      <c r="L1732">
        <f>IFERROR([1]!s_stm07_cs($A1732,"W77745895",TEXT($B$1,"yyyy/mm/dd"),1),"")</f>
        <v>3334813642.5100002</v>
      </c>
      <c r="M1732">
        <f>IFERROR([1]!S_FA_EPS_basic2($A1732,$B$1,"Cur=CNY"),"")</f>
        <v>-0.08</v>
      </c>
      <c r="N1732">
        <f>IFERROR([1]!s_fa_arturndays($A1732,TEXT($B$1,"yyyy/mm/dd")),"")</f>
        <v>78.077600000000004</v>
      </c>
      <c r="O1732" t="str">
        <f>IFERROR([1]!fa_apturndays($A1732,TEXT($B$1,"yyyy/mm/dd")),"")</f>
        <v>Fetch...</v>
      </c>
      <c r="P1732">
        <f>IFERROR([1]!s_fa_invturndays($A1732,TEXT($B$1,"yyyy/mm/dd")),"")</f>
        <v>97.969800000000006</v>
      </c>
    </row>
    <row r="1733" spans="1:16">
      <c r="A1733" t="s">
        <v>1746</v>
      </c>
      <c r="B1733">
        <f>IFERROR([1]!s_stm07_is($A1733,"W70156729",TEXT($B$1,"yyyy/mm/dd"),1),"")</f>
        <v>40255735859.239998</v>
      </c>
      <c r="C1733">
        <f>IFERROR([1]!s_stm07_is($A1733,"W75682424",TEXT($B$1,"yyyy/mm/dd"),1),"")</f>
        <v>36083104777.709999</v>
      </c>
      <c r="D1733">
        <f>IFERROR([1]!s_stm07_is($A1733,"W76031679",TEXT($B$1,"yyyy/mm/dd"),1),"")</f>
        <v>1049559575.41</v>
      </c>
      <c r="E1733">
        <f>IFERROR([1]!s_stm07_is($A1733,"W70752487",TEXT($B$1,"yyyy/mm/dd"),1),"")</f>
        <v>1923123262.2</v>
      </c>
      <c r="F1733">
        <f>IFERROR([1]!s_stm07_is_103($A1733,TEXT($B$1,"yyyy/mm/dd"),1),"")</f>
        <v>650649688.25999999</v>
      </c>
      <c r="G1733">
        <f>IFERROR([1]!s_stm07_is_104($A1733,TEXT($B$1,"yyyy/mm/dd"),1),"")</f>
        <v>800054875.00999999</v>
      </c>
      <c r="H1733">
        <f>IFERROR([1]!s_stm07_is_105($A1733,TEXT($B$1,"yyyy/mm/dd"),1),"")</f>
        <v>249607689.25999999</v>
      </c>
      <c r="I1733">
        <f>IFERROR([1]!s_stm07_is($A1733,"W72946623",TEXT($B$1,"yyyy/mm/dd"),1),"")</f>
        <v>1122692808.0899999</v>
      </c>
      <c r="J1733">
        <f>IFERROR([1]!s_stm07_is($A1733,"W30028333",TEXT($B$1,"yyyy/mm/dd"),1),"")</f>
        <v>1015771417.47</v>
      </c>
      <c r="K1733">
        <f>IFERROR([1]!s_stm07_cs($A1733,"W77130581",TEXT($B$1,"yyyy/mm/dd"),1),"")</f>
        <v>7075155179.2700005</v>
      </c>
      <c r="L1733">
        <f>IFERROR([1]!s_stm07_cs($A1733,"W77745895",TEXT($B$1,"yyyy/mm/dd"),1),"")</f>
        <v>6811791557.3199997</v>
      </c>
      <c r="M1733">
        <f>IFERROR([1]!S_FA_EPS_basic2($A1733,$B$1,"Cur=CNY"),"")</f>
        <v>0.28000000000000003</v>
      </c>
      <c r="N1733">
        <f>IFERROR([1]!s_fa_arturndays($A1733,TEXT($B$1,"yyyy/mm/dd")),"")</f>
        <v>75.230400000000003</v>
      </c>
      <c r="O1733" t="str">
        <f>IFERROR([1]!fa_apturndays($A1733,TEXT($B$1,"yyyy/mm/dd")),"")</f>
        <v>Fetch...</v>
      </c>
      <c r="P1733">
        <f>IFERROR([1]!s_fa_invturndays($A1733,TEXT($B$1,"yyyy/mm/dd")),"")</f>
        <v>86.440799999999996</v>
      </c>
    </row>
    <row r="1734" spans="1:16">
      <c r="A1734" t="s">
        <v>1747</v>
      </c>
      <c r="B1734">
        <f>IFERROR([1]!s_stm07_is($A1734,"W70156729",TEXT($B$1,"yyyy/mm/dd"),1),"")</f>
        <v>5901160840.2700005</v>
      </c>
      <c r="C1734">
        <f>IFERROR([1]!s_stm07_is($A1734,"W75682424",TEXT($B$1,"yyyy/mm/dd"),1),"")</f>
        <v>3293980667.0999999</v>
      </c>
      <c r="D1734">
        <f>IFERROR([1]!s_stm07_is($A1734,"W76031679",TEXT($B$1,"yyyy/mm/dd"),1),"")</f>
        <v>993896968.75</v>
      </c>
      <c r="E1734">
        <f>IFERROR([1]!s_stm07_is($A1734,"W70752487",TEXT($B$1,"yyyy/mm/dd"),1),"")</f>
        <v>230060363.53999999</v>
      </c>
      <c r="F1734">
        <f>IFERROR([1]!s_stm07_is_103($A1734,TEXT($B$1,"yyyy/mm/dd"),1),"")</f>
        <v>862423926.50999999</v>
      </c>
      <c r="G1734">
        <f>IFERROR([1]!s_stm07_is_104($A1734,TEXT($B$1,"yyyy/mm/dd"),1),"")</f>
        <v>-4188513.84</v>
      </c>
      <c r="H1734">
        <f>IFERROR([1]!s_stm07_is_105($A1734,TEXT($B$1,"yyyy/mm/dd"),1),"")</f>
        <v>67286417.290000007</v>
      </c>
      <c r="I1734">
        <f>IFERROR([1]!s_stm07_is($A1734,"W72946623",TEXT($B$1,"yyyy/mm/dd"),1),"")</f>
        <v>626264706.47000003</v>
      </c>
      <c r="J1734">
        <f>IFERROR([1]!s_stm07_is($A1734,"W30028333",TEXT($B$1,"yyyy/mm/dd"),1),"")</f>
        <v>566576947.98000002</v>
      </c>
      <c r="K1734">
        <f>IFERROR([1]!s_stm07_cs($A1734,"W77130581",TEXT($B$1,"yyyy/mm/dd"),1),"")</f>
        <v>1120371315.54</v>
      </c>
      <c r="L1734">
        <f>IFERROR([1]!s_stm07_cs($A1734,"W77745895",TEXT($B$1,"yyyy/mm/dd"),1),"")</f>
        <v>299693647.36000001</v>
      </c>
      <c r="M1734">
        <f>IFERROR([1]!S_FA_EPS_basic2($A1734,$B$1,"Cur=CNY"),"")</f>
        <v>0.71950000000000003</v>
      </c>
      <c r="N1734">
        <f>IFERROR([1]!s_fa_arturndays($A1734,TEXT($B$1,"yyyy/mm/dd")),"")</f>
        <v>64.5184</v>
      </c>
      <c r="O1734" t="str">
        <f>IFERROR([1]!fa_apturndays($A1734,TEXT($B$1,"yyyy/mm/dd")),"")</f>
        <v>Fetch...</v>
      </c>
      <c r="P1734">
        <f>IFERROR([1]!s_fa_invturndays($A1734,TEXT($B$1,"yyyy/mm/dd")),"")</f>
        <v>83.557699999999997</v>
      </c>
    </row>
    <row r="1735" spans="1:16">
      <c r="A1735" t="s">
        <v>1748</v>
      </c>
      <c r="B1735">
        <f>IFERROR([1]!s_stm07_is($A1735,"W70156729",TEXT($B$1,"yyyy/mm/dd"),1),"")</f>
        <v>3260539283.4499998</v>
      </c>
      <c r="C1735">
        <f>IFERROR([1]!s_stm07_is($A1735,"W75682424",TEXT($B$1,"yyyy/mm/dd"),1),"")</f>
        <v>2030169816.9300001</v>
      </c>
      <c r="D1735">
        <f>IFERROR([1]!s_stm07_is($A1735,"W76031679",TEXT($B$1,"yyyy/mm/dd"),1),"")</f>
        <v>133790073.73</v>
      </c>
      <c r="E1735">
        <f>IFERROR([1]!s_stm07_is($A1735,"W70752487",TEXT($B$1,"yyyy/mm/dd"),1),"")</f>
        <v>244374149.19999999</v>
      </c>
      <c r="F1735">
        <f>IFERROR([1]!s_stm07_is_103($A1735,TEXT($B$1,"yyyy/mm/dd"),1),"")</f>
        <v>647145107.03999996</v>
      </c>
      <c r="G1735">
        <f>IFERROR([1]!s_stm07_is_104($A1735,TEXT($B$1,"yyyy/mm/dd"),1),"")</f>
        <v>1323393.1399999999</v>
      </c>
      <c r="H1735">
        <f>IFERROR([1]!s_stm07_is_105($A1735,TEXT($B$1,"yyyy/mm/dd"),1),"")</f>
        <v>34437969.609999999</v>
      </c>
      <c r="I1735">
        <f>IFERROR([1]!s_stm07_is($A1735,"W72946623",TEXT($B$1,"yyyy/mm/dd"),1),"")</f>
        <v>236963011.88</v>
      </c>
      <c r="J1735">
        <f>IFERROR([1]!s_stm07_is($A1735,"W30028333",TEXT($B$1,"yyyy/mm/dd"),1),"")</f>
        <v>238600177.75999999</v>
      </c>
      <c r="K1735">
        <f>IFERROR([1]!s_stm07_cs($A1735,"W77130581",TEXT($B$1,"yyyy/mm/dd"),1),"")</f>
        <v>-77451021.430000007</v>
      </c>
      <c r="L1735">
        <f>IFERROR([1]!s_stm07_cs($A1735,"W77745895",TEXT($B$1,"yyyy/mm/dd"),1),"")</f>
        <v>243984782.43000001</v>
      </c>
      <c r="M1735">
        <f>IFERROR([1]!S_FA_EPS_basic2($A1735,$B$1,"Cur=CNY"),"")</f>
        <v>0.56000000000000005</v>
      </c>
      <c r="N1735">
        <f>IFERROR([1]!s_fa_arturndays($A1735,TEXT($B$1,"yyyy/mm/dd")),"")</f>
        <v>35.308</v>
      </c>
      <c r="O1735" t="str">
        <f>IFERROR([1]!fa_apturndays($A1735,TEXT($B$1,"yyyy/mm/dd")),"")</f>
        <v>Fetch...</v>
      </c>
      <c r="P1735">
        <f>IFERROR([1]!s_fa_invturndays($A1735,TEXT($B$1,"yyyy/mm/dd")),"")</f>
        <v>139.96350000000001</v>
      </c>
    </row>
    <row r="1736" spans="1:16">
      <c r="A1736" t="s">
        <v>1749</v>
      </c>
      <c r="B1736">
        <f>IFERROR([1]!s_stm07_is($A1736,"W70156729",TEXT($B$1,"yyyy/mm/dd"),1),"")</f>
        <v>568203739.71000004</v>
      </c>
      <c r="C1736">
        <f>IFERROR([1]!s_stm07_is($A1736,"W75682424",TEXT($B$1,"yyyy/mm/dd"),1),"")</f>
        <v>260404976.12</v>
      </c>
      <c r="D1736">
        <f>IFERROR([1]!s_stm07_is($A1736,"W76031679",TEXT($B$1,"yyyy/mm/dd"),1),"")</f>
        <v>10274173.98</v>
      </c>
      <c r="E1736">
        <f>IFERROR([1]!s_stm07_is($A1736,"W70752487",TEXT($B$1,"yyyy/mm/dd"),1),"")</f>
        <v>34078773.93</v>
      </c>
      <c r="F1736">
        <f>IFERROR([1]!s_stm07_is_103($A1736,TEXT($B$1,"yyyy/mm/dd"),1),"")</f>
        <v>113248090.73</v>
      </c>
      <c r="G1736">
        <f>IFERROR([1]!s_stm07_is_104($A1736,TEXT($B$1,"yyyy/mm/dd"),1),"")</f>
        <v>12104.97</v>
      </c>
      <c r="H1736">
        <f>IFERROR([1]!s_stm07_is_105($A1736,TEXT($B$1,"yyyy/mm/dd"),1),"")</f>
        <v>707784.35</v>
      </c>
      <c r="I1736">
        <f>IFERROR([1]!s_stm07_is($A1736,"W72946623",TEXT($B$1,"yyyy/mm/dd"),1),"")</f>
        <v>174673924.84999999</v>
      </c>
      <c r="J1736">
        <f>IFERROR([1]!s_stm07_is($A1736,"W30028333",TEXT($B$1,"yyyy/mm/dd"),1),"")</f>
        <v>171915593.75</v>
      </c>
      <c r="K1736">
        <f>IFERROR([1]!s_stm07_cs($A1736,"W77130581",TEXT($B$1,"yyyy/mm/dd"),1),"")</f>
        <v>112413955.79000001</v>
      </c>
      <c r="L1736">
        <f>IFERROR([1]!s_stm07_cs($A1736,"W77745895",TEXT($B$1,"yyyy/mm/dd"),1),"")</f>
        <v>84718215.939999998</v>
      </c>
      <c r="M1736">
        <f>IFERROR([1]!S_FA_EPS_basic2($A1736,$B$1,"Cur=CNY"),"")</f>
        <v>1.3</v>
      </c>
      <c r="N1736">
        <f>IFERROR([1]!s_fa_arturndays($A1736,TEXT($B$1,"yyyy/mm/dd")),"")</f>
        <v>34.601700000000001</v>
      </c>
      <c r="O1736" t="str">
        <f>IFERROR([1]!fa_apturndays($A1736,TEXT($B$1,"yyyy/mm/dd")),"")</f>
        <v>Fetch...</v>
      </c>
      <c r="P1736">
        <f>IFERROR([1]!s_fa_invturndays($A1736,TEXT($B$1,"yyyy/mm/dd")),"")</f>
        <v>190.85990000000001</v>
      </c>
    </row>
    <row r="1737" spans="1:16">
      <c r="A1737" t="s">
        <v>1750</v>
      </c>
      <c r="B1737">
        <f>IFERROR([1]!s_stm07_is($A1737,"W70156729",TEXT($B$1,"yyyy/mm/dd"),1),"")</f>
        <v>601434509.55999994</v>
      </c>
      <c r="C1737">
        <f>IFERROR([1]!s_stm07_is($A1737,"W75682424",TEXT($B$1,"yyyy/mm/dd"),1),"")</f>
        <v>251956080.94999999</v>
      </c>
      <c r="D1737">
        <f>IFERROR([1]!s_stm07_is($A1737,"W76031679",TEXT($B$1,"yyyy/mm/dd"),1),"")</f>
        <v>23783765</v>
      </c>
      <c r="E1737">
        <f>IFERROR([1]!s_stm07_is($A1737,"W70752487",TEXT($B$1,"yyyy/mm/dd"),1),"")</f>
        <v>44923441.049999997</v>
      </c>
      <c r="F1737">
        <f>IFERROR([1]!s_stm07_is_103($A1737,TEXT($B$1,"yyyy/mm/dd"),1),"")</f>
        <v>80843055.859999999</v>
      </c>
      <c r="G1737">
        <f>IFERROR([1]!s_stm07_is_104($A1737,TEXT($B$1,"yyyy/mm/dd"),1),"")</f>
        <v>2115276.89</v>
      </c>
      <c r="H1737">
        <f>IFERROR([1]!s_stm07_is_105($A1737,TEXT($B$1,"yyyy/mm/dd"),1),"")</f>
        <v>14999026.6</v>
      </c>
      <c r="I1737">
        <f>IFERROR([1]!s_stm07_is($A1737,"W72946623",TEXT($B$1,"yyyy/mm/dd"),1),"")</f>
        <v>213772158.53999999</v>
      </c>
      <c r="J1737">
        <f>IFERROR([1]!s_stm07_is($A1737,"W30028333",TEXT($B$1,"yyyy/mm/dd"),1),"")</f>
        <v>190924031.75</v>
      </c>
      <c r="K1737">
        <f>IFERROR([1]!s_stm07_cs($A1737,"W77130581",TEXT($B$1,"yyyy/mm/dd"),1),"")</f>
        <v>150235546.02000001</v>
      </c>
      <c r="L1737">
        <f>IFERROR([1]!s_stm07_cs($A1737,"W77745895",TEXT($B$1,"yyyy/mm/dd"),1),"")</f>
        <v>409419300.56999999</v>
      </c>
      <c r="M1737">
        <f>IFERROR([1]!S_FA_EPS_basic2($A1737,$B$1,"Cur=CNY"),"")</f>
        <v>2.2400000000000002</v>
      </c>
      <c r="N1737">
        <f>IFERROR([1]!s_fa_arturndays($A1737,TEXT($B$1,"yyyy/mm/dd")),"")</f>
        <v>115.3772</v>
      </c>
      <c r="O1737" t="str">
        <f>IFERROR([1]!fa_apturndays($A1737,TEXT($B$1,"yyyy/mm/dd")),"")</f>
        <v>Fetch...</v>
      </c>
      <c r="P1737">
        <f>IFERROR([1]!s_fa_invturndays($A1737,TEXT($B$1,"yyyy/mm/dd")),"")</f>
        <v>183.1781</v>
      </c>
    </row>
    <row r="1738" spans="1:16">
      <c r="A1738" t="s">
        <v>1751</v>
      </c>
      <c r="B1738">
        <f>IFERROR([1]!s_stm07_is($A1738,"W70156729",TEXT($B$1,"yyyy/mm/dd"),1),"")</f>
        <v>691005071.71000004</v>
      </c>
      <c r="C1738">
        <f>IFERROR([1]!s_stm07_is($A1738,"W75682424",TEXT($B$1,"yyyy/mm/dd"),1),"")</f>
        <v>368238973.85000002</v>
      </c>
      <c r="D1738">
        <f>IFERROR([1]!s_stm07_is($A1738,"W76031679",TEXT($B$1,"yyyy/mm/dd"),1),"")</f>
        <v>29987626.640000001</v>
      </c>
      <c r="E1738">
        <f>IFERROR([1]!s_stm07_is($A1738,"W70752487",TEXT($B$1,"yyyy/mm/dd"),1),"")</f>
        <v>120154983.34999999</v>
      </c>
      <c r="F1738">
        <f>IFERROR([1]!s_stm07_is_103($A1738,TEXT($B$1,"yyyy/mm/dd"),1),"")</f>
        <v>82065423.870000005</v>
      </c>
      <c r="G1738">
        <f>IFERROR([1]!s_stm07_is_104($A1738,TEXT($B$1,"yyyy/mm/dd"),1),"")</f>
        <v>6817934.4800000004</v>
      </c>
      <c r="H1738">
        <f>IFERROR([1]!s_stm07_is_105($A1738,TEXT($B$1,"yyyy/mm/dd"),1),"")</f>
        <v>1341085.32</v>
      </c>
      <c r="I1738">
        <f>IFERROR([1]!s_stm07_is($A1738,"W72946623",TEXT($B$1,"yyyy/mm/dd"),1),"")</f>
        <v>51658058.009999998</v>
      </c>
      <c r="J1738">
        <f>IFERROR([1]!s_stm07_is($A1738,"W30028333",TEXT($B$1,"yyyy/mm/dd"),1),"")</f>
        <v>46330280.909999996</v>
      </c>
      <c r="K1738">
        <f>IFERROR([1]!s_stm07_cs($A1738,"W77130581",TEXT($B$1,"yyyy/mm/dd"),1),"")</f>
        <v>73426642.099999994</v>
      </c>
      <c r="L1738">
        <f>IFERROR([1]!s_stm07_cs($A1738,"W77745895",TEXT($B$1,"yyyy/mm/dd"),1),"")</f>
        <v>180982508.16</v>
      </c>
      <c r="M1738">
        <f>IFERROR([1]!S_FA_EPS_basic2($A1738,$B$1,"Cur=CNY"),"")</f>
        <v>0.88160000000000005</v>
      </c>
      <c r="N1738">
        <f>IFERROR([1]!s_fa_arturndays($A1738,TEXT($B$1,"yyyy/mm/dd")),"")</f>
        <v>80.695800000000006</v>
      </c>
      <c r="O1738" t="str">
        <f>IFERROR([1]!fa_apturndays($A1738,TEXT($B$1,"yyyy/mm/dd")),"")</f>
        <v>Fetch...</v>
      </c>
      <c r="P1738">
        <f>IFERROR([1]!s_fa_invturndays($A1738,TEXT($B$1,"yyyy/mm/dd")),"")</f>
        <v>218.85830000000001</v>
      </c>
    </row>
    <row r="1739" spans="1:16">
      <c r="A1739" t="s">
        <v>1752</v>
      </c>
      <c r="B1739">
        <f>IFERROR([1]!s_stm07_is($A1739,"W70156729",TEXT($B$1,"yyyy/mm/dd"),1),"")</f>
        <v>14592695789.42</v>
      </c>
      <c r="C1739">
        <f>IFERROR([1]!s_stm07_is($A1739,"W75682424",TEXT($B$1,"yyyy/mm/dd"),1),"")</f>
        <v>13523791977.809999</v>
      </c>
      <c r="D1739">
        <f>IFERROR([1]!s_stm07_is($A1739,"W76031679",TEXT($B$1,"yyyy/mm/dd"),1),"")</f>
        <v>50475937.409999996</v>
      </c>
      <c r="E1739">
        <f>IFERROR([1]!s_stm07_is($A1739,"W70752487",TEXT($B$1,"yyyy/mm/dd"),1),"")</f>
        <v>108660007.20999999</v>
      </c>
      <c r="F1739">
        <f>IFERROR([1]!s_stm07_is_103($A1739,TEXT($B$1,"yyyy/mm/dd"),1),"")</f>
        <v>254630172.78</v>
      </c>
      <c r="G1739">
        <f>IFERROR([1]!s_stm07_is_104($A1739,TEXT($B$1,"yyyy/mm/dd"),1),"")</f>
        <v>1317598.51</v>
      </c>
      <c r="H1739">
        <f>IFERROR([1]!s_stm07_is_105($A1739,TEXT($B$1,"yyyy/mm/dd"),1),"")</f>
        <v>10964321.27</v>
      </c>
      <c r="I1739">
        <f>IFERROR([1]!s_stm07_is($A1739,"W72946623",TEXT($B$1,"yyyy/mm/dd"),1),"")</f>
        <v>478067611.19</v>
      </c>
      <c r="J1739">
        <f>IFERROR([1]!s_stm07_is($A1739,"W30028333",TEXT($B$1,"yyyy/mm/dd"),1),"")</f>
        <v>419680796.87</v>
      </c>
      <c r="K1739">
        <f>IFERROR([1]!s_stm07_cs($A1739,"W77130581",TEXT($B$1,"yyyy/mm/dd"),1),"")</f>
        <v>-3068962027.3099999</v>
      </c>
      <c r="L1739">
        <f>IFERROR([1]!s_stm07_cs($A1739,"W77745895",TEXT($B$1,"yyyy/mm/dd"),1),"")</f>
        <v>255676565.44</v>
      </c>
      <c r="M1739">
        <f>IFERROR([1]!S_FA_EPS_basic2($A1739,$B$1,"Cur=CNY"),"")</f>
        <v>1.82</v>
      </c>
      <c r="N1739">
        <f>IFERROR([1]!s_fa_arturndays($A1739,TEXT($B$1,"yyyy/mm/dd")),"")</f>
        <v>62.240699999999997</v>
      </c>
      <c r="O1739" t="str">
        <f>IFERROR([1]!fa_apturndays($A1739,TEXT($B$1,"yyyy/mm/dd")),"")</f>
        <v>Fetch...</v>
      </c>
      <c r="P1739">
        <f>IFERROR([1]!s_fa_invturndays($A1739,TEXT($B$1,"yyyy/mm/dd")),"")</f>
        <v>27.1463</v>
      </c>
    </row>
    <row r="1740" spans="1:16">
      <c r="A1740" t="s">
        <v>1753</v>
      </c>
      <c r="B1740">
        <f>IFERROR([1]!s_stm07_is($A1740,"W70156729",TEXT($B$1,"yyyy/mm/dd"),1),"")</f>
        <v>2520113323.0100002</v>
      </c>
      <c r="C1740">
        <f>IFERROR([1]!s_stm07_is($A1740,"W75682424",TEXT($B$1,"yyyy/mm/dd"),1),"")</f>
        <v>232398812</v>
      </c>
      <c r="D1740">
        <f>IFERROR([1]!s_stm07_is($A1740,"W76031679",TEXT($B$1,"yyyy/mm/dd"),1),"")</f>
        <v>201111586.06</v>
      </c>
      <c r="E1740">
        <f>IFERROR([1]!s_stm07_is($A1740,"W70752487",TEXT($B$1,"yyyy/mm/dd"),1),"")</f>
        <v>346215410.24000001</v>
      </c>
      <c r="F1740">
        <f>IFERROR([1]!s_stm07_is_103($A1740,TEXT($B$1,"yyyy/mm/dd"),1),"")</f>
        <v>2513725497.1900001</v>
      </c>
      <c r="G1740">
        <f>IFERROR([1]!s_stm07_is_104($A1740,TEXT($B$1,"yyyy/mm/dd"),1),"")</f>
        <v>85069302.950000003</v>
      </c>
      <c r="H1740">
        <f>IFERROR([1]!s_stm07_is_105($A1740,TEXT($B$1,"yyyy/mm/dd"),1),"")</f>
        <v>226334936.25999999</v>
      </c>
      <c r="I1740">
        <f>IFERROR([1]!s_stm07_is($A1740,"W72946623",TEXT($B$1,"yyyy/mm/dd"),1),"")</f>
        <v>-721433360.17999995</v>
      </c>
      <c r="J1740">
        <f>IFERROR([1]!s_stm07_is($A1740,"W30028333",TEXT($B$1,"yyyy/mm/dd"),1),"")</f>
        <v>-1053617853.77</v>
      </c>
      <c r="K1740">
        <f>IFERROR([1]!s_stm07_cs($A1740,"W77130581",TEXT($B$1,"yyyy/mm/dd"),1),"")</f>
        <v>-798398132.42999995</v>
      </c>
      <c r="L1740">
        <f>IFERROR([1]!s_stm07_cs($A1740,"W77745895",TEXT($B$1,"yyyy/mm/dd"),1),"")</f>
        <v>263809317.99000001</v>
      </c>
      <c r="M1740">
        <f>IFERROR([1]!S_FA_EPS_basic2($A1740,$B$1,"Cur=CNY"),"")</f>
        <v>-2.61</v>
      </c>
      <c r="N1740">
        <f>IFERROR([1]!s_fa_arturndays($A1740,TEXT($B$1,"yyyy/mm/dd")),"")</f>
        <v>12.461499999999999</v>
      </c>
      <c r="O1740" t="str">
        <f>IFERROR([1]!fa_apturndays($A1740,TEXT($B$1,"yyyy/mm/dd")),"")</f>
        <v>Fetch...</v>
      </c>
      <c r="P1740">
        <f>IFERROR([1]!s_fa_invturndays($A1740,TEXT($B$1,"yyyy/mm/dd")),"")</f>
        <v>238.9486</v>
      </c>
    </row>
    <row r="1741" spans="1:16">
      <c r="A1741" t="s">
        <v>1754</v>
      </c>
      <c r="B1741">
        <f>IFERROR([1]!s_stm07_is($A1741,"W70156729",TEXT($B$1,"yyyy/mm/dd"),1),"")</f>
        <v>616595478.58000004</v>
      </c>
      <c r="C1741">
        <f>IFERROR([1]!s_stm07_is($A1741,"W75682424",TEXT($B$1,"yyyy/mm/dd"),1),"")</f>
        <v>348137786.44999999</v>
      </c>
      <c r="D1741">
        <f>IFERROR([1]!s_stm07_is($A1741,"W76031679",TEXT($B$1,"yyyy/mm/dd"),1),"")</f>
        <v>47913946.350000001</v>
      </c>
      <c r="E1741">
        <f>IFERROR([1]!s_stm07_is($A1741,"W70752487",TEXT($B$1,"yyyy/mm/dd"),1),"")</f>
        <v>70817148.75</v>
      </c>
      <c r="F1741">
        <f>IFERROR([1]!s_stm07_is_103($A1741,TEXT($B$1,"yyyy/mm/dd"),1),"")</f>
        <v>315071561.69</v>
      </c>
      <c r="G1741">
        <f>IFERROR([1]!s_stm07_is_104($A1741,TEXT($B$1,"yyyy/mm/dd"),1),"")</f>
        <v>699722.09</v>
      </c>
      <c r="H1741">
        <f>IFERROR([1]!s_stm07_is_105($A1741,TEXT($B$1,"yyyy/mm/dd"),1),"")</f>
        <v>2077637.11</v>
      </c>
      <c r="I1741">
        <f>IFERROR([1]!s_stm07_is($A1741,"W72946623",TEXT($B$1,"yyyy/mm/dd"),1),"")</f>
        <v>-133731554.72</v>
      </c>
      <c r="J1741">
        <f>IFERROR([1]!s_stm07_is($A1741,"W30028333",TEXT($B$1,"yyyy/mm/dd"),1),"")</f>
        <v>-133731554.72</v>
      </c>
      <c r="K1741">
        <f>IFERROR([1]!s_stm07_cs($A1741,"W77130581",TEXT($B$1,"yyyy/mm/dd"),1),"")</f>
        <v>-173943573.94</v>
      </c>
      <c r="L1741">
        <f>IFERROR([1]!s_stm07_cs($A1741,"W77745895",TEXT($B$1,"yyyy/mm/dd"),1),"")</f>
        <v>66333056.710000001</v>
      </c>
      <c r="M1741">
        <f>IFERROR([1]!S_FA_EPS_basic2($A1741,$B$1,"Cur=CNY"),"")</f>
        <v>-1.68</v>
      </c>
      <c r="N1741">
        <f>IFERROR([1]!s_fa_arturndays($A1741,TEXT($B$1,"yyyy/mm/dd")),"")</f>
        <v>67.470100000000002</v>
      </c>
      <c r="O1741" t="str">
        <f>IFERROR([1]!fa_apturndays($A1741,TEXT($B$1,"yyyy/mm/dd")),"")</f>
        <v>Fetch...</v>
      </c>
      <c r="P1741">
        <f>IFERROR([1]!s_fa_invturndays($A1741,TEXT($B$1,"yyyy/mm/dd")),"")</f>
        <v>139.4376</v>
      </c>
    </row>
    <row r="1742" spans="1:16">
      <c r="A1742" t="s">
        <v>1755</v>
      </c>
      <c r="B1742">
        <f>IFERROR([1]!s_stm07_is($A1742,"W70156729",TEXT($B$1,"yyyy/mm/dd"),1),"")</f>
        <v>6397183864.6300001</v>
      </c>
      <c r="C1742">
        <f>IFERROR([1]!s_stm07_is($A1742,"W75682424",TEXT($B$1,"yyyy/mm/dd"),1),"")</f>
        <v>4347230372.1300001</v>
      </c>
      <c r="D1742">
        <f>IFERROR([1]!s_stm07_is($A1742,"W76031679",TEXT($B$1,"yyyy/mm/dd"),1),"")</f>
        <v>175051454.28999999</v>
      </c>
      <c r="E1742">
        <f>IFERROR([1]!s_stm07_is($A1742,"W70752487",TEXT($B$1,"yyyy/mm/dd"),1),"")</f>
        <v>368946135.98000002</v>
      </c>
      <c r="F1742">
        <f>IFERROR([1]!s_stm07_is_103($A1742,TEXT($B$1,"yyyy/mm/dd"),1),"")</f>
        <v>485011861.5</v>
      </c>
      <c r="G1742">
        <f>IFERROR([1]!s_stm07_is_104($A1742,TEXT($B$1,"yyyy/mm/dd"),1),"")</f>
        <v>47755312.850000001</v>
      </c>
      <c r="H1742">
        <f>IFERROR([1]!s_stm07_is_105($A1742,TEXT($B$1,"yyyy/mm/dd"),1),"")</f>
        <v>13210978.949999999</v>
      </c>
      <c r="I1742">
        <f>IFERROR([1]!s_stm07_is($A1742,"W72946623",TEXT($B$1,"yyyy/mm/dd"),1),"")</f>
        <v>459306562.95999998</v>
      </c>
      <c r="J1742">
        <f>IFERROR([1]!s_stm07_is($A1742,"W30028333",TEXT($B$1,"yyyy/mm/dd"),1),"")</f>
        <v>444515645.33999997</v>
      </c>
      <c r="K1742">
        <f>IFERROR([1]!s_stm07_cs($A1742,"W77130581",TEXT($B$1,"yyyy/mm/dd"),1),"")</f>
        <v>888115724.57000005</v>
      </c>
      <c r="L1742">
        <f>IFERROR([1]!s_stm07_cs($A1742,"W77745895",TEXT($B$1,"yyyy/mm/dd"),1),"")</f>
        <v>401485495.19999999</v>
      </c>
      <c r="M1742">
        <f>IFERROR([1]!S_FA_EPS_basic2($A1742,$B$1,"Cur=CNY"),"")</f>
        <v>1.41</v>
      </c>
      <c r="N1742">
        <f>IFERROR([1]!s_fa_arturndays($A1742,TEXT($B$1,"yyyy/mm/dd")),"")</f>
        <v>180.88630000000001</v>
      </c>
      <c r="O1742" t="str">
        <f>IFERROR([1]!fa_apturndays($A1742,TEXT($B$1,"yyyy/mm/dd")),"")</f>
        <v>Fetch...</v>
      </c>
      <c r="P1742">
        <f>IFERROR([1]!s_fa_invturndays($A1742,TEXT($B$1,"yyyy/mm/dd")),"")</f>
        <v>390.03250000000003</v>
      </c>
    </row>
    <row r="1743" spans="1:16">
      <c r="A1743" t="s">
        <v>1756</v>
      </c>
      <c r="B1743">
        <f>IFERROR([1]!s_stm07_is($A1743,"W70156729",TEXT($B$1,"yyyy/mm/dd"),1),"")</f>
        <v>5227828810.4300003</v>
      </c>
      <c r="C1743">
        <f>IFERROR([1]!s_stm07_is($A1743,"W75682424",TEXT($B$1,"yyyy/mm/dd"),1),"")</f>
        <v>4610734065.9700003</v>
      </c>
      <c r="D1743">
        <f>IFERROR([1]!s_stm07_is($A1743,"W76031679",TEXT($B$1,"yyyy/mm/dd"),1),"")</f>
        <v>56411824.450000003</v>
      </c>
      <c r="E1743">
        <f>IFERROR([1]!s_stm07_is($A1743,"W70752487",TEXT($B$1,"yyyy/mm/dd"),1),"")</f>
        <v>75371553.489999995</v>
      </c>
      <c r="F1743">
        <f>IFERROR([1]!s_stm07_is_103($A1743,TEXT($B$1,"yyyy/mm/dd"),1),"")</f>
        <v>264789446.53</v>
      </c>
      <c r="G1743">
        <f>IFERROR([1]!s_stm07_is_104($A1743,TEXT($B$1,"yyyy/mm/dd"),1),"")</f>
        <v>11012240.210000001</v>
      </c>
      <c r="H1743">
        <f>IFERROR([1]!s_stm07_is_105($A1743,TEXT($B$1,"yyyy/mm/dd"),1),"")</f>
        <v>7704526.9500000002</v>
      </c>
      <c r="I1743">
        <f>IFERROR([1]!s_stm07_is($A1743,"W72946623",TEXT($B$1,"yyyy/mm/dd"),1),"")</f>
        <v>259318224.05000001</v>
      </c>
      <c r="J1743">
        <f>IFERROR([1]!s_stm07_is($A1743,"W30028333",TEXT($B$1,"yyyy/mm/dd"),1),"")</f>
        <v>240327620.47999999</v>
      </c>
      <c r="K1743">
        <f>IFERROR([1]!s_stm07_cs($A1743,"W77130581",TEXT($B$1,"yyyy/mm/dd"),1),"")</f>
        <v>-83184590.909999996</v>
      </c>
      <c r="L1743">
        <f>IFERROR([1]!s_stm07_cs($A1743,"W77745895",TEXT($B$1,"yyyy/mm/dd"),1),"")</f>
        <v>233398291.47</v>
      </c>
      <c r="M1743">
        <f>IFERROR([1]!S_FA_EPS_basic2($A1743,$B$1,"Cur=CNY"),"")</f>
        <v>1.07</v>
      </c>
      <c r="N1743">
        <f>IFERROR([1]!s_fa_arturndays($A1743,TEXT($B$1,"yyyy/mm/dd")),"")</f>
        <v>135.28749999999999</v>
      </c>
      <c r="O1743" t="str">
        <f>IFERROR([1]!fa_apturndays($A1743,TEXT($B$1,"yyyy/mm/dd")),"")</f>
        <v>Fetch...</v>
      </c>
      <c r="P1743">
        <f>IFERROR([1]!s_fa_invturndays($A1743,TEXT($B$1,"yyyy/mm/dd")),"")</f>
        <v>36.423999999999999</v>
      </c>
    </row>
    <row r="1744" spans="1:16">
      <c r="A1744" t="s">
        <v>1757</v>
      </c>
      <c r="B1744">
        <f>IFERROR([1]!s_stm07_is($A1744,"W70156729",TEXT($B$1,"yyyy/mm/dd"),1),"")</f>
        <v>1560152996.71</v>
      </c>
      <c r="C1744">
        <f>IFERROR([1]!s_stm07_is($A1744,"W75682424",TEXT($B$1,"yyyy/mm/dd"),1),"")</f>
        <v>107677220.44</v>
      </c>
      <c r="D1744">
        <f>IFERROR([1]!s_stm07_is($A1744,"W76031679",TEXT($B$1,"yyyy/mm/dd"),1),"")</f>
        <v>843076444.54999995</v>
      </c>
      <c r="E1744">
        <f>IFERROR([1]!s_stm07_is($A1744,"W70752487",TEXT($B$1,"yyyy/mm/dd"),1),"")</f>
        <v>187212281.06</v>
      </c>
      <c r="F1744">
        <f>IFERROR([1]!s_stm07_is_103($A1744,TEXT($B$1,"yyyy/mm/dd"),1),"")</f>
        <v>837852488.88999999</v>
      </c>
      <c r="G1744">
        <f>IFERROR([1]!s_stm07_is_104($A1744,TEXT($B$1,"yyyy/mm/dd"),1),"")</f>
        <v>83830964.159999996</v>
      </c>
      <c r="H1744">
        <f>IFERROR([1]!s_stm07_is_105($A1744,TEXT($B$1,"yyyy/mm/dd"),1),"")</f>
        <v>1881707.65</v>
      </c>
      <c r="I1744">
        <f>IFERROR([1]!s_stm07_is($A1744,"W72946623",TEXT($B$1,"yyyy/mm/dd"),1),"")</f>
        <v>-563621357.37</v>
      </c>
      <c r="J1744">
        <f>IFERROR([1]!s_stm07_is($A1744,"W30028333",TEXT($B$1,"yyyy/mm/dd"),1),"")</f>
        <v>-564852296.49000001</v>
      </c>
      <c r="K1744">
        <f>IFERROR([1]!s_stm07_cs($A1744,"W77130581",TEXT($B$1,"yyyy/mm/dd"),1),"")</f>
        <v>-275601756.38</v>
      </c>
      <c r="L1744">
        <f>IFERROR([1]!s_stm07_cs($A1744,"W77745895",TEXT($B$1,"yyyy/mm/dd"),1),"")</f>
        <v>216517898.77000001</v>
      </c>
      <c r="M1744">
        <f>IFERROR([1]!S_FA_EPS_basic2($A1744,$B$1,"Cur=CNY"),"")</f>
        <v>-1.32</v>
      </c>
      <c r="N1744">
        <f>IFERROR([1]!s_fa_arturndays($A1744,TEXT($B$1,"yyyy/mm/dd")),"")</f>
        <v>137.3364</v>
      </c>
      <c r="O1744" t="str">
        <f>IFERROR([1]!fa_apturndays($A1744,TEXT($B$1,"yyyy/mm/dd")),"")</f>
        <v>Fetch...</v>
      </c>
      <c r="P1744">
        <f>IFERROR([1]!s_fa_invturndays($A1744,TEXT($B$1,"yyyy/mm/dd")),"")</f>
        <v>996.12620000000004</v>
      </c>
    </row>
    <row r="1745" spans="1:16">
      <c r="A1745" t="s">
        <v>1758</v>
      </c>
      <c r="B1745">
        <f>IFERROR([1]!s_stm07_is($A1745,"W70156729",TEXT($B$1,"yyyy/mm/dd"),1),"")</f>
        <v>460892766.97000003</v>
      </c>
      <c r="C1745">
        <f>IFERROR([1]!s_stm07_is($A1745,"W75682424",TEXT($B$1,"yyyy/mm/dd"),1),"")</f>
        <v>165047734.56</v>
      </c>
      <c r="D1745">
        <f>IFERROR([1]!s_stm07_is($A1745,"W76031679",TEXT($B$1,"yyyy/mm/dd"),1),"")</f>
        <v>37646602.289999999</v>
      </c>
      <c r="E1745">
        <f>IFERROR([1]!s_stm07_is($A1745,"W70752487",TEXT($B$1,"yyyy/mm/dd"),1),"")</f>
        <v>45480179.280000001</v>
      </c>
      <c r="F1745">
        <f>IFERROR([1]!s_stm07_is_103($A1745,TEXT($B$1,"yyyy/mm/dd"),1),"")</f>
        <v>107573028.25</v>
      </c>
      <c r="G1745">
        <f>IFERROR([1]!s_stm07_is_104($A1745,TEXT($B$1,"yyyy/mm/dd"),1),"")</f>
        <v>113581.13</v>
      </c>
      <c r="H1745">
        <f>IFERROR([1]!s_stm07_is_105($A1745,TEXT($B$1,"yyyy/mm/dd"),1),"")</f>
        <v>26293249.550000001</v>
      </c>
      <c r="I1745">
        <f>IFERROR([1]!s_stm07_is($A1745,"W72946623",TEXT($B$1,"yyyy/mm/dd"),1),"")</f>
        <v>111956476.04000001</v>
      </c>
      <c r="J1745">
        <f>IFERROR([1]!s_stm07_is($A1745,"W30028333",TEXT($B$1,"yyyy/mm/dd"),1),"")</f>
        <v>109478061.94</v>
      </c>
      <c r="K1745">
        <f>IFERROR([1]!s_stm07_cs($A1745,"W77130581",TEXT($B$1,"yyyy/mm/dd"),1),"")</f>
        <v>143499220.65000001</v>
      </c>
      <c r="L1745">
        <f>IFERROR([1]!s_stm07_cs($A1745,"W77745895",TEXT($B$1,"yyyy/mm/dd"),1),"")</f>
        <v>163766937.18000001</v>
      </c>
      <c r="M1745">
        <f>IFERROR([1]!S_FA_EPS_basic2($A1745,$B$1,"Cur=CNY"),"")</f>
        <v>0.36</v>
      </c>
      <c r="N1745">
        <f>IFERROR([1]!s_fa_arturndays($A1745,TEXT($B$1,"yyyy/mm/dd")),"")</f>
        <v>151.94999999999999</v>
      </c>
      <c r="O1745" t="str">
        <f>IFERROR([1]!fa_apturndays($A1745,TEXT($B$1,"yyyy/mm/dd")),"")</f>
        <v>Fetch...</v>
      </c>
      <c r="P1745">
        <f>IFERROR([1]!s_fa_invturndays($A1745,TEXT($B$1,"yyyy/mm/dd")),"")</f>
        <v>620.68970000000002</v>
      </c>
    </row>
    <row r="1746" spans="1:16">
      <c r="A1746" t="s">
        <v>1759</v>
      </c>
      <c r="B1746">
        <f>IFERROR([1]!s_stm07_is($A1746,"W70156729",TEXT($B$1,"yyyy/mm/dd"),1),"")</f>
        <v>458293824.49000001</v>
      </c>
      <c r="C1746">
        <f>IFERROR([1]!s_stm07_is($A1746,"W75682424",TEXT($B$1,"yyyy/mm/dd"),1),"")</f>
        <v>282577940.81</v>
      </c>
      <c r="D1746">
        <f>IFERROR([1]!s_stm07_is($A1746,"W76031679",TEXT($B$1,"yyyy/mm/dd"),1),"")</f>
        <v>7935968.6699999999</v>
      </c>
      <c r="E1746">
        <f>IFERROR([1]!s_stm07_is($A1746,"W70752487",TEXT($B$1,"yyyy/mm/dd"),1),"")</f>
        <v>34657135.359999999</v>
      </c>
      <c r="F1746">
        <f>IFERROR([1]!s_stm07_is_103($A1746,TEXT($B$1,"yyyy/mm/dd"),1),"")</f>
        <v>81451561.489999995</v>
      </c>
      <c r="G1746">
        <f>IFERROR([1]!s_stm07_is_104($A1746,TEXT($B$1,"yyyy/mm/dd"),1),"")</f>
        <v>2850233.37</v>
      </c>
      <c r="H1746">
        <f>IFERROR([1]!s_stm07_is_105($A1746,TEXT($B$1,"yyyy/mm/dd"),1),"")</f>
        <v>670825.43999999994</v>
      </c>
      <c r="I1746">
        <f>IFERROR([1]!s_stm07_is($A1746,"W72946623",TEXT($B$1,"yyyy/mm/dd"),1),"")</f>
        <v>43018468.920000002</v>
      </c>
      <c r="J1746">
        <f>IFERROR([1]!s_stm07_is($A1746,"W30028333",TEXT($B$1,"yyyy/mm/dd"),1),"")</f>
        <v>47597223.990000002</v>
      </c>
      <c r="K1746">
        <f>IFERROR([1]!s_stm07_cs($A1746,"W77130581",TEXT($B$1,"yyyy/mm/dd"),1),"")</f>
        <v>179831336.97</v>
      </c>
      <c r="L1746">
        <f>IFERROR([1]!s_stm07_cs($A1746,"W77745895",TEXT($B$1,"yyyy/mm/dd"),1),"")</f>
        <v>339076302.12</v>
      </c>
      <c r="M1746">
        <f>IFERROR([1]!S_FA_EPS_basic2($A1746,$B$1,"Cur=CNY"),"")</f>
        <v>0.11700000000000001</v>
      </c>
      <c r="N1746">
        <f>IFERROR([1]!s_fa_arturndays($A1746,TEXT($B$1,"yyyy/mm/dd")),"")</f>
        <v>293.11189999999999</v>
      </c>
      <c r="O1746" t="str">
        <f>IFERROR([1]!fa_apturndays($A1746,TEXT($B$1,"yyyy/mm/dd")),"")</f>
        <v>Fetch...</v>
      </c>
      <c r="P1746">
        <f>IFERROR([1]!s_fa_invturndays($A1746,TEXT($B$1,"yyyy/mm/dd")),"")</f>
        <v>266.64690000000002</v>
      </c>
    </row>
    <row r="1747" spans="1:16">
      <c r="A1747" t="s">
        <v>1760</v>
      </c>
      <c r="B1747">
        <f>IFERROR([1]!s_stm07_is($A1747,"W70156729",TEXT($B$1,"yyyy/mm/dd"),1),"")</f>
        <v>11302479960.23</v>
      </c>
      <c r="C1747">
        <f>IFERROR([1]!s_stm07_is($A1747,"W75682424",TEXT($B$1,"yyyy/mm/dd"),1),"")</f>
        <v>8879167773.9300003</v>
      </c>
      <c r="D1747">
        <f>IFERROR([1]!s_stm07_is($A1747,"W76031679",TEXT($B$1,"yyyy/mm/dd"),1),"")</f>
        <v>328471027.17000002</v>
      </c>
      <c r="E1747">
        <f>IFERROR([1]!s_stm07_is($A1747,"W70752487",TEXT($B$1,"yyyy/mm/dd"),1),"")</f>
        <v>407643495.31</v>
      </c>
      <c r="F1747">
        <f>IFERROR([1]!s_stm07_is_103($A1747,TEXT($B$1,"yyyy/mm/dd"),1),"")</f>
        <v>632380820.11000001</v>
      </c>
      <c r="G1747">
        <f>IFERROR([1]!s_stm07_is_104($A1747,TEXT($B$1,"yyyy/mm/dd"),1),"")</f>
        <v>166472489.66</v>
      </c>
      <c r="H1747">
        <f>IFERROR([1]!s_stm07_is_105($A1747,TEXT($B$1,"yyyy/mm/dd"),1),"")</f>
        <v>14539466.529999999</v>
      </c>
      <c r="I1747">
        <f>IFERROR([1]!s_stm07_is($A1747,"W72946623",TEXT($B$1,"yyyy/mm/dd"),1),"")</f>
        <v>931772358.30999994</v>
      </c>
      <c r="J1747">
        <f>IFERROR([1]!s_stm07_is($A1747,"W30028333",TEXT($B$1,"yyyy/mm/dd"),1),"")</f>
        <v>853035235.09000003</v>
      </c>
      <c r="K1747">
        <f>IFERROR([1]!s_stm07_cs($A1747,"W77130581",TEXT($B$1,"yyyy/mm/dd"),1),"")</f>
        <v>-1965464753.3099999</v>
      </c>
      <c r="L1747">
        <f>IFERROR([1]!s_stm07_cs($A1747,"W77745895",TEXT($B$1,"yyyy/mm/dd"),1),"")</f>
        <v>1520503759.1300001</v>
      </c>
      <c r="M1747">
        <f>IFERROR([1]!S_FA_EPS_basic2($A1747,$B$1,"Cur=CNY"),"")</f>
        <v>1.87</v>
      </c>
      <c r="N1747">
        <f>IFERROR([1]!s_fa_arturndays($A1747,TEXT($B$1,"yyyy/mm/dd")),"")</f>
        <v>38.220199999999998</v>
      </c>
      <c r="O1747" t="str">
        <f>IFERROR([1]!fa_apturndays($A1747,TEXT($B$1,"yyyy/mm/dd")),"")</f>
        <v>Fetch...</v>
      </c>
      <c r="P1747">
        <f>IFERROR([1]!s_fa_invturndays($A1747,TEXT($B$1,"yyyy/mm/dd")),"")</f>
        <v>231.2139</v>
      </c>
    </row>
    <row r="1748" spans="1:16">
      <c r="A1748" t="s">
        <v>1761</v>
      </c>
      <c r="B1748">
        <f>IFERROR([1]!s_stm07_is($A1748,"W70156729",TEXT($B$1,"yyyy/mm/dd"),1),"")</f>
        <v>2142091293.26</v>
      </c>
      <c r="C1748">
        <f>IFERROR([1]!s_stm07_is($A1748,"W75682424",TEXT($B$1,"yyyy/mm/dd"),1),"")</f>
        <v>1143006082.2</v>
      </c>
      <c r="D1748">
        <f>IFERROR([1]!s_stm07_is($A1748,"W76031679",TEXT($B$1,"yyyy/mm/dd"),1),"")</f>
        <v>133695014.38</v>
      </c>
      <c r="E1748">
        <f>IFERROR([1]!s_stm07_is($A1748,"W70752487",TEXT($B$1,"yyyy/mm/dd"),1),"")</f>
        <v>132172060.18000001</v>
      </c>
      <c r="F1748">
        <f>IFERROR([1]!s_stm07_is_103($A1748,TEXT($B$1,"yyyy/mm/dd"),1),"")</f>
        <v>588188800.28999996</v>
      </c>
      <c r="G1748">
        <f>IFERROR([1]!s_stm07_is_104($A1748,TEXT($B$1,"yyyy/mm/dd"),1),"")</f>
        <v>11386662.35</v>
      </c>
      <c r="H1748">
        <f>IFERROR([1]!s_stm07_is_105($A1748,TEXT($B$1,"yyyy/mm/dd"),1),"")</f>
        <v>22619910.670000002</v>
      </c>
      <c r="I1748">
        <f>IFERROR([1]!s_stm07_is($A1748,"W72946623",TEXT($B$1,"yyyy/mm/dd"),1),"")</f>
        <v>179768748.75</v>
      </c>
      <c r="J1748">
        <f>IFERROR([1]!s_stm07_is($A1748,"W30028333",TEXT($B$1,"yyyy/mm/dd"),1),"")</f>
        <v>172991828.80000001</v>
      </c>
      <c r="K1748">
        <f>IFERROR([1]!s_stm07_cs($A1748,"W77130581",TEXT($B$1,"yyyy/mm/dd"),1),"")</f>
        <v>147770952.44</v>
      </c>
      <c r="L1748">
        <f>IFERROR([1]!s_stm07_cs($A1748,"W77745895",TEXT($B$1,"yyyy/mm/dd"),1),"")</f>
        <v>188922881.41999999</v>
      </c>
      <c r="M1748">
        <f>IFERROR([1]!S_FA_EPS_basic2($A1748,$B$1,"Cur=CNY"),"")</f>
        <v>1.3</v>
      </c>
      <c r="N1748">
        <f>IFERROR([1]!s_fa_arturndays($A1748,TEXT($B$1,"yyyy/mm/dd")),"")</f>
        <v>39.289299999999997</v>
      </c>
      <c r="O1748" t="str">
        <f>IFERROR([1]!fa_apturndays($A1748,TEXT($B$1,"yyyy/mm/dd")),"")</f>
        <v>Fetch...</v>
      </c>
      <c r="P1748">
        <f>IFERROR([1]!s_fa_invturndays($A1748,TEXT($B$1,"yyyy/mm/dd")),"")</f>
        <v>137.80959999999999</v>
      </c>
    </row>
    <row r="1749" spans="1:16">
      <c r="A1749" t="s">
        <v>1762</v>
      </c>
      <c r="B1749">
        <f>IFERROR([1]!s_stm07_is($A1749,"W70156729",TEXT($B$1,"yyyy/mm/dd"),1),"")</f>
        <v>5500745461.7299995</v>
      </c>
      <c r="C1749">
        <f>IFERROR([1]!s_stm07_is($A1749,"W75682424",TEXT($B$1,"yyyy/mm/dd"),1),"")</f>
        <v>6409911603.9099998</v>
      </c>
      <c r="D1749">
        <f>IFERROR([1]!s_stm07_is($A1749,"W76031679",TEXT($B$1,"yyyy/mm/dd"),1),"")</f>
        <v>34365580.880000003</v>
      </c>
      <c r="E1749">
        <f>IFERROR([1]!s_stm07_is($A1749,"W70752487",TEXT($B$1,"yyyy/mm/dd"),1),"")</f>
        <v>112654484.37</v>
      </c>
      <c r="F1749">
        <f>IFERROR([1]!s_stm07_is_103($A1749,TEXT($B$1,"yyyy/mm/dd"),1),"")</f>
        <v>214335593.88</v>
      </c>
      <c r="G1749">
        <f>IFERROR([1]!s_stm07_is_104($A1749,TEXT($B$1,"yyyy/mm/dd"),1),"")</f>
        <v>478785496.24000001</v>
      </c>
      <c r="H1749">
        <f>IFERROR([1]!s_stm07_is_105($A1749,TEXT($B$1,"yyyy/mm/dd"),1),"")</f>
        <v>8000927.3499999996</v>
      </c>
      <c r="I1749">
        <f>IFERROR([1]!s_stm07_is($A1749,"W72946623",TEXT($B$1,"yyyy/mm/dd"),1),"")</f>
        <v>-1971728856.3900001</v>
      </c>
      <c r="J1749">
        <f>IFERROR([1]!s_stm07_is($A1749,"W30028333",TEXT($B$1,"yyyy/mm/dd"),1),"")</f>
        <v>-1971728856.3900001</v>
      </c>
      <c r="K1749">
        <f>IFERROR([1]!s_stm07_cs($A1749,"W77130581",TEXT($B$1,"yyyy/mm/dd"),1),"")</f>
        <v>638587371.54999995</v>
      </c>
      <c r="L1749">
        <f>IFERROR([1]!s_stm07_cs($A1749,"W77745895",TEXT($B$1,"yyyy/mm/dd"),1),"")</f>
        <v>1798910470.9400001</v>
      </c>
      <c r="M1749">
        <f>IFERROR([1]!S_FA_EPS_basic2($A1749,$B$1,"Cur=CNY"),"")</f>
        <v>-0.14000000000000001</v>
      </c>
      <c r="N1749">
        <f>IFERROR([1]!s_fa_arturndays($A1749,TEXT($B$1,"yyyy/mm/dd")),"")</f>
        <v>41.672899999999998</v>
      </c>
      <c r="O1749" t="str">
        <f>IFERROR([1]!fa_apturndays($A1749,TEXT($B$1,"yyyy/mm/dd")),"")</f>
        <v>Fetch...</v>
      </c>
      <c r="P1749">
        <f>IFERROR([1]!s_fa_invturndays($A1749,TEXT($B$1,"yyyy/mm/dd")),"")</f>
        <v>46.909799999999997</v>
      </c>
    </row>
    <row r="1750" spans="1:16">
      <c r="A1750" t="s">
        <v>1763</v>
      </c>
      <c r="B1750">
        <f>IFERROR([1]!s_stm07_is($A1750,"W70156729",TEXT($B$1,"yyyy/mm/dd"),1),"")</f>
        <v>1410287798.8199999</v>
      </c>
      <c r="C1750">
        <f>IFERROR([1]!s_stm07_is($A1750,"W75682424",TEXT($B$1,"yyyy/mm/dd"),1),"")</f>
        <v>933854195.50999999</v>
      </c>
      <c r="D1750">
        <f>IFERROR([1]!s_stm07_is($A1750,"W76031679",TEXT($B$1,"yyyy/mm/dd"),1),"")</f>
        <v>21035815.539999999</v>
      </c>
      <c r="E1750">
        <f>IFERROR([1]!s_stm07_is($A1750,"W70752487",TEXT($B$1,"yyyy/mm/dd"),1),"")</f>
        <v>103895938.70999999</v>
      </c>
      <c r="F1750">
        <f>IFERROR([1]!s_stm07_is_103($A1750,TEXT($B$1,"yyyy/mm/dd"),1),"")</f>
        <v>118454377.36</v>
      </c>
      <c r="G1750">
        <f>IFERROR([1]!s_stm07_is_104($A1750,TEXT($B$1,"yyyy/mm/dd"),1),"")</f>
        <v>943915.75</v>
      </c>
      <c r="H1750">
        <f>IFERROR([1]!s_stm07_is_105($A1750,TEXT($B$1,"yyyy/mm/dd"),1),"")</f>
        <v>13509224.08</v>
      </c>
      <c r="I1750">
        <f>IFERROR([1]!s_stm07_is($A1750,"W72946623",TEXT($B$1,"yyyy/mm/dd"),1),"")</f>
        <v>272480981.18000001</v>
      </c>
      <c r="J1750">
        <f>IFERROR([1]!s_stm07_is($A1750,"W30028333",TEXT($B$1,"yyyy/mm/dd"),1),"")</f>
        <v>246593361.22</v>
      </c>
      <c r="K1750">
        <f>IFERROR([1]!s_stm07_cs($A1750,"W77130581",TEXT($B$1,"yyyy/mm/dd"),1),"")</f>
        <v>462103771.00999999</v>
      </c>
      <c r="L1750">
        <f>IFERROR([1]!s_stm07_cs($A1750,"W77745895",TEXT($B$1,"yyyy/mm/dd"),1),"")</f>
        <v>85252650.739999995</v>
      </c>
      <c r="M1750">
        <f>IFERROR([1]!S_FA_EPS_basic2($A1750,$B$1,"Cur=CNY"),"")</f>
        <v>1.18</v>
      </c>
      <c r="N1750">
        <f>IFERROR([1]!s_fa_arturndays($A1750,TEXT($B$1,"yyyy/mm/dd")),"")</f>
        <v>122.0132</v>
      </c>
      <c r="O1750" t="str">
        <f>IFERROR([1]!fa_apturndays($A1750,TEXT($B$1,"yyyy/mm/dd")),"")</f>
        <v>Fetch...</v>
      </c>
      <c r="P1750">
        <f>IFERROR([1]!s_fa_invturndays($A1750,TEXT($B$1,"yyyy/mm/dd")),"")</f>
        <v>90.787599999999998</v>
      </c>
    </row>
    <row r="1751" spans="1:16">
      <c r="A1751" t="s">
        <v>1764</v>
      </c>
      <c r="B1751">
        <f>IFERROR([1]!s_stm07_is($A1751,"W70156729",TEXT($B$1,"yyyy/mm/dd"),1),"")</f>
        <v>2424495595.8699999</v>
      </c>
      <c r="C1751">
        <f>IFERROR([1]!s_stm07_is($A1751,"W75682424",TEXT($B$1,"yyyy/mm/dd"),1),"")</f>
        <v>1771360620.4300001</v>
      </c>
      <c r="D1751">
        <f>IFERROR([1]!s_stm07_is($A1751,"W76031679",TEXT($B$1,"yyyy/mm/dd"),1),"")</f>
        <v>40699354.799999997</v>
      </c>
      <c r="E1751">
        <f>IFERROR([1]!s_stm07_is($A1751,"W70752487",TEXT($B$1,"yyyy/mm/dd"),1),"")</f>
        <v>179977210.94</v>
      </c>
      <c r="F1751">
        <f>IFERROR([1]!s_stm07_is_103($A1751,TEXT($B$1,"yyyy/mm/dd"),1),"")</f>
        <v>102793465.47</v>
      </c>
      <c r="G1751">
        <f>IFERROR([1]!s_stm07_is_104($A1751,TEXT($B$1,"yyyy/mm/dd"),1),"")</f>
        <v>29987120.449999999</v>
      </c>
      <c r="H1751">
        <f>IFERROR([1]!s_stm07_is_105($A1751,TEXT($B$1,"yyyy/mm/dd"),1),"")</f>
        <v>5732655.5700000003</v>
      </c>
      <c r="I1751">
        <f>IFERROR([1]!s_stm07_is($A1751,"W72946623",TEXT($B$1,"yyyy/mm/dd"),1),"")</f>
        <v>330906864.44</v>
      </c>
      <c r="J1751">
        <f>IFERROR([1]!s_stm07_is($A1751,"W30028333",TEXT($B$1,"yyyy/mm/dd"),1),"")</f>
        <v>285671420.12</v>
      </c>
      <c r="K1751">
        <f>IFERROR([1]!s_stm07_cs($A1751,"W77130581",TEXT($B$1,"yyyy/mm/dd"),1),"")</f>
        <v>804706299.01999998</v>
      </c>
      <c r="L1751">
        <f>IFERROR([1]!s_stm07_cs($A1751,"W77745895",TEXT($B$1,"yyyy/mm/dd"),1),"")</f>
        <v>1397034593.24</v>
      </c>
      <c r="M1751">
        <f>IFERROR([1]!S_FA_EPS_basic2($A1751,$B$1,"Cur=CNY"),"")</f>
        <v>0.22</v>
      </c>
      <c r="N1751">
        <f>IFERROR([1]!s_fa_arturndays($A1751,TEXT($B$1,"yyyy/mm/dd")),"")</f>
        <v>74.845600000000005</v>
      </c>
      <c r="O1751" t="str">
        <f>IFERROR([1]!fa_apturndays($A1751,TEXT($B$1,"yyyy/mm/dd")),"")</f>
        <v>Fetch...</v>
      </c>
      <c r="P1751">
        <f>IFERROR([1]!s_fa_invturndays($A1751,TEXT($B$1,"yyyy/mm/dd")),"")</f>
        <v>49.816600000000001</v>
      </c>
    </row>
    <row r="1752" spans="1:16">
      <c r="A1752" t="s">
        <v>1765</v>
      </c>
      <c r="B1752">
        <f>IFERROR([1]!s_stm07_is($A1752,"W70156729",TEXT($B$1,"yyyy/mm/dd"),1),"")</f>
        <v>1211531616.2</v>
      </c>
      <c r="C1752">
        <f>IFERROR([1]!s_stm07_is($A1752,"W75682424",TEXT($B$1,"yyyy/mm/dd"),1),"")</f>
        <v>1041511386.52</v>
      </c>
      <c r="D1752">
        <f>IFERROR([1]!s_stm07_is($A1752,"W76031679",TEXT($B$1,"yyyy/mm/dd"),1),"")</f>
        <v>20915584.100000001</v>
      </c>
      <c r="E1752">
        <f>IFERROR([1]!s_stm07_is($A1752,"W70752487",TEXT($B$1,"yyyy/mm/dd"),1),"")</f>
        <v>50886392.090000004</v>
      </c>
      <c r="F1752">
        <f>IFERROR([1]!s_stm07_is_103($A1752,TEXT($B$1,"yyyy/mm/dd"),1),"")</f>
        <v>82300079.829999998</v>
      </c>
      <c r="G1752">
        <f>IFERROR([1]!s_stm07_is_104($A1752,TEXT($B$1,"yyyy/mm/dd"),1),"")</f>
        <v>3482549.86</v>
      </c>
      <c r="H1752">
        <f>IFERROR([1]!s_stm07_is_105($A1752,TEXT($B$1,"yyyy/mm/dd"),1),"")</f>
        <v>27507343.640000001</v>
      </c>
      <c r="I1752">
        <f>IFERROR([1]!s_stm07_is($A1752,"W72946623",TEXT($B$1,"yyyy/mm/dd"),1),"")</f>
        <v>-24416116.359999999</v>
      </c>
      <c r="J1752">
        <f>IFERROR([1]!s_stm07_is($A1752,"W30028333",TEXT($B$1,"yyyy/mm/dd"),1),"")</f>
        <v>-16596195.33</v>
      </c>
      <c r="K1752">
        <f>IFERROR([1]!s_stm07_cs($A1752,"W77130581",TEXT($B$1,"yyyy/mm/dd"),1),"")</f>
        <v>189868120.02000001</v>
      </c>
      <c r="L1752">
        <f>IFERROR([1]!s_stm07_cs($A1752,"W77745895",TEXT($B$1,"yyyy/mm/dd"),1),"")</f>
        <v>210407611.37</v>
      </c>
      <c r="M1752">
        <f>IFERROR([1]!S_FA_EPS_basic2($A1752,$B$1,"Cur=CNY"),"")</f>
        <v>-1.0999999999999999E-2</v>
      </c>
      <c r="N1752">
        <f>IFERROR([1]!s_fa_arturndays($A1752,TEXT($B$1,"yyyy/mm/dd")),"")</f>
        <v>80.432500000000005</v>
      </c>
      <c r="O1752" t="str">
        <f>IFERROR([1]!fa_apturndays($A1752,TEXT($B$1,"yyyy/mm/dd")),"")</f>
        <v>Fetch...</v>
      </c>
      <c r="P1752">
        <f>IFERROR([1]!s_fa_invturndays($A1752,TEXT($B$1,"yyyy/mm/dd")),"")</f>
        <v>83.7209</v>
      </c>
    </row>
    <row r="1753" spans="1:16">
      <c r="A1753" t="s">
        <v>1766</v>
      </c>
      <c r="B1753">
        <f>IFERROR([1]!s_stm07_is($A1753,"W70156729",TEXT($B$1,"yyyy/mm/dd"),1),"")</f>
        <v>810195561.19000006</v>
      </c>
      <c r="C1753">
        <f>IFERROR([1]!s_stm07_is($A1753,"W75682424",TEXT($B$1,"yyyy/mm/dd"),1),"")</f>
        <v>636144576.26999998</v>
      </c>
      <c r="D1753">
        <f>IFERROR([1]!s_stm07_is($A1753,"W76031679",TEXT($B$1,"yyyy/mm/dd"),1),"")</f>
        <v>4721938.2300000004</v>
      </c>
      <c r="E1753">
        <f>IFERROR([1]!s_stm07_is($A1753,"W70752487",TEXT($B$1,"yyyy/mm/dd"),1),"")</f>
        <v>70876788.579999998</v>
      </c>
      <c r="F1753">
        <f>IFERROR([1]!s_stm07_is_103($A1753,TEXT($B$1,"yyyy/mm/dd"),1),"")</f>
        <v>95169958.090000004</v>
      </c>
      <c r="G1753">
        <f>IFERROR([1]!s_stm07_is_104($A1753,TEXT($B$1,"yyyy/mm/dd"),1),"")</f>
        <v>96574.84</v>
      </c>
      <c r="H1753">
        <f>IFERROR([1]!s_stm07_is_105($A1753,TEXT($B$1,"yyyy/mm/dd"),1),"")</f>
        <v>21096571.5</v>
      </c>
      <c r="I1753">
        <f>IFERROR([1]!s_stm07_is($A1753,"W72946623",TEXT($B$1,"yyyy/mm/dd"),1),"")</f>
        <v>24530514.670000002</v>
      </c>
      <c r="J1753">
        <f>IFERROR([1]!s_stm07_is($A1753,"W30028333",TEXT($B$1,"yyyy/mm/dd"),1),"")</f>
        <v>31951309.149999999</v>
      </c>
      <c r="K1753">
        <f>IFERROR([1]!s_stm07_cs($A1753,"W77130581",TEXT($B$1,"yyyy/mm/dd"),1),"")</f>
        <v>-30114480.41</v>
      </c>
      <c r="L1753">
        <f>IFERROR([1]!s_stm07_cs($A1753,"W77745895",TEXT($B$1,"yyyy/mm/dd"),1),"")</f>
        <v>97779297.819999993</v>
      </c>
      <c r="M1753">
        <f>IFERROR([1]!S_FA_EPS_basic2($A1753,$B$1,"Cur=CNY"),"")</f>
        <v>0.09</v>
      </c>
      <c r="N1753">
        <f>IFERROR([1]!s_fa_arturndays($A1753,TEXT($B$1,"yyyy/mm/dd")),"")</f>
        <v>139.2704</v>
      </c>
      <c r="O1753" t="str">
        <f>IFERROR([1]!fa_apturndays($A1753,TEXT($B$1,"yyyy/mm/dd")),"")</f>
        <v>Fetch...</v>
      </c>
      <c r="P1753">
        <f>IFERROR([1]!s_fa_invturndays($A1753,TEXT($B$1,"yyyy/mm/dd")),"")</f>
        <v>349.00630000000001</v>
      </c>
    </row>
    <row r="1754" spans="1:16">
      <c r="A1754" t="s">
        <v>1767</v>
      </c>
      <c r="B1754">
        <f>IFERROR([1]!s_stm07_is($A1754,"W70156729",TEXT($B$1,"yyyy/mm/dd"),1),"")</f>
        <v>4217003957.1900001</v>
      </c>
      <c r="C1754">
        <f>IFERROR([1]!s_stm07_is($A1754,"W75682424",TEXT($B$1,"yyyy/mm/dd"),1),"")</f>
        <v>3346592316.0900002</v>
      </c>
      <c r="D1754">
        <f>IFERROR([1]!s_stm07_is($A1754,"W76031679",TEXT($B$1,"yyyy/mm/dd"),1),"")</f>
        <v>215495803.30000001</v>
      </c>
      <c r="E1754">
        <f>IFERROR([1]!s_stm07_is($A1754,"W70752487",TEXT($B$1,"yyyy/mm/dd"),1),"")</f>
        <v>403598180.94999999</v>
      </c>
      <c r="F1754">
        <f>IFERROR([1]!s_stm07_is_103($A1754,TEXT($B$1,"yyyy/mm/dd"),1),"")</f>
        <v>604903319.54999995</v>
      </c>
      <c r="G1754">
        <f>IFERROR([1]!s_stm07_is_104($A1754,TEXT($B$1,"yyyy/mm/dd"),1),"")</f>
        <v>75819921.319999993</v>
      </c>
      <c r="H1754">
        <f>IFERROR([1]!s_stm07_is_105($A1754,TEXT($B$1,"yyyy/mm/dd"),1),"")</f>
        <v>21115840.899999999</v>
      </c>
      <c r="I1754">
        <f>IFERROR([1]!s_stm07_is($A1754,"W72946623",TEXT($B$1,"yyyy/mm/dd"),1),"")</f>
        <v>-875255110.83000004</v>
      </c>
      <c r="J1754">
        <f>IFERROR([1]!s_stm07_is($A1754,"W30028333",TEXT($B$1,"yyyy/mm/dd"),1),"")</f>
        <v>-879556138.21000004</v>
      </c>
      <c r="K1754">
        <f>IFERROR([1]!s_stm07_cs($A1754,"W77130581",TEXT($B$1,"yyyy/mm/dd"),1),"")</f>
        <v>791005141.5</v>
      </c>
      <c r="L1754">
        <f>IFERROR([1]!s_stm07_cs($A1754,"W77745895",TEXT($B$1,"yyyy/mm/dd"),1),"")</f>
        <v>538424162.75999999</v>
      </c>
      <c r="M1754">
        <f>IFERROR([1]!S_FA_EPS_basic2($A1754,$B$1,"Cur=CNY"),"")</f>
        <v>-3.6</v>
      </c>
      <c r="N1754">
        <f>IFERROR([1]!s_fa_arturndays($A1754,TEXT($B$1,"yyyy/mm/dd")),"")</f>
        <v>155.87110000000001</v>
      </c>
      <c r="O1754" t="str">
        <f>IFERROR([1]!fa_apturndays($A1754,TEXT($B$1,"yyyy/mm/dd")),"")</f>
        <v>Fetch...</v>
      </c>
      <c r="P1754">
        <f>IFERROR([1]!s_fa_invturndays($A1754,TEXT($B$1,"yyyy/mm/dd")),"")</f>
        <v>511.14580000000001</v>
      </c>
    </row>
    <row r="1755" spans="1:16">
      <c r="A1755" t="s">
        <v>1768</v>
      </c>
      <c r="B1755">
        <f>IFERROR([1]!s_stm07_is($A1755,"W70156729",TEXT($B$1,"yyyy/mm/dd"),1),"")</f>
        <v>4391609937.25</v>
      </c>
      <c r="C1755">
        <f>IFERROR([1]!s_stm07_is($A1755,"W75682424",TEXT($B$1,"yyyy/mm/dd"),1),"")</f>
        <v>2181681240.96</v>
      </c>
      <c r="D1755">
        <f>IFERROR([1]!s_stm07_is($A1755,"W76031679",TEXT($B$1,"yyyy/mm/dd"),1),"")</f>
        <v>1335678485.1900001</v>
      </c>
      <c r="E1755">
        <f>IFERROR([1]!s_stm07_is($A1755,"W70752487",TEXT($B$1,"yyyy/mm/dd"),1),"")</f>
        <v>431716732.92000002</v>
      </c>
      <c r="F1755">
        <f>IFERROR([1]!s_stm07_is_103($A1755,TEXT($B$1,"yyyy/mm/dd"),1),"")</f>
        <v>1090083784.4400001</v>
      </c>
      <c r="G1755">
        <f>IFERROR([1]!s_stm07_is_104($A1755,TEXT($B$1,"yyyy/mm/dd"),1),"")</f>
        <v>72613732.25</v>
      </c>
      <c r="H1755">
        <f>IFERROR([1]!s_stm07_is_105($A1755,TEXT($B$1,"yyyy/mm/dd"),1),"")</f>
        <v>8362370.1299999999</v>
      </c>
      <c r="I1755">
        <f>IFERROR([1]!s_stm07_is($A1755,"W72946623",TEXT($B$1,"yyyy/mm/dd"),1),"")</f>
        <v>-1323748731.7</v>
      </c>
      <c r="J1755">
        <f>IFERROR([1]!s_stm07_is($A1755,"W30028333",TEXT($B$1,"yyyy/mm/dd"),1),"")</f>
        <v>-1287224328.5599999</v>
      </c>
      <c r="K1755">
        <f>IFERROR([1]!s_stm07_cs($A1755,"W77130581",TEXT($B$1,"yyyy/mm/dd"),1),"")</f>
        <v>-60702088.439999998</v>
      </c>
      <c r="L1755">
        <f>IFERROR([1]!s_stm07_cs($A1755,"W77745895",TEXT($B$1,"yyyy/mm/dd"),1),"")</f>
        <v>243646303.44999999</v>
      </c>
      <c r="M1755">
        <f>IFERROR([1]!S_FA_EPS_basic2($A1755,$B$1,"Cur=CNY"),"")</f>
        <v>-1.89</v>
      </c>
      <c r="N1755">
        <f>IFERROR([1]!s_fa_arturndays($A1755,TEXT($B$1,"yyyy/mm/dd")),"")</f>
        <v>449.15780000000001</v>
      </c>
      <c r="O1755" t="str">
        <f>IFERROR([1]!fa_apturndays($A1755,TEXT($B$1,"yyyy/mm/dd")),"")</f>
        <v>Fetch...</v>
      </c>
      <c r="P1755">
        <f>IFERROR([1]!s_fa_invturndays($A1755,TEXT($B$1,"yyyy/mm/dd")),"")</f>
        <v>171.15960000000001</v>
      </c>
    </row>
    <row r="1756" spans="1:16">
      <c r="A1756" t="s">
        <v>1769</v>
      </c>
      <c r="B1756">
        <f>IFERROR([1]!s_stm07_is($A1756,"W70156729",TEXT($B$1,"yyyy/mm/dd"),1),"")</f>
        <v>2858096980.0999999</v>
      </c>
      <c r="C1756">
        <f>IFERROR([1]!s_stm07_is($A1756,"W75682424",TEXT($B$1,"yyyy/mm/dd"),1),"")</f>
        <v>1984904003.3499999</v>
      </c>
      <c r="D1756">
        <f>IFERROR([1]!s_stm07_is($A1756,"W76031679",TEXT($B$1,"yyyy/mm/dd"),1),"")</f>
        <v>19193768.789999999</v>
      </c>
      <c r="E1756">
        <f>IFERROR([1]!s_stm07_is($A1756,"W70752487",TEXT($B$1,"yyyy/mm/dd"),1),"")</f>
        <v>99437817.900000006</v>
      </c>
      <c r="F1756">
        <f>IFERROR([1]!s_stm07_is_103($A1756,TEXT($B$1,"yyyy/mm/dd"),1),"")</f>
        <v>216282784.96000001</v>
      </c>
      <c r="G1756">
        <f>IFERROR([1]!s_stm07_is_104($A1756,TEXT($B$1,"yyyy/mm/dd"),1),"")</f>
        <v>6145454.6799999997</v>
      </c>
      <c r="H1756">
        <f>IFERROR([1]!s_stm07_is_105($A1756,TEXT($B$1,"yyyy/mm/dd"),1),"")</f>
        <v>39389338.520000003</v>
      </c>
      <c r="I1756">
        <f>IFERROR([1]!s_stm07_is($A1756,"W72946623",TEXT($B$1,"yyyy/mm/dd"),1),"")</f>
        <v>599110436.13999999</v>
      </c>
      <c r="J1756">
        <f>IFERROR([1]!s_stm07_is($A1756,"W30028333",TEXT($B$1,"yyyy/mm/dd"),1),"")</f>
        <v>536203630.05000001</v>
      </c>
      <c r="K1756">
        <f>IFERROR([1]!s_stm07_cs($A1756,"W77130581",TEXT($B$1,"yyyy/mm/dd"),1),"")</f>
        <v>475153138.95999998</v>
      </c>
      <c r="L1756">
        <f>IFERROR([1]!s_stm07_cs($A1756,"W77745895",TEXT($B$1,"yyyy/mm/dd"),1),"")</f>
        <v>349207801.29000002</v>
      </c>
      <c r="M1756">
        <f>IFERROR([1]!S_FA_EPS_basic2($A1756,$B$1,"Cur=CNY"),"")</f>
        <v>1.19</v>
      </c>
      <c r="N1756">
        <f>IFERROR([1]!s_fa_arturndays($A1756,TEXT($B$1,"yyyy/mm/dd")),"")</f>
        <v>210.1944</v>
      </c>
      <c r="O1756" t="str">
        <f>IFERROR([1]!fa_apturndays($A1756,TEXT($B$1,"yyyy/mm/dd")),"")</f>
        <v>Fetch...</v>
      </c>
      <c r="P1756">
        <f>IFERROR([1]!s_fa_invturndays($A1756,TEXT($B$1,"yyyy/mm/dd")),"")</f>
        <v>236.76419999999999</v>
      </c>
    </row>
    <row r="1757" spans="1:16">
      <c r="A1757" t="s">
        <v>1770</v>
      </c>
      <c r="B1757">
        <f>IFERROR([1]!s_stm07_is($A1757,"W70156729",TEXT($B$1,"yyyy/mm/dd"),1),"")</f>
        <v>9116796003.7600002</v>
      </c>
      <c r="C1757">
        <f>IFERROR([1]!s_stm07_is($A1757,"W75682424",TEXT($B$1,"yyyy/mm/dd"),1),"")</f>
        <v>8280258087.1800003</v>
      </c>
      <c r="D1757">
        <f>IFERROR([1]!s_stm07_is($A1757,"W76031679",TEXT($B$1,"yyyy/mm/dd"),1),"")</f>
        <v>137670520.63</v>
      </c>
      <c r="E1757">
        <f>IFERROR([1]!s_stm07_is($A1757,"W70752487",TEXT($B$1,"yyyy/mm/dd"),1),"")</f>
        <v>599992446.71000004</v>
      </c>
      <c r="F1757">
        <f>IFERROR([1]!s_stm07_is_103($A1757,TEXT($B$1,"yyyy/mm/dd"),1),"")</f>
        <v>631117263.59000003</v>
      </c>
      <c r="G1757">
        <f>IFERROR([1]!s_stm07_is_104($A1757,TEXT($B$1,"yyyy/mm/dd"),1),"")</f>
        <v>267280230.11000001</v>
      </c>
      <c r="H1757">
        <f>IFERROR([1]!s_stm07_is_105($A1757,TEXT($B$1,"yyyy/mm/dd"),1),"")</f>
        <v>39076319.020000003</v>
      </c>
      <c r="I1757">
        <f>IFERROR([1]!s_stm07_is($A1757,"W72946623",TEXT($B$1,"yyyy/mm/dd"),1),"")</f>
        <v>-683350016.35000002</v>
      </c>
      <c r="J1757">
        <f>IFERROR([1]!s_stm07_is($A1757,"W30028333",TEXT($B$1,"yyyy/mm/dd"),1),"")</f>
        <v>-746166735.98000002</v>
      </c>
      <c r="K1757">
        <f>IFERROR([1]!s_stm07_cs($A1757,"W77130581",TEXT($B$1,"yyyy/mm/dd"),1),"")</f>
        <v>1722742857.52</v>
      </c>
      <c r="L1757">
        <f>IFERROR([1]!s_stm07_cs($A1757,"W77745895",TEXT($B$1,"yyyy/mm/dd"),1),"")</f>
        <v>479189623</v>
      </c>
      <c r="M1757">
        <f>IFERROR([1]!S_FA_EPS_basic2($A1757,$B$1,"Cur=CNY"),"")</f>
        <v>-0.61</v>
      </c>
      <c r="N1757">
        <f>IFERROR([1]!s_fa_arturndays($A1757,TEXT($B$1,"yyyy/mm/dd")),"")</f>
        <v>82.600999999999999</v>
      </c>
      <c r="O1757" t="str">
        <f>IFERROR([1]!fa_apturndays($A1757,TEXT($B$1,"yyyy/mm/dd")),"")</f>
        <v>Fetch...</v>
      </c>
      <c r="P1757">
        <f>IFERROR([1]!s_fa_invturndays($A1757,TEXT($B$1,"yyyy/mm/dd")),"")</f>
        <v>103.4067</v>
      </c>
    </row>
    <row r="1758" spans="1:16">
      <c r="A1758" t="s">
        <v>1771</v>
      </c>
      <c r="B1758">
        <f>IFERROR([1]!s_stm07_is($A1758,"W70156729",TEXT($B$1,"yyyy/mm/dd"),1),"")</f>
        <v>2676739995.6599998</v>
      </c>
      <c r="C1758">
        <f>IFERROR([1]!s_stm07_is($A1758,"W75682424",TEXT($B$1,"yyyy/mm/dd"),1),"")</f>
        <v>1453794001.71</v>
      </c>
      <c r="D1758">
        <f>IFERROR([1]!s_stm07_is($A1758,"W76031679",TEXT($B$1,"yyyy/mm/dd"),1),"")</f>
        <v>250343674.94</v>
      </c>
      <c r="E1758">
        <f>IFERROR([1]!s_stm07_is($A1758,"W70752487",TEXT($B$1,"yyyy/mm/dd"),1),"")</f>
        <v>340867998.26999998</v>
      </c>
      <c r="F1758">
        <f>IFERROR([1]!s_stm07_is_103($A1758,TEXT($B$1,"yyyy/mm/dd"),1),"")</f>
        <v>533620192.86000001</v>
      </c>
      <c r="G1758">
        <f>IFERROR([1]!s_stm07_is_104($A1758,TEXT($B$1,"yyyy/mm/dd"),1),"")</f>
        <v>35827233.719999999</v>
      </c>
      <c r="H1758">
        <f>IFERROR([1]!s_stm07_is_105($A1758,TEXT($B$1,"yyyy/mm/dd"),1),"")</f>
        <v>10637070.68</v>
      </c>
      <c r="I1758">
        <f>IFERROR([1]!s_stm07_is($A1758,"W72946623",TEXT($B$1,"yyyy/mm/dd"),1),"")</f>
        <v>92491039.560000002</v>
      </c>
      <c r="J1758">
        <f>IFERROR([1]!s_stm07_is($A1758,"W30028333",TEXT($B$1,"yyyy/mm/dd"),1),"")</f>
        <v>29400129.239999998</v>
      </c>
      <c r="K1758">
        <f>IFERROR([1]!s_stm07_cs($A1758,"W77130581",TEXT($B$1,"yyyy/mm/dd"),1),"")</f>
        <v>158427591.93000001</v>
      </c>
      <c r="L1758">
        <f>IFERROR([1]!s_stm07_cs($A1758,"W77745895",TEXT($B$1,"yyyy/mm/dd"),1),"")</f>
        <v>652317945.70000005</v>
      </c>
      <c r="M1758">
        <f>IFERROR([1]!S_FA_EPS_basic2($A1758,$B$1,"Cur=CNY"),"")</f>
        <v>0.04</v>
      </c>
      <c r="N1758">
        <f>IFERROR([1]!s_fa_arturndays($A1758,TEXT($B$1,"yyyy/mm/dd")),"")</f>
        <v>339.01499999999999</v>
      </c>
      <c r="O1758" t="str">
        <f>IFERROR([1]!fa_apturndays($A1758,TEXT($B$1,"yyyy/mm/dd")),"")</f>
        <v>Fetch...</v>
      </c>
      <c r="P1758">
        <f>IFERROR([1]!s_fa_invturndays($A1758,TEXT($B$1,"yyyy/mm/dd")),"")</f>
        <v>332.87099999999998</v>
      </c>
    </row>
    <row r="1759" spans="1:16">
      <c r="A1759" t="s">
        <v>1772</v>
      </c>
      <c r="B1759">
        <f>IFERROR([1]!s_stm07_is($A1759,"W70156729",TEXT($B$1,"yyyy/mm/dd"),1),"")</f>
        <v>1810626198.8499999</v>
      </c>
      <c r="C1759">
        <f>IFERROR([1]!s_stm07_is($A1759,"W75682424",TEXT($B$1,"yyyy/mm/dd"),1),"")</f>
        <v>636564264.71000004</v>
      </c>
      <c r="D1759">
        <f>IFERROR([1]!s_stm07_is($A1759,"W76031679",TEXT($B$1,"yyyy/mm/dd"),1),"")</f>
        <v>448847194.08999997</v>
      </c>
      <c r="E1759">
        <f>IFERROR([1]!s_stm07_is($A1759,"W70752487",TEXT($B$1,"yyyy/mm/dd"),1),"")</f>
        <v>194421640.22</v>
      </c>
      <c r="F1759">
        <f>IFERROR([1]!s_stm07_is_103($A1759,TEXT($B$1,"yyyy/mm/dd"),1),"")</f>
        <v>304916220.08999997</v>
      </c>
      <c r="G1759">
        <f>IFERROR([1]!s_stm07_is_104($A1759,TEXT($B$1,"yyyy/mm/dd"),1),"")</f>
        <v>22888711.280000001</v>
      </c>
      <c r="H1759">
        <f>IFERROR([1]!s_stm07_is_105($A1759,TEXT($B$1,"yyyy/mm/dd"),1),"")</f>
        <v>6031124.6799999997</v>
      </c>
      <c r="I1759">
        <f>IFERROR([1]!s_stm07_is($A1759,"W72946623",TEXT($B$1,"yyyy/mm/dd"),1),"")</f>
        <v>94473951.180000007</v>
      </c>
      <c r="J1759">
        <f>IFERROR([1]!s_stm07_is($A1759,"W30028333",TEXT($B$1,"yyyy/mm/dd"),1),"")</f>
        <v>23340618.379999999</v>
      </c>
      <c r="K1759">
        <f>IFERROR([1]!s_stm07_cs($A1759,"W77130581",TEXT($B$1,"yyyy/mm/dd"),1),"")</f>
        <v>421848960.06</v>
      </c>
      <c r="L1759">
        <f>IFERROR([1]!s_stm07_cs($A1759,"W77745895",TEXT($B$1,"yyyy/mm/dd"),1),"")</f>
        <v>359240490.75</v>
      </c>
      <c r="M1759">
        <f>IFERROR([1]!S_FA_EPS_basic2($A1759,$B$1,"Cur=CNY"),"")</f>
        <v>0.04</v>
      </c>
      <c r="N1759">
        <f>IFERROR([1]!s_fa_arturndays($A1759,TEXT($B$1,"yyyy/mm/dd")),"")</f>
        <v>107.0919</v>
      </c>
      <c r="O1759" t="str">
        <f>IFERROR([1]!fa_apturndays($A1759,TEXT($B$1,"yyyy/mm/dd")),"")</f>
        <v>Fetch...</v>
      </c>
      <c r="P1759">
        <f>IFERROR([1]!s_fa_invturndays($A1759,TEXT($B$1,"yyyy/mm/dd")),"")</f>
        <v>359.892</v>
      </c>
    </row>
    <row r="1760" spans="1:16">
      <c r="A1760" t="s">
        <v>1773</v>
      </c>
      <c r="B1760">
        <f>IFERROR([1]!s_stm07_is($A1760,"W70156729",TEXT($B$1,"yyyy/mm/dd"),1),"")</f>
        <v>5187338133.8500004</v>
      </c>
      <c r="C1760">
        <f>IFERROR([1]!s_stm07_is($A1760,"W75682424",TEXT($B$1,"yyyy/mm/dd"),1),"")</f>
        <v>164579752.94999999</v>
      </c>
      <c r="D1760">
        <f>IFERROR([1]!s_stm07_is($A1760,"W76031679",TEXT($B$1,"yyyy/mm/dd"),1),"")</f>
        <v>2076208820.2</v>
      </c>
      <c r="E1760">
        <f>IFERROR([1]!s_stm07_is($A1760,"W70752487",TEXT($B$1,"yyyy/mm/dd"),1),"")</f>
        <v>166941864.06999999</v>
      </c>
      <c r="F1760">
        <f>IFERROR([1]!s_stm07_is_103($A1760,TEXT($B$1,"yyyy/mm/dd"),1),"")</f>
        <v>413367044.80000001</v>
      </c>
      <c r="G1760">
        <f>IFERROR([1]!s_stm07_is_104($A1760,TEXT($B$1,"yyyy/mm/dd"),1),"")</f>
        <v>130198.97</v>
      </c>
      <c r="H1760">
        <f>IFERROR([1]!s_stm07_is_105($A1760,TEXT($B$1,"yyyy/mm/dd"),1),"")</f>
        <v>54492921.189999998</v>
      </c>
      <c r="I1760">
        <f>IFERROR([1]!s_stm07_is($A1760,"W72946623",TEXT($B$1,"yyyy/mm/dd"),1),"")</f>
        <v>2544937733.9400001</v>
      </c>
      <c r="J1760">
        <f>IFERROR([1]!s_stm07_is($A1760,"W30028333",TEXT($B$1,"yyyy/mm/dd"),1),"")</f>
        <v>2189104957.2399998</v>
      </c>
      <c r="K1760">
        <f>IFERROR([1]!s_stm07_cs($A1760,"W77130581",TEXT($B$1,"yyyy/mm/dd"),1),"")</f>
        <v>2322531540.6500001</v>
      </c>
      <c r="L1760">
        <f>IFERROR([1]!s_stm07_cs($A1760,"W77745895",TEXT($B$1,"yyyy/mm/dd"),1),"")</f>
        <v>186002845.96000001</v>
      </c>
      <c r="M1760">
        <f>IFERROR([1]!S_FA_EPS_basic2($A1760,$B$1,"Cur=CNY"),"")</f>
        <v>4.8600000000000003</v>
      </c>
      <c r="N1760">
        <f>IFERROR([1]!s_fa_arturndays($A1760,TEXT($B$1,"yyyy/mm/dd")),"")</f>
        <v>26.531700000000001</v>
      </c>
      <c r="O1760" t="str">
        <f>IFERROR([1]!fa_apturndays($A1760,TEXT($B$1,"yyyy/mm/dd")),"")</f>
        <v>Fetch...</v>
      </c>
      <c r="P1760">
        <f>IFERROR([1]!s_fa_invturndays($A1760,TEXT($B$1,"yyyy/mm/dd")),"")</f>
        <v>111.79430000000001</v>
      </c>
    </row>
    <row r="1761" spans="1:16">
      <c r="A1761" t="s">
        <v>1774</v>
      </c>
      <c r="B1761">
        <f>IFERROR([1]!s_stm07_is($A1761,"W70156729",TEXT($B$1,"yyyy/mm/dd"),1),"")</f>
        <v>523740685.27999997</v>
      </c>
      <c r="C1761">
        <f>IFERROR([1]!s_stm07_is($A1761,"W75682424",TEXT($B$1,"yyyy/mm/dd"),1),"")</f>
        <v>74515517.950000003</v>
      </c>
      <c r="D1761">
        <f>IFERROR([1]!s_stm07_is($A1761,"W76031679",TEXT($B$1,"yyyy/mm/dd"),1),"")</f>
        <v>13706900.609999999</v>
      </c>
      <c r="E1761">
        <f>IFERROR([1]!s_stm07_is($A1761,"W70752487",TEXT($B$1,"yyyy/mm/dd"),1),"")</f>
        <v>31458449.059999999</v>
      </c>
      <c r="F1761">
        <f>IFERROR([1]!s_stm07_is_103($A1761,TEXT($B$1,"yyyy/mm/dd"),1),"")</f>
        <v>122576279.43000001</v>
      </c>
      <c r="G1761">
        <f>IFERROR([1]!s_stm07_is_104($A1761,TEXT($B$1,"yyyy/mm/dd"),1),"")</f>
        <v>779920.96</v>
      </c>
      <c r="H1761">
        <f>IFERROR([1]!s_stm07_is_105($A1761,TEXT($B$1,"yyyy/mm/dd"),1),"")</f>
        <v>3668796.79</v>
      </c>
      <c r="I1761">
        <f>IFERROR([1]!s_stm07_is($A1761,"W72946623",TEXT($B$1,"yyyy/mm/dd"),1),"")</f>
        <v>302256402.05000001</v>
      </c>
      <c r="J1761">
        <f>IFERROR([1]!s_stm07_is($A1761,"W30028333",TEXT($B$1,"yyyy/mm/dd"),1),"")</f>
        <v>303410840.79000002</v>
      </c>
      <c r="K1761">
        <f>IFERROR([1]!s_stm07_cs($A1761,"W77130581",TEXT($B$1,"yyyy/mm/dd"),1),"")</f>
        <v>313014934.79000002</v>
      </c>
      <c r="L1761">
        <f>IFERROR([1]!s_stm07_cs($A1761,"W77745895",TEXT($B$1,"yyyy/mm/dd"),1),"")</f>
        <v>29929529.350000001</v>
      </c>
      <c r="M1761">
        <f>IFERROR([1]!S_FA_EPS_basic2($A1761,$B$1,"Cur=CNY"),"")</f>
        <v>0.76</v>
      </c>
      <c r="N1761">
        <f>IFERROR([1]!s_fa_arturndays($A1761,TEXT($B$1,"yyyy/mm/dd")),"")</f>
        <v>217.3913</v>
      </c>
      <c r="O1761" t="str">
        <f>IFERROR([1]!fa_apturndays($A1761,TEXT($B$1,"yyyy/mm/dd")),"")</f>
        <v>Fetch...</v>
      </c>
      <c r="P1761">
        <f>IFERROR([1]!s_fa_invturndays($A1761,TEXT($B$1,"yyyy/mm/dd")),"")</f>
        <v>626.63189999999997</v>
      </c>
    </row>
    <row r="1762" spans="1:16">
      <c r="A1762" t="s">
        <v>1775</v>
      </c>
      <c r="B1762">
        <f>IFERROR([1]!s_stm07_is($A1762,"W70156729",TEXT($B$1,"yyyy/mm/dd"),1),"")</f>
        <v>1311341829.0999999</v>
      </c>
      <c r="C1762">
        <f>IFERROR([1]!s_stm07_is($A1762,"W75682424",TEXT($B$1,"yyyy/mm/dd"),1),"")</f>
        <v>929489708.20000005</v>
      </c>
      <c r="D1762">
        <f>IFERROR([1]!s_stm07_is($A1762,"W76031679",TEXT($B$1,"yyyy/mm/dd"),1),"")</f>
        <v>10057765.890000001</v>
      </c>
      <c r="E1762">
        <f>IFERROR([1]!s_stm07_is($A1762,"W70752487",TEXT($B$1,"yyyy/mm/dd"),1),"")</f>
        <v>115618600.36</v>
      </c>
      <c r="F1762">
        <f>IFERROR([1]!s_stm07_is_103($A1762,TEXT($B$1,"yyyy/mm/dd"),1),"")</f>
        <v>114213939.23</v>
      </c>
      <c r="G1762">
        <f>IFERROR([1]!s_stm07_is_104($A1762,TEXT($B$1,"yyyy/mm/dd"),1),"")</f>
        <v>2549011.5699999998</v>
      </c>
      <c r="H1762">
        <f>IFERROR([1]!s_stm07_is_105($A1762,TEXT($B$1,"yyyy/mm/dd"),1),"")</f>
        <v>16385546.77</v>
      </c>
      <c r="I1762">
        <f>IFERROR([1]!s_stm07_is($A1762,"W72946623",TEXT($B$1,"yyyy/mm/dd"),1),"")</f>
        <v>145626173.00999999</v>
      </c>
      <c r="J1762">
        <f>IFERROR([1]!s_stm07_is($A1762,"W30028333",TEXT($B$1,"yyyy/mm/dd"),1),"")</f>
        <v>125349710.79000001</v>
      </c>
      <c r="K1762">
        <f>IFERROR([1]!s_stm07_cs($A1762,"W77130581",TEXT($B$1,"yyyy/mm/dd"),1),"")</f>
        <v>406837174.50999999</v>
      </c>
      <c r="L1762">
        <f>IFERROR([1]!s_stm07_cs($A1762,"W77745895",TEXT($B$1,"yyyy/mm/dd"),1),"")</f>
        <v>1188546662.0599999</v>
      </c>
      <c r="M1762">
        <f>IFERROR([1]!S_FA_EPS_basic2($A1762,$B$1,"Cur=CNY"),"")</f>
        <v>0.19</v>
      </c>
      <c r="N1762">
        <f>IFERROR([1]!s_fa_arturndays($A1762,TEXT($B$1,"yyyy/mm/dd")),"")</f>
        <v>62.437100000000001</v>
      </c>
      <c r="O1762" t="str">
        <f>IFERROR([1]!fa_apturndays($A1762,TEXT($B$1,"yyyy/mm/dd")),"")</f>
        <v>Fetch...</v>
      </c>
      <c r="P1762">
        <f>IFERROR([1]!s_fa_invturndays($A1762,TEXT($B$1,"yyyy/mm/dd")),"")</f>
        <v>127.61879999999999</v>
      </c>
    </row>
    <row r="1763" spans="1:16">
      <c r="A1763" t="s">
        <v>1776</v>
      </c>
      <c r="B1763">
        <f>IFERROR([1]!s_stm07_is($A1763,"W70156729",TEXT($B$1,"yyyy/mm/dd"),1),"")</f>
        <v>947542028.10000002</v>
      </c>
      <c r="C1763">
        <f>IFERROR([1]!s_stm07_is($A1763,"W75682424",TEXT($B$1,"yyyy/mm/dd"),1),"")</f>
        <v>697511296.03999996</v>
      </c>
      <c r="D1763">
        <f>IFERROR([1]!s_stm07_is($A1763,"W76031679",TEXT($B$1,"yyyy/mm/dd"),1),"")</f>
        <v>11300218.949999999</v>
      </c>
      <c r="E1763">
        <f>IFERROR([1]!s_stm07_is($A1763,"W70752487",TEXT($B$1,"yyyy/mm/dd"),1),"")</f>
        <v>122934736.01000001</v>
      </c>
      <c r="F1763">
        <f>IFERROR([1]!s_stm07_is_103($A1763,TEXT($B$1,"yyyy/mm/dd"),1),"")</f>
        <v>83085379.909999996</v>
      </c>
      <c r="G1763">
        <f>IFERROR([1]!s_stm07_is_104($A1763,TEXT($B$1,"yyyy/mm/dd"),1),"")</f>
        <v>362986.4</v>
      </c>
      <c r="H1763">
        <f>IFERROR([1]!s_stm07_is_105($A1763,TEXT($B$1,"yyyy/mm/dd"),1),"")</f>
        <v>22729602.699999999</v>
      </c>
      <c r="I1763">
        <f>IFERROR([1]!s_stm07_is($A1763,"W72946623",TEXT($B$1,"yyyy/mm/dd"),1),"")</f>
        <v>56047961.960000001</v>
      </c>
      <c r="J1763">
        <f>IFERROR([1]!s_stm07_is($A1763,"W30028333",TEXT($B$1,"yyyy/mm/dd"),1),"")</f>
        <v>55014226.219999999</v>
      </c>
      <c r="K1763">
        <f>IFERROR([1]!s_stm07_cs($A1763,"W77130581",TEXT($B$1,"yyyy/mm/dd"),1),"")</f>
        <v>-75285866.060000002</v>
      </c>
      <c r="L1763">
        <f>IFERROR([1]!s_stm07_cs($A1763,"W77745895",TEXT($B$1,"yyyy/mm/dd"),1),"")</f>
        <v>51109228.719999999</v>
      </c>
      <c r="M1763">
        <f>IFERROR([1]!S_FA_EPS_basic2($A1763,$B$1,"Cur=CNY"),"")</f>
        <v>7.0000000000000007E-2</v>
      </c>
      <c r="N1763">
        <f>IFERROR([1]!s_fa_arturndays($A1763,TEXT($B$1,"yyyy/mm/dd")),"")</f>
        <v>395.51749999999998</v>
      </c>
      <c r="O1763" t="str">
        <f>IFERROR([1]!fa_apturndays($A1763,TEXT($B$1,"yyyy/mm/dd")),"")</f>
        <v>Fetch...</v>
      </c>
      <c r="P1763">
        <f>IFERROR([1]!s_fa_invturndays($A1763,TEXT($B$1,"yyyy/mm/dd")),"")</f>
        <v>280.89890000000003</v>
      </c>
    </row>
    <row r="1764" spans="1:16">
      <c r="A1764" t="s">
        <v>1777</v>
      </c>
      <c r="B1764">
        <f>IFERROR([1]!s_stm07_is($A1764,"W70156729",TEXT($B$1,"yyyy/mm/dd"),1),"")</f>
        <v>1015027035.49</v>
      </c>
      <c r="C1764">
        <f>IFERROR([1]!s_stm07_is($A1764,"W75682424",TEXT($B$1,"yyyy/mm/dd"),1),"")</f>
        <v>504429086.95999998</v>
      </c>
      <c r="D1764">
        <f>IFERROR([1]!s_stm07_is($A1764,"W76031679",TEXT($B$1,"yyyy/mm/dd"),1),"")</f>
        <v>78317441.239999995</v>
      </c>
      <c r="E1764">
        <f>IFERROR([1]!s_stm07_is($A1764,"W70752487",TEXT($B$1,"yyyy/mm/dd"),1),"")</f>
        <v>67739878.140000001</v>
      </c>
      <c r="F1764">
        <f>IFERROR([1]!s_stm07_is_103($A1764,TEXT($B$1,"yyyy/mm/dd"),1),"")</f>
        <v>275798374.47000003</v>
      </c>
      <c r="G1764">
        <f>IFERROR([1]!s_stm07_is_104($A1764,TEXT($B$1,"yyyy/mm/dd"),1),"")</f>
        <v>1398605.13</v>
      </c>
      <c r="H1764">
        <f>IFERROR([1]!s_stm07_is_105($A1764,TEXT($B$1,"yyyy/mm/dd"),1),"")</f>
        <v>22876659.359999999</v>
      </c>
      <c r="I1764">
        <f>IFERROR([1]!s_stm07_is($A1764,"W72946623",TEXT($B$1,"yyyy/mm/dd"),1),"")</f>
        <v>125449816.76000001</v>
      </c>
      <c r="J1764">
        <f>IFERROR([1]!s_stm07_is($A1764,"W30028333",TEXT($B$1,"yyyy/mm/dd"),1),"")</f>
        <v>127280477.41</v>
      </c>
      <c r="K1764">
        <f>IFERROR([1]!s_stm07_cs($A1764,"W77130581",TEXT($B$1,"yyyy/mm/dd"),1),"")</f>
        <v>191333875.41999999</v>
      </c>
      <c r="L1764">
        <f>IFERROR([1]!s_stm07_cs($A1764,"W77745895",TEXT($B$1,"yyyy/mm/dd"),1),"")</f>
        <v>53657095.57</v>
      </c>
      <c r="M1764">
        <f>IFERROR([1]!S_FA_EPS_basic2($A1764,$B$1,"Cur=CNY"),"")</f>
        <v>0.54</v>
      </c>
      <c r="N1764">
        <f>IFERROR([1]!s_fa_arturndays($A1764,TEXT($B$1,"yyyy/mm/dd")),"")</f>
        <v>54.621600000000001</v>
      </c>
      <c r="O1764" t="str">
        <f>IFERROR([1]!fa_apturndays($A1764,TEXT($B$1,"yyyy/mm/dd")),"")</f>
        <v>Fetch...</v>
      </c>
      <c r="P1764">
        <f>IFERROR([1]!s_fa_invturndays($A1764,TEXT($B$1,"yyyy/mm/dd")),"")</f>
        <v>109.71599999999999</v>
      </c>
    </row>
    <row r="1765" spans="1:16">
      <c r="A1765" t="s">
        <v>1778</v>
      </c>
      <c r="B1765">
        <f>IFERROR([1]!s_stm07_is($A1765,"W70156729",TEXT($B$1,"yyyy/mm/dd"),1),"")</f>
        <v>4916433594.7600002</v>
      </c>
      <c r="C1765">
        <f>IFERROR([1]!s_stm07_is($A1765,"W75682424",TEXT($B$1,"yyyy/mm/dd"),1),"")</f>
        <v>3884298023.02</v>
      </c>
      <c r="D1765">
        <f>IFERROR([1]!s_stm07_is($A1765,"W76031679",TEXT($B$1,"yyyy/mm/dd"),1),"")</f>
        <v>97909377.950000003</v>
      </c>
      <c r="E1765">
        <f>IFERROR([1]!s_stm07_is($A1765,"W70752487",TEXT($B$1,"yyyy/mm/dd"),1),"")</f>
        <v>342682445.85000002</v>
      </c>
      <c r="F1765">
        <f>IFERROR([1]!s_stm07_is_103($A1765,TEXT($B$1,"yyyy/mm/dd"),1),"")</f>
        <v>328393935.13999999</v>
      </c>
      <c r="G1765">
        <f>IFERROR([1]!s_stm07_is_104($A1765,TEXT($B$1,"yyyy/mm/dd"),1),"")</f>
        <v>84897125.810000002</v>
      </c>
      <c r="H1765">
        <f>IFERROR([1]!s_stm07_is_105($A1765,TEXT($B$1,"yyyy/mm/dd"),1),"")</f>
        <v>13268194.130000001</v>
      </c>
      <c r="I1765">
        <f>IFERROR([1]!s_stm07_is($A1765,"W72946623",TEXT($B$1,"yyyy/mm/dd"),1),"")</f>
        <v>98176364.420000002</v>
      </c>
      <c r="J1765">
        <f>IFERROR([1]!s_stm07_is($A1765,"W30028333",TEXT($B$1,"yyyy/mm/dd"),1),"")</f>
        <v>136300437.22</v>
      </c>
      <c r="K1765">
        <f>IFERROR([1]!s_stm07_cs($A1765,"W77130581",TEXT($B$1,"yyyy/mm/dd"),1),"")</f>
        <v>197252493.62</v>
      </c>
      <c r="L1765">
        <f>IFERROR([1]!s_stm07_cs($A1765,"W77745895",TEXT($B$1,"yyyy/mm/dd"),1),"")</f>
        <v>366414207.51999998</v>
      </c>
      <c r="M1765">
        <f>IFERROR([1]!S_FA_EPS_basic2($A1765,$B$1,"Cur=CNY"),"")</f>
        <v>0.48</v>
      </c>
      <c r="N1765">
        <f>IFERROR([1]!s_fa_arturndays($A1765,TEXT($B$1,"yyyy/mm/dd")),"")</f>
        <v>149.58240000000001</v>
      </c>
      <c r="O1765" t="str">
        <f>IFERROR([1]!fa_apturndays($A1765,TEXT($B$1,"yyyy/mm/dd")),"")</f>
        <v>Fetch...</v>
      </c>
      <c r="P1765">
        <f>IFERROR([1]!s_fa_invturndays($A1765,TEXT($B$1,"yyyy/mm/dd")),"")</f>
        <v>299.45100000000002</v>
      </c>
    </row>
    <row r="1766" spans="1:16">
      <c r="A1766" t="s">
        <v>1779</v>
      </c>
      <c r="B1766">
        <f>IFERROR([1]!s_stm07_is($A1766,"W70156729",TEXT($B$1,"yyyy/mm/dd"),1),"")</f>
        <v>66974548527.629997</v>
      </c>
      <c r="C1766">
        <f>IFERROR([1]!s_stm07_is($A1766,"W75682424",TEXT($B$1,"yyyy/mm/dd"),1),"")</f>
        <v>63502028786.019997</v>
      </c>
      <c r="D1766">
        <f>IFERROR([1]!s_stm07_is($A1766,"W76031679",TEXT($B$1,"yyyy/mm/dd"),1),"")</f>
        <v>2145416964.76</v>
      </c>
      <c r="E1766">
        <f>IFERROR([1]!s_stm07_is($A1766,"W70752487",TEXT($B$1,"yyyy/mm/dd"),1),"")</f>
        <v>3219883457.1399999</v>
      </c>
      <c r="F1766">
        <f>IFERROR([1]!s_stm07_is_103($A1766,TEXT($B$1,"yyyy/mm/dd"),1),"")</f>
        <v>1883806662.52</v>
      </c>
      <c r="G1766">
        <f>IFERROR([1]!s_stm07_is_104($A1766,TEXT($B$1,"yyyy/mm/dd"),1),"")</f>
        <v>1581831386.26</v>
      </c>
      <c r="H1766">
        <f>IFERROR([1]!s_stm07_is_105($A1766,TEXT($B$1,"yyyy/mm/dd"),1),"")</f>
        <v>371057416.64999998</v>
      </c>
      <c r="I1766">
        <f>IFERROR([1]!s_stm07_is($A1766,"W72946623",TEXT($B$1,"yyyy/mm/dd"),1),"")</f>
        <v>-8161951657.4200001</v>
      </c>
      <c r="J1766">
        <f>IFERROR([1]!s_stm07_is($A1766,"W30028333",TEXT($B$1,"yyyy/mm/dd"),1),"")</f>
        <v>-7030544738.2200003</v>
      </c>
      <c r="K1766">
        <f>IFERROR([1]!s_stm07_cs($A1766,"W77130581",TEXT($B$1,"yyyy/mm/dd"),1),"")</f>
        <v>6902281166.0600004</v>
      </c>
      <c r="L1766">
        <f>IFERROR([1]!s_stm07_cs($A1766,"W77745895",TEXT($B$1,"yyyy/mm/dd"),1),"")</f>
        <v>4669241755.2200003</v>
      </c>
      <c r="M1766">
        <f>IFERROR([1]!S_FA_EPS_basic2($A1766,$B$1,"Cur=CNY"),"")</f>
        <v>-3.24</v>
      </c>
      <c r="N1766">
        <f>IFERROR([1]!s_fa_arturndays($A1766,TEXT($B$1,"yyyy/mm/dd")),"")</f>
        <v>77.091099999999997</v>
      </c>
      <c r="O1766" t="str">
        <f>IFERROR([1]!fa_apturndays($A1766,TEXT($B$1,"yyyy/mm/dd")),"")</f>
        <v>Fetch...</v>
      </c>
      <c r="P1766">
        <f>IFERROR([1]!s_fa_invturndays($A1766,TEXT($B$1,"yyyy/mm/dd")),"")</f>
        <v>143.6438</v>
      </c>
    </row>
    <row r="1767" spans="1:16">
      <c r="A1767" t="s">
        <v>1780</v>
      </c>
      <c r="B1767">
        <f>IFERROR([1]!s_stm07_is($A1767,"W70156729",TEXT($B$1,"yyyy/mm/dd"),1),"")</f>
        <v>3524782057.9899998</v>
      </c>
      <c r="C1767">
        <f>IFERROR([1]!s_stm07_is($A1767,"W75682424",TEXT($B$1,"yyyy/mm/dd"),1),"")</f>
        <v>2161009664.2800002</v>
      </c>
      <c r="D1767">
        <f>IFERROR([1]!s_stm07_is($A1767,"W76031679",TEXT($B$1,"yyyy/mm/dd"),1),"")</f>
        <v>37249441.859999999</v>
      </c>
      <c r="E1767">
        <f>IFERROR([1]!s_stm07_is($A1767,"W70752487",TEXT($B$1,"yyyy/mm/dd"),1),"")</f>
        <v>115010753.86</v>
      </c>
      <c r="F1767">
        <f>IFERROR([1]!s_stm07_is_103($A1767,TEXT($B$1,"yyyy/mm/dd"),1),"")</f>
        <v>690634818.12</v>
      </c>
      <c r="G1767">
        <f>IFERROR([1]!s_stm07_is_104($A1767,TEXT($B$1,"yyyy/mm/dd"),1),"")</f>
        <v>1033988.85</v>
      </c>
      <c r="H1767">
        <f>IFERROR([1]!s_stm07_is_105($A1767,TEXT($B$1,"yyyy/mm/dd"),1),"")</f>
        <v>75719211.239999995</v>
      </c>
      <c r="I1767">
        <f>IFERROR([1]!s_stm07_is($A1767,"W72946623",TEXT($B$1,"yyyy/mm/dd"),1),"")</f>
        <v>595271624.78999996</v>
      </c>
      <c r="J1767">
        <f>IFERROR([1]!s_stm07_is($A1767,"W30028333",TEXT($B$1,"yyyy/mm/dd"),1),"")</f>
        <v>593998801.41999996</v>
      </c>
      <c r="K1767">
        <f>IFERROR([1]!s_stm07_cs($A1767,"W77130581",TEXT($B$1,"yyyy/mm/dd"),1),"")</f>
        <v>446740044.19</v>
      </c>
      <c r="L1767">
        <f>IFERROR([1]!s_stm07_cs($A1767,"W77745895",TEXT($B$1,"yyyy/mm/dd"),1),"")</f>
        <v>156498364.38</v>
      </c>
      <c r="M1767">
        <f>IFERROR([1]!S_FA_EPS_basic2($A1767,$B$1,"Cur=CNY"),"")</f>
        <v>3.5415999999999999</v>
      </c>
      <c r="N1767">
        <f>IFERROR([1]!s_fa_arturndays($A1767,TEXT($B$1,"yyyy/mm/dd")),"")</f>
        <v>38.079900000000002</v>
      </c>
      <c r="O1767" t="str">
        <f>IFERROR([1]!fa_apturndays($A1767,TEXT($B$1,"yyyy/mm/dd")),"")</f>
        <v>Fetch...</v>
      </c>
      <c r="P1767">
        <f>IFERROR([1]!s_fa_invturndays($A1767,TEXT($B$1,"yyyy/mm/dd")),"")</f>
        <v>133.26419999999999</v>
      </c>
    </row>
    <row r="1768" spans="1:16">
      <c r="A1768" t="s">
        <v>1781</v>
      </c>
      <c r="B1768">
        <f>IFERROR([1]!s_stm07_is($A1768,"W70156729",TEXT($B$1,"yyyy/mm/dd"),1),"")</f>
        <v>6341768741.9700003</v>
      </c>
      <c r="C1768">
        <f>IFERROR([1]!s_stm07_is($A1768,"W75682424",TEXT($B$1,"yyyy/mm/dd"),1),"")</f>
        <v>5013649157.0500002</v>
      </c>
      <c r="D1768">
        <f>IFERROR([1]!s_stm07_is($A1768,"W76031679",TEXT($B$1,"yyyy/mm/dd"),1),"")</f>
        <v>75598919.870000005</v>
      </c>
      <c r="E1768">
        <f>IFERROR([1]!s_stm07_is($A1768,"W70752487",TEXT($B$1,"yyyy/mm/dd"),1),"")</f>
        <v>191925753.44999999</v>
      </c>
      <c r="F1768">
        <f>IFERROR([1]!s_stm07_is_103($A1768,TEXT($B$1,"yyyy/mm/dd"),1),"")</f>
        <v>416511121</v>
      </c>
      <c r="G1768">
        <f>IFERROR([1]!s_stm07_is_104($A1768,TEXT($B$1,"yyyy/mm/dd"),1),"")</f>
        <v>6748210.0199999996</v>
      </c>
      <c r="H1768">
        <f>IFERROR([1]!s_stm07_is_105($A1768,TEXT($B$1,"yyyy/mm/dd"),1),"")</f>
        <v>9870833.2699999996</v>
      </c>
      <c r="I1768">
        <f>IFERROR([1]!s_stm07_is($A1768,"W72946623",TEXT($B$1,"yyyy/mm/dd"),1),"")</f>
        <v>656017220.10000002</v>
      </c>
      <c r="J1768">
        <f>IFERROR([1]!s_stm07_is($A1768,"W30028333",TEXT($B$1,"yyyy/mm/dd"),1),"")</f>
        <v>558315308.91999996</v>
      </c>
      <c r="K1768">
        <f>IFERROR([1]!s_stm07_cs($A1768,"W77130581",TEXT($B$1,"yyyy/mm/dd"),1),"")</f>
        <v>831253304.08000004</v>
      </c>
      <c r="L1768">
        <f>IFERROR([1]!s_stm07_cs($A1768,"W77745895",TEXT($B$1,"yyyy/mm/dd"),1),"")</f>
        <v>422558529.10000002</v>
      </c>
      <c r="M1768">
        <f>IFERROR([1]!S_FA_EPS_basic2($A1768,$B$1,"Cur=CNY"),"")</f>
        <v>1.33</v>
      </c>
      <c r="N1768">
        <f>IFERROR([1]!s_fa_arturndays($A1768,TEXT($B$1,"yyyy/mm/dd")),"")</f>
        <v>85.176900000000003</v>
      </c>
      <c r="O1768" t="str">
        <f>IFERROR([1]!fa_apturndays($A1768,TEXT($B$1,"yyyy/mm/dd")),"")</f>
        <v>Fetch...</v>
      </c>
      <c r="P1768">
        <f>IFERROR([1]!s_fa_invturndays($A1768,TEXT($B$1,"yyyy/mm/dd")),"")</f>
        <v>70.797899999999998</v>
      </c>
    </row>
    <row r="1769" spans="1:16">
      <c r="A1769" t="s">
        <v>1782</v>
      </c>
      <c r="B1769">
        <f>IFERROR([1]!s_stm07_is($A1769,"W70156729",TEXT($B$1,"yyyy/mm/dd"),1),"")</f>
        <v>1809640540.8499999</v>
      </c>
      <c r="C1769">
        <f>IFERROR([1]!s_stm07_is($A1769,"W75682424",TEXT($B$1,"yyyy/mm/dd"),1),"")</f>
        <v>240609701.21000001</v>
      </c>
      <c r="D1769">
        <f>IFERROR([1]!s_stm07_is($A1769,"W76031679",TEXT($B$1,"yyyy/mm/dd"),1),"")</f>
        <v>591639575.38</v>
      </c>
      <c r="E1769">
        <f>IFERROR([1]!s_stm07_is($A1769,"W70752487",TEXT($B$1,"yyyy/mm/dd"),1),"")</f>
        <v>91595354.049999997</v>
      </c>
      <c r="F1769">
        <f>IFERROR([1]!s_stm07_is_103($A1769,TEXT($B$1,"yyyy/mm/dd"),1),"")</f>
        <v>473894774.23000002</v>
      </c>
      <c r="G1769">
        <f>IFERROR([1]!s_stm07_is_104($A1769,TEXT($B$1,"yyyy/mm/dd"),1),"")</f>
        <v>1553752.49</v>
      </c>
      <c r="H1769">
        <f>IFERROR([1]!s_stm07_is_105($A1769,TEXT($B$1,"yyyy/mm/dd"),1),"")</f>
        <v>21576298.649999999</v>
      </c>
      <c r="I1769">
        <f>IFERROR([1]!s_stm07_is($A1769,"W72946623",TEXT($B$1,"yyyy/mm/dd"),1),"")</f>
        <v>479123270.30000001</v>
      </c>
      <c r="J1769">
        <f>IFERROR([1]!s_stm07_is($A1769,"W30028333",TEXT($B$1,"yyyy/mm/dd"),1),"")</f>
        <v>454142569.13</v>
      </c>
      <c r="K1769">
        <f>IFERROR([1]!s_stm07_cs($A1769,"W77130581",TEXT($B$1,"yyyy/mm/dd"),1),"")</f>
        <v>606461851.53999996</v>
      </c>
      <c r="L1769">
        <f>IFERROR([1]!s_stm07_cs($A1769,"W77745895",TEXT($B$1,"yyyy/mm/dd"),1),"")</f>
        <v>81820182.920000002</v>
      </c>
      <c r="M1769">
        <f>IFERROR([1]!S_FA_EPS_basic2($A1769,$B$1,"Cur=CNY"),"")</f>
        <v>3.24</v>
      </c>
      <c r="N1769">
        <f>IFERROR([1]!s_fa_arturndays($A1769,TEXT($B$1,"yyyy/mm/dd")),"")</f>
        <v>24.198799999999999</v>
      </c>
      <c r="O1769" t="str">
        <f>IFERROR([1]!fa_apturndays($A1769,TEXT($B$1,"yyyy/mm/dd")),"")</f>
        <v>Fetch...</v>
      </c>
      <c r="P1769">
        <f>IFERROR([1]!s_fa_invturndays($A1769,TEXT($B$1,"yyyy/mm/dd")),"")</f>
        <v>13.0669</v>
      </c>
    </row>
    <row r="1770" spans="1:16">
      <c r="A1770" t="s">
        <v>1783</v>
      </c>
      <c r="B1770">
        <f>IFERROR([1]!s_stm07_is($A1770,"W70156729",TEXT($B$1,"yyyy/mm/dd"),1),"")</f>
        <v>2583927321.0900002</v>
      </c>
      <c r="C1770">
        <f>IFERROR([1]!s_stm07_is($A1770,"W75682424",TEXT($B$1,"yyyy/mm/dd"),1),"")</f>
        <v>700841947.49000001</v>
      </c>
      <c r="D1770">
        <f>IFERROR([1]!s_stm07_is($A1770,"W76031679",TEXT($B$1,"yyyy/mm/dd"),1),"")</f>
        <v>460613793.01999998</v>
      </c>
      <c r="E1770">
        <f>IFERROR([1]!s_stm07_is($A1770,"W70752487",TEXT($B$1,"yyyy/mm/dd"),1),"")</f>
        <v>118637495.73</v>
      </c>
      <c r="F1770">
        <f>IFERROR([1]!s_stm07_is_103($A1770,TEXT($B$1,"yyyy/mm/dd"),1),"")</f>
        <v>364801511.35000002</v>
      </c>
      <c r="G1770">
        <f>IFERROR([1]!s_stm07_is_104($A1770,TEXT($B$1,"yyyy/mm/dd"),1),"")</f>
        <v>1460385.06</v>
      </c>
      <c r="H1770">
        <f>IFERROR([1]!s_stm07_is_105($A1770,TEXT($B$1,"yyyy/mm/dd"),1),"")</f>
        <v>13794942.529999999</v>
      </c>
      <c r="I1770">
        <f>IFERROR([1]!s_stm07_is($A1770,"W72946623",TEXT($B$1,"yyyy/mm/dd"),1),"")</f>
        <v>936290399.50999999</v>
      </c>
      <c r="J1770">
        <f>IFERROR([1]!s_stm07_is($A1770,"W30028333",TEXT($B$1,"yyyy/mm/dd"),1),"")</f>
        <v>820636582.42999995</v>
      </c>
      <c r="K1770">
        <f>IFERROR([1]!s_stm07_cs($A1770,"W77130581",TEXT($B$1,"yyyy/mm/dd"),1),"")</f>
        <v>967759658.77999997</v>
      </c>
      <c r="L1770">
        <f>IFERROR([1]!s_stm07_cs($A1770,"W77745895",TEXT($B$1,"yyyy/mm/dd"),1),"")</f>
        <v>285589236.87</v>
      </c>
      <c r="M1770">
        <f>IFERROR([1]!S_FA_EPS_basic2($A1770,$B$1,"Cur=CNY"),"")</f>
        <v>5.82</v>
      </c>
      <c r="N1770">
        <f>IFERROR([1]!s_fa_arturndays($A1770,TEXT($B$1,"yyyy/mm/dd")),"")</f>
        <v>11.251300000000001</v>
      </c>
      <c r="O1770" t="str">
        <f>IFERROR([1]!fa_apturndays($A1770,TEXT($B$1,"yyyy/mm/dd")),"")</f>
        <v>Fetch...</v>
      </c>
      <c r="P1770">
        <f>IFERROR([1]!s_fa_invturndays($A1770,TEXT($B$1,"yyyy/mm/dd")),"")</f>
        <v>228.9057</v>
      </c>
    </row>
    <row r="1771" spans="1:16">
      <c r="A1771" t="s">
        <v>1784</v>
      </c>
      <c r="B1771">
        <f>IFERROR([1]!s_stm07_is($A1771,"W70156729",TEXT($B$1,"yyyy/mm/dd"),1),"")</f>
        <v>2527729770.6599998</v>
      </c>
      <c r="C1771">
        <f>IFERROR([1]!s_stm07_is($A1771,"W75682424",TEXT($B$1,"yyyy/mm/dd"),1),"")</f>
        <v>1733025712.6900001</v>
      </c>
      <c r="D1771">
        <f>IFERROR([1]!s_stm07_is($A1771,"W76031679",TEXT($B$1,"yyyy/mm/dd"),1),"")</f>
        <v>53415429.909999996</v>
      </c>
      <c r="E1771">
        <f>IFERROR([1]!s_stm07_is($A1771,"W70752487",TEXT($B$1,"yyyy/mm/dd"),1),"")</f>
        <v>180173408.72999999</v>
      </c>
      <c r="F1771">
        <f>IFERROR([1]!s_stm07_is_103($A1771,TEXT($B$1,"yyyy/mm/dd"),1),"")</f>
        <v>160700850.68000001</v>
      </c>
      <c r="G1771">
        <f>IFERROR([1]!s_stm07_is_104($A1771,TEXT($B$1,"yyyy/mm/dd"),1),"")</f>
        <v>10107629.67</v>
      </c>
      <c r="H1771">
        <f>IFERROR([1]!s_stm07_is_105($A1771,TEXT($B$1,"yyyy/mm/dd"),1),"")</f>
        <v>3339547.23</v>
      </c>
      <c r="I1771">
        <f>IFERROR([1]!s_stm07_is($A1771,"W72946623",TEXT($B$1,"yyyy/mm/dd"),1),"")</f>
        <v>376517827.07999998</v>
      </c>
      <c r="J1771">
        <f>IFERROR([1]!s_stm07_is($A1771,"W30028333",TEXT($B$1,"yyyy/mm/dd"),1),"")</f>
        <v>358571551.61000001</v>
      </c>
      <c r="K1771">
        <f>IFERROR([1]!s_stm07_cs($A1771,"W77130581",TEXT($B$1,"yyyy/mm/dd"),1),"")</f>
        <v>-2489191.66</v>
      </c>
      <c r="L1771">
        <f>IFERROR([1]!s_stm07_cs($A1771,"W77745895",TEXT($B$1,"yyyy/mm/dd"),1),"")</f>
        <v>395704666.5</v>
      </c>
      <c r="M1771">
        <f>IFERROR([1]!S_FA_EPS_basic2($A1771,$B$1,"Cur=CNY"),"")</f>
        <v>0.78</v>
      </c>
      <c r="N1771">
        <f>IFERROR([1]!s_fa_arturndays($A1771,TEXT($B$1,"yyyy/mm/dd")),"")</f>
        <v>121.0694</v>
      </c>
      <c r="O1771" t="str">
        <f>IFERROR([1]!fa_apturndays($A1771,TEXT($B$1,"yyyy/mm/dd")),"")</f>
        <v>Fetch...</v>
      </c>
      <c r="P1771">
        <f>IFERROR([1]!s_fa_invturndays($A1771,TEXT($B$1,"yyyy/mm/dd")),"")</f>
        <v>88.317599999999999</v>
      </c>
    </row>
    <row r="1772" spans="1:16">
      <c r="A1772" t="s">
        <v>1785</v>
      </c>
      <c r="B1772">
        <f>IFERROR([1]!s_stm07_is($A1772,"W70156729",TEXT($B$1,"yyyy/mm/dd"),1),"")</f>
        <v>1408121260.3199999</v>
      </c>
      <c r="C1772">
        <f>IFERROR([1]!s_stm07_is($A1772,"W75682424",TEXT($B$1,"yyyy/mm/dd"),1),"")</f>
        <v>842589234.41999996</v>
      </c>
      <c r="D1772">
        <f>IFERROR([1]!s_stm07_is($A1772,"W76031679",TEXT($B$1,"yyyy/mm/dd"),1),"")</f>
        <v>63426974.350000001</v>
      </c>
      <c r="E1772">
        <f>IFERROR([1]!s_stm07_is($A1772,"W70752487",TEXT($B$1,"yyyy/mm/dd"),1),"")</f>
        <v>47585190.630000003</v>
      </c>
      <c r="F1772">
        <f>IFERROR([1]!s_stm07_is_103($A1772,TEXT($B$1,"yyyy/mm/dd"),1),"")</f>
        <v>131233915.06999999</v>
      </c>
      <c r="G1772">
        <f>IFERROR([1]!s_stm07_is_104($A1772,TEXT($B$1,"yyyy/mm/dd"),1),"")</f>
        <v>325718.23</v>
      </c>
      <c r="H1772">
        <f>IFERROR([1]!s_stm07_is_105($A1772,TEXT($B$1,"yyyy/mm/dd"),1),"")</f>
        <v>7525093.6200000001</v>
      </c>
      <c r="I1772">
        <f>IFERROR([1]!s_stm07_is($A1772,"W72946623",TEXT($B$1,"yyyy/mm/dd"),1),"")</f>
        <v>329717726.94</v>
      </c>
      <c r="J1772">
        <f>IFERROR([1]!s_stm07_is($A1772,"W30028333",TEXT($B$1,"yyyy/mm/dd"),1),"")</f>
        <v>289933018.30000001</v>
      </c>
      <c r="K1772">
        <f>IFERROR([1]!s_stm07_cs($A1772,"W77130581",TEXT($B$1,"yyyy/mm/dd"),1),"")</f>
        <v>91864927.650000006</v>
      </c>
      <c r="L1772">
        <f>IFERROR([1]!s_stm07_cs($A1772,"W77745895",TEXT($B$1,"yyyy/mm/dd"),1),"")</f>
        <v>86894836.230000004</v>
      </c>
      <c r="M1772">
        <f>IFERROR([1]!S_FA_EPS_basic2($A1772,$B$1,"Cur=CNY"),"")</f>
        <v>2.21</v>
      </c>
      <c r="N1772">
        <f>IFERROR([1]!s_fa_arturndays($A1772,TEXT($B$1,"yyyy/mm/dd")),"")</f>
        <v>224.25710000000001</v>
      </c>
      <c r="O1772" t="str">
        <f>IFERROR([1]!fa_apturndays($A1772,TEXT($B$1,"yyyy/mm/dd")),"")</f>
        <v>Fetch...</v>
      </c>
      <c r="P1772">
        <f>IFERROR([1]!s_fa_invturndays($A1772,TEXT($B$1,"yyyy/mm/dd")),"")</f>
        <v>295.63929999999999</v>
      </c>
    </row>
    <row r="1773" spans="1:16">
      <c r="A1773" t="s">
        <v>1786</v>
      </c>
      <c r="B1773">
        <f>IFERROR([1]!s_stm07_is($A1773,"W70156729",TEXT($B$1,"yyyy/mm/dd"),1),"")</f>
        <v>1273532872.02</v>
      </c>
      <c r="C1773">
        <f>IFERROR([1]!s_stm07_is($A1773,"W75682424",TEXT($B$1,"yyyy/mm/dd"),1),"")</f>
        <v>862813241.05999994</v>
      </c>
      <c r="D1773">
        <f>IFERROR([1]!s_stm07_is($A1773,"W76031679",TEXT($B$1,"yyyy/mm/dd"),1),"")</f>
        <v>72039213.030000001</v>
      </c>
      <c r="E1773">
        <f>IFERROR([1]!s_stm07_is($A1773,"W70752487",TEXT($B$1,"yyyy/mm/dd"),1),"")</f>
        <v>111270054.81999999</v>
      </c>
      <c r="F1773">
        <f>IFERROR([1]!s_stm07_is_103($A1773,TEXT($B$1,"yyyy/mm/dd"),1),"")</f>
        <v>155045170.18000001</v>
      </c>
      <c r="G1773">
        <f>IFERROR([1]!s_stm07_is_104($A1773,TEXT($B$1,"yyyy/mm/dd"),1),"")</f>
        <v>184295.71</v>
      </c>
      <c r="H1773">
        <f>IFERROR([1]!s_stm07_is_105($A1773,TEXT($B$1,"yyyy/mm/dd"),1),"")</f>
        <v>7522231.4800000004</v>
      </c>
      <c r="I1773">
        <f>IFERROR([1]!s_stm07_is($A1773,"W72946623",TEXT($B$1,"yyyy/mm/dd"),1),"")</f>
        <v>43571018.609999999</v>
      </c>
      <c r="J1773">
        <f>IFERROR([1]!s_stm07_is($A1773,"W30028333",TEXT($B$1,"yyyy/mm/dd"),1),"")</f>
        <v>55261672.5</v>
      </c>
      <c r="K1773">
        <f>IFERROR([1]!s_stm07_cs($A1773,"W77130581",TEXT($B$1,"yyyy/mm/dd"),1),"")</f>
        <v>-208603793.09</v>
      </c>
      <c r="L1773">
        <f>IFERROR([1]!s_stm07_cs($A1773,"W77745895",TEXT($B$1,"yyyy/mm/dd"),1),"")</f>
        <v>36293614.869999997</v>
      </c>
      <c r="M1773">
        <f>IFERROR([1]!S_FA_EPS_basic2($A1773,$B$1,"Cur=CNY"),"")</f>
        <v>0.34</v>
      </c>
      <c r="N1773">
        <f>IFERROR([1]!s_fa_arturndays($A1773,TEXT($B$1,"yyyy/mm/dd")),"")</f>
        <v>409.60289999999998</v>
      </c>
      <c r="O1773" t="str">
        <f>IFERROR([1]!fa_apturndays($A1773,TEXT($B$1,"yyyy/mm/dd")),"")</f>
        <v>Fetch...</v>
      </c>
      <c r="P1773">
        <f>IFERROR([1]!s_fa_invturndays($A1773,TEXT($B$1,"yyyy/mm/dd")),"")</f>
        <v>185.6627</v>
      </c>
    </row>
    <row r="1774" spans="1:16">
      <c r="A1774" t="s">
        <v>1787</v>
      </c>
      <c r="B1774">
        <f>IFERROR([1]!s_stm07_is($A1774,"W70156729",TEXT($B$1,"yyyy/mm/dd"),1),"")</f>
        <v>2861841123.6900001</v>
      </c>
      <c r="C1774">
        <f>IFERROR([1]!s_stm07_is($A1774,"W75682424",TEXT($B$1,"yyyy/mm/dd"),1),"")</f>
        <v>2253217750.21</v>
      </c>
      <c r="D1774">
        <f>IFERROR([1]!s_stm07_is($A1774,"W76031679",TEXT($B$1,"yyyy/mm/dd"),1),"")</f>
        <v>71457794.640000001</v>
      </c>
      <c r="E1774">
        <f>IFERROR([1]!s_stm07_is($A1774,"W70752487",TEXT($B$1,"yyyy/mm/dd"),1),"")</f>
        <v>208097636.28</v>
      </c>
      <c r="F1774">
        <f>IFERROR([1]!s_stm07_is_103($A1774,TEXT($B$1,"yyyy/mm/dd"),1),"")</f>
        <v>151202062.28999999</v>
      </c>
      <c r="G1774">
        <f>IFERROR([1]!s_stm07_is_104($A1774,TEXT($B$1,"yyyy/mm/dd"),1),"")</f>
        <v>43832449.159999996</v>
      </c>
      <c r="H1774">
        <f>IFERROR([1]!s_stm07_is_105($A1774,TEXT($B$1,"yyyy/mm/dd"),1),"")</f>
        <v>6789828.0700000003</v>
      </c>
      <c r="I1774">
        <f>IFERROR([1]!s_stm07_is($A1774,"W72946623",TEXT($B$1,"yyyy/mm/dd"),1),"")</f>
        <v>125557074.98999999</v>
      </c>
      <c r="J1774">
        <f>IFERROR([1]!s_stm07_is($A1774,"W30028333",TEXT($B$1,"yyyy/mm/dd"),1),"")</f>
        <v>132412138.67</v>
      </c>
      <c r="K1774">
        <f>IFERROR([1]!s_stm07_cs($A1774,"W77130581",TEXT($B$1,"yyyy/mm/dd"),1),"")</f>
        <v>104546671.09</v>
      </c>
      <c r="L1774">
        <f>IFERROR([1]!s_stm07_cs($A1774,"W77745895",TEXT($B$1,"yyyy/mm/dd"),1),"")</f>
        <v>636725336.47000003</v>
      </c>
      <c r="M1774">
        <f>IFERROR([1]!S_FA_EPS_basic2($A1774,$B$1,"Cur=CNY"),"")</f>
        <v>0.53</v>
      </c>
      <c r="N1774">
        <f>IFERROR([1]!s_fa_arturndays($A1774,TEXT($B$1,"yyyy/mm/dd")),"")</f>
        <v>34.911499999999997</v>
      </c>
      <c r="O1774" t="str">
        <f>IFERROR([1]!fa_apturndays($A1774,TEXT($B$1,"yyyy/mm/dd")),"")</f>
        <v>Fetch...</v>
      </c>
      <c r="P1774">
        <f>IFERROR([1]!s_fa_invturndays($A1774,TEXT($B$1,"yyyy/mm/dd")),"")</f>
        <v>75.015600000000006</v>
      </c>
    </row>
    <row r="1775" spans="1:16">
      <c r="A1775" t="s">
        <v>1788</v>
      </c>
      <c r="B1775">
        <f>IFERROR([1]!s_stm07_is($A1775,"W70156729",TEXT($B$1,"yyyy/mm/dd"),1),"")</f>
        <v>1426242870.6900001</v>
      </c>
      <c r="C1775">
        <f>IFERROR([1]!s_stm07_is($A1775,"W75682424",TEXT($B$1,"yyyy/mm/dd"),1),"")</f>
        <v>960755692.26999998</v>
      </c>
      <c r="D1775">
        <f>IFERROR([1]!s_stm07_is($A1775,"W76031679",TEXT($B$1,"yyyy/mm/dd"),1),"")</f>
        <v>82716421.890000001</v>
      </c>
      <c r="E1775">
        <f>IFERROR([1]!s_stm07_is($A1775,"W70752487",TEXT($B$1,"yyyy/mm/dd"),1),"")</f>
        <v>77401261.590000004</v>
      </c>
      <c r="F1775">
        <f>IFERROR([1]!s_stm07_is_103($A1775,TEXT($B$1,"yyyy/mm/dd"),1),"")</f>
        <v>139957370.90000001</v>
      </c>
      <c r="G1775">
        <f>IFERROR([1]!s_stm07_is_104($A1775,TEXT($B$1,"yyyy/mm/dd"),1),"")</f>
        <v>1673778.71</v>
      </c>
      <c r="H1775">
        <f>IFERROR([1]!s_stm07_is_105($A1775,TEXT($B$1,"yyyy/mm/dd"),1),"")</f>
        <v>5259610.5</v>
      </c>
      <c r="I1775">
        <f>IFERROR([1]!s_stm07_is($A1775,"W72946623",TEXT($B$1,"yyyy/mm/dd"),1),"")</f>
        <v>159197818.34</v>
      </c>
      <c r="J1775">
        <f>IFERROR([1]!s_stm07_is($A1775,"W30028333",TEXT($B$1,"yyyy/mm/dd"),1),"")</f>
        <v>147925398.65000001</v>
      </c>
      <c r="K1775">
        <f>IFERROR([1]!s_stm07_cs($A1775,"W77130581",TEXT($B$1,"yyyy/mm/dd"),1),"")</f>
        <v>381368404.14999998</v>
      </c>
      <c r="L1775">
        <f>IFERROR([1]!s_stm07_cs($A1775,"W77745895",TEXT($B$1,"yyyy/mm/dd"),1),"")</f>
        <v>241853021.94999999</v>
      </c>
      <c r="M1775">
        <f>IFERROR([1]!S_FA_EPS_basic2($A1775,$B$1,"Cur=CNY"),"")</f>
        <v>0.88</v>
      </c>
      <c r="N1775">
        <f>IFERROR([1]!s_fa_arturndays($A1775,TEXT($B$1,"yyyy/mm/dd")),"")</f>
        <v>82.126199999999997</v>
      </c>
      <c r="O1775" t="str">
        <f>IFERROR([1]!fa_apturndays($A1775,TEXT($B$1,"yyyy/mm/dd")),"")</f>
        <v>Fetch...</v>
      </c>
      <c r="P1775">
        <f>IFERROR([1]!s_fa_invturndays($A1775,TEXT($B$1,"yyyy/mm/dd")),"")</f>
        <v>821.16790000000003</v>
      </c>
    </row>
    <row r="1776" spans="1:16">
      <c r="A1776" t="s">
        <v>1789</v>
      </c>
      <c r="B1776">
        <f>IFERROR([1]!s_stm07_is($A1776,"W70156729",TEXT($B$1,"yyyy/mm/dd"),1),"")</f>
        <v>2446086968.9299998</v>
      </c>
      <c r="C1776">
        <f>IFERROR([1]!s_stm07_is($A1776,"W75682424",TEXT($B$1,"yyyy/mm/dd"),1),"")</f>
        <v>1218344224.54</v>
      </c>
      <c r="D1776">
        <f>IFERROR([1]!s_stm07_is($A1776,"W76031679",TEXT($B$1,"yyyy/mm/dd"),1),"")</f>
        <v>703899243.35000002</v>
      </c>
      <c r="E1776">
        <f>IFERROR([1]!s_stm07_is($A1776,"W70752487",TEXT($B$1,"yyyy/mm/dd"),1),"")</f>
        <v>266972832.16</v>
      </c>
      <c r="F1776">
        <f>IFERROR([1]!s_stm07_is_103($A1776,TEXT($B$1,"yyyy/mm/dd"),1),"")</f>
        <v>441205802.99000001</v>
      </c>
      <c r="G1776">
        <f>IFERROR([1]!s_stm07_is_104($A1776,TEXT($B$1,"yyyy/mm/dd"),1),"")</f>
        <v>21653299.280000001</v>
      </c>
      <c r="H1776">
        <f>IFERROR([1]!s_stm07_is_105($A1776,TEXT($B$1,"yyyy/mm/dd"),1),"")</f>
        <v>8857163.4900000002</v>
      </c>
      <c r="I1776">
        <f>IFERROR([1]!s_stm07_is($A1776,"W72946623",TEXT($B$1,"yyyy/mm/dd"),1),"")</f>
        <v>-237052455.84999999</v>
      </c>
      <c r="J1776">
        <f>IFERROR([1]!s_stm07_is($A1776,"W30028333",TEXT($B$1,"yyyy/mm/dd"),1),"")</f>
        <v>-262389860.99000001</v>
      </c>
      <c r="K1776">
        <f>IFERROR([1]!s_stm07_cs($A1776,"W77130581",TEXT($B$1,"yyyy/mm/dd"),1),"")</f>
        <v>340286564.42000002</v>
      </c>
      <c r="L1776">
        <f>IFERROR([1]!s_stm07_cs($A1776,"W77745895",TEXT($B$1,"yyyy/mm/dd"),1),"")</f>
        <v>135080502.09</v>
      </c>
      <c r="M1776">
        <f>IFERROR([1]!S_FA_EPS_basic2($A1776,$B$1,"Cur=CNY"),"")</f>
        <v>-0.59</v>
      </c>
      <c r="N1776">
        <f>IFERROR([1]!s_fa_arturndays($A1776,TEXT($B$1,"yyyy/mm/dd")),"")</f>
        <v>80.840699999999998</v>
      </c>
      <c r="O1776" t="str">
        <f>IFERROR([1]!fa_apturndays($A1776,TEXT($B$1,"yyyy/mm/dd")),"")</f>
        <v>Fetch...</v>
      </c>
      <c r="P1776">
        <f>IFERROR([1]!s_fa_invturndays($A1776,TEXT($B$1,"yyyy/mm/dd")),"")</f>
        <v>180.60499999999999</v>
      </c>
    </row>
    <row r="1777" spans="1:16">
      <c r="A1777" t="s">
        <v>1790</v>
      </c>
      <c r="B1777">
        <f>IFERROR([1]!s_stm07_is($A1777,"W70156729",TEXT($B$1,"yyyy/mm/dd"),1),"")</f>
        <v>13681194183.620001</v>
      </c>
      <c r="C1777">
        <f>IFERROR([1]!s_stm07_is($A1777,"W75682424",TEXT($B$1,"yyyy/mm/dd"),1),"")</f>
        <v>13024201689.940001</v>
      </c>
      <c r="D1777">
        <f>IFERROR([1]!s_stm07_is($A1777,"W76031679",TEXT($B$1,"yyyy/mm/dd"),1),"")</f>
        <v>332363939.26999998</v>
      </c>
      <c r="E1777">
        <f>IFERROR([1]!s_stm07_is($A1777,"W70752487",TEXT($B$1,"yyyy/mm/dd"),1),"")</f>
        <v>447884292.88999999</v>
      </c>
      <c r="F1777">
        <f>IFERROR([1]!s_stm07_is_103($A1777,TEXT($B$1,"yyyy/mm/dd"),1),"")</f>
        <v>596460954.88999999</v>
      </c>
      <c r="G1777">
        <f>IFERROR([1]!s_stm07_is_104($A1777,TEXT($B$1,"yyyy/mm/dd"),1),"")</f>
        <v>128805263.69</v>
      </c>
      <c r="H1777">
        <f>IFERROR([1]!s_stm07_is_105($A1777,TEXT($B$1,"yyyy/mm/dd"),1),"")</f>
        <v>16184557.699999999</v>
      </c>
      <c r="I1777">
        <f>IFERROR([1]!s_stm07_is($A1777,"W72946623",TEXT($B$1,"yyyy/mm/dd"),1),"")</f>
        <v>-1037102890.92</v>
      </c>
      <c r="J1777">
        <f>IFERROR([1]!s_stm07_is($A1777,"W30028333",TEXT($B$1,"yyyy/mm/dd"),1),"")</f>
        <v>-988915346.47000003</v>
      </c>
      <c r="K1777">
        <f>IFERROR([1]!s_stm07_cs($A1777,"W77130581",TEXT($B$1,"yyyy/mm/dd"),1),"")</f>
        <v>597806094.78999996</v>
      </c>
      <c r="L1777">
        <f>IFERROR([1]!s_stm07_cs($A1777,"W77745895",TEXT($B$1,"yyyy/mm/dd"),1),"")</f>
        <v>410844688.56999999</v>
      </c>
      <c r="M1777">
        <f>IFERROR([1]!S_FA_EPS_basic2($A1777,$B$1,"Cur=CNY"),"")</f>
        <v>-0.74</v>
      </c>
      <c r="N1777">
        <f>IFERROR([1]!s_fa_arturndays($A1777,TEXT($B$1,"yyyy/mm/dd")),"")</f>
        <v>151.75790000000001</v>
      </c>
      <c r="O1777" t="str">
        <f>IFERROR([1]!fa_apturndays($A1777,TEXT($B$1,"yyyy/mm/dd")),"")</f>
        <v>Fetch...</v>
      </c>
      <c r="P1777">
        <f>IFERROR([1]!s_fa_invturndays($A1777,TEXT($B$1,"yyyy/mm/dd")),"")</f>
        <v>225.90360000000001</v>
      </c>
    </row>
    <row r="1778" spans="1:16">
      <c r="A1778" t="s">
        <v>1791</v>
      </c>
      <c r="B1778">
        <f>IFERROR([1]!s_stm07_is($A1778,"W70156729",TEXT($B$1,"yyyy/mm/dd"),1),"")</f>
        <v>7294986636.4099998</v>
      </c>
      <c r="C1778">
        <f>IFERROR([1]!s_stm07_is($A1778,"W75682424",TEXT($B$1,"yyyy/mm/dd"),1),"")</f>
        <v>5409013938.21</v>
      </c>
      <c r="D1778">
        <f>IFERROR([1]!s_stm07_is($A1778,"W76031679",TEXT($B$1,"yyyy/mm/dd"),1),"")</f>
        <v>322414080.75</v>
      </c>
      <c r="E1778">
        <f>IFERROR([1]!s_stm07_is($A1778,"W70752487",TEXT($B$1,"yyyy/mm/dd"),1),"")</f>
        <v>380475948.39999998</v>
      </c>
      <c r="F1778">
        <f>IFERROR([1]!s_stm07_is_103($A1778,TEXT($B$1,"yyyy/mm/dd"),1),"")</f>
        <v>355715161.87</v>
      </c>
      <c r="G1778">
        <f>IFERROR([1]!s_stm07_is_104($A1778,TEXT($B$1,"yyyy/mm/dd"),1),"")</f>
        <v>43291330.289999999</v>
      </c>
      <c r="H1778">
        <f>IFERROR([1]!s_stm07_is_105($A1778,TEXT($B$1,"yyyy/mm/dd"),1),"")</f>
        <v>6385191.0599999996</v>
      </c>
      <c r="I1778">
        <f>IFERROR([1]!s_stm07_is($A1778,"W72946623",TEXT($B$1,"yyyy/mm/dd"),1),"")</f>
        <v>722799607.63</v>
      </c>
      <c r="J1778">
        <f>IFERROR([1]!s_stm07_is($A1778,"W30028333",TEXT($B$1,"yyyy/mm/dd"),1),"")</f>
        <v>659538772.39999998</v>
      </c>
      <c r="K1778">
        <f>IFERROR([1]!s_stm07_cs($A1778,"W77130581",TEXT($B$1,"yyyy/mm/dd"),1),"")</f>
        <v>600972620.86000001</v>
      </c>
      <c r="L1778">
        <f>IFERROR([1]!s_stm07_cs($A1778,"W77745895",TEXT($B$1,"yyyy/mm/dd"),1),"")</f>
        <v>387152938.77999997</v>
      </c>
      <c r="M1778">
        <f>IFERROR([1]!S_FA_EPS_basic2($A1778,$B$1,"Cur=CNY"),"")</f>
        <v>1.44</v>
      </c>
      <c r="N1778">
        <f>IFERROR([1]!s_fa_arturndays($A1778,TEXT($B$1,"yyyy/mm/dd")),"")</f>
        <v>124.4555</v>
      </c>
      <c r="O1778" t="str">
        <f>IFERROR([1]!fa_apturndays($A1778,TEXT($B$1,"yyyy/mm/dd")),"")</f>
        <v>Fetch...</v>
      </c>
      <c r="P1778">
        <f>IFERROR([1]!s_fa_invturndays($A1778,TEXT($B$1,"yyyy/mm/dd")),"")</f>
        <v>190.02379999999999</v>
      </c>
    </row>
    <row r="1779" spans="1:16">
      <c r="A1779" t="s">
        <v>1792</v>
      </c>
      <c r="B1779">
        <f>IFERROR([1]!s_stm07_is($A1779,"W70156729",TEXT($B$1,"yyyy/mm/dd"),1),"")</f>
        <v>1269040197.1700001</v>
      </c>
      <c r="C1779">
        <f>IFERROR([1]!s_stm07_is($A1779,"W75682424",TEXT($B$1,"yyyy/mm/dd"),1),"")</f>
        <v>496680748.16000003</v>
      </c>
      <c r="D1779">
        <f>IFERROR([1]!s_stm07_is($A1779,"W76031679",TEXT($B$1,"yyyy/mm/dd"),1),"")</f>
        <v>272771991.81999999</v>
      </c>
      <c r="E1779">
        <f>IFERROR([1]!s_stm07_is($A1779,"W70752487",TEXT($B$1,"yyyy/mm/dd"),1),"")</f>
        <v>55923632.280000001</v>
      </c>
      <c r="F1779">
        <f>IFERROR([1]!s_stm07_is_103($A1779,TEXT($B$1,"yyyy/mm/dd"),1),"")</f>
        <v>255076235.43000001</v>
      </c>
      <c r="G1779">
        <f>IFERROR([1]!s_stm07_is_104($A1779,TEXT($B$1,"yyyy/mm/dd"),1),"")</f>
        <v>1230446.8700000001</v>
      </c>
      <c r="H1779">
        <f>IFERROR([1]!s_stm07_is_105($A1779,TEXT($B$1,"yyyy/mm/dd"),1),"")</f>
        <v>2569389.5</v>
      </c>
      <c r="I1779">
        <f>IFERROR([1]!s_stm07_is($A1779,"W72946623",TEXT($B$1,"yyyy/mm/dd"),1),"")</f>
        <v>191756320.87</v>
      </c>
      <c r="J1779">
        <f>IFERROR([1]!s_stm07_is($A1779,"W30028333",TEXT($B$1,"yyyy/mm/dd"),1),"")</f>
        <v>186179344</v>
      </c>
      <c r="K1779">
        <f>IFERROR([1]!s_stm07_cs($A1779,"W77130581",TEXT($B$1,"yyyy/mm/dd"),1),"")</f>
        <v>140379254.55000001</v>
      </c>
      <c r="L1779">
        <f>IFERROR([1]!s_stm07_cs($A1779,"W77745895",TEXT($B$1,"yyyy/mm/dd"),1),"")</f>
        <v>28683169.760000002</v>
      </c>
      <c r="M1779">
        <f>IFERROR([1]!S_FA_EPS_basic2($A1779,$B$1,"Cur=CNY"),"")</f>
        <v>1.5267999999999999</v>
      </c>
      <c r="N1779">
        <f>IFERROR([1]!s_fa_arturndays($A1779,TEXT($B$1,"yyyy/mm/dd")),"")</f>
        <v>226.10220000000001</v>
      </c>
      <c r="O1779" t="str">
        <f>IFERROR([1]!fa_apturndays($A1779,TEXT($B$1,"yyyy/mm/dd")),"")</f>
        <v>Fetch...</v>
      </c>
      <c r="P1779">
        <f>IFERROR([1]!s_fa_invturndays($A1779,TEXT($B$1,"yyyy/mm/dd")),"")</f>
        <v>158.36709999999999</v>
      </c>
    </row>
    <row r="1780" spans="1:16">
      <c r="A1780" t="s">
        <v>1793</v>
      </c>
      <c r="B1780">
        <f>IFERROR([1]!s_stm07_is($A1780,"W70156729",TEXT($B$1,"yyyy/mm/dd"),1),"")</f>
        <v>924689588.08000004</v>
      </c>
      <c r="C1780">
        <f>IFERROR([1]!s_stm07_is($A1780,"W75682424",TEXT($B$1,"yyyy/mm/dd"),1),"")</f>
        <v>265286686.53999999</v>
      </c>
      <c r="D1780">
        <f>IFERROR([1]!s_stm07_is($A1780,"W76031679",TEXT($B$1,"yyyy/mm/dd"),1),"")</f>
        <v>160427970.53999999</v>
      </c>
      <c r="E1780">
        <f>IFERROR([1]!s_stm07_is($A1780,"W70752487",TEXT($B$1,"yyyy/mm/dd"),1),"")</f>
        <v>113202967.64</v>
      </c>
      <c r="F1780">
        <f>IFERROR([1]!s_stm07_is_103($A1780,TEXT($B$1,"yyyy/mm/dd"),1),"")</f>
        <v>196867109.41999999</v>
      </c>
      <c r="G1780">
        <f>IFERROR([1]!s_stm07_is_104($A1780,TEXT($B$1,"yyyy/mm/dd"),1),"")</f>
        <v>1736073.76</v>
      </c>
      <c r="H1780">
        <f>IFERROR([1]!s_stm07_is_105($A1780,TEXT($B$1,"yyyy/mm/dd"),1),"")</f>
        <v>2497622.37</v>
      </c>
      <c r="I1780">
        <f>IFERROR([1]!s_stm07_is($A1780,"W72946623",TEXT($B$1,"yyyy/mm/dd"),1),"")</f>
        <v>177463669.72</v>
      </c>
      <c r="J1780">
        <f>IFERROR([1]!s_stm07_is($A1780,"W30028333",TEXT($B$1,"yyyy/mm/dd"),1),"")</f>
        <v>136009139.99000001</v>
      </c>
      <c r="K1780">
        <f>IFERROR([1]!s_stm07_cs($A1780,"W77130581",TEXT($B$1,"yyyy/mm/dd"),1),"")</f>
        <v>168329058.47</v>
      </c>
      <c r="L1780">
        <f>IFERROR([1]!s_stm07_cs($A1780,"W77745895",TEXT($B$1,"yyyy/mm/dd"),1),"")</f>
        <v>85628405.730000004</v>
      </c>
      <c r="M1780">
        <f>IFERROR([1]!S_FA_EPS_basic2($A1780,$B$1,"Cur=CNY"),"")</f>
        <v>0.33939999999999998</v>
      </c>
      <c r="N1780">
        <f>IFERROR([1]!s_fa_arturndays($A1780,TEXT($B$1,"yyyy/mm/dd")),"")</f>
        <v>123.00539999999999</v>
      </c>
      <c r="O1780" t="str">
        <f>IFERROR([1]!fa_apturndays($A1780,TEXT($B$1,"yyyy/mm/dd")),"")</f>
        <v>Fetch...</v>
      </c>
      <c r="P1780">
        <f>IFERROR([1]!s_fa_invturndays($A1780,TEXT($B$1,"yyyy/mm/dd")),"")</f>
        <v>483.28629999999998</v>
      </c>
    </row>
    <row r="1781" spans="1:16">
      <c r="A1781" t="s">
        <v>1794</v>
      </c>
      <c r="B1781">
        <f>IFERROR([1]!s_stm07_is($A1781,"W70156729",TEXT($B$1,"yyyy/mm/dd"),1),"")</f>
        <v>1305849853.99</v>
      </c>
      <c r="C1781">
        <f>IFERROR([1]!s_stm07_is($A1781,"W75682424",TEXT($B$1,"yyyy/mm/dd"),1),"")</f>
        <v>50641091.880000003</v>
      </c>
      <c r="D1781">
        <f>IFERROR([1]!s_stm07_is($A1781,"W76031679",TEXT($B$1,"yyyy/mm/dd"),1),"")</f>
        <v>399568598.05000001</v>
      </c>
      <c r="E1781">
        <f>IFERROR([1]!s_stm07_is($A1781,"W70752487",TEXT($B$1,"yyyy/mm/dd"),1),"")</f>
        <v>124136163.69</v>
      </c>
      <c r="F1781">
        <f>IFERROR([1]!s_stm07_is_103($A1781,TEXT($B$1,"yyyy/mm/dd"),1),"")</f>
        <v>253449416.36000001</v>
      </c>
      <c r="G1781">
        <f>IFERROR([1]!s_stm07_is_104($A1781,TEXT($B$1,"yyyy/mm/dd"),1),"")</f>
        <v>0</v>
      </c>
      <c r="H1781">
        <f>IFERROR([1]!s_stm07_is_105($A1781,TEXT($B$1,"yyyy/mm/dd"),1),"")</f>
        <v>27741831.359999999</v>
      </c>
      <c r="I1781">
        <f>IFERROR([1]!s_stm07_is($A1781,"W72946623",TEXT($B$1,"yyyy/mm/dd"),1),"")</f>
        <v>556761414.74000001</v>
      </c>
      <c r="J1781">
        <f>IFERROR([1]!s_stm07_is($A1781,"W30028333",TEXT($B$1,"yyyy/mm/dd"),1),"")</f>
        <v>516619845.51999998</v>
      </c>
      <c r="K1781">
        <f>IFERROR([1]!s_stm07_cs($A1781,"W77130581",TEXT($B$1,"yyyy/mm/dd"),1),"")</f>
        <v>535378176.04000002</v>
      </c>
      <c r="L1781">
        <f>IFERROR([1]!s_stm07_cs($A1781,"W77745895",TEXT($B$1,"yyyy/mm/dd"),1),"")</f>
        <v>136981802.53999999</v>
      </c>
      <c r="M1781">
        <f>IFERROR([1]!S_FA_EPS_basic2($A1781,$B$1,"Cur=CNY"),"")</f>
        <v>4.5599999999999996</v>
      </c>
      <c r="N1781">
        <f>IFERROR([1]!s_fa_arturndays($A1781,TEXT($B$1,"yyyy/mm/dd")),"")</f>
        <v>126.68470000000001</v>
      </c>
      <c r="O1781" t="str">
        <f>IFERROR([1]!fa_apturndays($A1781,TEXT($B$1,"yyyy/mm/dd")),"")</f>
        <v>Fetch...</v>
      </c>
      <c r="P1781">
        <f>IFERROR([1]!s_fa_invturndays($A1781,TEXT($B$1,"yyyy/mm/dd")),"")</f>
        <v>58.049500000000002</v>
      </c>
    </row>
    <row r="1782" spans="1:16">
      <c r="A1782" t="s">
        <v>1795</v>
      </c>
      <c r="B1782">
        <f>IFERROR([1]!s_stm07_is($A1782,"W70156729",TEXT($B$1,"yyyy/mm/dd"),1),"")</f>
        <v>3467484106.0100002</v>
      </c>
      <c r="C1782">
        <f>IFERROR([1]!s_stm07_is($A1782,"W75682424",TEXT($B$1,"yyyy/mm/dd"),1),"")</f>
        <v>2350952039.7399998</v>
      </c>
      <c r="D1782">
        <f>IFERROR([1]!s_stm07_is($A1782,"W76031679",TEXT($B$1,"yyyy/mm/dd"),1),"")</f>
        <v>515034400.61000001</v>
      </c>
      <c r="E1782">
        <f>IFERROR([1]!s_stm07_is($A1782,"W70752487",TEXT($B$1,"yyyy/mm/dd"),1),"")</f>
        <v>150159662.69</v>
      </c>
      <c r="F1782">
        <f>IFERROR([1]!s_stm07_is_103($A1782,TEXT($B$1,"yyyy/mm/dd"),1),"")</f>
        <v>400389951.31</v>
      </c>
      <c r="G1782">
        <f>IFERROR([1]!s_stm07_is_104($A1782,TEXT($B$1,"yyyy/mm/dd"),1),"")</f>
        <v>11482381.5</v>
      </c>
      <c r="H1782">
        <f>IFERROR([1]!s_stm07_is_105($A1782,TEXT($B$1,"yyyy/mm/dd"),1),"")</f>
        <v>53299721.109999999</v>
      </c>
      <c r="I1782">
        <f>IFERROR([1]!s_stm07_is($A1782,"W72946623",TEXT($B$1,"yyyy/mm/dd"),1),"")</f>
        <v>133170331.94</v>
      </c>
      <c r="J1782">
        <f>IFERROR([1]!s_stm07_is($A1782,"W30028333",TEXT($B$1,"yyyy/mm/dd"),1),"")</f>
        <v>143446346.56999999</v>
      </c>
      <c r="K1782">
        <f>IFERROR([1]!s_stm07_cs($A1782,"W77130581",TEXT($B$1,"yyyy/mm/dd"),1),"")</f>
        <v>-95088053.230000004</v>
      </c>
      <c r="L1782">
        <f>IFERROR([1]!s_stm07_cs($A1782,"W77745895",TEXT($B$1,"yyyy/mm/dd"),1),"")</f>
        <v>199528055.44</v>
      </c>
      <c r="M1782">
        <f>IFERROR([1]!S_FA_EPS_basic2($A1782,$B$1,"Cur=CNY"),"")</f>
        <v>2.13</v>
      </c>
      <c r="N1782">
        <f>IFERROR([1]!s_fa_arturndays($A1782,TEXT($B$1,"yyyy/mm/dd")),"")</f>
        <v>28.761099999999999</v>
      </c>
      <c r="O1782" t="str">
        <f>IFERROR([1]!fa_apturndays($A1782,TEXT($B$1,"yyyy/mm/dd")),"")</f>
        <v>Fetch...</v>
      </c>
      <c r="P1782">
        <f>IFERROR([1]!s_fa_invturndays($A1782,TEXT($B$1,"yyyy/mm/dd")),"")</f>
        <v>141.08789999999999</v>
      </c>
    </row>
    <row r="1783" spans="1:16">
      <c r="A1783" t="s">
        <v>1796</v>
      </c>
      <c r="B1783">
        <f>IFERROR([1]!s_stm07_is($A1783,"W70156729",TEXT($B$1,"yyyy/mm/dd"),1),"")</f>
        <v>1946203477.8900001</v>
      </c>
      <c r="C1783">
        <f>IFERROR([1]!s_stm07_is($A1783,"W75682424",TEXT($B$1,"yyyy/mm/dd"),1),"")</f>
        <v>1214529679.55</v>
      </c>
      <c r="D1783">
        <f>IFERROR([1]!s_stm07_is($A1783,"W76031679",TEXT($B$1,"yyyy/mm/dd"),1),"")</f>
        <v>158494768.28999999</v>
      </c>
      <c r="E1783">
        <f>IFERROR([1]!s_stm07_is($A1783,"W70752487",TEXT($B$1,"yyyy/mm/dd"),1),"")</f>
        <v>84869042.209999993</v>
      </c>
      <c r="F1783">
        <f>IFERROR([1]!s_stm07_is_103($A1783,TEXT($B$1,"yyyy/mm/dd"),1),"")</f>
        <v>243287359.49000001</v>
      </c>
      <c r="G1783">
        <f>IFERROR([1]!s_stm07_is_104($A1783,TEXT($B$1,"yyyy/mm/dd"),1),"")</f>
        <v>2905643.79</v>
      </c>
      <c r="H1783">
        <f>IFERROR([1]!s_stm07_is_105($A1783,TEXT($B$1,"yyyy/mm/dd"),1),"")</f>
        <v>24968368.32</v>
      </c>
      <c r="I1783">
        <f>IFERROR([1]!s_stm07_is($A1783,"W72946623",TEXT($B$1,"yyyy/mm/dd"),1),"")</f>
        <v>271902069.49000001</v>
      </c>
      <c r="J1783">
        <f>IFERROR([1]!s_stm07_is($A1783,"W30028333",TEXT($B$1,"yyyy/mm/dd"),1),"")</f>
        <v>262774139.00999999</v>
      </c>
      <c r="K1783">
        <f>IFERROR([1]!s_stm07_cs($A1783,"W77130581",TEXT($B$1,"yyyy/mm/dd"),1),"")</f>
        <v>83619239.25</v>
      </c>
      <c r="L1783">
        <f>IFERROR([1]!s_stm07_cs($A1783,"W77745895",TEXT($B$1,"yyyy/mm/dd"),1),"")</f>
        <v>143196586.37</v>
      </c>
      <c r="M1783">
        <f>IFERROR([1]!S_FA_EPS_basic2($A1783,$B$1,"Cur=CNY"),"")</f>
        <v>1.24</v>
      </c>
      <c r="N1783">
        <f>IFERROR([1]!s_fa_arturndays($A1783,TEXT($B$1,"yyyy/mm/dd")),"")</f>
        <v>128.1139</v>
      </c>
      <c r="O1783" t="str">
        <f>IFERROR([1]!fa_apturndays($A1783,TEXT($B$1,"yyyy/mm/dd")),"")</f>
        <v>Fetch...</v>
      </c>
      <c r="P1783">
        <f>IFERROR([1]!s_fa_invturndays($A1783,TEXT($B$1,"yyyy/mm/dd")),"")</f>
        <v>104.4144</v>
      </c>
    </row>
    <row r="1784" spans="1:16">
      <c r="A1784" t="s">
        <v>1797</v>
      </c>
      <c r="B1784">
        <f>IFERROR([1]!s_stm07_is($A1784,"W70156729",TEXT($B$1,"yyyy/mm/dd"),1),"")</f>
        <v>1098386778.6500001</v>
      </c>
      <c r="C1784">
        <f>IFERROR([1]!s_stm07_is($A1784,"W75682424",TEXT($B$1,"yyyy/mm/dd"),1),"")</f>
        <v>720525032.94000006</v>
      </c>
      <c r="D1784">
        <f>IFERROR([1]!s_stm07_is($A1784,"W76031679",TEXT($B$1,"yyyy/mm/dd"),1),"")</f>
        <v>51810951.420000002</v>
      </c>
      <c r="E1784">
        <f>IFERROR([1]!s_stm07_is($A1784,"W70752487",TEXT($B$1,"yyyy/mm/dd"),1),"")</f>
        <v>68950318.430000007</v>
      </c>
      <c r="F1784">
        <f>IFERROR([1]!s_stm07_is_103($A1784,TEXT($B$1,"yyyy/mm/dd"),1),"")</f>
        <v>100065080.52</v>
      </c>
      <c r="G1784">
        <f>IFERROR([1]!s_stm07_is_104($A1784,TEXT($B$1,"yyyy/mm/dd"),1),"")</f>
        <v>237195.97</v>
      </c>
      <c r="H1784">
        <f>IFERROR([1]!s_stm07_is_105($A1784,TEXT($B$1,"yyyy/mm/dd"),1),"")</f>
        <v>1671574.06</v>
      </c>
      <c r="I1784">
        <f>IFERROR([1]!s_stm07_is($A1784,"W72946623",TEXT($B$1,"yyyy/mm/dd"),1),"")</f>
        <v>139472316.05000001</v>
      </c>
      <c r="J1784">
        <f>IFERROR([1]!s_stm07_is($A1784,"W30028333",TEXT($B$1,"yyyy/mm/dd"),1),"")</f>
        <v>120936915.08</v>
      </c>
      <c r="K1784">
        <f>IFERROR([1]!s_stm07_cs($A1784,"W77130581",TEXT($B$1,"yyyy/mm/dd"),1),"")</f>
        <v>244942792.91999999</v>
      </c>
      <c r="L1784">
        <f>IFERROR([1]!s_stm07_cs($A1784,"W77745895",TEXT($B$1,"yyyy/mm/dd"),1),"")</f>
        <v>164753865.41999999</v>
      </c>
      <c r="M1784">
        <f>IFERROR([1]!S_FA_EPS_basic2($A1784,$B$1,"Cur=CNY"),"")</f>
        <v>0.41</v>
      </c>
      <c r="N1784">
        <f>IFERROR([1]!s_fa_arturndays($A1784,TEXT($B$1,"yyyy/mm/dd")),"")</f>
        <v>221.57939999999999</v>
      </c>
      <c r="O1784" t="str">
        <f>IFERROR([1]!fa_apturndays($A1784,TEXT($B$1,"yyyy/mm/dd")),"")</f>
        <v>Fetch...</v>
      </c>
      <c r="P1784">
        <f>IFERROR([1]!s_fa_invturndays($A1784,TEXT($B$1,"yyyy/mm/dd")),"")</f>
        <v>434.4153</v>
      </c>
    </row>
    <row r="1785" spans="1:16">
      <c r="A1785" t="s">
        <v>1798</v>
      </c>
      <c r="B1785">
        <f>IFERROR([1]!s_stm07_is($A1785,"W70156729",TEXT($B$1,"yyyy/mm/dd"),1),"")</f>
        <v>1150531395.25</v>
      </c>
      <c r="C1785">
        <f>IFERROR([1]!s_stm07_is($A1785,"W75682424",TEXT($B$1,"yyyy/mm/dd"),1),"")</f>
        <v>584357257.52999997</v>
      </c>
      <c r="D1785">
        <f>IFERROR([1]!s_stm07_is($A1785,"W76031679",TEXT($B$1,"yyyy/mm/dd"),1),"")</f>
        <v>51041438.189999998</v>
      </c>
      <c r="E1785">
        <f>IFERROR([1]!s_stm07_is($A1785,"W70752487",TEXT($B$1,"yyyy/mm/dd"),1),"")</f>
        <v>62747445.189999998</v>
      </c>
      <c r="F1785">
        <f>IFERROR([1]!s_stm07_is_103($A1785,TEXT($B$1,"yyyy/mm/dd"),1),"")</f>
        <v>678652665.48000002</v>
      </c>
      <c r="G1785">
        <f>IFERROR([1]!s_stm07_is_104($A1785,TEXT($B$1,"yyyy/mm/dd"),1),"")</f>
        <v>15117.28</v>
      </c>
      <c r="H1785">
        <f>IFERROR([1]!s_stm07_is_105($A1785,TEXT($B$1,"yyyy/mm/dd"),1),"")</f>
        <v>5071592.92</v>
      </c>
      <c r="I1785">
        <f>IFERROR([1]!s_stm07_is($A1785,"W72946623",TEXT($B$1,"yyyy/mm/dd"),1),"")</f>
        <v>-149888115.46000001</v>
      </c>
      <c r="J1785">
        <f>IFERROR([1]!s_stm07_is($A1785,"W30028333",TEXT($B$1,"yyyy/mm/dd"),1),"")</f>
        <v>-149944394.61000001</v>
      </c>
      <c r="K1785">
        <f>IFERROR([1]!s_stm07_cs($A1785,"W77130581",TEXT($B$1,"yyyy/mm/dd"),1),"")</f>
        <v>187050707.47999999</v>
      </c>
      <c r="L1785">
        <f>IFERROR([1]!s_stm07_cs($A1785,"W77745895",TEXT($B$1,"yyyy/mm/dd"),1),"")</f>
        <v>112987992.91</v>
      </c>
      <c r="M1785">
        <f>IFERROR([1]!S_FA_EPS_basic2($A1785,$B$1,"Cur=CNY"),"")</f>
        <v>-0.37</v>
      </c>
      <c r="N1785">
        <f>IFERROR([1]!s_fa_arturndays($A1785,TEXT($B$1,"yyyy/mm/dd")),"")</f>
        <v>51.010300000000001</v>
      </c>
      <c r="O1785" t="str">
        <f>IFERROR([1]!fa_apturndays($A1785,TEXT($B$1,"yyyy/mm/dd")),"")</f>
        <v>Fetch...</v>
      </c>
      <c r="P1785">
        <f>IFERROR([1]!s_fa_invturndays($A1785,TEXT($B$1,"yyyy/mm/dd")),"")</f>
        <v>341.9128</v>
      </c>
    </row>
    <row r="1786" spans="1:16">
      <c r="A1786" t="s">
        <v>1799</v>
      </c>
      <c r="B1786">
        <f>IFERROR([1]!s_stm07_is($A1786,"W70156729",TEXT($B$1,"yyyy/mm/dd"),1),"")</f>
        <v>759987312.37</v>
      </c>
      <c r="C1786">
        <f>IFERROR([1]!s_stm07_is($A1786,"W75682424",TEXT($B$1,"yyyy/mm/dd"),1),"")</f>
        <v>228348127.47999999</v>
      </c>
      <c r="D1786">
        <f>IFERROR([1]!s_stm07_is($A1786,"W76031679",TEXT($B$1,"yyyy/mm/dd"),1),"")</f>
        <v>38198124.909999996</v>
      </c>
      <c r="E1786">
        <f>IFERROR([1]!s_stm07_is($A1786,"W70752487",TEXT($B$1,"yyyy/mm/dd"),1),"")</f>
        <v>121773296.22</v>
      </c>
      <c r="F1786">
        <f>IFERROR([1]!s_stm07_is_103($A1786,TEXT($B$1,"yyyy/mm/dd"),1),"")</f>
        <v>113006747.16</v>
      </c>
      <c r="G1786">
        <f>IFERROR([1]!s_stm07_is_104($A1786,TEXT($B$1,"yyyy/mm/dd"),1),"")</f>
        <v>11164100.560000001</v>
      </c>
      <c r="H1786">
        <f>IFERROR([1]!s_stm07_is_105($A1786,TEXT($B$1,"yyyy/mm/dd"),1),"")</f>
        <v>4816427.8499999996</v>
      </c>
      <c r="I1786">
        <f>IFERROR([1]!s_stm07_is($A1786,"W72946623",TEXT($B$1,"yyyy/mm/dd"),1),"")</f>
        <v>180422431.61000001</v>
      </c>
      <c r="J1786">
        <f>IFERROR([1]!s_stm07_is($A1786,"W30028333",TEXT($B$1,"yyyy/mm/dd"),1),"")</f>
        <v>153605481.59</v>
      </c>
      <c r="K1786">
        <f>IFERROR([1]!s_stm07_cs($A1786,"W77130581",TEXT($B$1,"yyyy/mm/dd"),1),"")</f>
        <v>-344749421.75999999</v>
      </c>
      <c r="L1786">
        <f>IFERROR([1]!s_stm07_cs($A1786,"W77745895",TEXT($B$1,"yyyy/mm/dd"),1),"")</f>
        <v>254030537.58000001</v>
      </c>
      <c r="M1786">
        <f>IFERROR([1]!S_FA_EPS_basic2($A1786,$B$1,"Cur=CNY"),"")</f>
        <v>0.24</v>
      </c>
      <c r="N1786">
        <f>IFERROR([1]!s_fa_arturndays($A1786,TEXT($B$1,"yyyy/mm/dd")),"")</f>
        <v>525.31740000000002</v>
      </c>
      <c r="O1786" t="str">
        <f>IFERROR([1]!fa_apturndays($A1786,TEXT($B$1,"yyyy/mm/dd")),"")</f>
        <v>Fetch...</v>
      </c>
      <c r="P1786">
        <f>IFERROR([1]!s_fa_invturndays($A1786,TEXT($B$1,"yyyy/mm/dd")),"")</f>
        <v>1038.961</v>
      </c>
    </row>
    <row r="1787" spans="1:16">
      <c r="A1787" t="s">
        <v>1800</v>
      </c>
      <c r="B1787">
        <f>IFERROR([1]!s_stm07_is($A1787,"W70156729",TEXT($B$1,"yyyy/mm/dd"),1),"")</f>
        <v>4081971776.5799999</v>
      </c>
      <c r="C1787">
        <f>IFERROR([1]!s_stm07_is($A1787,"W75682424",TEXT($B$1,"yyyy/mm/dd"),1),"")</f>
        <v>2777371617.8600001</v>
      </c>
      <c r="D1787">
        <f>IFERROR([1]!s_stm07_is($A1787,"W76031679",TEXT($B$1,"yyyy/mm/dd"),1),"")</f>
        <v>573251002.75999999</v>
      </c>
      <c r="E1787">
        <f>IFERROR([1]!s_stm07_is($A1787,"W70752487",TEXT($B$1,"yyyy/mm/dd"),1),"")</f>
        <v>193448046.44999999</v>
      </c>
      <c r="F1787">
        <f>IFERROR([1]!s_stm07_is_103($A1787,TEXT($B$1,"yyyy/mm/dd"),1),"")</f>
        <v>607841552.05999994</v>
      </c>
      <c r="G1787">
        <f>IFERROR([1]!s_stm07_is_104($A1787,TEXT($B$1,"yyyy/mm/dd"),1),"")</f>
        <v>2050812.05</v>
      </c>
      <c r="H1787">
        <f>IFERROR([1]!s_stm07_is_105($A1787,TEXT($B$1,"yyyy/mm/dd"),1),"")</f>
        <v>45952514.390000001</v>
      </c>
      <c r="I1787">
        <f>IFERROR([1]!s_stm07_is($A1787,"W72946623",TEXT($B$1,"yyyy/mm/dd"),1),"")</f>
        <v>44489727.490000002</v>
      </c>
      <c r="J1787">
        <f>IFERROR([1]!s_stm07_is($A1787,"W30028333",TEXT($B$1,"yyyy/mm/dd"),1),"")</f>
        <v>120920541.64</v>
      </c>
      <c r="K1787">
        <f>IFERROR([1]!s_stm07_cs($A1787,"W77130581",TEXT($B$1,"yyyy/mm/dd"),1),"")</f>
        <v>336933732.06</v>
      </c>
      <c r="L1787">
        <f>IFERROR([1]!s_stm07_cs($A1787,"W77745895",TEXT($B$1,"yyyy/mm/dd"),1),"")</f>
        <v>450354028.91000003</v>
      </c>
      <c r="M1787">
        <f>IFERROR([1]!S_FA_EPS_basic2($A1787,$B$1,"Cur=CNY"),"")</f>
        <v>0.76</v>
      </c>
      <c r="N1787">
        <f>IFERROR([1]!s_fa_arturndays($A1787,TEXT($B$1,"yyyy/mm/dd")),"")</f>
        <v>54.632399999999997</v>
      </c>
      <c r="O1787" t="str">
        <f>IFERROR([1]!fa_apturndays($A1787,TEXT($B$1,"yyyy/mm/dd")),"")</f>
        <v>Fetch...</v>
      </c>
      <c r="P1787">
        <f>IFERROR([1]!s_fa_invturndays($A1787,TEXT($B$1,"yyyy/mm/dd")),"")</f>
        <v>159.8295</v>
      </c>
    </row>
    <row r="1788" spans="1:16">
      <c r="A1788" t="s">
        <v>1801</v>
      </c>
      <c r="B1788">
        <f>IFERROR([1]!s_stm07_is($A1788,"W70156729",TEXT($B$1,"yyyy/mm/dd"),1),"")</f>
        <v>5462129809.9399996</v>
      </c>
      <c r="C1788">
        <f>IFERROR([1]!s_stm07_is($A1788,"W75682424",TEXT($B$1,"yyyy/mm/dd"),1),"")</f>
        <v>3857433955.6399999</v>
      </c>
      <c r="D1788">
        <f>IFERROR([1]!s_stm07_is($A1788,"W76031679",TEXT($B$1,"yyyy/mm/dd"),1),"")</f>
        <v>62958733.640000001</v>
      </c>
      <c r="E1788">
        <f>IFERROR([1]!s_stm07_is($A1788,"W70752487",TEXT($B$1,"yyyy/mm/dd"),1),"")</f>
        <v>290522307.26999998</v>
      </c>
      <c r="F1788">
        <f>IFERROR([1]!s_stm07_is_103($A1788,TEXT($B$1,"yyyy/mm/dd"),1),"")</f>
        <v>385391010.27999997</v>
      </c>
      <c r="G1788">
        <f>IFERROR([1]!s_stm07_is_104($A1788,TEXT($B$1,"yyyy/mm/dd"),1),"")</f>
        <v>9356100.1300000008</v>
      </c>
      <c r="H1788">
        <f>IFERROR([1]!s_stm07_is_105($A1788,TEXT($B$1,"yyyy/mm/dd"),1),"")</f>
        <v>12691802.609999999</v>
      </c>
      <c r="I1788">
        <f>IFERROR([1]!s_stm07_is($A1788,"W72946623",TEXT($B$1,"yyyy/mm/dd"),1),"")</f>
        <v>711614613.74000001</v>
      </c>
      <c r="J1788">
        <f>IFERROR([1]!s_stm07_is($A1788,"W30028333",TEXT($B$1,"yyyy/mm/dd"),1),"")</f>
        <v>622865274.27999997</v>
      </c>
      <c r="K1788">
        <f>IFERROR([1]!s_stm07_cs($A1788,"W77130581",TEXT($B$1,"yyyy/mm/dd"),1),"")</f>
        <v>158952534.59999999</v>
      </c>
      <c r="L1788">
        <f>IFERROR([1]!s_stm07_cs($A1788,"W77745895",TEXT($B$1,"yyyy/mm/dd"),1),"")</f>
        <v>149624268.25999999</v>
      </c>
      <c r="M1788">
        <f>IFERROR([1]!S_FA_EPS_basic2($A1788,$B$1,"Cur=CNY"),"")</f>
        <v>1.5367</v>
      </c>
      <c r="N1788">
        <f>IFERROR([1]!s_fa_arturndays($A1788,TEXT($B$1,"yyyy/mm/dd")),"")</f>
        <v>91.787599999999998</v>
      </c>
      <c r="O1788" t="str">
        <f>IFERROR([1]!fa_apturndays($A1788,TEXT($B$1,"yyyy/mm/dd")),"")</f>
        <v>Fetch...</v>
      </c>
      <c r="P1788">
        <f>IFERROR([1]!s_fa_invturndays($A1788,TEXT($B$1,"yyyy/mm/dd")),"")</f>
        <v>395.21350000000001</v>
      </c>
    </row>
    <row r="1789" spans="1:16">
      <c r="A1789" t="s">
        <v>1802</v>
      </c>
      <c r="B1789">
        <f>IFERROR([1]!s_stm07_is($A1789,"W70156729",TEXT($B$1,"yyyy/mm/dd"),1),"")</f>
        <v>7781803637</v>
      </c>
      <c r="C1789">
        <f>IFERROR([1]!s_stm07_is($A1789,"W75682424",TEXT($B$1,"yyyy/mm/dd"),1),"")</f>
        <v>6267536005</v>
      </c>
      <c r="D1789">
        <f>IFERROR([1]!s_stm07_is($A1789,"W76031679",TEXT($B$1,"yyyy/mm/dd"),1),"")</f>
        <v>135721680</v>
      </c>
      <c r="E1789">
        <f>IFERROR([1]!s_stm07_is($A1789,"W70752487",TEXT($B$1,"yyyy/mm/dd"),1),"")</f>
        <v>235524783</v>
      </c>
      <c r="F1789">
        <f>IFERROR([1]!s_stm07_is_103($A1789,TEXT($B$1,"yyyy/mm/dd"),1),"")</f>
        <v>973479973</v>
      </c>
      <c r="G1789">
        <f>IFERROR([1]!s_stm07_is_104($A1789,TEXT($B$1,"yyyy/mm/dd"),1),"")</f>
        <v>319204819</v>
      </c>
      <c r="H1789">
        <f>IFERROR([1]!s_stm07_is_105($A1789,TEXT($B$1,"yyyy/mm/dd"),1),"")</f>
        <v>83306761</v>
      </c>
      <c r="I1789">
        <f>IFERROR([1]!s_stm07_is($A1789,"W72946623",TEXT($B$1,"yyyy/mm/dd"),1),"")</f>
        <v>9859711</v>
      </c>
      <c r="J1789">
        <f>IFERROR([1]!s_stm07_is($A1789,"W30028333",TEXT($B$1,"yyyy/mm/dd"),1),"")</f>
        <v>50509123</v>
      </c>
      <c r="K1789">
        <f>IFERROR([1]!s_stm07_cs($A1789,"W77130581",TEXT($B$1,"yyyy/mm/dd"),1),"")</f>
        <v>1654863353</v>
      </c>
      <c r="L1789">
        <f>IFERROR([1]!s_stm07_cs($A1789,"W77745895",TEXT($B$1,"yyyy/mm/dd"),1),"")</f>
        <v>2347920004</v>
      </c>
      <c r="M1789">
        <f>IFERROR([1]!S_FA_EPS_basic2($A1789,$B$1,"Cur=CNY"),"")</f>
        <v>0.02</v>
      </c>
      <c r="N1789">
        <f>IFERROR([1]!s_fa_arturndays($A1789,TEXT($B$1,"yyyy/mm/dd")),"")</f>
        <v>20.9223</v>
      </c>
      <c r="O1789" t="str">
        <f>IFERROR([1]!fa_apturndays($A1789,TEXT($B$1,"yyyy/mm/dd")),"")</f>
        <v>Fetch...</v>
      </c>
      <c r="P1789">
        <f>IFERROR([1]!s_fa_invturndays($A1789,TEXT($B$1,"yyyy/mm/dd")),"")</f>
        <v>350.6721</v>
      </c>
    </row>
    <row r="1790" spans="1:16">
      <c r="A1790" t="s">
        <v>1803</v>
      </c>
      <c r="B1790">
        <f>IFERROR([1]!s_stm07_is($A1790,"W70156729",TEXT($B$1,"yyyy/mm/dd"),1),"")</f>
        <v>1390287449</v>
      </c>
      <c r="C1790">
        <f>IFERROR([1]!s_stm07_is($A1790,"W75682424",TEXT($B$1,"yyyy/mm/dd"),1),"")</f>
        <v>286816833.67000002</v>
      </c>
      <c r="D1790">
        <f>IFERROR([1]!s_stm07_is($A1790,"W76031679",TEXT($B$1,"yyyy/mm/dd"),1),"")</f>
        <v>379937530.33999997</v>
      </c>
      <c r="E1790">
        <f>IFERROR([1]!s_stm07_is($A1790,"W70752487",TEXT($B$1,"yyyy/mm/dd"),1),"")</f>
        <v>229444605.06</v>
      </c>
      <c r="F1790">
        <f>IFERROR([1]!s_stm07_is_103($A1790,TEXT($B$1,"yyyy/mm/dd"),1),"")</f>
        <v>294037224.45999998</v>
      </c>
      <c r="G1790">
        <f>IFERROR([1]!s_stm07_is_104($A1790,TEXT($B$1,"yyyy/mm/dd"),1),"")</f>
        <v>1426723.44</v>
      </c>
      <c r="H1790">
        <f>IFERROR([1]!s_stm07_is_105($A1790,TEXT($B$1,"yyyy/mm/dd"),1),"")</f>
        <v>37180355.539999999</v>
      </c>
      <c r="I1790">
        <f>IFERROR([1]!s_stm07_is($A1790,"W72946623",TEXT($B$1,"yyyy/mm/dd"),1),"")</f>
        <v>169604544.30000001</v>
      </c>
      <c r="J1790">
        <f>IFERROR([1]!s_stm07_is($A1790,"W30028333",TEXT($B$1,"yyyy/mm/dd"),1),"")</f>
        <v>131790329.40000001</v>
      </c>
      <c r="K1790">
        <f>IFERROR([1]!s_stm07_cs($A1790,"W77130581",TEXT($B$1,"yyyy/mm/dd"),1),"")</f>
        <v>340864932.5</v>
      </c>
      <c r="L1790">
        <f>IFERROR([1]!s_stm07_cs($A1790,"W77745895",TEXT($B$1,"yyyy/mm/dd"),1),"")</f>
        <v>308083084.73000002</v>
      </c>
      <c r="M1790">
        <f>IFERROR([1]!S_FA_EPS_basic2($A1790,$B$1,"Cur=CNY"),"")</f>
        <v>0.32</v>
      </c>
      <c r="N1790">
        <f>IFERROR([1]!s_fa_arturndays($A1790,TEXT($B$1,"yyyy/mm/dd")),"")</f>
        <v>275.27140000000003</v>
      </c>
      <c r="O1790" t="str">
        <f>IFERROR([1]!fa_apturndays($A1790,TEXT($B$1,"yyyy/mm/dd")),"")</f>
        <v>Fetch...</v>
      </c>
      <c r="P1790">
        <f>IFERROR([1]!s_fa_invturndays($A1790,TEXT($B$1,"yyyy/mm/dd")),"")</f>
        <v>586.41470000000004</v>
      </c>
    </row>
    <row r="1791" spans="1:16">
      <c r="A1791" t="s">
        <v>1804</v>
      </c>
      <c r="B1791">
        <f>IFERROR([1]!s_stm07_is($A1791,"W70156729",TEXT($B$1,"yyyy/mm/dd"),1),"")</f>
        <v>2319754086.04</v>
      </c>
      <c r="C1791">
        <f>IFERROR([1]!s_stm07_is($A1791,"W75682424",TEXT($B$1,"yyyy/mm/dd"),1),"")</f>
        <v>1661717961.9400001</v>
      </c>
      <c r="D1791">
        <f>IFERROR([1]!s_stm07_is($A1791,"W76031679",TEXT($B$1,"yyyy/mm/dd"),1),"")</f>
        <v>85147079.530000001</v>
      </c>
      <c r="E1791">
        <f>IFERROR([1]!s_stm07_is($A1791,"W70752487",TEXT($B$1,"yyyy/mm/dd"),1),"")</f>
        <v>88759807.780000001</v>
      </c>
      <c r="F1791">
        <f>IFERROR([1]!s_stm07_is_103($A1791,TEXT($B$1,"yyyy/mm/dd"),1),"")</f>
        <v>297285079.91000003</v>
      </c>
      <c r="G1791">
        <f>IFERROR([1]!s_stm07_is_104($A1791,TEXT($B$1,"yyyy/mm/dd"),1),"")</f>
        <v>454242.45</v>
      </c>
      <c r="H1791">
        <f>IFERROR([1]!s_stm07_is_105($A1791,TEXT($B$1,"yyyy/mm/dd"),1),"")</f>
        <v>6942128.6799999997</v>
      </c>
      <c r="I1791">
        <f>IFERROR([1]!s_stm07_is($A1791,"W72946623",TEXT($B$1,"yyyy/mm/dd"),1),"")</f>
        <v>210836301.53999999</v>
      </c>
      <c r="J1791">
        <f>IFERROR([1]!s_stm07_is($A1791,"W30028333",TEXT($B$1,"yyyy/mm/dd"),1),"")</f>
        <v>207520637.41999999</v>
      </c>
      <c r="K1791">
        <f>IFERROR([1]!s_stm07_cs($A1791,"W77130581",TEXT($B$1,"yyyy/mm/dd"),1),"")</f>
        <v>82271347.219999999</v>
      </c>
      <c r="L1791">
        <f>IFERROR([1]!s_stm07_cs($A1791,"W77745895",TEXT($B$1,"yyyy/mm/dd"),1),"")</f>
        <v>124569213.81</v>
      </c>
      <c r="M1791">
        <f>IFERROR([1]!S_FA_EPS_basic2($A1791,$B$1,"Cur=CNY"),"")</f>
        <v>1.4</v>
      </c>
      <c r="N1791">
        <f>IFERROR([1]!s_fa_arturndays($A1791,TEXT($B$1,"yyyy/mm/dd")),"")</f>
        <v>79.774900000000002</v>
      </c>
      <c r="O1791" t="str">
        <f>IFERROR([1]!fa_apturndays($A1791,TEXT($B$1,"yyyy/mm/dd")),"")</f>
        <v>Fetch...</v>
      </c>
      <c r="P1791">
        <f>IFERROR([1]!s_fa_invturndays($A1791,TEXT($B$1,"yyyy/mm/dd")),"")</f>
        <v>213.8021</v>
      </c>
    </row>
    <row r="1792" spans="1:16">
      <c r="A1792" t="s">
        <v>1805</v>
      </c>
      <c r="B1792">
        <f>IFERROR([1]!s_stm07_is($A1792,"W70156729",TEXT($B$1,"yyyy/mm/dd"),1),"")</f>
        <v>14410405431.690001</v>
      </c>
      <c r="C1792">
        <f>IFERROR([1]!s_stm07_is($A1792,"W75682424",TEXT($B$1,"yyyy/mm/dd"),1),"")</f>
        <v>10923545229.530001</v>
      </c>
      <c r="D1792">
        <f>IFERROR([1]!s_stm07_is($A1792,"W76031679",TEXT($B$1,"yyyy/mm/dd"),1),"")</f>
        <v>81234631.030000001</v>
      </c>
      <c r="E1792">
        <f>IFERROR([1]!s_stm07_is($A1792,"W70752487",TEXT($B$1,"yyyy/mm/dd"),1),"")</f>
        <v>1215604868.8699999</v>
      </c>
      <c r="F1792">
        <f>IFERROR([1]!s_stm07_is_103($A1792,TEXT($B$1,"yyyy/mm/dd"),1),"")</f>
        <v>1857756961.1900001</v>
      </c>
      <c r="G1792">
        <f>IFERROR([1]!s_stm07_is_104($A1792,TEXT($B$1,"yyyy/mm/dd"),1),"")</f>
        <v>188846357.63999999</v>
      </c>
      <c r="H1792">
        <f>IFERROR([1]!s_stm07_is_105($A1792,TEXT($B$1,"yyyy/mm/dd"),1),"")</f>
        <v>42853407.25</v>
      </c>
      <c r="I1792">
        <f>IFERROR([1]!s_stm07_is($A1792,"W72946623",TEXT($B$1,"yyyy/mm/dd"),1),"")</f>
        <v>107701732.78</v>
      </c>
      <c r="J1792">
        <f>IFERROR([1]!s_stm07_is($A1792,"W30028333",TEXT($B$1,"yyyy/mm/dd"),1),"")</f>
        <v>471656086.20999998</v>
      </c>
      <c r="K1792">
        <f>IFERROR([1]!s_stm07_cs($A1792,"W77130581",TEXT($B$1,"yyyy/mm/dd"),1),"")</f>
        <v>2086817782.24</v>
      </c>
      <c r="L1792">
        <f>IFERROR([1]!s_stm07_cs($A1792,"W77745895",TEXT($B$1,"yyyy/mm/dd"),1),"")</f>
        <v>4110064966.21</v>
      </c>
      <c r="M1792">
        <f>IFERROR([1]!S_FA_EPS_basic2($A1792,$B$1,"Cur=CNY"),"")</f>
        <v>0.42</v>
      </c>
      <c r="N1792">
        <f>IFERROR([1]!s_fa_arturndays($A1792,TEXT($B$1,"yyyy/mm/dd")),"")</f>
        <v>92.008099999999999</v>
      </c>
      <c r="O1792" t="str">
        <f>IFERROR([1]!fa_apturndays($A1792,TEXT($B$1,"yyyy/mm/dd")),"")</f>
        <v>Fetch...</v>
      </c>
      <c r="P1792">
        <f>IFERROR([1]!s_fa_invturndays($A1792,TEXT($B$1,"yyyy/mm/dd")),"")</f>
        <v>77.056399999999996</v>
      </c>
    </row>
    <row r="1793" spans="1:16">
      <c r="A1793" t="s">
        <v>1806</v>
      </c>
      <c r="B1793">
        <f>IFERROR([1]!s_stm07_is($A1793,"W70156729",TEXT($B$1,"yyyy/mm/dd"),1),"")</f>
        <v>276445249.57999998</v>
      </c>
      <c r="C1793">
        <f>IFERROR([1]!s_stm07_is($A1793,"W75682424",TEXT($B$1,"yyyy/mm/dd"),1),"")</f>
        <v>224011758.97999999</v>
      </c>
      <c r="D1793">
        <f>IFERROR([1]!s_stm07_is($A1793,"W76031679",TEXT($B$1,"yyyy/mm/dd"),1),"")</f>
        <v>14848842.02</v>
      </c>
      <c r="E1793">
        <f>IFERROR([1]!s_stm07_is($A1793,"W70752487",TEXT($B$1,"yyyy/mm/dd"),1),"")</f>
        <v>60983371.43</v>
      </c>
      <c r="F1793">
        <f>IFERROR([1]!s_stm07_is_103($A1793,TEXT($B$1,"yyyy/mm/dd"),1),"")</f>
        <v>32781942.350000001</v>
      </c>
      <c r="G1793">
        <f>IFERROR([1]!s_stm07_is_104($A1793,TEXT($B$1,"yyyy/mm/dd"),1),"")</f>
        <v>30372.33</v>
      </c>
      <c r="H1793">
        <f>IFERROR([1]!s_stm07_is_105($A1793,TEXT($B$1,"yyyy/mm/dd"),1),"")</f>
        <v>2637539.6</v>
      </c>
      <c r="I1793">
        <f>IFERROR([1]!s_stm07_is($A1793,"W72946623",TEXT($B$1,"yyyy/mm/dd"),1),"")</f>
        <v>-117338573.29000001</v>
      </c>
      <c r="J1793">
        <f>IFERROR([1]!s_stm07_is($A1793,"W30028333",TEXT($B$1,"yyyy/mm/dd"),1),"")</f>
        <v>-98761358.219999999</v>
      </c>
      <c r="K1793">
        <f>IFERROR([1]!s_stm07_cs($A1793,"W77130581",TEXT($B$1,"yyyy/mm/dd"),1),"")</f>
        <v>-13568802.76</v>
      </c>
      <c r="L1793">
        <f>IFERROR([1]!s_stm07_cs($A1793,"W77745895",TEXT($B$1,"yyyy/mm/dd"),1),"")</f>
        <v>110571817.77</v>
      </c>
      <c r="M1793">
        <f>IFERROR([1]!S_FA_EPS_basic2($A1793,$B$1,"Cur=CNY"),"")</f>
        <v>-0.91</v>
      </c>
      <c r="N1793">
        <f>IFERROR([1]!s_fa_arturndays($A1793,TEXT($B$1,"yyyy/mm/dd")),"")</f>
        <v>940.68460000000005</v>
      </c>
      <c r="O1793" t="str">
        <f>IFERROR([1]!fa_apturndays($A1793,TEXT($B$1,"yyyy/mm/dd")),"")</f>
        <v>Fetch...</v>
      </c>
      <c r="P1793">
        <f>IFERROR([1]!s_fa_invturndays($A1793,TEXT($B$1,"yyyy/mm/dd")),"")</f>
        <v>407.70100000000002</v>
      </c>
    </row>
    <row r="1794" spans="1:16">
      <c r="A1794" t="s">
        <v>1807</v>
      </c>
      <c r="B1794">
        <f>IFERROR([1]!s_stm07_is($A1794,"W70156729",TEXT($B$1,"yyyy/mm/dd"),1),"")</f>
        <v>8072577675.2600002</v>
      </c>
      <c r="C1794">
        <f>IFERROR([1]!s_stm07_is($A1794,"W75682424",TEXT($B$1,"yyyy/mm/dd"),1),"")</f>
        <v>5552639073.6999998</v>
      </c>
      <c r="D1794">
        <f>IFERROR([1]!s_stm07_is($A1794,"W76031679",TEXT($B$1,"yyyy/mm/dd"),1),"")</f>
        <v>849729835.73000002</v>
      </c>
      <c r="E1794">
        <f>IFERROR([1]!s_stm07_is($A1794,"W70752487",TEXT($B$1,"yyyy/mm/dd"),1),"")</f>
        <v>407088940.01999998</v>
      </c>
      <c r="F1794">
        <f>IFERROR([1]!s_stm07_is_103($A1794,TEXT($B$1,"yyyy/mm/dd"),1),"")</f>
        <v>951397780.55999994</v>
      </c>
      <c r="G1794">
        <f>IFERROR([1]!s_stm07_is_104($A1794,TEXT($B$1,"yyyy/mm/dd"),1),"")</f>
        <v>19427880.780000001</v>
      </c>
      <c r="H1794">
        <f>IFERROR([1]!s_stm07_is_105($A1794,TEXT($B$1,"yyyy/mm/dd"),1),"")</f>
        <v>93141486.670000002</v>
      </c>
      <c r="I1794">
        <f>IFERROR([1]!s_stm07_is($A1794,"W72946623",TEXT($B$1,"yyyy/mm/dd"),1),"")</f>
        <v>497495572.13999999</v>
      </c>
      <c r="J1794">
        <f>IFERROR([1]!s_stm07_is($A1794,"W30028333",TEXT($B$1,"yyyy/mm/dd"),1),"")</f>
        <v>441478911.01999998</v>
      </c>
      <c r="K1794">
        <f>IFERROR([1]!s_stm07_cs($A1794,"W77130581",TEXT($B$1,"yyyy/mm/dd"),1),"")</f>
        <v>377243050.13999999</v>
      </c>
      <c r="L1794">
        <f>IFERROR([1]!s_stm07_cs($A1794,"W77745895",TEXT($B$1,"yyyy/mm/dd"),1),"")</f>
        <v>101709642.33</v>
      </c>
      <c r="M1794">
        <f>IFERROR([1]!S_FA_EPS_basic2($A1794,$B$1,"Cur=CNY"),"")</f>
        <v>0.56000000000000005</v>
      </c>
      <c r="N1794">
        <f>IFERROR([1]!s_fa_arturndays($A1794,TEXT($B$1,"yyyy/mm/dd")),"")</f>
        <v>159.9716</v>
      </c>
      <c r="O1794" t="str">
        <f>IFERROR([1]!fa_apturndays($A1794,TEXT($B$1,"yyyy/mm/dd")),"")</f>
        <v>Fetch...</v>
      </c>
      <c r="P1794">
        <f>IFERROR([1]!s_fa_invturndays($A1794,TEXT($B$1,"yyyy/mm/dd")),"")</f>
        <v>253.6104</v>
      </c>
    </row>
    <row r="1795" spans="1:16">
      <c r="A1795" t="s">
        <v>1808</v>
      </c>
      <c r="B1795">
        <f>IFERROR([1]!s_stm07_is($A1795,"W70156729",TEXT($B$1,"yyyy/mm/dd"),1),"")</f>
        <v>19879565539.77</v>
      </c>
      <c r="C1795">
        <f>IFERROR([1]!s_stm07_is($A1795,"W75682424",TEXT($B$1,"yyyy/mm/dd"),1),"")</f>
        <v>17898946393.59</v>
      </c>
      <c r="D1795">
        <f>IFERROR([1]!s_stm07_is($A1795,"W76031679",TEXT($B$1,"yyyy/mm/dd"),1),"")</f>
        <v>42205154.340000004</v>
      </c>
      <c r="E1795">
        <f>IFERROR([1]!s_stm07_is($A1795,"W70752487",TEXT($B$1,"yyyy/mm/dd"),1),"")</f>
        <v>223233380.88</v>
      </c>
      <c r="F1795">
        <f>IFERROR([1]!s_stm07_is_103($A1795,TEXT($B$1,"yyyy/mm/dd"),1),"")</f>
        <v>545181846.99000001</v>
      </c>
      <c r="G1795">
        <f>IFERROR([1]!s_stm07_is_104($A1795,TEXT($B$1,"yyyy/mm/dd"),1),"")</f>
        <v>18897448.190000001</v>
      </c>
      <c r="H1795">
        <f>IFERROR([1]!s_stm07_is_105($A1795,TEXT($B$1,"yyyy/mm/dd"),1),"")</f>
        <v>17412672.149999999</v>
      </c>
      <c r="I1795">
        <f>IFERROR([1]!s_stm07_is($A1795,"W72946623",TEXT($B$1,"yyyy/mm/dd"),1),"")</f>
        <v>858121753.85000002</v>
      </c>
      <c r="J1795">
        <f>IFERROR([1]!s_stm07_is($A1795,"W30028333",TEXT($B$1,"yyyy/mm/dd"),1),"")</f>
        <v>754831699.59000003</v>
      </c>
      <c r="K1795">
        <f>IFERROR([1]!s_stm07_cs($A1795,"W77130581",TEXT($B$1,"yyyy/mm/dd"),1),"")</f>
        <v>1224012462.0599999</v>
      </c>
      <c r="L1795">
        <f>IFERROR([1]!s_stm07_cs($A1795,"W77745895",TEXT($B$1,"yyyy/mm/dd"),1),"")</f>
        <v>805208978.49000001</v>
      </c>
      <c r="M1795">
        <f>IFERROR([1]!S_FA_EPS_basic2($A1795,$B$1,"Cur=CNY"),"")</f>
        <v>1.5</v>
      </c>
      <c r="N1795">
        <f>IFERROR([1]!s_fa_arturndays($A1795,TEXT($B$1,"yyyy/mm/dd")),"")</f>
        <v>57.717300000000002</v>
      </c>
      <c r="O1795" t="str">
        <f>IFERROR([1]!fa_apturndays($A1795,TEXT($B$1,"yyyy/mm/dd")),"")</f>
        <v>Fetch...</v>
      </c>
      <c r="P1795">
        <f>IFERROR([1]!s_fa_invturndays($A1795,TEXT($B$1,"yyyy/mm/dd")),"")</f>
        <v>93.506500000000003</v>
      </c>
    </row>
    <row r="1796" spans="1:16">
      <c r="A1796" t="s">
        <v>1809</v>
      </c>
      <c r="B1796">
        <f>IFERROR([1]!s_stm07_is($A1796,"W70156729",TEXT($B$1,"yyyy/mm/dd"),1),"")</f>
        <v>9340087286.8199997</v>
      </c>
      <c r="C1796">
        <f>IFERROR([1]!s_stm07_is($A1796,"W75682424",TEXT($B$1,"yyyy/mm/dd"),1),"")</f>
        <v>8597779000.8799992</v>
      </c>
      <c r="D1796">
        <f>IFERROR([1]!s_stm07_is($A1796,"W76031679",TEXT($B$1,"yyyy/mm/dd"),1),"")</f>
        <v>21365485.27</v>
      </c>
      <c r="E1796">
        <f>IFERROR([1]!s_stm07_is($A1796,"W70752487",TEXT($B$1,"yyyy/mm/dd"),1),"")</f>
        <v>104216705.26000001</v>
      </c>
      <c r="F1796">
        <f>IFERROR([1]!s_stm07_is_103($A1796,TEXT($B$1,"yyyy/mm/dd"),1),"")</f>
        <v>267689961.03</v>
      </c>
      <c r="G1796">
        <f>IFERROR([1]!s_stm07_is_104($A1796,TEXT($B$1,"yyyy/mm/dd"),1),"")</f>
        <v>138643394.75999999</v>
      </c>
      <c r="H1796">
        <f>IFERROR([1]!s_stm07_is_105($A1796,TEXT($B$1,"yyyy/mm/dd"),1),"")</f>
        <v>25185181.969999999</v>
      </c>
      <c r="I1796">
        <f>IFERROR([1]!s_stm07_is($A1796,"W72946623",TEXT($B$1,"yyyy/mm/dd"),1),"")</f>
        <v>105549140.81</v>
      </c>
      <c r="J1796">
        <f>IFERROR([1]!s_stm07_is($A1796,"W30028333",TEXT($B$1,"yyyy/mm/dd"),1),"")</f>
        <v>228039645.18000001</v>
      </c>
      <c r="K1796">
        <f>IFERROR([1]!s_stm07_cs($A1796,"W77130581",TEXT($B$1,"yyyy/mm/dd"),1),"")</f>
        <v>239223867.5</v>
      </c>
      <c r="L1796">
        <f>IFERROR([1]!s_stm07_cs($A1796,"W77745895",TEXT($B$1,"yyyy/mm/dd"),1),"")</f>
        <v>132620842.73</v>
      </c>
      <c r="M1796">
        <f>IFERROR([1]!S_FA_EPS_basic2($A1796,$B$1,"Cur=CNY"),"")</f>
        <v>0.12</v>
      </c>
      <c r="N1796">
        <f>IFERROR([1]!s_fa_arturndays($A1796,TEXT($B$1,"yyyy/mm/dd")),"")</f>
        <v>132.01320000000001</v>
      </c>
      <c r="O1796" t="str">
        <f>IFERROR([1]!fa_apturndays($A1796,TEXT($B$1,"yyyy/mm/dd")),"")</f>
        <v>Fetch...</v>
      </c>
      <c r="P1796">
        <f>IFERROR([1]!s_fa_invturndays($A1796,TEXT($B$1,"yyyy/mm/dd")),"")</f>
        <v>58.450099999999999</v>
      </c>
    </row>
    <row r="1797" spans="1:16">
      <c r="A1797" t="s">
        <v>1810</v>
      </c>
      <c r="B1797">
        <f>IFERROR([1]!s_stm07_is($A1797,"W70156729",TEXT($B$1,"yyyy/mm/dd"),1),"")</f>
        <v>2302504716.6500001</v>
      </c>
      <c r="C1797">
        <f>IFERROR([1]!s_stm07_is($A1797,"W75682424",TEXT($B$1,"yyyy/mm/dd"),1),"")</f>
        <v>1311380273.8599999</v>
      </c>
      <c r="D1797">
        <f>IFERROR([1]!s_stm07_is($A1797,"W76031679",TEXT($B$1,"yyyy/mm/dd"),1),"")</f>
        <v>166734576.06</v>
      </c>
      <c r="E1797">
        <f>IFERROR([1]!s_stm07_is($A1797,"W70752487",TEXT($B$1,"yyyy/mm/dd"),1),"")</f>
        <v>115101746.98999999</v>
      </c>
      <c r="F1797">
        <f>IFERROR([1]!s_stm07_is_103($A1797,TEXT($B$1,"yyyy/mm/dd"),1),"")</f>
        <v>120467605.04000001</v>
      </c>
      <c r="G1797">
        <f>IFERROR([1]!s_stm07_is_104($A1797,TEXT($B$1,"yyyy/mm/dd"),1),"")</f>
        <v>4918089.17</v>
      </c>
      <c r="H1797">
        <f>IFERROR([1]!s_stm07_is_105($A1797,TEXT($B$1,"yyyy/mm/dd"),1),"")</f>
        <v>27355063.039999999</v>
      </c>
      <c r="I1797">
        <f>IFERROR([1]!s_stm07_is($A1797,"W72946623",TEXT($B$1,"yyyy/mm/dd"),1),"")</f>
        <v>634790504.95000005</v>
      </c>
      <c r="J1797">
        <f>IFERROR([1]!s_stm07_is($A1797,"W30028333",TEXT($B$1,"yyyy/mm/dd"),1),"")</f>
        <v>528285512.43000001</v>
      </c>
      <c r="K1797">
        <f>IFERROR([1]!s_stm07_cs($A1797,"W77130581",TEXT($B$1,"yyyy/mm/dd"),1),"")</f>
        <v>279580131.75</v>
      </c>
      <c r="L1797">
        <f>IFERROR([1]!s_stm07_cs($A1797,"W77745895",TEXT($B$1,"yyyy/mm/dd"),1),"")</f>
        <v>368304787.64999998</v>
      </c>
      <c r="M1797">
        <f>IFERROR([1]!S_FA_EPS_basic2($A1797,$B$1,"Cur=CNY"),"")</f>
        <v>2.95</v>
      </c>
      <c r="N1797">
        <f>IFERROR([1]!s_fa_arturndays($A1797,TEXT($B$1,"yyyy/mm/dd")),"")</f>
        <v>108.9259</v>
      </c>
      <c r="O1797" t="str">
        <f>IFERROR([1]!fa_apturndays($A1797,TEXT($B$1,"yyyy/mm/dd")),"")</f>
        <v>Fetch...</v>
      </c>
      <c r="P1797">
        <f>IFERROR([1]!s_fa_invturndays($A1797,TEXT($B$1,"yyyy/mm/dd")),"")</f>
        <v>163.46549999999999</v>
      </c>
    </row>
    <row r="1798" spans="1:16">
      <c r="A1798" t="s">
        <v>1811</v>
      </c>
      <c r="B1798">
        <f>IFERROR([1]!s_stm07_is($A1798,"W70156729",TEXT($B$1,"yyyy/mm/dd"),1),"")</f>
        <v>2853531396.8000002</v>
      </c>
      <c r="C1798">
        <f>IFERROR([1]!s_stm07_is($A1798,"W75682424",TEXT($B$1,"yyyy/mm/dd"),1),"")</f>
        <v>1842651065.3800001</v>
      </c>
      <c r="D1798">
        <f>IFERROR([1]!s_stm07_is($A1798,"W76031679",TEXT($B$1,"yyyy/mm/dd"),1),"")</f>
        <v>97065820.489999995</v>
      </c>
      <c r="E1798">
        <f>IFERROR([1]!s_stm07_is($A1798,"W70752487",TEXT($B$1,"yyyy/mm/dd"),1),"")</f>
        <v>154712604.13</v>
      </c>
      <c r="F1798">
        <f>IFERROR([1]!s_stm07_is_103($A1798,TEXT($B$1,"yyyy/mm/dd"),1),"")</f>
        <v>568147221.47000003</v>
      </c>
      <c r="G1798">
        <f>IFERROR([1]!s_stm07_is_104($A1798,TEXT($B$1,"yyyy/mm/dd"),1),"")</f>
        <v>9198168.9600000009</v>
      </c>
      <c r="H1798">
        <f>IFERROR([1]!s_stm07_is_105($A1798,TEXT($B$1,"yyyy/mm/dd"),1),"")</f>
        <v>11865858.550000001</v>
      </c>
      <c r="I1798">
        <f>IFERROR([1]!s_stm07_is($A1798,"W72946623",TEXT($B$1,"yyyy/mm/dd"),1),"")</f>
        <v>302076679.23000002</v>
      </c>
      <c r="J1798">
        <f>IFERROR([1]!s_stm07_is($A1798,"W30028333",TEXT($B$1,"yyyy/mm/dd"),1),"")</f>
        <v>317009892.39999998</v>
      </c>
      <c r="K1798">
        <f>IFERROR([1]!s_stm07_cs($A1798,"W77130581",TEXT($B$1,"yyyy/mm/dd"),1),"")</f>
        <v>390713526.04000002</v>
      </c>
      <c r="L1798">
        <f>IFERROR([1]!s_stm07_cs($A1798,"W77745895",TEXT($B$1,"yyyy/mm/dd"),1),"")</f>
        <v>175208581.16999999</v>
      </c>
      <c r="M1798">
        <f>IFERROR([1]!S_FA_EPS_basic2($A1798,$B$1,"Cur=CNY"),"")</f>
        <v>1.36</v>
      </c>
      <c r="N1798">
        <f>IFERROR([1]!s_fa_arturndays($A1798,TEXT($B$1,"yyyy/mm/dd")),"")</f>
        <v>12.808999999999999</v>
      </c>
      <c r="O1798" t="str">
        <f>IFERROR([1]!fa_apturndays($A1798,TEXT($B$1,"yyyy/mm/dd")),"")</f>
        <v>Fetch...</v>
      </c>
      <c r="P1798">
        <f>IFERROR([1]!s_fa_invturndays($A1798,TEXT($B$1,"yyyy/mm/dd")),"")</f>
        <v>121.6545</v>
      </c>
    </row>
    <row r="1799" spans="1:16">
      <c r="A1799" t="s">
        <v>1812</v>
      </c>
      <c r="B1799">
        <f>IFERROR([1]!s_stm07_is($A1799,"W70156729",TEXT($B$1,"yyyy/mm/dd"),1),"")</f>
        <v>3151069729.7600002</v>
      </c>
      <c r="C1799">
        <f>IFERROR([1]!s_stm07_is($A1799,"W75682424",TEXT($B$1,"yyyy/mm/dd"),1),"")</f>
        <v>2453249214.73</v>
      </c>
      <c r="D1799">
        <f>IFERROR([1]!s_stm07_is($A1799,"W76031679",TEXT($B$1,"yyyy/mm/dd"),1),"")</f>
        <v>49742631.82</v>
      </c>
      <c r="E1799">
        <f>IFERROR([1]!s_stm07_is($A1799,"W70752487",TEXT($B$1,"yyyy/mm/dd"),1),"")</f>
        <v>124868001.61</v>
      </c>
      <c r="F1799">
        <f>IFERROR([1]!s_stm07_is_103($A1799,TEXT($B$1,"yyyy/mm/dd"),1),"")</f>
        <v>150667765.19999999</v>
      </c>
      <c r="G1799">
        <f>IFERROR([1]!s_stm07_is_104($A1799,TEXT($B$1,"yyyy/mm/dd"),1),"")</f>
        <v>30054160.859999999</v>
      </c>
      <c r="H1799">
        <f>IFERROR([1]!s_stm07_is_105($A1799,TEXT($B$1,"yyyy/mm/dd"),1),"")</f>
        <v>10585582.460000001</v>
      </c>
      <c r="I1799">
        <f>IFERROR([1]!s_stm07_is($A1799,"W72946623",TEXT($B$1,"yyyy/mm/dd"),1),"")</f>
        <v>337778969.62</v>
      </c>
      <c r="J1799">
        <f>IFERROR([1]!s_stm07_is($A1799,"W30028333",TEXT($B$1,"yyyy/mm/dd"),1),"")</f>
        <v>299067711.51999998</v>
      </c>
      <c r="K1799">
        <f>IFERROR([1]!s_stm07_cs($A1799,"W77130581",TEXT($B$1,"yyyy/mm/dd"),1),"")</f>
        <v>198303581.06</v>
      </c>
      <c r="L1799">
        <f>IFERROR([1]!s_stm07_cs($A1799,"W77745895",TEXT($B$1,"yyyy/mm/dd"),1),"")</f>
        <v>288369863.16000003</v>
      </c>
      <c r="M1799">
        <f>IFERROR([1]!S_FA_EPS_basic2($A1799,$B$1,"Cur=CNY"),"")</f>
        <v>1.46</v>
      </c>
      <c r="N1799">
        <f>IFERROR([1]!s_fa_arturndays($A1799,TEXT($B$1,"yyyy/mm/dd")),"")</f>
        <v>102.85129999999999</v>
      </c>
      <c r="O1799" t="str">
        <f>IFERROR([1]!fa_apturndays($A1799,TEXT($B$1,"yyyy/mm/dd")),"")</f>
        <v>Fetch...</v>
      </c>
      <c r="P1799">
        <f>IFERROR([1]!s_fa_invturndays($A1799,TEXT($B$1,"yyyy/mm/dd")),"")</f>
        <v>87.378600000000006</v>
      </c>
    </row>
    <row r="1800" spans="1:16">
      <c r="A1800" t="s">
        <v>1813</v>
      </c>
      <c r="B1800">
        <f>IFERROR([1]!s_stm07_is($A1800,"W70156729",TEXT($B$1,"yyyy/mm/dd"),1),"")</f>
        <v>45792356231.300003</v>
      </c>
      <c r="C1800">
        <f>IFERROR([1]!s_stm07_is($A1800,"W75682424",TEXT($B$1,"yyyy/mm/dd"),1),"")</f>
        <v>39219065691.529999</v>
      </c>
      <c r="D1800">
        <f>IFERROR([1]!s_stm07_is($A1800,"W76031679",TEXT($B$1,"yyyy/mm/dd"),1),"")</f>
        <v>536225021.51999998</v>
      </c>
      <c r="E1800">
        <f>IFERROR([1]!s_stm07_is($A1800,"W70752487",TEXT($B$1,"yyyy/mm/dd"),1),"")</f>
        <v>1032569274.87</v>
      </c>
      <c r="F1800">
        <f>IFERROR([1]!s_stm07_is_103($A1800,TEXT($B$1,"yyyy/mm/dd"),1),"")</f>
        <v>1856602789.3099999</v>
      </c>
      <c r="G1800">
        <f>IFERROR([1]!s_stm07_is_104($A1800,TEXT($B$1,"yyyy/mm/dd"),1),"")</f>
        <v>141522901.94</v>
      </c>
      <c r="H1800">
        <f>IFERROR([1]!s_stm07_is_105($A1800,TEXT($B$1,"yyyy/mm/dd"),1),"")</f>
        <v>187616780</v>
      </c>
      <c r="I1800">
        <f>IFERROR([1]!s_stm07_is($A1800,"W72946623",TEXT($B$1,"yyyy/mm/dd"),1),"")</f>
        <v>1843997208.3900001</v>
      </c>
      <c r="J1800">
        <f>IFERROR([1]!s_stm07_is($A1800,"W30028333",TEXT($B$1,"yyyy/mm/dd"),1),"")</f>
        <v>1591464569.4200001</v>
      </c>
      <c r="K1800">
        <f>IFERROR([1]!s_stm07_cs($A1800,"W77130581",TEXT($B$1,"yyyy/mm/dd"),1),"")</f>
        <v>6263505235.3999996</v>
      </c>
      <c r="L1800">
        <f>IFERROR([1]!s_stm07_cs($A1800,"W77745895",TEXT($B$1,"yyyy/mm/dd"),1),"")</f>
        <v>1309300339.26</v>
      </c>
      <c r="M1800">
        <f>IFERROR([1]!S_FA_EPS_basic2($A1800,$B$1,"Cur=CNY"),"")</f>
        <v>1.64</v>
      </c>
      <c r="N1800">
        <f>IFERROR([1]!s_fa_arturndays($A1800,TEXT($B$1,"yyyy/mm/dd")),"")</f>
        <v>12.595499999999999</v>
      </c>
      <c r="O1800" t="str">
        <f>IFERROR([1]!fa_apturndays($A1800,TEXT($B$1,"yyyy/mm/dd")),"")</f>
        <v>Fetch...</v>
      </c>
      <c r="P1800">
        <f>IFERROR([1]!s_fa_invturndays($A1800,TEXT($B$1,"yyyy/mm/dd")),"")</f>
        <v>55.865900000000003</v>
      </c>
    </row>
    <row r="1801" spans="1:16">
      <c r="A1801" t="s">
        <v>1814</v>
      </c>
      <c r="B1801">
        <f>IFERROR([1]!s_stm07_is($A1801,"W70156729",TEXT($B$1,"yyyy/mm/dd"),1),"")</f>
        <v>67323192000</v>
      </c>
      <c r="C1801">
        <f>IFERROR([1]!s_stm07_is($A1801,"W75682424",TEXT($B$1,"yyyy/mm/dd"),1),"")</f>
        <v>52765123000</v>
      </c>
      <c r="D1801">
        <f>IFERROR([1]!s_stm07_is($A1801,"W76031679",TEXT($B$1,"yyyy/mm/dd"),1),"")</f>
        <v>304795000</v>
      </c>
      <c r="E1801">
        <f>IFERROR([1]!s_stm07_is($A1801,"W70752487",TEXT($B$1,"yyyy/mm/dd"),1),"")</f>
        <v>3434995000</v>
      </c>
      <c r="F1801">
        <f>IFERROR([1]!s_stm07_is_103($A1801,TEXT($B$1,"yyyy/mm/dd"),1),"")</f>
        <v>5518596000</v>
      </c>
      <c r="G1801">
        <f>IFERROR([1]!s_stm07_is_104($A1801,TEXT($B$1,"yyyy/mm/dd"),1),"")</f>
        <v>2663015000</v>
      </c>
      <c r="H1801">
        <f>IFERROR([1]!s_stm07_is_105($A1801,TEXT($B$1,"yyyy/mm/dd"),1),"")</f>
        <v>2845113000</v>
      </c>
      <c r="I1801">
        <f>IFERROR([1]!s_stm07_is($A1801,"W72946623",TEXT($B$1,"yyyy/mm/dd"),1),"")</f>
        <v>7785646000</v>
      </c>
      <c r="J1801">
        <f>IFERROR([1]!s_stm07_is($A1801,"W30028333",TEXT($B$1,"yyyy/mm/dd"),1),"")</f>
        <v>5040734000</v>
      </c>
      <c r="K1801">
        <f>IFERROR([1]!s_stm07_cs($A1801,"W77130581",TEXT($B$1,"yyyy/mm/dd"),1),"")</f>
        <v>20080979000</v>
      </c>
      <c r="L1801">
        <f>IFERROR([1]!s_stm07_cs($A1801,"W77745895",TEXT($B$1,"yyyy/mm/dd"),1),"")</f>
        <v>59950583000</v>
      </c>
      <c r="M1801">
        <f>IFERROR([1]!S_FA_EPS_basic2($A1801,$B$1,"Cur=CNY"),"")</f>
        <v>0.63</v>
      </c>
      <c r="N1801">
        <f>IFERROR([1]!s_fa_arturndays($A1801,TEXT($B$1,"yyyy/mm/dd")),"")</f>
        <v>24.3049</v>
      </c>
      <c r="O1801" t="str">
        <f>IFERROR([1]!fa_apturndays($A1801,TEXT($B$1,"yyyy/mm/dd")),"")</f>
        <v>Fetch...</v>
      </c>
      <c r="P1801">
        <f>IFERROR([1]!s_fa_invturndays($A1801,TEXT($B$1,"yyyy/mm/dd")),"")</f>
        <v>159.65940000000001</v>
      </c>
    </row>
    <row r="1802" spans="1:16">
      <c r="A1802" t="s">
        <v>1815</v>
      </c>
      <c r="B1802">
        <f>IFERROR([1]!s_stm07_is($A1802,"W70156729",TEXT($B$1,"yyyy/mm/dd"),1),"")</f>
        <v>21277876666.950001</v>
      </c>
      <c r="C1802">
        <f>IFERROR([1]!s_stm07_is($A1802,"W75682424",TEXT($B$1,"yyyy/mm/dd"),1),"")</f>
        <v>14973319164.540001</v>
      </c>
      <c r="D1802">
        <f>IFERROR([1]!s_stm07_is($A1802,"W76031679",TEXT($B$1,"yyyy/mm/dd"),1),"")</f>
        <v>1878693522.3</v>
      </c>
      <c r="E1802">
        <f>IFERROR([1]!s_stm07_is($A1802,"W70752487",TEXT($B$1,"yyyy/mm/dd"),1),"")</f>
        <v>1190497023.99</v>
      </c>
      <c r="F1802">
        <f>IFERROR([1]!s_stm07_is_103($A1802,TEXT($B$1,"yyyy/mm/dd"),1),"")</f>
        <v>1249726980.9200001</v>
      </c>
      <c r="G1802">
        <f>IFERROR([1]!s_stm07_is_104($A1802,TEXT($B$1,"yyyy/mm/dd"),1),"")</f>
        <v>6594737.2699999996</v>
      </c>
      <c r="H1802">
        <f>IFERROR([1]!s_stm07_is_105($A1802,TEXT($B$1,"yyyy/mm/dd"),1),"")</f>
        <v>153101711.11000001</v>
      </c>
      <c r="I1802">
        <f>IFERROR([1]!s_stm07_is($A1802,"W72946623",TEXT($B$1,"yyyy/mm/dd"),1),"")</f>
        <v>2161319425.6399999</v>
      </c>
      <c r="J1802">
        <f>IFERROR([1]!s_stm07_is($A1802,"W30028333",TEXT($B$1,"yyyy/mm/dd"),1),"")</f>
        <v>1758171535.8399999</v>
      </c>
      <c r="K1802">
        <f>IFERROR([1]!s_stm07_cs($A1802,"W77130581",TEXT($B$1,"yyyy/mm/dd"),1),"")</f>
        <v>4444116067.4899998</v>
      </c>
      <c r="L1802">
        <f>IFERROR([1]!s_stm07_cs($A1802,"W77745895",TEXT($B$1,"yyyy/mm/dd"),1),"")</f>
        <v>1221181361.8900001</v>
      </c>
      <c r="M1802">
        <f>IFERROR([1]!S_FA_EPS_basic2($A1802,$B$1,"Cur=CNY"),"")</f>
        <v>24.72</v>
      </c>
      <c r="N1802">
        <f>IFERROR([1]!s_fa_arturndays($A1802,TEXT($B$1,"yyyy/mm/dd")),"")</f>
        <v>21.757300000000001</v>
      </c>
      <c r="O1802" t="str">
        <f>IFERROR([1]!fa_apturndays($A1802,TEXT($B$1,"yyyy/mm/dd")),"")</f>
        <v>Fetch...</v>
      </c>
      <c r="P1802">
        <f>IFERROR([1]!s_fa_invturndays($A1802,TEXT($B$1,"yyyy/mm/dd")),"")</f>
        <v>60.171500000000002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5969-C0B6-2042-908A-DD66C777FC01}">
  <dimension ref="A1:P110"/>
  <sheetViews>
    <sheetView tabSelected="1" workbookViewId="0"/>
  </sheetViews>
  <sheetFormatPr baseColWidth="10" defaultRowHeight="16"/>
  <cols>
    <col min="2" max="2" width="12" bestFit="1" customWidth="1"/>
  </cols>
  <sheetData>
    <row r="1" spans="1:16">
      <c r="B1" s="1">
        <v>46022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t="s">
        <v>1816</v>
      </c>
      <c r="B3">
        <f>IFERROR([1]!s_stm07_is($A3,"W70156729",TEXT($B$1,"yyyy/mm/dd"),1),"")</f>
        <v>280036000000</v>
      </c>
      <c r="C3">
        <f>IFERROR([1]!s_stm07_is($A3,"W75682424",TEXT($B$1,"yyyy/mm/dd"),1),"")</f>
        <v>123184000000</v>
      </c>
      <c r="D3">
        <f>IFERROR([1]!s_stm07_is($A3,"W76031679",TEXT($B$1,"yyyy/mm/dd"),1),"")</f>
        <v>0</v>
      </c>
      <c r="E3">
        <f>IFERROR([1]!s_stm07_is($A3,"W70752487",TEXT($B$1,"yyyy/mm/dd"),1),"")</f>
        <v>0</v>
      </c>
      <c r="F3">
        <f>IFERROR([1]!s_stm07_is_103($A3,TEXT($B$1,"yyyy/mm/dd"),1),"")</f>
        <v>0</v>
      </c>
      <c r="G3">
        <f>IFERROR([1]!s_stm07_is_104($A3,TEXT($B$1,"yyyy/mm/dd"),1),"")</f>
        <v>0</v>
      </c>
      <c r="H3">
        <f>IFERROR([1]!s_stm07_is_105($A3,TEXT($B$1,"yyyy/mm/dd"),1),"")</f>
        <v>0</v>
      </c>
      <c r="I3">
        <f>IFERROR([1]!s_stm07_is($A3,"W72946623",TEXT($B$1,"yyyy/mm/dd"),1),"")</f>
        <v>26607000000</v>
      </c>
      <c r="J3">
        <f>IFERROR([1]!s_stm07_is($A3,"W30028333",TEXT($B$1,"yyyy/mm/dd"),1),"")</f>
        <v>11841000000</v>
      </c>
      <c r="K3">
        <f>IFERROR([1]!s_stm07_cs($A3,"W77130581",TEXT($B$1,"yyyy/mm/dd"),1),"")</f>
        <v>0</v>
      </c>
      <c r="L3">
        <f>IFERROR([1]!s_stm07_cs($A3,"W77745895",TEXT($B$1,"yyyy/mm/dd"),1),"")</f>
        <v>0</v>
      </c>
      <c r="M3">
        <f>IFERROR([1]!S_FA_EPS_basic2($A3,$B$1,"Cur=CNY"),"")</f>
        <v>2.7909497999999999</v>
      </c>
      <c r="N3">
        <f>IFERROR([1]!hks_fa_arturndays($A3,TEXT($B$1,"yyyy/mm/dd")),"")</f>
        <v>19.462599999999998</v>
      </c>
      <c r="O3">
        <f>IFERROR([1]!hks_fa_apturndays($A3,TEXT($B$1,"yyyy/mm/dd")),"")</f>
        <v>65.0144499285622</v>
      </c>
      <c r="P3">
        <f>IFERROR([1]!hks_fa_invturndays($A3,TEXT($B$1,"yyyy/mm/dd")),"")</f>
        <v>75.414781297134198</v>
      </c>
    </row>
    <row r="4" spans="1:16">
      <c r="A4" t="s">
        <v>1817</v>
      </c>
      <c r="B4">
        <f>IFERROR([1]!s_stm07_is($A4,"W70156729",TEXT($B$1,"yyyy/mm/dd"),1),"")</f>
        <v>88018000000</v>
      </c>
      <c r="C4">
        <f>IFERROR([1]!s_stm07_is($A4,"W75682424",TEXT($B$1,"yyyy/mm/dd"),1),"")</f>
        <v>0</v>
      </c>
      <c r="D4">
        <f>IFERROR([1]!s_stm07_is($A4,"W76031679",TEXT($B$1,"yyyy/mm/dd"),1),"")</f>
        <v>0</v>
      </c>
      <c r="E4">
        <f>IFERROR([1]!s_stm07_is($A4,"W70752487",TEXT($B$1,"yyyy/mm/dd"),1),"")</f>
        <v>0</v>
      </c>
      <c r="F4">
        <f>IFERROR([1]!s_stm07_is_103($A4,TEXT($B$1,"yyyy/mm/dd"),1),"")</f>
        <v>0</v>
      </c>
      <c r="G4">
        <f>IFERROR([1]!s_stm07_is_104($A4,TEXT($B$1,"yyyy/mm/dd"),1),"")</f>
        <v>0</v>
      </c>
      <c r="H4">
        <f>IFERROR([1]!s_stm07_is_105($A4,TEXT($B$1,"yyyy/mm/dd"),1),"")</f>
        <v>0</v>
      </c>
      <c r="I4">
        <f>IFERROR([1]!s_stm07_is($A4,"W72946623",TEXT($B$1,"yyyy/mm/dd"),1),"")</f>
        <v>14201000000</v>
      </c>
      <c r="J4">
        <f>IFERROR([1]!s_stm07_is($A4,"W30028333",TEXT($B$1,"yyyy/mm/dd"),1),"")</f>
        <v>10468000000</v>
      </c>
      <c r="K4">
        <f>IFERROR([1]!s_stm07_cs($A4,"W77130581",TEXT($B$1,"yyyy/mm/dd"),1),"")</f>
        <v>0</v>
      </c>
      <c r="L4">
        <f>IFERROR([1]!s_stm07_cs($A4,"W77745895",TEXT($B$1,"yyyy/mm/dd"),1),"")</f>
        <v>0</v>
      </c>
      <c r="M4">
        <f>IFERROR([1]!S_FA_EPS_basic2($A4,$B$1,"Cur=CNY"),"")</f>
        <v>3.7393307999999998</v>
      </c>
      <c r="N4">
        <f>IFERROR([1]!hks_fa_arturndays($A4,TEXT($B$1,"yyyy/mm/dd")),"")</f>
        <v>46.694400000000002</v>
      </c>
      <c r="O4">
        <f>IFERROR([1]!hks_fa_apturndays($A4,TEXT($B$1,"yyyy/mm/dd")),"")</f>
        <v>0</v>
      </c>
      <c r="P4">
        <f>IFERROR([1]!hks_fa_invturndays($A4,TEXT($B$1,"yyyy/mm/dd")),"")</f>
        <v>0</v>
      </c>
    </row>
    <row r="5" spans="1:16">
      <c r="A5" t="s">
        <v>1818</v>
      </c>
      <c r="B5">
        <f>IFERROR([1]!s_stm07_is($A5,"W70156729",TEXT($B$1,"yyyy/mm/dd"),1),"")</f>
        <v>54326300000</v>
      </c>
      <c r="C5">
        <f>IFERROR([1]!s_stm07_is($A5,"W75682424",TEXT($B$1,"yyyy/mm/dd"),1),"")</f>
        <v>46194200000</v>
      </c>
      <c r="D5">
        <f>IFERROR([1]!s_stm07_is($A5,"W76031679",TEXT($B$1,"yyyy/mm/dd"),1),"")</f>
        <v>0</v>
      </c>
      <c r="E5">
        <f>IFERROR([1]!s_stm07_is($A5,"W70752487",TEXT($B$1,"yyyy/mm/dd"),1),"")</f>
        <v>0</v>
      </c>
      <c r="F5">
        <f>IFERROR([1]!s_stm07_is_103($A5,TEXT($B$1,"yyyy/mm/dd"),1),"")</f>
        <v>0</v>
      </c>
      <c r="G5">
        <f>IFERROR([1]!s_stm07_is_104($A5,TEXT($B$1,"yyyy/mm/dd"),1),"")</f>
        <v>0</v>
      </c>
      <c r="H5">
        <f>IFERROR([1]!s_stm07_is_105($A5,TEXT($B$1,"yyyy/mm/dd"),1),"")</f>
        <v>0</v>
      </c>
      <c r="I5">
        <f>IFERROR([1]!s_stm07_is($A5,"W72946623",TEXT($B$1,"yyyy/mm/dd"),1),"")</f>
        <v>8605800000</v>
      </c>
      <c r="J5">
        <f>IFERROR([1]!s_stm07_is($A5,"W30028333",TEXT($B$1,"yyyy/mm/dd"),1),"")</f>
        <v>5688200000</v>
      </c>
      <c r="K5">
        <f>IFERROR([1]!s_stm07_cs($A5,"W77130581",TEXT($B$1,"yyyy/mm/dd"),1),"")</f>
        <v>0</v>
      </c>
      <c r="L5">
        <f>IFERROR([1]!s_stm07_cs($A5,"W77745895",TEXT($B$1,"yyyy/mm/dd"),1),"")</f>
        <v>0</v>
      </c>
      <c r="M5">
        <f>IFERROR([1]!S_FA_EPS_basic2($A5,$B$1,"Cur=CNY"),"")</f>
        <v>0.27548210000000001</v>
      </c>
      <c r="N5">
        <f>IFERROR([1]!hks_fa_arturndays($A5,TEXT($B$1,"yyyy/mm/dd")),"")</f>
        <v>34.841500000000003</v>
      </c>
      <c r="O5">
        <f>IFERROR([1]!hks_fa_apturndays($A5,TEXT($B$1,"yyyy/mm/dd")),"")</f>
        <v>37.518346459079297</v>
      </c>
      <c r="P5">
        <f>IFERROR([1]!hks_fa_invturndays($A5,TEXT($B$1,"yyyy/mm/dd")),"")</f>
        <v>22.607669023725499</v>
      </c>
    </row>
    <row r="6" spans="1:16">
      <c r="A6" t="s">
        <v>1819</v>
      </c>
      <c r="B6">
        <f>IFERROR([1]!s_stm07_is($A6,"W70156729",TEXT($B$1,"yyyy/mm/dd"),1),"")</f>
        <v>64471000000</v>
      </c>
      <c r="C6">
        <f>IFERROR([1]!s_stm07_is($A6,"W75682424",TEXT($B$1,"yyyy/mm/dd"),1),"")</f>
        <v>0</v>
      </c>
      <c r="D6">
        <f>IFERROR([1]!s_stm07_is($A6,"W76031679",TEXT($B$1,"yyyy/mm/dd"),1),"")</f>
        <v>0</v>
      </c>
      <c r="E6">
        <f>IFERROR([1]!s_stm07_is($A6,"W70752487",TEXT($B$1,"yyyy/mm/dd"),1),"")</f>
        <v>11959000000</v>
      </c>
      <c r="F6">
        <f>IFERROR([1]!s_stm07_is_103($A6,TEXT($B$1,"yyyy/mm/dd"),1),"")</f>
        <v>0</v>
      </c>
      <c r="G6">
        <f>IFERROR([1]!s_stm07_is_104($A6,TEXT($B$1,"yyyy/mm/dd"),1),"")</f>
        <v>0</v>
      </c>
      <c r="H6">
        <f>IFERROR([1]!s_stm07_is_105($A6,TEXT($B$1,"yyyy/mm/dd"),1),"")</f>
        <v>0</v>
      </c>
      <c r="I6">
        <f>IFERROR([1]!s_stm07_is($A6,"W72946623",TEXT($B$1,"yyyy/mm/dd"),1),"")</f>
        <v>29907000000</v>
      </c>
      <c r="J6">
        <f>IFERROR([1]!s_stm07_is($A6,"W30028333",TEXT($B$1,"yyyy/mm/dd"),1),"")</f>
        <v>22285000000</v>
      </c>
      <c r="K6">
        <f>IFERROR([1]!s_stm07_cs($A6,"W77130581",TEXT($B$1,"yyyy/mm/dd"),1),"")</f>
        <v>0</v>
      </c>
      <c r="L6">
        <f>IFERROR([1]!s_stm07_cs($A6,"W77745895",TEXT($B$1,"yyyy/mm/dd"),1),"")</f>
        <v>0</v>
      </c>
      <c r="M6">
        <f>IFERROR([1]!S_FA_EPS_basic2($A6,$B$1,"Cur=CNY"),"")</f>
        <v>8.5048480000000009</v>
      </c>
      <c r="N6">
        <f>IFERROR([1]!hks_fa_arturndays($A6,TEXT($B$1,"yyyy/mm/dd")),"")</f>
        <v>0</v>
      </c>
      <c r="O6">
        <f>IFERROR([1]!hks_fa_apturndays($A6,TEXT($B$1,"yyyy/mm/dd")),"")</f>
        <v>0</v>
      </c>
      <c r="P6">
        <f>IFERROR([1]!hks_fa_invturndays($A6,TEXT($B$1,"yyyy/mm/dd")),"")</f>
        <v>0</v>
      </c>
    </row>
    <row r="7" spans="1:16">
      <c r="A7" t="s">
        <v>1820</v>
      </c>
      <c r="B7">
        <f>IFERROR([1]!s_stm07_is($A7,"W70156729",TEXT($B$1,"yyyy/mm/dd"),1),"")</f>
        <v>771000000</v>
      </c>
      <c r="C7">
        <f>IFERROR([1]!s_stm07_is($A7,"W75682424",TEXT($B$1,"yyyy/mm/dd"),1),"")</f>
        <v>0</v>
      </c>
      <c r="D7">
        <f>IFERROR([1]!s_stm07_is($A7,"W76031679",TEXT($B$1,"yyyy/mm/dd"),1),"")</f>
        <v>0</v>
      </c>
      <c r="E7">
        <f>IFERROR([1]!s_stm07_is($A7,"W70752487",TEXT($B$1,"yyyy/mm/dd"),1),"")</f>
        <v>0</v>
      </c>
      <c r="F7">
        <f>IFERROR([1]!s_stm07_is_103($A7,TEXT($B$1,"yyyy/mm/dd"),1),"")</f>
        <v>0</v>
      </c>
      <c r="G7">
        <f>IFERROR([1]!s_stm07_is_104($A7,TEXT($B$1,"yyyy/mm/dd"),1),"")</f>
        <v>0</v>
      </c>
      <c r="H7">
        <f>IFERROR([1]!s_stm07_is_105($A7,TEXT($B$1,"yyyy/mm/dd"),1),"")</f>
        <v>0</v>
      </c>
      <c r="I7">
        <f>IFERROR([1]!s_stm07_is($A7,"W72946623",TEXT($B$1,"yyyy/mm/dd"),1),"")</f>
        <v>6454000000</v>
      </c>
      <c r="J7">
        <f>IFERROR([1]!s_stm07_is($A7,"W30028333",TEXT($B$1,"yyyy/mm/dd"),1),"")</f>
        <v>6236000000</v>
      </c>
      <c r="K7">
        <f>IFERROR([1]!s_stm07_cs($A7,"W77130581",TEXT($B$1,"yyyy/mm/dd"),1),"")</f>
        <v>0</v>
      </c>
      <c r="L7">
        <f>IFERROR([1]!s_stm07_cs($A7,"W77745895",TEXT($B$1,"yyyy/mm/dd"),1),"")</f>
        <v>0</v>
      </c>
      <c r="M7">
        <f>IFERROR([1]!S_FA_EPS_basic2($A7,$B$1,"Cur=CNY"),"")</f>
        <v>2.6464346000000001</v>
      </c>
      <c r="N7">
        <f>IFERROR([1]!hks_fa_arturndays($A7,TEXT($B$1,"yyyy/mm/dd")),"")</f>
        <v>0</v>
      </c>
      <c r="O7">
        <f>IFERROR([1]!hks_fa_apturndays($A7,TEXT($B$1,"yyyy/mm/dd")),"")</f>
        <v>0</v>
      </c>
      <c r="P7">
        <f>IFERROR([1]!hks_fa_invturndays($A7,TEXT($B$1,"yyyy/mm/dd")),"")</f>
        <v>0</v>
      </c>
    </row>
    <row r="8" spans="1:16">
      <c r="A8" t="s">
        <v>1821</v>
      </c>
      <c r="B8">
        <f>IFERROR([1]!s_stm07_is($A8,"W70156729",TEXT($B$1,"yyyy/mm/dd"),1),"")</f>
        <v>25741000000</v>
      </c>
      <c r="C8">
        <f>IFERROR([1]!s_stm07_is($A8,"W75682424",TEXT($B$1,"yyyy/mm/dd"),1),"")</f>
        <v>17527000000</v>
      </c>
      <c r="D8">
        <f>IFERROR([1]!s_stm07_is($A8,"W76031679",TEXT($B$1,"yyyy/mm/dd"),1),"")</f>
        <v>1483000000</v>
      </c>
      <c r="E8">
        <f>IFERROR([1]!s_stm07_is($A8,"W70752487",TEXT($B$1,"yyyy/mm/dd"),1),"")</f>
        <v>2290000000</v>
      </c>
      <c r="F8">
        <f>IFERROR([1]!s_stm07_is_103($A8,TEXT($B$1,"yyyy/mm/dd"),1),"")</f>
        <v>0</v>
      </c>
      <c r="G8">
        <f>IFERROR([1]!s_stm07_is_104($A8,TEXT($B$1,"yyyy/mm/dd"),1),"")</f>
        <v>0</v>
      </c>
      <c r="H8">
        <f>IFERROR([1]!s_stm07_is_105($A8,TEXT($B$1,"yyyy/mm/dd"),1),"")</f>
        <v>0</v>
      </c>
      <c r="I8">
        <f>IFERROR([1]!s_stm07_is($A8,"W72946623",TEXT($B$1,"yyyy/mm/dd"),1),"")</f>
        <v>6470000000</v>
      </c>
      <c r="J8">
        <f>IFERROR([1]!s_stm07_is($A8,"W30028333",TEXT($B$1,"yyyy/mm/dd"),1),"")</f>
        <v>5653000000</v>
      </c>
      <c r="K8">
        <f>IFERROR([1]!s_stm07_cs($A8,"W77130581",TEXT($B$1,"yyyy/mm/dd"),1),"")</f>
        <v>0</v>
      </c>
      <c r="L8">
        <f>IFERROR([1]!s_stm07_cs($A8,"W77745895",TEXT($B$1,"yyyy/mm/dd"),1),"")</f>
        <v>0</v>
      </c>
      <c r="M8">
        <f>IFERROR([1]!S_FA_EPS_basic2($A8,$B$1,"Cur=CNY"),"")</f>
        <v>1.0567674</v>
      </c>
      <c r="N8">
        <f>IFERROR([1]!hks_fa_arturndays($A8,TEXT($B$1,"yyyy/mm/dd")),"")</f>
        <v>5.5103</v>
      </c>
      <c r="O8">
        <f>IFERROR([1]!hks_fa_apturndays($A8,TEXT($B$1,"yyyy/mm/dd")),"")</f>
        <v>107.97740628744199</v>
      </c>
      <c r="P8">
        <f>IFERROR([1]!hks_fa_invturndays($A8,TEXT($B$1,"yyyy/mm/dd")),"")</f>
        <v>1696.5127238454299</v>
      </c>
    </row>
    <row r="9" spans="1:16">
      <c r="A9" t="s">
        <v>1822</v>
      </c>
      <c r="B9">
        <f>IFERROR([1]!s_stm07_is($A9,"W70156729",TEXT($B$1,"yyyy/mm/dd"),1),"")</f>
        <v>79721000000</v>
      </c>
      <c r="C9">
        <f>IFERROR([1]!s_stm07_is($A9,"W75682424",TEXT($B$1,"yyyy/mm/dd"),1),"")</f>
        <v>45531000000</v>
      </c>
      <c r="D9">
        <f>IFERROR([1]!s_stm07_is($A9,"W76031679",TEXT($B$1,"yyyy/mm/dd"),1),"")</f>
        <v>5064000000</v>
      </c>
      <c r="E9">
        <f>IFERROR([1]!s_stm07_is($A9,"W70752487",TEXT($B$1,"yyyy/mm/dd"),1),"")</f>
        <v>3336000000</v>
      </c>
      <c r="F9">
        <f>IFERROR([1]!s_stm07_is_103($A9,TEXT($B$1,"yyyy/mm/dd"),1),"")</f>
        <v>0</v>
      </c>
      <c r="G9">
        <f>IFERROR([1]!s_stm07_is_104($A9,TEXT($B$1,"yyyy/mm/dd"),1),"")</f>
        <v>0</v>
      </c>
      <c r="H9">
        <f>IFERROR([1]!s_stm07_is_105($A9,TEXT($B$1,"yyyy/mm/dd"),1),"")</f>
        <v>0</v>
      </c>
      <c r="I9">
        <f>IFERROR([1]!s_stm07_is($A9,"W72946623",TEXT($B$1,"yyyy/mm/dd"),1),"")</f>
        <v>24753000000</v>
      </c>
      <c r="J9">
        <f>IFERROR([1]!s_stm07_is($A9,"W30028333",TEXT($B$1,"yyyy/mm/dd"),1),"")</f>
        <v>19277000000</v>
      </c>
      <c r="K9">
        <f>IFERROR([1]!s_stm07_cs($A9,"W77130581",TEXT($B$1,"yyyy/mm/dd"),1),"")</f>
        <v>0</v>
      </c>
      <c r="L9">
        <f>IFERROR([1]!s_stm07_cs($A9,"W77745895",TEXT($B$1,"yyyy/mm/dd"),1),"")</f>
        <v>0</v>
      </c>
      <c r="M9">
        <f>IFERROR([1]!S_FA_EPS_basic2($A9,$B$1,"Cur=CNY"),"")</f>
        <v>6.0644675000000001</v>
      </c>
      <c r="N9">
        <f>IFERROR([1]!hks_fa_arturndays($A9,TEXT($B$1,"yyyy/mm/dd")),"")</f>
        <v>15.5726</v>
      </c>
      <c r="O9">
        <f>IFERROR([1]!hks_fa_apturndays($A9,TEXT($B$1,"yyyy/mm/dd")),"")</f>
        <v>21.9252816762206</v>
      </c>
      <c r="P9">
        <f>IFERROR([1]!hks_fa_invturndays($A9,TEXT($B$1,"yyyy/mm/dd")),"")</f>
        <v>1630.4347826087001</v>
      </c>
    </row>
    <row r="10" spans="1:16">
      <c r="A10" t="s">
        <v>1823</v>
      </c>
      <c r="B10">
        <f>IFERROR([1]!s_stm07_is($A10,"W70156729",TEXT($B$1,"yyyy/mm/dd"),1),"")</f>
        <v>5014640000</v>
      </c>
      <c r="C10">
        <f>IFERROR([1]!s_stm07_is($A10,"W75682424",TEXT($B$1,"yyyy/mm/dd"),1),"")</f>
        <v>2958216000</v>
      </c>
      <c r="D10">
        <f>IFERROR([1]!s_stm07_is($A10,"W76031679",TEXT($B$1,"yyyy/mm/dd"),1),"")</f>
        <v>569206000</v>
      </c>
      <c r="E10">
        <f>IFERROR([1]!s_stm07_is($A10,"W70752487",TEXT($B$1,"yyyy/mm/dd"),1),"")</f>
        <v>1225759000</v>
      </c>
      <c r="F10">
        <f>IFERROR([1]!s_stm07_is_103($A10,TEXT($B$1,"yyyy/mm/dd"),1),"")</f>
        <v>0</v>
      </c>
      <c r="G10">
        <f>IFERROR([1]!s_stm07_is_104($A10,TEXT($B$1,"yyyy/mm/dd"),1),"")</f>
        <v>0</v>
      </c>
      <c r="H10">
        <f>IFERROR([1]!s_stm07_is_105($A10,TEXT($B$1,"yyyy/mm/dd"),1),"")</f>
        <v>0</v>
      </c>
      <c r="I10">
        <f>IFERROR([1]!s_stm07_is($A10,"W72946623",TEXT($B$1,"yyyy/mm/dd"),1),"")</f>
        <v>-1659602000</v>
      </c>
      <c r="J10">
        <f>IFERROR([1]!s_stm07_is($A10,"W30028333",TEXT($B$1,"yyyy/mm/dd"),1),"")</f>
        <v>-1765929000</v>
      </c>
      <c r="K10">
        <f>IFERROR([1]!s_stm07_cs($A10,"W77130581",TEXT($B$1,"yyyy/mm/dd"),1),"")</f>
        <v>0</v>
      </c>
      <c r="L10">
        <f>IFERROR([1]!s_stm07_cs($A10,"W77745895",TEXT($B$1,"yyyy/mm/dd"),1),"")</f>
        <v>0</v>
      </c>
      <c r="M10">
        <f>IFERROR([1]!S_FA_EPS_basic2($A10,$B$1,"Cur=CNY"),"")</f>
        <v>-0.05</v>
      </c>
      <c r="N10">
        <f>IFERROR([1]!hks_fa_arturndays($A10,TEXT($B$1,"yyyy/mm/dd")),"")</f>
        <v>176.7218</v>
      </c>
      <c r="O10">
        <f>IFERROR([1]!hks_fa_apturndays($A10,TEXT($B$1,"yyyy/mm/dd")),"")</f>
        <v>70.217813709343702</v>
      </c>
      <c r="P10">
        <f>IFERROR([1]!hks_fa_invturndays($A10,TEXT($B$1,"yyyy/mm/dd")),"")</f>
        <v>42.618681188587701</v>
      </c>
    </row>
    <row r="11" spans="1:16">
      <c r="A11" t="s">
        <v>1824</v>
      </c>
      <c r="B11">
        <f>IFERROR([1]!s_stm07_is($A11,"W70156729",TEXT($B$1,"yyyy/mm/dd"),1),"")</f>
        <v>29591615000</v>
      </c>
      <c r="C11">
        <f>IFERROR([1]!s_stm07_is($A11,"W75682424",TEXT($B$1,"yyyy/mm/dd"),1),"")</f>
        <v>0</v>
      </c>
      <c r="D11">
        <f>IFERROR([1]!s_stm07_is($A11,"W76031679",TEXT($B$1,"yyyy/mm/dd"),1),"")</f>
        <v>0</v>
      </c>
      <c r="E11">
        <f>IFERROR([1]!s_stm07_is($A11,"W70752487",TEXT($B$1,"yyyy/mm/dd"),1),"")</f>
        <v>0</v>
      </c>
      <c r="F11">
        <f>IFERROR([1]!s_stm07_is_103($A11,TEXT($B$1,"yyyy/mm/dd"),1),"")</f>
        <v>0</v>
      </c>
      <c r="G11">
        <f>IFERROR([1]!s_stm07_is_104($A11,TEXT($B$1,"yyyy/mm/dd"),1),"")</f>
        <v>0</v>
      </c>
      <c r="H11">
        <f>IFERROR([1]!s_stm07_is_105($A11,TEXT($B$1,"yyyy/mm/dd"),1),"")</f>
        <v>0</v>
      </c>
      <c r="I11">
        <f>IFERROR([1]!s_stm07_is($A11,"W72946623",TEXT($B$1,"yyyy/mm/dd"),1),"")</f>
        <v>10928824000</v>
      </c>
      <c r="J11">
        <f>IFERROR([1]!s_stm07_is($A11,"W30028333",TEXT($B$1,"yyyy/mm/dd"),1),"")</f>
        <v>10673765000</v>
      </c>
      <c r="K11">
        <f>IFERROR([1]!s_stm07_cs($A11,"W77130581",TEXT($B$1,"yyyy/mm/dd"),1),"")</f>
        <v>0</v>
      </c>
      <c r="L11">
        <f>IFERROR([1]!s_stm07_cs($A11,"W77745895",TEXT($B$1,"yyyy/mm/dd"),1),"")</f>
        <v>0</v>
      </c>
      <c r="M11">
        <f>IFERROR([1]!S_FA_EPS_basic2($A11,$B$1,"Cur=CNY"),"")</f>
        <v>2.2038568000000001</v>
      </c>
      <c r="N11">
        <f>IFERROR([1]!hks_fa_arturndays($A11,TEXT($B$1,"yyyy/mm/dd")),"")</f>
        <v>7.2790999999999997</v>
      </c>
      <c r="O11">
        <f>IFERROR([1]!hks_fa_apturndays($A11,TEXT($B$1,"yyyy/mm/dd")),"")</f>
        <v>0</v>
      </c>
      <c r="P11">
        <f>IFERROR([1]!hks_fa_invturndays($A11,TEXT($B$1,"yyyy/mm/dd")),"")</f>
        <v>0</v>
      </c>
    </row>
    <row r="12" spans="1:16">
      <c r="A12" t="s">
        <v>1825</v>
      </c>
      <c r="B12">
        <f>IFERROR([1]!s_stm07_is($A12,"W70156729",TEXT($B$1,"yyyy/mm/dd"),1),"")</f>
        <v>55465000000</v>
      </c>
      <c r="C12">
        <f>IFERROR([1]!s_stm07_is($A12,"W75682424",TEXT($B$1,"yyyy/mm/dd"),1),"")</f>
        <v>0</v>
      </c>
      <c r="D12">
        <f>IFERROR([1]!s_stm07_is($A12,"W76031679",TEXT($B$1,"yyyy/mm/dd"),1),"")</f>
        <v>0</v>
      </c>
      <c r="E12">
        <f>IFERROR([1]!s_stm07_is($A12,"W70752487",TEXT($B$1,"yyyy/mm/dd"),1),"")</f>
        <v>955000000</v>
      </c>
      <c r="F12">
        <f>IFERROR([1]!s_stm07_is_103($A12,TEXT($B$1,"yyyy/mm/dd"),1),"")</f>
        <v>0</v>
      </c>
      <c r="G12">
        <f>IFERROR([1]!s_stm07_is_104($A12,TEXT($B$1,"yyyy/mm/dd"),1),"")</f>
        <v>0</v>
      </c>
      <c r="H12">
        <f>IFERROR([1]!s_stm07_is_105($A12,TEXT($B$1,"yyyy/mm/dd"),1),"")</f>
        <v>0</v>
      </c>
      <c r="I12">
        <f>IFERROR([1]!s_stm07_is($A12,"W72946623",TEXT($B$1,"yyyy/mm/dd"),1),"")</f>
        <v>18917000000</v>
      </c>
      <c r="J12">
        <f>IFERROR([1]!s_stm07_is($A12,"W30028333",TEXT($B$1,"yyyy/mm/dd"),1),"")</f>
        <v>14677000000</v>
      </c>
      <c r="K12">
        <f>IFERROR([1]!s_stm07_cs($A12,"W77130581",TEXT($B$1,"yyyy/mm/dd"),1),"")</f>
        <v>0</v>
      </c>
      <c r="L12">
        <f>IFERROR([1]!s_stm07_cs($A12,"W77745895",TEXT($B$1,"yyyy/mm/dd"),1),"")</f>
        <v>0</v>
      </c>
      <c r="M12">
        <f>IFERROR([1]!S_FA_EPS_basic2($A12,$B$1,"Cur=CNY"),"")</f>
        <v>2.1315992000000001</v>
      </c>
      <c r="N12">
        <f>IFERROR([1]!hks_fa_arturndays($A12,TEXT($B$1,"yyyy/mm/dd")),"")</f>
        <v>0</v>
      </c>
      <c r="O12">
        <f>IFERROR([1]!hks_fa_apturndays($A12,TEXT($B$1,"yyyy/mm/dd")),"")</f>
        <v>0</v>
      </c>
      <c r="P12">
        <f>IFERROR([1]!hks_fa_invturndays($A12,TEXT($B$1,"yyyy/mm/dd")),"")</f>
        <v>0</v>
      </c>
    </row>
    <row r="13" spans="1:16">
      <c r="A13" t="s">
        <v>1826</v>
      </c>
      <c r="B13">
        <f>IFERROR([1]!s_stm07_is($A13,"W70156729",TEXT($B$1,"yyyy/mm/dd"),1),"")</f>
        <v>9950000000</v>
      </c>
      <c r="C13">
        <f>IFERROR([1]!s_stm07_is($A13,"W75682424",TEXT($B$1,"yyyy/mm/dd"),1),"")</f>
        <v>3423000000</v>
      </c>
      <c r="D13">
        <f>IFERROR([1]!s_stm07_is($A13,"W76031679",TEXT($B$1,"yyyy/mm/dd"),1),"")</f>
        <v>0</v>
      </c>
      <c r="E13">
        <f>IFERROR([1]!s_stm07_is($A13,"W70752487",TEXT($B$1,"yyyy/mm/dd"),1),"")</f>
        <v>652000000</v>
      </c>
      <c r="F13">
        <f>IFERROR([1]!s_stm07_is_103($A13,TEXT($B$1,"yyyy/mm/dd"),1),"")</f>
        <v>0</v>
      </c>
      <c r="G13">
        <f>IFERROR([1]!s_stm07_is_104($A13,TEXT($B$1,"yyyy/mm/dd"),1),"")</f>
        <v>0</v>
      </c>
      <c r="H13">
        <f>IFERROR([1]!s_stm07_is_105($A13,TEXT($B$1,"yyyy/mm/dd"),1),"")</f>
        <v>0</v>
      </c>
      <c r="I13">
        <f>IFERROR([1]!s_stm07_is($A13,"W72946623",TEXT($B$1,"yyyy/mm/dd"),1),"")</f>
        <v>3961000000</v>
      </c>
      <c r="J13">
        <f>IFERROR([1]!s_stm07_is($A13,"W30028333",TEXT($B$1,"yyyy/mm/dd"),1),"")</f>
        <v>1806000000</v>
      </c>
      <c r="K13">
        <f>IFERROR([1]!s_stm07_cs($A13,"W77130581",TEXT($B$1,"yyyy/mm/dd"),1),"")</f>
        <v>0</v>
      </c>
      <c r="L13">
        <f>IFERROR([1]!s_stm07_cs($A13,"W77745895",TEXT($B$1,"yyyy/mm/dd"),1),"")</f>
        <v>0</v>
      </c>
      <c r="M13">
        <f>IFERROR([1]!S_FA_EPS_basic2($A13,$B$1,"Cur=CNY"),"")</f>
        <v>0.33419140000000003</v>
      </c>
      <c r="N13">
        <f>IFERROR([1]!hks_fa_arturndays($A13,TEXT($B$1,"yyyy/mm/dd")),"")</f>
        <v>6.5125999999999999</v>
      </c>
      <c r="O13">
        <f>IFERROR([1]!hks_fa_apturndays($A13,TEXT($B$1,"yyyy/mm/dd")),"")</f>
        <v>422.10341805433802</v>
      </c>
      <c r="P13">
        <f>IFERROR([1]!hks_fa_invturndays($A13,TEXT($B$1,"yyyy/mm/dd")),"")</f>
        <v>1459.8540145985401</v>
      </c>
    </row>
    <row r="14" spans="1:16">
      <c r="A14" t="s">
        <v>1827</v>
      </c>
      <c r="B14">
        <f>IFERROR([1]!s_stm07_is($A14,"W70156729",TEXT($B$1,"yyyy/mm/dd"),1),"")</f>
        <v>345232201000</v>
      </c>
      <c r="C14">
        <f>IFERROR([1]!s_stm07_is($A14,"W75682424",TEXT($B$1,"yyyy/mm/dd"),1),"")</f>
        <v>287885471000</v>
      </c>
      <c r="D14">
        <f>IFERROR([1]!s_stm07_is($A14,"W76031679",TEXT($B$1,"yyyy/mm/dd"),1),"")</f>
        <v>20423546000</v>
      </c>
      <c r="E14">
        <f>IFERROR([1]!s_stm07_is($A14,"W70752487",TEXT($B$1,"yyyy/mm/dd"),1),"")</f>
        <v>6481732000</v>
      </c>
      <c r="F14">
        <f>IFERROR([1]!s_stm07_is_103($A14,TEXT($B$1,"yyyy/mm/dd"),1),"")</f>
        <v>0</v>
      </c>
      <c r="G14">
        <f>IFERROR([1]!s_stm07_is_104($A14,TEXT($B$1,"yyyy/mm/dd"),1),"")</f>
        <v>0</v>
      </c>
      <c r="H14">
        <f>IFERROR([1]!s_stm07_is_105($A14,TEXT($B$1,"yyyy/mm/dd"),1),"")</f>
        <v>0</v>
      </c>
      <c r="I14">
        <f>IFERROR([1]!s_stm07_is($A14,"W72946623",TEXT($B$1,"yyyy/mm/dd"),1),"")</f>
        <v>20229755000</v>
      </c>
      <c r="J14">
        <f>IFERROR([1]!s_stm07_is($A14,"W30028333",TEXT($B$1,"yyyy/mm/dd"),1),"")</f>
        <v>16852231000</v>
      </c>
      <c r="K14">
        <f>IFERROR([1]!s_stm07_cs($A14,"W77130581",TEXT($B$1,"yyyy/mm/dd"),1),"")</f>
        <v>0</v>
      </c>
      <c r="L14">
        <f>IFERROR([1]!s_stm07_cs($A14,"W77745895",TEXT($B$1,"yyyy/mm/dd"),1),"")</f>
        <v>0</v>
      </c>
      <c r="M14">
        <f>IFERROR([1]!S_FA_EPS_basic2($A14,$B$1,"Cur=CNY"),"")</f>
        <v>1.67</v>
      </c>
      <c r="N14">
        <f>IFERROR([1]!hks_fa_arturndays($A14,TEXT($B$1,"yyyy/mm/dd")),"")</f>
        <v>48.843400000000003</v>
      </c>
      <c r="O14">
        <f>IFERROR([1]!hks_fa_apturndays($A14,TEXT($B$1,"yyyy/mm/dd")),"")</f>
        <v>117.552494616861</v>
      </c>
      <c r="P14">
        <f>IFERROR([1]!hks_fa_invturndays($A14,TEXT($B$1,"yyyy/mm/dd")),"")</f>
        <v>34.396766703929799</v>
      </c>
    </row>
    <row r="15" spans="1:16">
      <c r="A15" t="s">
        <v>1828</v>
      </c>
      <c r="B15">
        <f>IFERROR([1]!s_stm07_is($A15,"W70156729",TEXT($B$1,"yyyy/mm/dd"),1),"")</f>
        <v>30598292000</v>
      </c>
      <c r="C15">
        <f>IFERROR([1]!s_stm07_is($A15,"W75682424",TEXT($B$1,"yyyy/mm/dd"),1),"")</f>
        <v>23166201000</v>
      </c>
      <c r="D15">
        <f>IFERROR([1]!s_stm07_is($A15,"W76031679",TEXT($B$1,"yyyy/mm/dd"),1),"")</f>
        <v>2258374000</v>
      </c>
      <c r="E15">
        <f>IFERROR([1]!s_stm07_is($A15,"W70752487",TEXT($B$1,"yyyy/mm/dd"),1),"")</f>
        <v>407432000</v>
      </c>
      <c r="F15">
        <f>IFERROR([1]!s_stm07_is_103($A15,TEXT($B$1,"yyyy/mm/dd"),1),"")</f>
        <v>0</v>
      </c>
      <c r="G15">
        <f>IFERROR([1]!s_stm07_is_104($A15,TEXT($B$1,"yyyy/mm/dd"),1),"")</f>
        <v>0</v>
      </c>
      <c r="H15">
        <f>IFERROR([1]!s_stm07_is_105($A15,TEXT($B$1,"yyyy/mm/dd"),1),"")</f>
        <v>0</v>
      </c>
      <c r="I15">
        <f>IFERROR([1]!s_stm07_is($A15,"W72946623",TEXT($B$1,"yyyy/mm/dd"),1),"")</f>
        <v>1559968000</v>
      </c>
      <c r="J15">
        <f>IFERROR([1]!s_stm07_is($A15,"W30028333",TEXT($B$1,"yyyy/mm/dd"),1),"")</f>
        <v>1432427000</v>
      </c>
      <c r="K15">
        <f>IFERROR([1]!s_stm07_cs($A15,"W77130581",TEXT($B$1,"yyyy/mm/dd"),1),"")</f>
        <v>0</v>
      </c>
      <c r="L15">
        <f>IFERROR([1]!s_stm07_cs($A15,"W77745895",TEXT($B$1,"yyyy/mm/dd"),1),"")</f>
        <v>0</v>
      </c>
      <c r="M15">
        <f>IFERROR([1]!S_FA_EPS_basic2($A15,$B$1,"Cur=CNY"),"")</f>
        <v>8.9099999999999999E-2</v>
      </c>
      <c r="N15">
        <f>IFERROR([1]!hks_fa_arturndays($A15,TEXT($B$1,"yyyy/mm/dd")),"")</f>
        <v>10.8104</v>
      </c>
      <c r="O15">
        <f>IFERROR([1]!hks_fa_apturndays($A15,TEXT($B$1,"yyyy/mm/dd")),"")</f>
        <v>48.1965282093512</v>
      </c>
      <c r="P15">
        <f>IFERROR([1]!hks_fa_invturndays($A15,TEXT($B$1,"yyyy/mm/dd")),"")</f>
        <v>21.872000194417801</v>
      </c>
    </row>
    <row r="16" spans="1:16">
      <c r="A16" t="s">
        <v>1829</v>
      </c>
      <c r="B16">
        <f>IFERROR([1]!s_stm07_is($A16,"W70156729",TEXT($B$1,"yyyy/mm/dd"),1),"")</f>
        <v>639858000000</v>
      </c>
      <c r="C16">
        <f>IFERROR([1]!s_stm07_is($A16,"W75682424",TEXT($B$1,"yyyy/mm/dd"),1),"")</f>
        <v>430028000000</v>
      </c>
      <c r="D16">
        <f>IFERROR([1]!s_stm07_is($A16,"W76031679",TEXT($B$1,"yyyy/mm/dd"),1),"")</f>
        <v>0</v>
      </c>
      <c r="E16">
        <f>IFERROR([1]!s_stm07_is($A16,"W70752487",TEXT($B$1,"yyyy/mm/dd"),1),"")</f>
        <v>0</v>
      </c>
      <c r="F16">
        <f>IFERROR([1]!s_stm07_is_103($A16,TEXT($B$1,"yyyy/mm/dd"),1),"")</f>
        <v>0</v>
      </c>
      <c r="G16">
        <f>IFERROR([1]!s_stm07_is_104($A16,TEXT($B$1,"yyyy/mm/dd"),1),"")</f>
        <v>0</v>
      </c>
      <c r="H16">
        <f>IFERROR([1]!s_stm07_is_105($A16,TEXT($B$1,"yyyy/mm/dd"),1),"")</f>
        <v>0</v>
      </c>
      <c r="I16">
        <f>IFERROR([1]!s_stm07_is($A16,"W72946623",TEXT($B$1,"yyyy/mm/dd"),1),"")</f>
        <v>144608000000</v>
      </c>
      <c r="J16">
        <f>IFERROR([1]!s_stm07_is($A16,"W30028333",TEXT($B$1,"yyyy/mm/dd"),1),"")</f>
        <v>58730000000</v>
      </c>
      <c r="K16">
        <f>IFERROR([1]!s_stm07_cs($A16,"W77130581",TEXT($B$1,"yyyy/mm/dd"),1),"")</f>
        <v>0</v>
      </c>
      <c r="L16">
        <f>IFERROR([1]!s_stm07_cs($A16,"W77745895",TEXT($B$1,"yyyy/mm/dd"),1),"")</f>
        <v>0</v>
      </c>
      <c r="M16">
        <f>IFERROR([1]!S_FA_EPS_basic2($A16,$B$1,"Cur=CNY"),"")</f>
        <v>2.02</v>
      </c>
      <c r="N16">
        <f>IFERROR([1]!hks_fa_arturndays($A16,TEXT($B$1,"yyyy/mm/dd")),"")</f>
        <v>58.306199999999997</v>
      </c>
      <c r="O16">
        <f>IFERROR([1]!hks_fa_apturndays($A16,TEXT($B$1,"yyyy/mm/dd")),"")</f>
        <v>88.790311328564599</v>
      </c>
      <c r="P16">
        <f>IFERROR([1]!hks_fa_invturndays($A16,TEXT($B$1,"yyyy/mm/dd")),"")</f>
        <v>101.43130846387901</v>
      </c>
    </row>
    <row r="17" spans="1:16">
      <c r="A17" t="s">
        <v>1830</v>
      </c>
      <c r="B17">
        <f>IFERROR([1]!s_stm07_is($A17,"W70156729",TEXT($B$1,"yyyy/mm/dd"),1),"")</f>
        <v>7006036000</v>
      </c>
      <c r="C17">
        <f>IFERROR([1]!s_stm07_is($A17,"W75682424",TEXT($B$1,"yyyy/mm/dd"),1),"")</f>
        <v>2301828000</v>
      </c>
      <c r="D17">
        <f>IFERROR([1]!s_stm07_is($A17,"W76031679",TEXT($B$1,"yyyy/mm/dd"),1),"")</f>
        <v>2725804000</v>
      </c>
      <c r="E17">
        <f>IFERROR([1]!s_stm07_is($A17,"W70752487",TEXT($B$1,"yyyy/mm/dd"),1),"")</f>
        <v>647058000</v>
      </c>
      <c r="F17">
        <f>IFERROR([1]!s_stm07_is_103($A17,TEXT($B$1,"yyyy/mm/dd"),1),"")</f>
        <v>0</v>
      </c>
      <c r="G17">
        <f>IFERROR([1]!s_stm07_is_104($A17,TEXT($B$1,"yyyy/mm/dd"),1),"")</f>
        <v>0</v>
      </c>
      <c r="H17">
        <f>IFERROR([1]!s_stm07_is_105($A17,TEXT($B$1,"yyyy/mm/dd"),1),"")</f>
        <v>0</v>
      </c>
      <c r="I17">
        <f>IFERROR([1]!s_stm07_is($A17,"W72946623",TEXT($B$1,"yyyy/mm/dd"),1),"")</f>
        <v>39136000</v>
      </c>
      <c r="J17">
        <f>IFERROR([1]!s_stm07_is($A17,"W30028333",TEXT($B$1,"yyyy/mm/dd"),1),"")</f>
        <v>92914000</v>
      </c>
      <c r="K17">
        <f>IFERROR([1]!s_stm07_cs($A17,"W77130581",TEXT($B$1,"yyyy/mm/dd"),1),"")</f>
        <v>0</v>
      </c>
      <c r="L17">
        <f>IFERROR([1]!s_stm07_cs($A17,"W77745895",TEXT($B$1,"yyyy/mm/dd"),1),"")</f>
        <v>0</v>
      </c>
      <c r="M17">
        <f>IFERROR([1]!S_FA_EPS_basic2($A17,$B$1,"Cur=CNY"),"")</f>
        <v>2.64E-2</v>
      </c>
      <c r="N17">
        <f>IFERROR([1]!hks_fa_arturndays($A17,TEXT($B$1,"yyyy/mm/dd")),"")</f>
        <v>10.6229</v>
      </c>
      <c r="O17">
        <f>IFERROR([1]!hks_fa_apturndays($A17,TEXT($B$1,"yyyy/mm/dd")),"")</f>
        <v>25.983479217387199</v>
      </c>
      <c r="P17">
        <f>IFERROR([1]!hks_fa_invturndays($A17,TEXT($B$1,"yyyy/mm/dd")),"")</f>
        <v>8.3765735160667294</v>
      </c>
    </row>
    <row r="18" spans="1:16">
      <c r="A18" t="s">
        <v>1831</v>
      </c>
      <c r="B18">
        <f>IFERROR([1]!s_stm07_is($A18,"W70156729",TEXT($B$1,"yyyy/mm/dd"),1),"")</f>
        <v>179477404000</v>
      </c>
      <c r="C18">
        <f>IFERROR([1]!s_stm07_is($A18,"W75682424",TEXT($B$1,"yyyy/mm/dd"),1),"")</f>
        <v>168720739000</v>
      </c>
      <c r="D18">
        <f>IFERROR([1]!s_stm07_is($A18,"W76031679",TEXT($B$1,"yyyy/mm/dd"),1),"")</f>
        <v>1878319000</v>
      </c>
      <c r="E18">
        <f>IFERROR([1]!s_stm07_is($A18,"W70752487",TEXT($B$1,"yyyy/mm/dd"),1),"")</f>
        <v>1649294000</v>
      </c>
      <c r="F18">
        <f>IFERROR([1]!s_stm07_is_103($A18,TEXT($B$1,"yyyy/mm/dd"),1),"")</f>
        <v>0</v>
      </c>
      <c r="G18">
        <f>IFERROR([1]!s_stm07_is_104($A18,TEXT($B$1,"yyyy/mm/dd"),1),"")</f>
        <v>0</v>
      </c>
      <c r="H18">
        <f>IFERROR([1]!s_stm07_is_105($A18,TEXT($B$1,"yyyy/mm/dd"),1),"")</f>
        <v>0</v>
      </c>
      <c r="I18">
        <f>IFERROR([1]!s_stm07_is($A18,"W72946623",TEXT($B$1,"yyyy/mm/dd"),1),"")</f>
        <v>3921341000</v>
      </c>
      <c r="J18">
        <f>IFERROR([1]!s_stm07_is($A18,"W30028333",TEXT($B$1,"yyyy/mm/dd"),1),"")</f>
        <v>3514572000</v>
      </c>
      <c r="K18">
        <f>IFERROR([1]!s_stm07_cs($A18,"W77130581",TEXT($B$1,"yyyy/mm/dd"),1),"")</f>
        <v>0</v>
      </c>
      <c r="L18">
        <f>IFERROR([1]!s_stm07_cs($A18,"W77745895",TEXT($B$1,"yyyy/mm/dd"),1),"")</f>
        <v>0</v>
      </c>
      <c r="M18">
        <f>IFERROR([1]!S_FA_EPS_basic2($A18,$B$1,"Cur=CNY"),"")</f>
        <v>1.56</v>
      </c>
      <c r="N18">
        <f>IFERROR([1]!hks_fa_arturndays($A18,TEXT($B$1,"yyyy/mm/dd")),"")</f>
        <v>47.915700000000001</v>
      </c>
      <c r="O18">
        <f>IFERROR([1]!hks_fa_apturndays($A18,TEXT($B$1,"yyyy/mm/dd")),"")</f>
        <v>69.139686852604399</v>
      </c>
      <c r="P18">
        <f>IFERROR([1]!hks_fa_invturndays($A18,TEXT($B$1,"yyyy/mm/dd")),"")</f>
        <v>39.015508664694202</v>
      </c>
    </row>
    <row r="19" spans="1:16">
      <c r="A19" t="s">
        <v>1832</v>
      </c>
      <c r="B19">
        <f>IFERROR([1]!s_stm07_is($A19,"W70156729",TEXT($B$1,"yyyy/mm/dd"),1),"")</f>
        <v>28026000000</v>
      </c>
      <c r="C19">
        <f>IFERROR([1]!s_stm07_is($A19,"W75682424",TEXT($B$1,"yyyy/mm/dd"),1),"")</f>
        <v>23039000000</v>
      </c>
      <c r="D19">
        <f>IFERROR([1]!s_stm07_is($A19,"W76031679",TEXT($B$1,"yyyy/mm/dd"),1),"")</f>
        <v>1845000000</v>
      </c>
      <c r="E19">
        <f>IFERROR([1]!s_stm07_is($A19,"W70752487",TEXT($B$1,"yyyy/mm/dd"),1),"")</f>
        <v>941000000</v>
      </c>
      <c r="F19">
        <f>IFERROR([1]!s_stm07_is_103($A19,TEXT($B$1,"yyyy/mm/dd"),1),"")</f>
        <v>0</v>
      </c>
      <c r="G19">
        <f>IFERROR([1]!s_stm07_is_104($A19,TEXT($B$1,"yyyy/mm/dd"),1),"")</f>
        <v>0</v>
      </c>
      <c r="H19">
        <f>IFERROR([1]!s_stm07_is_105($A19,TEXT($B$1,"yyyy/mm/dd"),1),"")</f>
        <v>0</v>
      </c>
      <c r="I19">
        <f>IFERROR([1]!s_stm07_is($A19,"W72946623",TEXT($B$1,"yyyy/mm/dd"),1),"")</f>
        <v>2475000000</v>
      </c>
      <c r="J19">
        <f>IFERROR([1]!s_stm07_is($A19,"W30028333",TEXT($B$1,"yyyy/mm/dd"),1),"")</f>
        <v>1567000000</v>
      </c>
      <c r="K19">
        <f>IFERROR([1]!s_stm07_cs($A19,"W77130581",TEXT($B$1,"yyyy/mm/dd"),1),"")</f>
        <v>0</v>
      </c>
      <c r="L19">
        <f>IFERROR([1]!s_stm07_cs($A19,"W77745895",TEXT($B$1,"yyyy/mm/dd"),1),"")</f>
        <v>0</v>
      </c>
      <c r="M19">
        <f>IFERROR([1]!S_FA_EPS_basic2($A19,$B$1,"Cur=CNY"),"")</f>
        <v>0.85821647999999995</v>
      </c>
      <c r="N19">
        <f>IFERROR([1]!hks_fa_arturndays($A19,TEXT($B$1,"yyyy/mm/dd")),"")</f>
        <v>15.035299999999999</v>
      </c>
      <c r="O19">
        <f>IFERROR([1]!hks_fa_apturndays($A19,TEXT($B$1,"yyyy/mm/dd")),"")</f>
        <v>20.2430661052997</v>
      </c>
      <c r="P19">
        <f>IFERROR([1]!hks_fa_invturndays($A19,TEXT($B$1,"yyyy/mm/dd")),"")</f>
        <v>44.502132393843901</v>
      </c>
    </row>
    <row r="20" spans="1:16">
      <c r="A20" t="s">
        <v>1833</v>
      </c>
      <c r="B20">
        <f>IFERROR([1]!s_stm07_is($A20,"W70156729",TEXT($B$1,"yyyy/mm/dd"),1),"")</f>
        <v>37985000000</v>
      </c>
      <c r="C20">
        <f>IFERROR([1]!s_stm07_is($A20,"W75682424",TEXT($B$1,"yyyy/mm/dd"),1),"")</f>
        <v>21625000000</v>
      </c>
      <c r="D20">
        <f>IFERROR([1]!s_stm07_is($A20,"W76031679",TEXT($B$1,"yyyy/mm/dd"),1),"")</f>
        <v>7721000000</v>
      </c>
      <c r="E20">
        <f>IFERROR([1]!s_stm07_is($A20,"W70752487",TEXT($B$1,"yyyy/mm/dd"),1),"")</f>
        <v>3166000000</v>
      </c>
      <c r="F20">
        <f>IFERROR([1]!s_stm07_is_103($A20,TEXT($B$1,"yyyy/mm/dd"),1),"")</f>
        <v>0</v>
      </c>
      <c r="G20">
        <f>IFERROR([1]!s_stm07_is_104($A20,TEXT($B$1,"yyyy/mm/dd"),1),"")</f>
        <v>0</v>
      </c>
      <c r="H20">
        <f>IFERROR([1]!s_stm07_is_105($A20,TEXT($B$1,"yyyy/mm/dd"),1),"")</f>
        <v>0</v>
      </c>
      <c r="I20">
        <f>IFERROR([1]!s_stm07_is($A20,"W72946623",TEXT($B$1,"yyyy/mm/dd"),1),"")</f>
        <v>5307000000</v>
      </c>
      <c r="J20">
        <f>IFERROR([1]!s_stm07_is($A20,"W30028333",TEXT($B$1,"yyyy/mm/dd"),1),"")</f>
        <v>3371000000</v>
      </c>
      <c r="K20">
        <f>IFERROR([1]!s_stm07_cs($A20,"W77130581",TEXT($B$1,"yyyy/mm/dd"),1),"")</f>
        <v>0</v>
      </c>
      <c r="L20">
        <f>IFERROR([1]!s_stm07_cs($A20,"W77745895",TEXT($B$1,"yyyy/mm/dd"),1),"")</f>
        <v>0</v>
      </c>
      <c r="M20">
        <f>IFERROR([1]!S_FA_EPS_basic2($A20,$B$1,"Cur=CNY"),"")</f>
        <v>1.04</v>
      </c>
      <c r="N20">
        <f>IFERROR([1]!hks_fa_arturndays($A20,TEXT($B$1,"yyyy/mm/dd")),"")</f>
        <v>1.4311</v>
      </c>
      <c r="O20">
        <f>IFERROR([1]!hks_fa_apturndays($A20,TEXT($B$1,"yyyy/mm/dd")),"")</f>
        <v>52.697341040462398</v>
      </c>
      <c r="P20">
        <f>IFERROR([1]!hks_fa_invturndays($A20,TEXT($B$1,"yyyy/mm/dd")),"")</f>
        <v>157.15034049240401</v>
      </c>
    </row>
    <row r="21" spans="1:16">
      <c r="A21" t="s">
        <v>1834</v>
      </c>
      <c r="B21">
        <f>IFERROR([1]!s_stm07_is($A21,"W70156729",TEXT($B$1,"yyyy/mm/dd"),1),"")</f>
        <v>458502407000</v>
      </c>
      <c r="C21">
        <f>IFERROR([1]!s_stm07_is($A21,"W75682424",TEXT($B$1,"yyyy/mm/dd"),1),"")</f>
        <v>338462194000</v>
      </c>
      <c r="D21">
        <f>IFERROR([1]!s_stm07_is($A21,"W76031679",TEXT($B$1,"yyyy/mm/dd"),1),"")</f>
        <v>42891490000</v>
      </c>
      <c r="E21">
        <f>IFERROR([1]!s_stm07_is($A21,"W70752487",TEXT($B$1,"yyyy/mm/dd"),1),"")</f>
        <v>16765506000</v>
      </c>
      <c r="F21">
        <f>IFERROR([1]!s_stm07_is_103($A21,TEXT($B$1,"yyyy/mm/dd"),1),"")</f>
        <v>17787624000</v>
      </c>
      <c r="G21">
        <f>IFERROR([1]!s_stm07_is_104($A21,TEXT($B$1,"yyyy/mm/dd"),1),"")</f>
        <v>2211331000</v>
      </c>
      <c r="H21">
        <f>IFERROR([1]!s_stm07_is_105($A21,TEXT($B$1,"yyyy/mm/dd"),1),"")</f>
        <v>8444301000</v>
      </c>
      <c r="I21">
        <f>IFERROR([1]!s_stm07_is($A21,"W72946623",TEXT($B$1,"yyyy/mm/dd"),1),"")</f>
        <v>53085343000</v>
      </c>
      <c r="J21">
        <f>IFERROR([1]!s_stm07_is($A21,"W30028333",TEXT($B$1,"yyyy/mm/dd"),1),"")</f>
        <v>43945411000</v>
      </c>
      <c r="K21">
        <f>IFERROR([1]!s_stm07_cs($A21,"W77130581",TEXT($B$1,"yyyy/mm/dd"),1),"")</f>
        <v>53345930000</v>
      </c>
      <c r="L21">
        <f>IFERROR([1]!s_stm07_cs($A21,"W77745895",TEXT($B$1,"yyyy/mm/dd"),1),"")</f>
        <v>11141889000</v>
      </c>
      <c r="M21">
        <f>IFERROR([1]!S_FA_EPS_basic2($A21,$B$1,"Cur=CNY"),"")</f>
        <v>5.8</v>
      </c>
      <c r="N21">
        <f>IFERROR([1]!hks_fa_arturndays($A21,TEXT($B$1,"yyyy/mm/dd")),"")</f>
        <v>47.422699999999999</v>
      </c>
      <c r="O21">
        <f>IFERROR([1]!hks_fa_apturndays($A21,TEXT($B$1,"yyyy/mm/dd")),"")</f>
        <v>132.72912720054001</v>
      </c>
      <c r="P21">
        <f>IFERROR([1]!hks_fa_invturndays($A21,TEXT($B$1,"yyyy/mm/dd")),"")</f>
        <v>68.055503043593305</v>
      </c>
    </row>
    <row r="22" spans="1:16">
      <c r="A22" t="s">
        <v>1835</v>
      </c>
      <c r="B22">
        <f>IFERROR([1]!s_stm07_is($A22,"W70156729",TEXT($B$1,"yyyy/mm/dd"),1),"")</f>
        <v>9722494000</v>
      </c>
      <c r="C22">
        <f>IFERROR([1]!s_stm07_is($A22,"W75682424",TEXT($B$1,"yyyy/mm/dd"),1),"")</f>
        <v>8087978000</v>
      </c>
      <c r="D22">
        <f>IFERROR([1]!s_stm07_is($A22,"W76031679",TEXT($B$1,"yyyy/mm/dd"),1),"")</f>
        <v>0</v>
      </c>
      <c r="E22">
        <f>IFERROR([1]!s_stm07_is($A22,"W70752487",TEXT($B$1,"yyyy/mm/dd"),1),"")</f>
        <v>0</v>
      </c>
      <c r="F22">
        <f>IFERROR([1]!s_stm07_is_103($A22,TEXT($B$1,"yyyy/mm/dd"),1),"")</f>
        <v>0</v>
      </c>
      <c r="G22">
        <f>IFERROR([1]!s_stm07_is_104($A22,TEXT($B$1,"yyyy/mm/dd"),1),"")</f>
        <v>0</v>
      </c>
      <c r="H22">
        <f>IFERROR([1]!s_stm07_is_105($A22,TEXT($B$1,"yyyy/mm/dd"),1),"")</f>
        <v>0</v>
      </c>
      <c r="I22">
        <f>IFERROR([1]!s_stm07_is($A22,"W72946623",TEXT($B$1,"yyyy/mm/dd"),1),"")</f>
        <v>1530420000</v>
      </c>
      <c r="J22">
        <f>IFERROR([1]!s_stm07_is($A22,"W30028333",TEXT($B$1,"yyyy/mm/dd"),1),"")</f>
        <v>1513483000</v>
      </c>
      <c r="K22">
        <f>IFERROR([1]!s_stm07_cs($A22,"W77130581",TEXT($B$1,"yyyy/mm/dd"),1),"")</f>
        <v>0</v>
      </c>
      <c r="L22">
        <f>IFERROR([1]!s_stm07_cs($A22,"W77745895",TEXT($B$1,"yyyy/mm/dd"),1),"")</f>
        <v>0</v>
      </c>
      <c r="M22">
        <f>IFERROR([1]!S_FA_EPS_basic2($A22,$B$1,"Cur=CNY"),"")</f>
        <v>16.095952</v>
      </c>
      <c r="N22">
        <f>IFERROR([1]!hks_fa_arturndays($A22,TEXT($B$1,"yyyy/mm/dd")),"")</f>
        <v>13.722</v>
      </c>
      <c r="O22">
        <f>IFERROR([1]!hks_fa_apturndays($A22,TEXT($B$1,"yyyy/mm/dd")),"")</f>
        <v>10.8992655519093</v>
      </c>
      <c r="P22">
        <f>IFERROR([1]!hks_fa_invturndays($A22,TEXT($B$1,"yyyy/mm/dd")),"")</f>
        <v>8.6533053222635097</v>
      </c>
    </row>
    <row r="23" spans="1:16">
      <c r="A23" t="s">
        <v>1836</v>
      </c>
      <c r="B23">
        <f>IFERROR([1]!s_stm07_is($A23,"W70156729",TEXT($B$1,"yyyy/mm/dd"),1),"")</f>
        <v>79068022000</v>
      </c>
      <c r="C23">
        <f>IFERROR([1]!s_stm07_is($A23,"W75682424",TEXT($B$1,"yyyy/mm/dd"),1),"")</f>
        <v>51536318000</v>
      </c>
      <c r="D23">
        <f>IFERROR([1]!s_stm07_is($A23,"W76031679",TEXT($B$1,"yyyy/mm/dd"),1),"")</f>
        <v>18131687000</v>
      </c>
      <c r="E23">
        <f>IFERROR([1]!s_stm07_is($A23,"W70752487",TEXT($B$1,"yyyy/mm/dd"),1),"")</f>
        <v>2988826000</v>
      </c>
      <c r="F23">
        <f>IFERROR([1]!s_stm07_is_103($A23,TEXT($B$1,"yyyy/mm/dd"),1),"")</f>
        <v>0</v>
      </c>
      <c r="G23">
        <f>IFERROR([1]!s_stm07_is_104($A23,TEXT($B$1,"yyyy/mm/dd"),1),"")</f>
        <v>0</v>
      </c>
      <c r="H23">
        <f>IFERROR([1]!s_stm07_is_105($A23,TEXT($B$1,"yyyy/mm/dd"),1),"")</f>
        <v>0</v>
      </c>
      <c r="I23">
        <f>IFERROR([1]!s_stm07_is($A23,"W72946623",TEXT($B$1,"yyyy/mm/dd"),1),"")</f>
        <v>6965916000</v>
      </c>
      <c r="J23">
        <f>IFERROR([1]!s_stm07_is($A23,"W30028333",TEXT($B$1,"yyyy/mm/dd"),1),"")</f>
        <v>4500698000</v>
      </c>
      <c r="K23">
        <f>IFERROR([1]!s_stm07_cs($A23,"W77130581",TEXT($B$1,"yyyy/mm/dd"),1),"")</f>
        <v>0</v>
      </c>
      <c r="L23">
        <f>IFERROR([1]!s_stm07_cs($A23,"W77745895",TEXT($B$1,"yyyy/mm/dd"),1),"")</f>
        <v>0</v>
      </c>
      <c r="M23">
        <f>IFERROR([1]!S_FA_EPS_basic2($A23,$B$1,"Cur=CNY"),"")</f>
        <v>0.79859999999999998</v>
      </c>
      <c r="N23">
        <f>IFERROR([1]!hks_fa_arturndays($A23,TEXT($B$1,"yyyy/mm/dd")),"")</f>
        <v>6.8445</v>
      </c>
      <c r="O23">
        <f>IFERROR([1]!hks_fa_apturndays($A23,TEXT($B$1,"yyyy/mm/dd")),"")</f>
        <v>55.892760130826602</v>
      </c>
      <c r="P23">
        <f>IFERROR([1]!hks_fa_invturndays($A23,TEXT($B$1,"yyyy/mm/dd")),"")</f>
        <v>26.7733634781574</v>
      </c>
    </row>
    <row r="24" spans="1:16">
      <c r="A24" t="s">
        <v>1837</v>
      </c>
      <c r="B24">
        <f>IFERROR([1]!s_stm07_is($A24,"W70156729",TEXT($B$1,"yyyy/mm/dd"),1),"")</f>
        <v>2783583000000</v>
      </c>
      <c r="C24">
        <f>IFERROR([1]!s_stm07_is($A24,"W75682424",TEXT($B$1,"yyyy/mm/dd"),1),"")</f>
        <v>0</v>
      </c>
      <c r="D24">
        <f>IFERROR([1]!s_stm07_is($A24,"W76031679",TEXT($B$1,"yyyy/mm/dd"),1),"")</f>
        <v>0</v>
      </c>
      <c r="E24">
        <f>IFERROR([1]!s_stm07_is($A24,"W70752487",TEXT($B$1,"yyyy/mm/dd"),1),"")</f>
        <v>0</v>
      </c>
      <c r="F24">
        <f>IFERROR([1]!s_stm07_is_103($A24,TEXT($B$1,"yyyy/mm/dd"),1),"")</f>
        <v>15863000000</v>
      </c>
      <c r="G24">
        <f>IFERROR([1]!s_stm07_is_104($A24,TEXT($B$1,"yyyy/mm/dd"),1),"")</f>
        <v>19247000000</v>
      </c>
      <c r="H24">
        <f>IFERROR([1]!s_stm07_is_105($A24,TEXT($B$1,"yyyy/mm/dd"),1),"")</f>
        <v>5802000000</v>
      </c>
      <c r="I24">
        <f>IFERROR([1]!s_stm07_is($A24,"W72946623",TEXT($B$1,"yyyy/mm/dd"),1),"")</f>
        <v>43744000000</v>
      </c>
      <c r="J24">
        <f>IFERROR([1]!s_stm07_is($A24,"W30028333",TEXT($B$1,"yyyy/mm/dd"),1),"")</f>
        <v>32476000000</v>
      </c>
      <c r="K24">
        <f>IFERROR([1]!s_stm07_cs($A24,"W77130581",TEXT($B$1,"yyyy/mm/dd"),1),"")</f>
        <v>162496000000</v>
      </c>
      <c r="L24">
        <f>IFERROR([1]!s_stm07_cs($A24,"W77745895",TEXT($B$1,"yyyy/mm/dd"),1),"")</f>
        <v>133625000000</v>
      </c>
      <c r="M24">
        <f>IFERROR([1]!S_FA_EPS_basic2($A24,$B$1,"Cur=CNY"),"")</f>
        <v>0.26800000000000002</v>
      </c>
      <c r="N24">
        <f>IFERROR([1]!hks_fa_arturndays($A24,TEXT($B$1,"yyyy/mm/dd")),"")</f>
        <v>11.195600000000001</v>
      </c>
      <c r="O24">
        <f>IFERROR([1]!hks_fa_apturndays($A24,TEXT($B$1,"yyyy/mm/dd")),"")</f>
        <v>0</v>
      </c>
      <c r="P24">
        <f>IFERROR([1]!hks_fa_invturndays($A24,TEXT($B$1,"yyyy/mm/dd")),"")</f>
        <v>0</v>
      </c>
    </row>
    <row r="25" spans="1:16">
      <c r="A25" t="s">
        <v>1838</v>
      </c>
      <c r="B25">
        <f>IFERROR([1]!s_stm07_is($A25,"W70156729",TEXT($B$1,"yyyy/mm/dd"),1),"")</f>
        <v>28635000000</v>
      </c>
      <c r="C25">
        <f>IFERROR([1]!s_stm07_is($A25,"W75682424",TEXT($B$1,"yyyy/mm/dd"),1),"")</f>
        <v>0</v>
      </c>
      <c r="D25">
        <f>IFERROR([1]!s_stm07_is($A25,"W76031679",TEXT($B$1,"yyyy/mm/dd"),1),"")</f>
        <v>117000000</v>
      </c>
      <c r="E25">
        <f>IFERROR([1]!s_stm07_is($A25,"W70752487",TEXT($B$1,"yyyy/mm/dd"),1),"")</f>
        <v>0</v>
      </c>
      <c r="F25">
        <f>IFERROR([1]!s_stm07_is_103($A25,TEXT($B$1,"yyyy/mm/dd"),1),"")</f>
        <v>0</v>
      </c>
      <c r="G25">
        <f>IFERROR([1]!s_stm07_is_104($A25,TEXT($B$1,"yyyy/mm/dd"),1),"")</f>
        <v>0</v>
      </c>
      <c r="H25">
        <f>IFERROR([1]!s_stm07_is_105($A25,TEXT($B$1,"yyyy/mm/dd"),1),"")</f>
        <v>0</v>
      </c>
      <c r="I25">
        <f>IFERROR([1]!s_stm07_is($A25,"W72946623",TEXT($B$1,"yyyy/mm/dd"),1),"")</f>
        <v>21158000000</v>
      </c>
      <c r="J25">
        <f>IFERROR([1]!s_stm07_is($A25,"W30028333",TEXT($B$1,"yyyy/mm/dd"),1),"")</f>
        <v>17754000000</v>
      </c>
      <c r="K25">
        <f>IFERROR([1]!s_stm07_cs($A25,"W77130581",TEXT($B$1,"yyyy/mm/dd"),1),"")</f>
        <v>0</v>
      </c>
      <c r="L25">
        <f>IFERROR([1]!s_stm07_cs($A25,"W77745895",TEXT($B$1,"yyyy/mm/dd"),1),"")</f>
        <v>0</v>
      </c>
      <c r="M25">
        <f>IFERROR([1]!S_FA_EPS_basic2($A25,$B$1,"Cur=CNY"),"")</f>
        <v>12.690241</v>
      </c>
      <c r="N25">
        <f>IFERROR([1]!hks_fa_arturndays($A25,TEXT($B$1,"yyyy/mm/dd")),"")</f>
        <v>0</v>
      </c>
      <c r="O25">
        <f>IFERROR([1]!hks_fa_apturndays($A25,TEXT($B$1,"yyyy/mm/dd")),"")</f>
        <v>0</v>
      </c>
      <c r="P25">
        <f>IFERROR([1]!hks_fa_invturndays($A25,TEXT($B$1,"yyyy/mm/dd")),"")</f>
        <v>0</v>
      </c>
    </row>
    <row r="26" spans="1:16">
      <c r="A26" t="s">
        <v>1839</v>
      </c>
      <c r="B26">
        <f>IFERROR([1]!s_stm07_is($A26,"W70156729",TEXT($B$1,"yyyy/mm/dd"),1),"")</f>
        <v>15259533000</v>
      </c>
      <c r="C26">
        <f>IFERROR([1]!s_stm07_is($A26,"W75682424",TEXT($B$1,"yyyy/mm/dd"),1),"")</f>
        <v>8967596000</v>
      </c>
      <c r="D26">
        <f>IFERROR([1]!s_stm07_is($A26,"W76031679",TEXT($B$1,"yyyy/mm/dd"),1),"")</f>
        <v>0</v>
      </c>
      <c r="E26">
        <f>IFERROR([1]!s_stm07_is($A26,"W70752487",TEXT($B$1,"yyyy/mm/dd"),1),"")</f>
        <v>1491139000</v>
      </c>
      <c r="F26">
        <f>IFERROR([1]!s_stm07_is_103($A26,TEXT($B$1,"yyyy/mm/dd"),1),"")</f>
        <v>0</v>
      </c>
      <c r="G26">
        <f>IFERROR([1]!s_stm07_is_104($A26,TEXT($B$1,"yyyy/mm/dd"),1),"")</f>
        <v>0</v>
      </c>
      <c r="H26">
        <f>IFERROR([1]!s_stm07_is_105($A26,TEXT($B$1,"yyyy/mm/dd"),1),"")</f>
        <v>0</v>
      </c>
      <c r="I26">
        <f>IFERROR([1]!s_stm07_is($A26,"W72946623",TEXT($B$1,"yyyy/mm/dd"),1),"")</f>
        <v>1302482000</v>
      </c>
      <c r="J26">
        <f>IFERROR([1]!s_stm07_is($A26,"W30028333",TEXT($B$1,"yyyy/mm/dd"),1),"")</f>
        <v>1198294000</v>
      </c>
      <c r="K26">
        <f>IFERROR([1]!s_stm07_cs($A26,"W77130581",TEXT($B$1,"yyyy/mm/dd"),1),"")</f>
        <v>0</v>
      </c>
      <c r="L26">
        <f>IFERROR([1]!s_stm07_cs($A26,"W77745895",TEXT($B$1,"yyyy/mm/dd"),1),"")</f>
        <v>0</v>
      </c>
      <c r="M26">
        <f>IFERROR([1]!S_FA_EPS_basic2($A26,$B$1,"Cur=CNY"),"")</f>
        <v>4.6115956799999998</v>
      </c>
      <c r="N26">
        <f>IFERROR([1]!hks_fa_arturndays($A26,TEXT($B$1,"yyyy/mm/dd")),"")</f>
        <v>45.333199999999998</v>
      </c>
      <c r="O26">
        <f>IFERROR([1]!hks_fa_apturndays($A26,TEXT($B$1,"yyyy/mm/dd")),"")</f>
        <v>74.057178757829902</v>
      </c>
      <c r="P26">
        <f>IFERROR([1]!hks_fa_invturndays($A26,TEXT($B$1,"yyyy/mm/dd")),"")</f>
        <v>171.17588322000901</v>
      </c>
    </row>
    <row r="27" spans="1:16">
      <c r="A27" t="s">
        <v>1840</v>
      </c>
      <c r="B27">
        <f>IFERROR([1]!s_stm07_is($A27,"W70156729",TEXT($B$1,"yyyy/mm/dd"),1),"")</f>
        <v>168088765000</v>
      </c>
      <c r="C27">
        <f>IFERROR([1]!s_stm07_is($A27,"W75682424",TEXT($B$1,"yyyy/mm/dd"),1),"")</f>
        <v>142024310000</v>
      </c>
      <c r="D27">
        <f>IFERROR([1]!s_stm07_is($A27,"W76031679",TEXT($B$1,"yyyy/mm/dd"),1),"")</f>
        <v>4689667000</v>
      </c>
      <c r="E27">
        <f>IFERROR([1]!s_stm07_is($A27,"W70752487",TEXT($B$1,"yyyy/mm/dd"),1),"")</f>
        <v>2117314000</v>
      </c>
      <c r="F27">
        <f>IFERROR([1]!s_stm07_is_103($A27,TEXT($B$1,"yyyy/mm/dd"),1),"")</f>
        <v>0</v>
      </c>
      <c r="G27">
        <f>IFERROR([1]!s_stm07_is_104($A27,TEXT($B$1,"yyyy/mm/dd"),1),"")</f>
        <v>0</v>
      </c>
      <c r="H27">
        <f>IFERROR([1]!s_stm07_is_105($A27,TEXT($B$1,"yyyy/mm/dd"),1),"")</f>
        <v>0</v>
      </c>
      <c r="I27">
        <f>IFERROR([1]!s_stm07_is($A27,"W72946623",TEXT($B$1,"yyyy/mm/dd"),1),"")</f>
        <v>20609013000</v>
      </c>
      <c r="J27">
        <f>IFERROR([1]!s_stm07_is($A27,"W30028333",TEXT($B$1,"yyyy/mm/dd"),1),"")</f>
        <v>12691186000</v>
      </c>
      <c r="K27">
        <f>IFERROR([1]!s_stm07_cs($A27,"W77130581",TEXT($B$1,"yyyy/mm/dd"),1),"")</f>
        <v>0</v>
      </c>
      <c r="L27">
        <f>IFERROR([1]!s_stm07_cs($A27,"W77745895",TEXT($B$1,"yyyy/mm/dd"),1),"")</f>
        <v>0</v>
      </c>
      <c r="M27">
        <f>IFERROR([1]!S_FA_EPS_basic2($A27,$B$1,"Cur=CNY"),"")</f>
        <v>1.1599999999999999</v>
      </c>
      <c r="N27">
        <f>IFERROR([1]!hks_fa_arturndays($A27,TEXT($B$1,"yyyy/mm/dd")),"")</f>
        <v>4.5913000000000004</v>
      </c>
      <c r="O27">
        <f>IFERROR([1]!hks_fa_apturndays($A27,TEXT($B$1,"yyyy/mm/dd")),"")</f>
        <v>116.299007965608</v>
      </c>
      <c r="P27">
        <f>IFERROR([1]!hks_fa_invturndays($A27,TEXT($B$1,"yyyy/mm/dd")),"")</f>
        <v>1198.00332778702</v>
      </c>
    </row>
    <row r="28" spans="1:16">
      <c r="A28" t="s">
        <v>1841</v>
      </c>
      <c r="B28">
        <f>IFERROR([1]!s_stm07_is($A28,"W70156729",TEXT($B$1,"yyyy/mm/dd"),1),"")</f>
        <v>751766000000</v>
      </c>
      <c r="C28">
        <f>IFERROR([1]!s_stm07_is($A28,"W75682424",TEXT($B$1,"yyyy/mm/dd"),1),"")</f>
        <v>329173000000</v>
      </c>
      <c r="D28">
        <f>IFERROR([1]!s_stm07_is($A28,"W76031679",TEXT($B$1,"yyyy/mm/dd"),1),"")</f>
        <v>41727000000</v>
      </c>
      <c r="E28">
        <f>IFERROR([1]!s_stm07_is($A28,"W70752487",TEXT($B$1,"yyyy/mm/dd"),1),"")</f>
        <v>136127000000</v>
      </c>
      <c r="F28">
        <f>IFERROR([1]!s_stm07_is_103($A28,TEXT($B$1,"yyyy/mm/dd"),1),"")</f>
        <v>0</v>
      </c>
      <c r="G28">
        <f>IFERROR([1]!s_stm07_is_104($A28,TEXT($B$1,"yyyy/mm/dd"),1),"")</f>
        <v>0</v>
      </c>
      <c r="H28">
        <f>IFERROR([1]!s_stm07_is_105($A28,TEXT($B$1,"yyyy/mm/dd"),1),"")</f>
        <v>0</v>
      </c>
      <c r="I28">
        <f>IFERROR([1]!s_stm07_is($A28,"W72946623",TEXT($B$1,"yyyy/mm/dd"),1),"")</f>
        <v>277249000000</v>
      </c>
      <c r="J28">
        <f>IFERROR([1]!s_stm07_is($A28,"W30028333",TEXT($B$1,"yyyy/mm/dd"),1),"")</f>
        <v>224842000000</v>
      </c>
      <c r="K28">
        <f>IFERROR([1]!s_stm07_cs($A28,"W77130581",TEXT($B$1,"yyyy/mm/dd"),1),"")</f>
        <v>0</v>
      </c>
      <c r="L28">
        <f>IFERROR([1]!s_stm07_cs($A28,"W77745895",TEXT($B$1,"yyyy/mm/dd"),1),"")</f>
        <v>0</v>
      </c>
      <c r="M28">
        <f>IFERROR([1]!S_FA_EPS_basic2($A28,$B$1,"Cur=CNY"),"")</f>
        <v>24.748999999999999</v>
      </c>
      <c r="N28">
        <f>IFERROR([1]!hks_fa_arturndays($A28,TEXT($B$1,"yyyy/mm/dd")),"")</f>
        <v>23.496500000000001</v>
      </c>
      <c r="O28">
        <f>IFERROR([1]!hks_fa_apturndays($A28,TEXT($B$1,"yyyy/mm/dd")),"")</f>
        <v>141.62984205873499</v>
      </c>
      <c r="P28">
        <f>IFERROR([1]!hks_fa_invturndays($A28,TEXT($B$1,"yyyy/mm/dd")),"")</f>
        <v>0.53042018708509397</v>
      </c>
    </row>
    <row r="29" spans="1:16">
      <c r="A29" t="s">
        <v>1842</v>
      </c>
      <c r="B29">
        <f>IFERROR([1]!s_stm07_is($A29,"W70156729",TEXT($B$1,"yyyy/mm/dd"),1),"")</f>
        <v>529559000000</v>
      </c>
      <c r="C29">
        <f>IFERROR([1]!s_stm07_is($A29,"W75682424",TEXT($B$1,"yyyy/mm/dd"),1),"")</f>
        <v>364078000000</v>
      </c>
      <c r="D29">
        <f>IFERROR([1]!s_stm07_is($A29,"W76031679",TEXT($B$1,"yyyy/mm/dd"),1),"")</f>
        <v>0</v>
      </c>
      <c r="E29">
        <f>IFERROR([1]!s_stm07_is($A29,"W70752487",TEXT($B$1,"yyyy/mm/dd"),1),"")</f>
        <v>0</v>
      </c>
      <c r="F29">
        <f>IFERROR([1]!s_stm07_is_103($A29,TEXT($B$1,"yyyy/mm/dd"),1),"")</f>
        <v>15594212398.790001</v>
      </c>
      <c r="G29">
        <f>IFERROR([1]!s_stm07_is_104($A29,TEXT($B$1,"yyyy/mm/dd"),1),"")</f>
        <v>2053873360.8800001</v>
      </c>
      <c r="H29">
        <f>IFERROR([1]!s_stm07_is_105($A29,TEXT($B$1,"yyyy/mm/dd"),1),"")</f>
        <v>1824872325.8099999</v>
      </c>
      <c r="I29">
        <f>IFERROR([1]!s_stm07_is($A29,"W72946623",TEXT($B$1,"yyyy/mm/dd"),1),"")</f>
        <v>42680000000</v>
      </c>
      <c r="J29">
        <f>IFERROR([1]!s_stm07_is($A29,"W30028333",TEXT($B$1,"yyyy/mm/dd"),1),"")</f>
        <v>33185000000</v>
      </c>
      <c r="K29">
        <f>IFERROR([1]!s_stm07_cs($A29,"W77130581",TEXT($B$1,"yyyy/mm/dd"),1),"")</f>
        <v>124518913220.91</v>
      </c>
      <c r="L29">
        <f>IFERROR([1]!s_stm07_cs($A29,"W77745895",TEXT($B$1,"yyyy/mm/dd"),1),"")</f>
        <v>73148181381.580002</v>
      </c>
      <c r="M29">
        <f>IFERROR([1]!S_FA_EPS_basic2($A29,$B$1,"Cur=CNY"),"")</f>
        <v>0.36</v>
      </c>
      <c r="N29">
        <f>IFERROR([1]!hks_fa_arturndays($A29,TEXT($B$1,"yyyy/mm/dd")),"")</f>
        <v>32.635300000000001</v>
      </c>
      <c r="O29">
        <f>IFERROR([1]!hks_fa_apturndays($A29,TEXT($B$1,"yyyy/mm/dd")),"")</f>
        <v>153.389438526909</v>
      </c>
      <c r="P29">
        <f>IFERROR([1]!hks_fa_invturndays($A29,TEXT($B$1,"yyyy/mm/dd")),"")</f>
        <v>3.3114867195584701</v>
      </c>
    </row>
    <row r="30" spans="1:16">
      <c r="A30" t="s">
        <v>1843</v>
      </c>
      <c r="B30">
        <f>IFERROR([1]!s_stm07_is($A30,"W70156729",TEXT($B$1,"yyyy/mm/dd"),1),"")</f>
        <v>392223000000</v>
      </c>
      <c r="C30">
        <f>IFERROR([1]!s_stm07_is($A30,"W75682424",TEXT($B$1,"yyyy/mm/dd"),1),"")</f>
        <v>223643000000</v>
      </c>
      <c r="D30">
        <f>IFERROR([1]!s_stm07_is($A30,"W76031679",TEXT($B$1,"yyyy/mm/dd"),1),"")</f>
        <v>0</v>
      </c>
      <c r="E30">
        <f>IFERROR([1]!s_stm07_is($A30,"W70752487",TEXT($B$1,"yyyy/mm/dd"),1),"")</f>
        <v>0</v>
      </c>
      <c r="F30">
        <f>IFERROR([1]!s_stm07_is_103($A30,TEXT($B$1,"yyyy/mm/dd"),1),"")</f>
        <v>0</v>
      </c>
      <c r="G30">
        <f>IFERROR([1]!s_stm07_is_104($A30,TEXT($B$1,"yyyy/mm/dd"),1),"")</f>
        <v>0</v>
      </c>
      <c r="H30">
        <f>IFERROR([1]!s_stm07_is_105($A30,TEXT($B$1,"yyyy/mm/dd"),1),"")</f>
        <v>0</v>
      </c>
      <c r="I30">
        <f>IFERROR([1]!s_stm07_is($A30,"W72946623",TEXT($B$1,"yyyy/mm/dd"),1),"")</f>
        <v>25453000000</v>
      </c>
      <c r="J30">
        <f>IFERROR([1]!s_stm07_is($A30,"W30028333",TEXT($B$1,"yyyy/mm/dd"),1),"")</f>
        <v>20816000000</v>
      </c>
      <c r="K30">
        <f>IFERROR([1]!s_stm07_cs($A30,"W77130581",TEXT($B$1,"yyyy/mm/dd"),1),"")</f>
        <v>0</v>
      </c>
      <c r="L30">
        <f>IFERROR([1]!s_stm07_cs($A30,"W77745895",TEXT($B$1,"yyyy/mm/dd"),1),"")</f>
        <v>0</v>
      </c>
      <c r="M30">
        <f>IFERROR([1]!S_FA_EPS_basic2($A30,$B$1,"Cur=CNY"),"")</f>
        <v>0.68</v>
      </c>
      <c r="N30">
        <f>IFERROR([1]!hks_fa_arturndays($A30,TEXT($B$1,"yyyy/mm/dd")),"")</f>
        <v>54.944200000000002</v>
      </c>
      <c r="O30">
        <f>IFERROR([1]!hks_fa_apturndays($A30,TEXT($B$1,"yyyy/mm/dd")),"")</f>
        <v>297.25678872130999</v>
      </c>
      <c r="P30">
        <f>IFERROR([1]!hks_fa_invturndays($A30,TEXT($B$1,"yyyy/mm/dd")),"")</f>
        <v>3.9389549514851998</v>
      </c>
    </row>
    <row r="31" spans="1:16">
      <c r="A31" t="s">
        <v>1844</v>
      </c>
      <c r="B31">
        <f>IFERROR([1]!s_stm07_is($A31,"W70156729",TEXT($B$1,"yyyy/mm/dd"),1),"")</f>
        <v>19395959000</v>
      </c>
      <c r="C31">
        <f>IFERROR([1]!s_stm07_is($A31,"W75682424",TEXT($B$1,"yyyy/mm/dd"),1),"")</f>
        <v>6538207000</v>
      </c>
      <c r="D31">
        <f>IFERROR([1]!s_stm07_is($A31,"W76031679",TEXT($B$1,"yyyy/mm/dd"),1),"")</f>
        <v>6281306000</v>
      </c>
      <c r="E31">
        <f>IFERROR([1]!s_stm07_is($A31,"W70752487",TEXT($B$1,"yyyy/mm/dd"),1),"")</f>
        <v>1265916000</v>
      </c>
      <c r="F31">
        <f>IFERROR([1]!s_stm07_is_103($A31,TEXT($B$1,"yyyy/mm/dd"),1),"")</f>
        <v>0</v>
      </c>
      <c r="G31">
        <f>IFERROR([1]!s_stm07_is_104($A31,TEXT($B$1,"yyyy/mm/dd"),1),"")</f>
        <v>0</v>
      </c>
      <c r="H31">
        <f>IFERROR([1]!s_stm07_is_105($A31,TEXT($B$1,"yyyy/mm/dd"),1),"")</f>
        <v>0</v>
      </c>
      <c r="I31">
        <f>IFERROR([1]!s_stm07_is($A31,"W72946623",TEXT($B$1,"yyyy/mm/dd"),1),"")</f>
        <v>3021000000</v>
      </c>
      <c r="J31">
        <f>IFERROR([1]!s_stm07_is($A31,"W30028333",TEXT($B$1,"yyyy/mm/dd"),1),"")</f>
        <v>2371234000</v>
      </c>
      <c r="K31">
        <f>IFERROR([1]!s_stm07_cs($A31,"W77130581",TEXT($B$1,"yyyy/mm/dd"),1),"")</f>
        <v>0</v>
      </c>
      <c r="L31">
        <f>IFERROR([1]!s_stm07_cs($A31,"W77745895",TEXT($B$1,"yyyy/mm/dd"),1),"")</f>
        <v>0</v>
      </c>
      <c r="M31">
        <f>IFERROR([1]!S_FA_EPS_basic2($A31,$B$1,"Cur=CNY"),"")</f>
        <v>1.03</v>
      </c>
      <c r="N31">
        <f>IFERROR([1]!hks_fa_arturndays($A31,TEXT($B$1,"yyyy/mm/dd")),"")</f>
        <v>37.0336</v>
      </c>
      <c r="O31">
        <f>IFERROR([1]!hks_fa_apturndays($A31,TEXT($B$1,"yyyy/mm/dd")),"")</f>
        <v>247.46556968906</v>
      </c>
      <c r="P31">
        <f>IFERROR([1]!hks_fa_invturndays($A31,TEXT($B$1,"yyyy/mm/dd")),"")</f>
        <v>0.50311962116210596</v>
      </c>
    </row>
    <row r="32" spans="1:16">
      <c r="A32" t="s">
        <v>1845</v>
      </c>
      <c r="B32">
        <f>IFERROR([1]!s_stm07_is($A32,"W70156729",TEXT($B$1,"yyyy/mm/dd"),1),"")</f>
        <v>14223000000</v>
      </c>
      <c r="C32">
        <f>IFERROR([1]!s_stm07_is($A32,"W75682424",TEXT($B$1,"yyyy/mm/dd"),1),"")</f>
        <v>3604000000</v>
      </c>
      <c r="D32">
        <f>IFERROR([1]!s_stm07_is($A32,"W76031679",TEXT($B$1,"yyyy/mm/dd"),1),"")</f>
        <v>0</v>
      </c>
      <c r="E32">
        <f>IFERROR([1]!s_stm07_is($A32,"W70752487",TEXT($B$1,"yyyy/mm/dd"),1),"")</f>
        <v>915000000</v>
      </c>
      <c r="F32">
        <f>IFERROR([1]!s_stm07_is_103($A32,TEXT($B$1,"yyyy/mm/dd"),1),"")</f>
        <v>0</v>
      </c>
      <c r="G32">
        <f>IFERROR([1]!s_stm07_is_104($A32,TEXT($B$1,"yyyy/mm/dd"),1),"")</f>
        <v>0</v>
      </c>
      <c r="H32">
        <f>IFERROR([1]!s_stm07_is_105($A32,TEXT($B$1,"yyyy/mm/dd"),1),"")</f>
        <v>0</v>
      </c>
      <c r="I32">
        <f>IFERROR([1]!s_stm07_is($A32,"W72946623",TEXT($B$1,"yyyy/mm/dd"),1),"")</f>
        <v>-8867000000</v>
      </c>
      <c r="J32">
        <f>IFERROR([1]!s_stm07_is($A32,"W30028333",TEXT($B$1,"yyyy/mm/dd"),1),"")</f>
        <v>-8863000000</v>
      </c>
      <c r="K32">
        <f>IFERROR([1]!s_stm07_cs($A32,"W77130581",TEXT($B$1,"yyyy/mm/dd"),1),"")</f>
        <v>0</v>
      </c>
      <c r="L32">
        <f>IFERROR([1]!s_stm07_cs($A32,"W77745895",TEXT($B$1,"yyyy/mm/dd"),1),"")</f>
        <v>0</v>
      </c>
      <c r="M32">
        <f>IFERROR([1]!S_FA_EPS_basic2($A32,$B$1,"Cur=CNY"),"")</f>
        <v>-3.1837635</v>
      </c>
      <c r="N32">
        <f>IFERROR([1]!hks_fa_arturndays($A32,TEXT($B$1,"yyyy/mm/dd")),"")</f>
        <v>4.4927000000000001</v>
      </c>
      <c r="O32">
        <f>IFERROR([1]!hks_fa_apturndays($A32,TEXT($B$1,"yyyy/mm/dd")),"")</f>
        <v>9.78912319644839</v>
      </c>
      <c r="P32">
        <f>IFERROR([1]!hks_fa_invturndays($A32,TEXT($B$1,"yyyy/mm/dd")),"")</f>
        <v>0</v>
      </c>
    </row>
    <row r="33" spans="1:16">
      <c r="A33" t="s">
        <v>1846</v>
      </c>
      <c r="B33">
        <f>IFERROR([1]!s_stm07_is($A33,"W70156729",TEXT($B$1,"yyyy/mm/dd"),1),"")</f>
        <v>102009878000</v>
      </c>
      <c r="C33">
        <f>IFERROR([1]!s_stm07_is($A33,"W75682424",TEXT($B$1,"yyyy/mm/dd"),1),"")</f>
        <v>0</v>
      </c>
      <c r="D33">
        <f>IFERROR([1]!s_stm07_is($A33,"W76031679",TEXT($B$1,"yyyy/mm/dd"),1),"")</f>
        <v>0</v>
      </c>
      <c r="E33">
        <f>IFERROR([1]!s_stm07_is($A33,"W70752487",TEXT($B$1,"yyyy/mm/dd"),1),"")</f>
        <v>0</v>
      </c>
      <c r="F33">
        <f>IFERROR([1]!s_stm07_is_103($A33,TEXT($B$1,"yyyy/mm/dd"),1),"")</f>
        <v>0</v>
      </c>
      <c r="G33">
        <f>IFERROR([1]!s_stm07_is_104($A33,TEXT($B$1,"yyyy/mm/dd"),1),"")</f>
        <v>0</v>
      </c>
      <c r="H33">
        <f>IFERROR([1]!s_stm07_is_105($A33,TEXT($B$1,"yyyy/mm/dd"),1),"")</f>
        <v>0</v>
      </c>
      <c r="I33">
        <f>IFERROR([1]!s_stm07_is($A33,"W72946623",TEXT($B$1,"yyyy/mm/dd"),1),"")</f>
        <v>20211832000</v>
      </c>
      <c r="J33">
        <f>IFERROR([1]!s_stm07_is($A33,"W30028333",TEXT($B$1,"yyyy/mm/dd"),1),"")</f>
        <v>14518950000</v>
      </c>
      <c r="K33">
        <f>IFERROR([1]!s_stm07_cs($A33,"W77130581",TEXT($B$1,"yyyy/mm/dd"),1),"")</f>
        <v>0</v>
      </c>
      <c r="L33">
        <f>IFERROR([1]!s_stm07_cs($A33,"W77745895",TEXT($B$1,"yyyy/mm/dd"),1),"")</f>
        <v>0</v>
      </c>
      <c r="M33">
        <f>IFERROR([1]!S_FA_EPS_basic2($A33,$B$1,"Cur=CNY"),"")</f>
        <v>2.5290159999999999</v>
      </c>
      <c r="N33">
        <f>IFERROR([1]!hks_fa_arturndays($A33,TEXT($B$1,"yyyy/mm/dd")),"")</f>
        <v>120.1482</v>
      </c>
      <c r="O33">
        <f>IFERROR([1]!hks_fa_apturndays($A33,TEXT($B$1,"yyyy/mm/dd")),"")</f>
        <v>0</v>
      </c>
      <c r="P33">
        <f>IFERROR([1]!hks_fa_invturndays($A33,TEXT($B$1,"yyyy/mm/dd")),"")</f>
        <v>0</v>
      </c>
    </row>
    <row r="34" spans="1:16">
      <c r="A34" t="s">
        <v>1847</v>
      </c>
      <c r="B34">
        <f>IFERROR([1]!s_stm07_is($A34,"W70156729",TEXT($B$1,"yyyy/mm/dd"),1),"")</f>
        <v>2864469000000</v>
      </c>
      <c r="C34">
        <f>IFERROR([1]!s_stm07_is($A34,"W75682424",TEXT($B$1,"yyyy/mm/dd"),1),"")</f>
        <v>0</v>
      </c>
      <c r="D34">
        <f>IFERROR([1]!s_stm07_is($A34,"W76031679",TEXT($B$1,"yyyy/mm/dd"),1),"")</f>
        <v>0</v>
      </c>
      <c r="E34">
        <f>IFERROR([1]!s_stm07_is($A34,"W70752487",TEXT($B$1,"yyyy/mm/dd"),1),"")</f>
        <v>0</v>
      </c>
      <c r="F34">
        <f>IFERROR([1]!s_stm07_is_103($A34,TEXT($B$1,"yyyy/mm/dd"),1),"")</f>
        <v>23552000000</v>
      </c>
      <c r="G34">
        <f>IFERROR([1]!s_stm07_is_104($A34,TEXT($B$1,"yyyy/mm/dd"),1),"")</f>
        <v>17567000000</v>
      </c>
      <c r="H34">
        <f>IFERROR([1]!s_stm07_is_105($A34,TEXT($B$1,"yyyy/mm/dd"),1),"")</f>
        <v>7760000000</v>
      </c>
      <c r="I34">
        <f>IFERROR([1]!s_stm07_is($A34,"W72946623",TEXT($B$1,"yyyy/mm/dd"),1),"")</f>
        <v>226165000000</v>
      </c>
      <c r="J34">
        <f>IFERROR([1]!s_stm07_is($A34,"W30028333",TEXT($B$1,"yyyy/mm/dd"),1),"")</f>
        <v>157318000000</v>
      </c>
      <c r="K34">
        <f>IFERROR([1]!s_stm07_cs($A34,"W77130581",TEXT($B$1,"yyyy/mm/dd"),1),"")</f>
        <v>412510000000</v>
      </c>
      <c r="L34">
        <f>IFERROR([1]!s_stm07_cs($A34,"W77745895",TEXT($B$1,"yyyy/mm/dd"),1),"")</f>
        <v>292789000000</v>
      </c>
      <c r="M34">
        <f>IFERROR([1]!S_FA_EPS_basic2($A34,$B$1,"Cur=CNY"),"")</f>
        <v>0.86</v>
      </c>
      <c r="N34">
        <f>IFERROR([1]!hks_fa_arturndays($A34,TEXT($B$1,"yyyy/mm/dd")),"")</f>
        <v>9.3969000000000005</v>
      </c>
      <c r="O34">
        <f>IFERROR([1]!hks_fa_apturndays($A34,TEXT($B$1,"yyyy/mm/dd")),"")</f>
        <v>0</v>
      </c>
      <c r="P34">
        <f>IFERROR([1]!hks_fa_invturndays($A34,TEXT($B$1,"yyyy/mm/dd")),"")</f>
        <v>0</v>
      </c>
    </row>
    <row r="35" spans="1:16">
      <c r="A35" t="s">
        <v>1848</v>
      </c>
      <c r="B35">
        <f>IFERROR([1]!s_stm07_is($A35,"W70156729",TEXT($B$1,"yyyy/mm/dd"),1),"")</f>
        <v>20829014000</v>
      </c>
      <c r="C35">
        <f>IFERROR([1]!s_stm07_is($A35,"W75682424",TEXT($B$1,"yyyy/mm/dd"),1),"")</f>
        <v>14347222000</v>
      </c>
      <c r="D35">
        <f>IFERROR([1]!s_stm07_is($A35,"W76031679",TEXT($B$1,"yyyy/mm/dd"),1),"")</f>
        <v>1181758000</v>
      </c>
      <c r="E35">
        <f>IFERROR([1]!s_stm07_is($A35,"W70752487",TEXT($B$1,"yyyy/mm/dd"),1),"")</f>
        <v>0</v>
      </c>
      <c r="F35">
        <f>IFERROR([1]!s_stm07_is_103($A35,TEXT($B$1,"yyyy/mm/dd"),1),"")</f>
        <v>0</v>
      </c>
      <c r="G35">
        <f>IFERROR([1]!s_stm07_is_104($A35,TEXT($B$1,"yyyy/mm/dd"),1),"")</f>
        <v>0</v>
      </c>
      <c r="H35">
        <f>IFERROR([1]!s_stm07_is_105($A35,TEXT($B$1,"yyyy/mm/dd"),1),"")</f>
        <v>0</v>
      </c>
      <c r="I35">
        <f>IFERROR([1]!s_stm07_is($A35,"W72946623",TEXT($B$1,"yyyy/mm/dd"),1),"")</f>
        <v>2905101000</v>
      </c>
      <c r="J35">
        <f>IFERROR([1]!s_stm07_is($A35,"W30028333",TEXT($B$1,"yyyy/mm/dd"),1),"")</f>
        <v>2729004000</v>
      </c>
      <c r="K35">
        <f>IFERROR([1]!s_stm07_cs($A35,"W77130581",TEXT($B$1,"yyyy/mm/dd"),1),"")</f>
        <v>0</v>
      </c>
      <c r="L35">
        <f>IFERROR([1]!s_stm07_cs($A35,"W77745895",TEXT($B$1,"yyyy/mm/dd"),1),"")</f>
        <v>0</v>
      </c>
      <c r="M35">
        <f>IFERROR([1]!S_FA_EPS_basic2($A35,$B$1,"Cur=CNY"),"")</f>
        <v>0.62309999999999999</v>
      </c>
      <c r="N35">
        <f>IFERROR([1]!hks_fa_arturndays($A35,TEXT($B$1,"yyyy/mm/dd")),"")</f>
        <v>56.118499999999997</v>
      </c>
      <c r="O35">
        <f>IFERROR([1]!hks_fa_apturndays($A35,TEXT($B$1,"yyyy/mm/dd")),"")</f>
        <v>51.0167710515666</v>
      </c>
      <c r="P35">
        <f>IFERROR([1]!hks_fa_invturndays($A35,TEXT($B$1,"yyyy/mm/dd")),"")</f>
        <v>88.267745494667196</v>
      </c>
    </row>
    <row r="36" spans="1:16">
      <c r="A36" t="s">
        <v>1849</v>
      </c>
      <c r="B36">
        <f>IFERROR([1]!s_stm07_is($A36,"W70156729",TEXT($B$1,"yyyy/mm/dd"),1),"")</f>
        <v>398220000000</v>
      </c>
      <c r="C36">
        <f>IFERROR([1]!s_stm07_is($A36,"W75682424",TEXT($B$1,"yyyy/mm/dd"),1),"")</f>
        <v>0</v>
      </c>
      <c r="D36">
        <f>IFERROR([1]!s_stm07_is($A36,"W76031679",TEXT($B$1,"yyyy/mm/dd"),1),"")</f>
        <v>0</v>
      </c>
      <c r="E36">
        <f>IFERROR([1]!s_stm07_is($A36,"W70752487",TEXT($B$1,"yyyy/mm/dd"),1),"")</f>
        <v>0</v>
      </c>
      <c r="F36">
        <f>IFERROR([1]!s_stm07_is_103($A36,TEXT($B$1,"yyyy/mm/dd"),1),"")</f>
        <v>1659000000</v>
      </c>
      <c r="G36">
        <f>IFERROR([1]!s_stm07_is_104($A36,TEXT($B$1,"yyyy/mm/dd"),1),"")</f>
        <v>2666000000</v>
      </c>
      <c r="H36">
        <f>IFERROR([1]!s_stm07_is_105($A36,TEXT($B$1,"yyyy/mm/dd"),1),"")</f>
        <v>5062000000</v>
      </c>
      <c r="I36">
        <f>IFERROR([1]!s_stm07_is($A36,"W72946623",TEXT($B$1,"yyyy/mm/dd"),1),"")</f>
        <v>169639000000</v>
      </c>
      <c r="J36">
        <f>IFERROR([1]!s_stm07_is($A36,"W30028333",TEXT($B$1,"yyyy/mm/dd"),1),"")</f>
        <v>122082000000</v>
      </c>
      <c r="K36">
        <f>IFERROR([1]!s_stm07_cs($A36,"W77130581",TEXT($B$1,"yyyy/mm/dd"),1),"")</f>
        <v>209042000000</v>
      </c>
      <c r="L36">
        <f>IFERROR([1]!s_stm07_cs($A36,"W77745895",TEXT($B$1,"yyyy/mm/dd"),1),"")</f>
        <v>111555000000</v>
      </c>
      <c r="M36">
        <f>IFERROR([1]!S_FA_EPS_basic2($A36,$B$1,"Cur=CNY"),"")</f>
        <v>2.57</v>
      </c>
      <c r="N36">
        <f>IFERROR([1]!hks_fa_arturndays($A36,TEXT($B$1,"yyyy/mm/dd")),"")</f>
        <v>30.805599999999998</v>
      </c>
      <c r="O36">
        <f>IFERROR([1]!hks_fa_apturndays($A36,TEXT($B$1,"yyyy/mm/dd")),"")</f>
        <v>0</v>
      </c>
      <c r="P36">
        <f>IFERROR([1]!hks_fa_invturndays($A36,TEXT($B$1,"yyyy/mm/dd")),"")</f>
        <v>0</v>
      </c>
    </row>
    <row r="37" spans="1:16">
      <c r="A37" t="s">
        <v>1850</v>
      </c>
      <c r="B37">
        <f>IFERROR([1]!s_stm07_is($A37,"W70156729",TEXT($B$1,"yyyy/mm/dd"),1),"")</f>
        <v>592715000000</v>
      </c>
      <c r="C37">
        <f>IFERROR([1]!s_stm07_is($A37,"W75682424",TEXT($B$1,"yyyy/mm/dd"),1),"")</f>
        <v>0</v>
      </c>
      <c r="D37">
        <f>IFERROR([1]!s_stm07_is($A37,"W76031679",TEXT($B$1,"yyyy/mm/dd"),1),"")</f>
        <v>0</v>
      </c>
      <c r="E37">
        <f>IFERROR([1]!s_stm07_is($A37,"W70752487",TEXT($B$1,"yyyy/mm/dd"),1),"")</f>
        <v>0</v>
      </c>
      <c r="F37">
        <f>IFERROR([1]!s_stm07_is_103($A37,TEXT($B$1,"yyyy/mm/dd"),1),"")</f>
        <v>0</v>
      </c>
      <c r="G37">
        <f>IFERROR([1]!s_stm07_is_104($A37,TEXT($B$1,"yyyy/mm/dd"),1),"")</f>
        <v>0</v>
      </c>
      <c r="H37">
        <f>IFERROR([1]!s_stm07_is_105($A37,TEXT($B$1,"yyyy/mm/dd"),1),"")</f>
        <v>0</v>
      </c>
      <c r="I37">
        <f>IFERROR([1]!s_stm07_is($A37,"W72946623",TEXT($B$1,"yyyy/mm/dd"),1),"")</f>
        <v>380623000000</v>
      </c>
      <c r="J37">
        <f>IFERROR([1]!s_stm07_is($A37,"W30028333",TEXT($B$1,"yyyy/mm/dd"),1),"")</f>
        <v>338906000000</v>
      </c>
      <c r="K37">
        <f>IFERROR([1]!s_stm07_cs($A37,"W77130581",TEXT($B$1,"yyyy/mm/dd"),1),"")</f>
        <v>2101242000000</v>
      </c>
      <c r="L37">
        <f>IFERROR([1]!s_stm07_cs($A37,"W77745895",TEXT($B$1,"yyyy/mm/dd"),1),"")</f>
        <v>23564000000</v>
      </c>
      <c r="M37">
        <f>IFERROR([1]!S_FA_EPS_basic2($A37,$B$1,"Cur=CNY"),"")</f>
        <v>1.3</v>
      </c>
      <c r="N37">
        <f>IFERROR([1]!hks_fa_arturndays($A37,TEXT($B$1,"yyyy/mm/dd")),"")</f>
        <v>0</v>
      </c>
      <c r="O37">
        <f>IFERROR([1]!hks_fa_apturndays($A37,TEXT($B$1,"yyyy/mm/dd")),"")</f>
        <v>0</v>
      </c>
      <c r="P37">
        <f>IFERROR([1]!hks_fa_invturndays($A37,TEXT($B$1,"yyyy/mm/dd")),"")</f>
        <v>0</v>
      </c>
    </row>
    <row r="38" spans="1:16">
      <c r="A38" t="s">
        <v>1851</v>
      </c>
      <c r="B38">
        <f>IFERROR([1]!s_stm07_is($A38,"W70156729",TEXT($B$1,"yyyy/mm/dd"),1),"")</f>
        <v>1050187000000</v>
      </c>
      <c r="C38">
        <f>IFERROR([1]!s_stm07_is($A38,"W75682424",TEXT($B$1,"yyyy/mm/dd"),1),"")</f>
        <v>629801000000</v>
      </c>
      <c r="D38">
        <f>IFERROR([1]!s_stm07_is($A38,"W76031679",TEXT($B$1,"yyyy/mm/dd"),1),"")</f>
        <v>56184000000</v>
      </c>
      <c r="E38">
        <f>IFERROR([1]!s_stm07_is($A38,"W70752487",TEXT($B$1,"yyyy/mm/dd"),1),"")</f>
        <v>0</v>
      </c>
      <c r="F38">
        <f>IFERROR([1]!s_stm07_is_103($A38,TEXT($B$1,"yyyy/mm/dd"),1),"")</f>
        <v>29253000000</v>
      </c>
      <c r="G38">
        <f>IFERROR([1]!s_stm07_is_104($A38,TEXT($B$1,"yyyy/mm/dd"),1),"")</f>
        <v>3657000000</v>
      </c>
      <c r="H38">
        <f>IFERROR([1]!s_stm07_is_105($A38,TEXT($B$1,"yyyy/mm/dd"),1),"")</f>
        <v>5292000000</v>
      </c>
      <c r="I38">
        <f>IFERROR([1]!s_stm07_is($A38,"W72946623",TEXT($B$1,"yyyy/mm/dd"),1),"")</f>
        <v>175608000000</v>
      </c>
      <c r="J38">
        <f>IFERROR([1]!s_stm07_is($A38,"W30028333",TEXT($B$1,"yyyy/mm/dd"),1),"")</f>
        <v>137095000000</v>
      </c>
      <c r="K38">
        <f>IFERROR([1]!s_stm07_cs($A38,"W77130581",TEXT($B$1,"yyyy/mm/dd"),1),"")</f>
        <v>232919000000</v>
      </c>
      <c r="L38">
        <f>IFERROR([1]!s_stm07_cs($A38,"W77745895",TEXT($B$1,"yyyy/mm/dd"),1),"")</f>
        <v>156951000000</v>
      </c>
      <c r="M38">
        <f>IFERROR([1]!S_FA_EPS_basic2($A38,$B$1,"Cur=CNY"),"")</f>
        <v>6.35</v>
      </c>
      <c r="N38">
        <f>IFERROR([1]!hks_fa_arturndays($A38,TEXT($B$1,"yyyy/mm/dd")),"")</f>
        <v>35.734099999999998</v>
      </c>
      <c r="O38">
        <f>IFERROR([1]!hks_fa_apturndays($A38,TEXT($B$1,"yyyy/mm/dd")),"")</f>
        <v>125.075222173353</v>
      </c>
      <c r="P38">
        <f>IFERROR([1]!hks_fa_invturndays($A38,TEXT($B$1,"yyyy/mm/dd")),"")</f>
        <v>7.9573662002029097</v>
      </c>
    </row>
    <row r="39" spans="1:16">
      <c r="A39" t="s">
        <v>1852</v>
      </c>
      <c r="B39">
        <f>IFERROR([1]!s_stm07_is($A39,"W70156729",TEXT($B$1,"yyyy/mm/dd"),1),"")</f>
        <v>97308631000</v>
      </c>
      <c r="C39">
        <f>IFERROR([1]!s_stm07_is($A39,"W75682424",TEXT($B$1,"yyyy/mm/dd"),1),"")</f>
        <v>87873770000</v>
      </c>
      <c r="D39">
        <f>IFERROR([1]!s_stm07_is($A39,"W76031679",TEXT($B$1,"yyyy/mm/dd"),1),"")</f>
        <v>3037552000</v>
      </c>
      <c r="E39">
        <f>IFERROR([1]!s_stm07_is($A39,"W70752487",TEXT($B$1,"yyyy/mm/dd"),1),"")</f>
        <v>3528091000</v>
      </c>
      <c r="F39">
        <f>IFERROR([1]!s_stm07_is_103($A39,TEXT($B$1,"yyyy/mm/dd"),1),"")</f>
        <v>0</v>
      </c>
      <c r="G39">
        <f>IFERROR([1]!s_stm07_is_104($A39,TEXT($B$1,"yyyy/mm/dd"),1),"")</f>
        <v>0</v>
      </c>
      <c r="H39">
        <f>IFERROR([1]!s_stm07_is_105($A39,TEXT($B$1,"yyyy/mm/dd"),1),"")</f>
        <v>0</v>
      </c>
      <c r="I39">
        <f>IFERROR([1]!s_stm07_is($A39,"W72946623",TEXT($B$1,"yyyy/mm/dd"),1),"")</f>
        <v>5238080000</v>
      </c>
      <c r="J39">
        <f>IFERROR([1]!s_stm07_is($A39,"W30028333",TEXT($B$1,"yyyy/mm/dd"),1),"")</f>
        <v>1021850000</v>
      </c>
      <c r="K39">
        <f>IFERROR([1]!s_stm07_cs($A39,"W77130581",TEXT($B$1,"yyyy/mm/dd"),1),"")</f>
        <v>0</v>
      </c>
      <c r="L39">
        <f>IFERROR([1]!s_stm07_cs($A39,"W77745895",TEXT($B$1,"yyyy/mm/dd"),1),"")</f>
        <v>0</v>
      </c>
      <c r="M39">
        <f>IFERROR([1]!S_FA_EPS_basic2($A39,$B$1,"Cur=CNY"),"")</f>
        <v>0.15</v>
      </c>
      <c r="N39">
        <f>IFERROR([1]!hks_fa_arturndays($A39,TEXT($B$1,"yyyy/mm/dd")),"")</f>
        <v>18.017700000000001</v>
      </c>
      <c r="O39">
        <f>IFERROR([1]!hks_fa_apturndays($A39,TEXT($B$1,"yyyy/mm/dd")),"")</f>
        <v>159.21972666018499</v>
      </c>
      <c r="P39">
        <f>IFERROR([1]!hks_fa_invturndays($A39,TEXT($B$1,"yyyy/mm/dd")),"")</f>
        <v>815.21739130434798</v>
      </c>
    </row>
    <row r="40" spans="1:16">
      <c r="A40" t="s">
        <v>1853</v>
      </c>
      <c r="B40">
        <f>IFERROR([1]!s_stm07_is($A40,"W70156729",TEXT($B$1,"yyyy/mm/dd"),1),"")</f>
        <v>20861164000</v>
      </c>
      <c r="C40">
        <f>IFERROR([1]!s_stm07_is($A40,"W75682424",TEXT($B$1,"yyyy/mm/dd"),1),"")</f>
        <v>16400140000</v>
      </c>
      <c r="D40">
        <f>IFERROR([1]!s_stm07_is($A40,"W76031679",TEXT($B$1,"yyyy/mm/dd"),1),"")</f>
        <v>111683000</v>
      </c>
      <c r="E40">
        <f>IFERROR([1]!s_stm07_is($A40,"W70752487",TEXT($B$1,"yyyy/mm/dd"),1),"")</f>
        <v>0</v>
      </c>
      <c r="F40">
        <f>IFERROR([1]!s_stm07_is_103($A40,TEXT($B$1,"yyyy/mm/dd"),1),"")</f>
        <v>0</v>
      </c>
      <c r="G40">
        <f>IFERROR([1]!s_stm07_is_104($A40,TEXT($B$1,"yyyy/mm/dd"),1),"")</f>
        <v>0</v>
      </c>
      <c r="H40">
        <f>IFERROR([1]!s_stm07_is_105($A40,TEXT($B$1,"yyyy/mm/dd"),1),"")</f>
        <v>0</v>
      </c>
      <c r="I40">
        <f>IFERROR([1]!s_stm07_is($A40,"W72946623",TEXT($B$1,"yyyy/mm/dd"),1),"")</f>
        <v>1151831000</v>
      </c>
      <c r="J40">
        <f>IFERROR([1]!s_stm07_is($A40,"W30028333",TEXT($B$1,"yyyy/mm/dd"),1),"")</f>
        <v>844525000</v>
      </c>
      <c r="K40">
        <f>IFERROR([1]!s_stm07_cs($A40,"W77130581",TEXT($B$1,"yyyy/mm/dd"),1),"")</f>
        <v>0</v>
      </c>
      <c r="L40">
        <f>IFERROR([1]!s_stm07_cs($A40,"W77745895",TEXT($B$1,"yyyy/mm/dd"),1),"")</f>
        <v>0</v>
      </c>
      <c r="M40">
        <f>IFERROR([1]!S_FA_EPS_basic2($A40,$B$1,"Cur=CNY"),"")</f>
        <v>9.2899999999999996E-2</v>
      </c>
      <c r="N40">
        <f>IFERROR([1]!hks_fa_arturndays($A40,TEXT($B$1,"yyyy/mm/dd")),"")</f>
        <v>191.86699999999999</v>
      </c>
      <c r="O40">
        <f>IFERROR([1]!hks_fa_apturndays($A40,TEXT($B$1,"yyyy/mm/dd")),"")</f>
        <v>67.027465619195894</v>
      </c>
      <c r="P40">
        <f>IFERROR([1]!hks_fa_invturndays($A40,TEXT($B$1,"yyyy/mm/dd")),"")</f>
        <v>50.390526581002803</v>
      </c>
    </row>
    <row r="41" spans="1:16">
      <c r="A41" t="s">
        <v>1854</v>
      </c>
      <c r="B41">
        <f>IFERROR([1]!s_stm07_is($A41,"W70156729",TEXT($B$1,"yyyy/mm/dd"),1),"")</f>
        <v>9326799000</v>
      </c>
      <c r="C41">
        <f>IFERROR([1]!s_stm07_is($A41,"W75682424",TEXT($B$1,"yyyy/mm/dd"),1),"")</f>
        <v>7370200000</v>
      </c>
      <c r="D41">
        <f>IFERROR([1]!s_stm07_is($A41,"W76031679",TEXT($B$1,"yyyy/mm/dd"),1),"")</f>
        <v>42963000</v>
      </c>
      <c r="E41">
        <f>IFERROR([1]!s_stm07_is($A41,"W70752487",TEXT($B$1,"yyyy/mm/dd"),1),"")</f>
        <v>526237000</v>
      </c>
      <c r="F41">
        <f>IFERROR([1]!s_stm07_is_103($A41,TEXT($B$1,"yyyy/mm/dd"),1),"")</f>
        <v>5518596000</v>
      </c>
      <c r="G41">
        <f>IFERROR([1]!s_stm07_is_104($A41,TEXT($B$1,"yyyy/mm/dd"),1),"")</f>
        <v>2663015000</v>
      </c>
      <c r="H41">
        <f>IFERROR([1]!s_stm07_is_105($A41,TEXT($B$1,"yyyy/mm/dd"),1),"")</f>
        <v>2845113000</v>
      </c>
      <c r="I41">
        <f>IFERROR([1]!s_stm07_is($A41,"W72946623",TEXT($B$1,"yyyy/mm/dd"),1),"")</f>
        <v>1073257000</v>
      </c>
      <c r="J41">
        <f>IFERROR([1]!s_stm07_is($A41,"W30028333",TEXT($B$1,"yyyy/mm/dd"),1),"")</f>
        <v>685131000</v>
      </c>
      <c r="K41">
        <f>IFERROR([1]!s_stm07_cs($A41,"W77130581",TEXT($B$1,"yyyy/mm/dd"),1),"")</f>
        <v>20080979000</v>
      </c>
      <c r="L41">
        <f>IFERROR([1]!s_stm07_cs($A41,"W77745895",TEXT($B$1,"yyyy/mm/dd"),1),"")</f>
        <v>59950583000</v>
      </c>
      <c r="M41">
        <f>IFERROR([1]!S_FA_EPS_basic2($A41,$B$1,"Cur=CNY"),"")</f>
        <v>0.63259200000000004</v>
      </c>
      <c r="N41">
        <f>IFERROR([1]!hks_fa_arturndays($A41,TEXT($B$1,"yyyy/mm/dd")),"")</f>
        <v>26.606400000000001</v>
      </c>
      <c r="O41">
        <f>IFERROR([1]!hks_fa_apturndays($A41,TEXT($B$1,"yyyy/mm/dd")),"")</f>
        <v>40.025540690890303</v>
      </c>
      <c r="P41">
        <f>IFERROR([1]!hks_fa_invturndays($A41,TEXT($B$1,"yyyy/mm/dd")),"")</f>
        <v>160.90104585679799</v>
      </c>
    </row>
    <row r="42" spans="1:16">
      <c r="A42" t="s">
        <v>1855</v>
      </c>
      <c r="B42">
        <f>IFERROR([1]!s_stm07_is($A42,"W70156729",TEXT($B$1,"yyyy/mm/dd"),1),"")</f>
        <v>69076968000</v>
      </c>
      <c r="C42">
        <f>IFERROR([1]!s_stm07_is($A42,"W75682424",TEXT($B$1,"yyyy/mm/dd"),1),"")</f>
        <v>57979358000</v>
      </c>
      <c r="D42">
        <f>IFERROR([1]!s_stm07_is($A42,"W76031679",TEXT($B$1,"yyyy/mm/dd"),1),"")</f>
        <v>3584534000</v>
      </c>
      <c r="E42">
        <f>IFERROR([1]!s_stm07_is($A42,"W70752487",TEXT($B$1,"yyyy/mm/dd"),1),"")</f>
        <v>2822604000</v>
      </c>
      <c r="F42">
        <f>IFERROR([1]!s_stm07_is_103($A42,TEXT($B$1,"yyyy/mm/dd"),1),"")</f>
        <v>0</v>
      </c>
      <c r="G42">
        <f>IFERROR([1]!s_stm07_is_104($A42,TEXT($B$1,"yyyy/mm/dd"),1),"")</f>
        <v>0</v>
      </c>
      <c r="H42">
        <f>IFERROR([1]!s_stm07_is_105($A42,TEXT($B$1,"yyyy/mm/dd"),1),"")</f>
        <v>0</v>
      </c>
      <c r="I42">
        <f>IFERROR([1]!s_stm07_is($A42,"W72946623",TEXT($B$1,"yyyy/mm/dd"),1),"")</f>
        <v>1480870000</v>
      </c>
      <c r="J42">
        <f>IFERROR([1]!s_stm07_is($A42,"W30028333",TEXT($B$1,"yyyy/mm/dd"),1),"")</f>
        <v>1384445000</v>
      </c>
      <c r="K42">
        <f>IFERROR([1]!s_stm07_cs($A42,"W77130581",TEXT($B$1,"yyyy/mm/dd"),1),"")</f>
        <v>0</v>
      </c>
      <c r="L42">
        <f>IFERROR([1]!s_stm07_cs($A42,"W77745895",TEXT($B$1,"yyyy/mm/dd"),1),"")</f>
        <v>0</v>
      </c>
      <c r="M42">
        <f>IFERROR([1]!S_FA_EPS_basic2($A42,$B$1,"Cur=CNY"),"")</f>
        <v>0.81113659999999999</v>
      </c>
      <c r="N42">
        <f>IFERROR([1]!hks_fa_arturndays($A42,TEXT($B$1,"yyyy/mm/dd")),"")</f>
        <v>48.609200000000001</v>
      </c>
      <c r="O42">
        <f>IFERROR([1]!hks_fa_apturndays($A42,TEXT($B$1,"yyyy/mm/dd")),"")</f>
        <v>69.8038912400513</v>
      </c>
      <c r="P42">
        <f>IFERROR([1]!hks_fa_invturndays($A42,TEXT($B$1,"yyyy/mm/dd")),"")</f>
        <v>45.408678102926302</v>
      </c>
    </row>
    <row r="43" spans="1:16">
      <c r="A43" t="s">
        <v>1856</v>
      </c>
      <c r="B43">
        <f>IFERROR([1]!s_stm07_is($A43,"W70156729",TEXT($B$1,"yyyy/mm/dd"),1),"")</f>
        <v>142776000000</v>
      </c>
      <c r="C43">
        <f>IFERROR([1]!s_stm07_is($A43,"W75682424",TEXT($B$1,"yyyy/mm/dd"),1),"")</f>
        <v>64227000000</v>
      </c>
      <c r="D43">
        <f>IFERROR([1]!s_stm07_is($A43,"W76031679",TEXT($B$1,"yyyy/mm/dd"),1),"")</f>
        <v>42229000000</v>
      </c>
      <c r="E43">
        <f>IFERROR([1]!s_stm07_is($A43,"W70752487",TEXT($B$1,"yyyy/mm/dd"),1),"")</f>
        <v>3343000000</v>
      </c>
      <c r="F43">
        <f>IFERROR([1]!s_stm07_is_103($A43,TEXT($B$1,"yyyy/mm/dd"),1),"")</f>
        <v>0</v>
      </c>
      <c r="G43">
        <f>IFERROR([1]!s_stm07_is_104($A43,TEXT($B$1,"yyyy/mm/dd"),1),"")</f>
        <v>0</v>
      </c>
      <c r="H43">
        <f>IFERROR([1]!s_stm07_is_105($A43,TEXT($B$1,"yyyy/mm/dd"),1),"")</f>
        <v>0</v>
      </c>
      <c r="I43">
        <f>IFERROR([1]!s_stm07_is($A43,"W72946623",TEXT($B$1,"yyyy/mm/dd"),1),"")</f>
        <v>20472000000</v>
      </c>
      <c r="J43">
        <f>IFERROR([1]!s_stm07_is($A43,"W30028333",TEXT($B$1,"yyyy/mm/dd"),1),"")</f>
        <v>18617000000</v>
      </c>
      <c r="K43">
        <f>IFERROR([1]!s_stm07_cs($A43,"W77130581",TEXT($B$1,"yyyy/mm/dd"),1),"")</f>
        <v>0</v>
      </c>
      <c r="L43">
        <f>IFERROR([1]!s_stm07_cs($A43,"W77745895",TEXT($B$1,"yyyy/mm/dd"),1),"")</f>
        <v>0</v>
      </c>
      <c r="M43">
        <f>IFERROR([1]!S_FA_EPS_basic2($A43,$B$1,"Cur=CNY"),"")</f>
        <v>4.3499999999999996</v>
      </c>
      <c r="N43">
        <f>IFERROR([1]!hks_fa_arturndays($A43,TEXT($B$1,"yyyy/mm/dd")),"")</f>
        <v>18.659800000000001</v>
      </c>
      <c r="O43">
        <f>IFERROR([1]!hks_fa_apturndays($A43,TEXT($B$1,"yyyy/mm/dd")),"")</f>
        <v>153.241160259704</v>
      </c>
      <c r="P43">
        <f>IFERROR([1]!hks_fa_invturndays($A43,TEXT($B$1,"yyyy/mm/dd")),"")</f>
        <v>0</v>
      </c>
    </row>
    <row r="44" spans="1:16">
      <c r="A44" t="s">
        <v>1857</v>
      </c>
      <c r="B44">
        <f>IFERROR([1]!s_stm07_is($A44,"W70156729",TEXT($B$1,"yyyy/mm/dd"),1),"")</f>
        <v>4418000000</v>
      </c>
      <c r="C44">
        <f>IFERROR([1]!s_stm07_is($A44,"W75682424",TEXT($B$1,"yyyy/mm/dd"),1),"")</f>
        <v>0</v>
      </c>
      <c r="D44">
        <f>IFERROR([1]!s_stm07_is($A44,"W76031679",TEXT($B$1,"yyyy/mm/dd"),1),"")</f>
        <v>0</v>
      </c>
      <c r="E44">
        <f>IFERROR([1]!s_stm07_is($A44,"W70752487",TEXT($B$1,"yyyy/mm/dd"),1),"")</f>
        <v>0</v>
      </c>
      <c r="F44">
        <f>IFERROR([1]!s_stm07_is_103($A44,TEXT($B$1,"yyyy/mm/dd"),1),"")</f>
        <v>0</v>
      </c>
      <c r="G44">
        <f>IFERROR([1]!s_stm07_is_104($A44,TEXT($B$1,"yyyy/mm/dd"),1),"")</f>
        <v>0</v>
      </c>
      <c r="H44">
        <f>IFERROR([1]!s_stm07_is_105($A44,TEXT($B$1,"yyyy/mm/dd"),1),"")</f>
        <v>0</v>
      </c>
      <c r="I44">
        <f>IFERROR([1]!s_stm07_is($A44,"W72946623",TEXT($B$1,"yyyy/mm/dd"),1),"")</f>
        <v>8843000000</v>
      </c>
      <c r="J44">
        <f>IFERROR([1]!s_stm07_is($A44,"W30028333",TEXT($B$1,"yyyy/mm/dd"),1),"")</f>
        <v>8265000000</v>
      </c>
      <c r="K44">
        <f>IFERROR([1]!s_stm07_cs($A44,"W77130581",TEXT($B$1,"yyyy/mm/dd"),1),"")</f>
        <v>0</v>
      </c>
      <c r="L44">
        <f>IFERROR([1]!s_stm07_cs($A44,"W77745895",TEXT($B$1,"yyyy/mm/dd"),1),"")</f>
        <v>0</v>
      </c>
      <c r="M44">
        <f>IFERROR([1]!S_FA_EPS_basic2($A44,$B$1,"Cur=CNY"),"")</f>
        <v>2.9625615999999999</v>
      </c>
      <c r="N44">
        <f>IFERROR([1]!hks_fa_arturndays($A44,TEXT($B$1,"yyyy/mm/dd")),"")</f>
        <v>21.349</v>
      </c>
      <c r="O44">
        <f>IFERROR([1]!hks_fa_apturndays($A44,TEXT($B$1,"yyyy/mm/dd")),"")</f>
        <v>0</v>
      </c>
      <c r="P44">
        <f>IFERROR([1]!hks_fa_invturndays($A44,TEXT($B$1,"yyyy/mm/dd")),"")</f>
        <v>0</v>
      </c>
    </row>
    <row r="45" spans="1:16">
      <c r="A45" t="s">
        <v>1858</v>
      </c>
      <c r="B45">
        <f>IFERROR([1]!s_stm07_is($A45,"W70156729",TEXT($B$1,"yyyy/mm/dd"),1),"")</f>
        <v>23068869000</v>
      </c>
      <c r="C45">
        <f>IFERROR([1]!s_stm07_is($A45,"W75682424",TEXT($B$1,"yyyy/mm/dd"),1),"")</f>
        <v>15262995000</v>
      </c>
      <c r="D45">
        <f>IFERROR([1]!s_stm07_is($A45,"W76031679",TEXT($B$1,"yyyy/mm/dd"),1),"")</f>
        <v>3892396000</v>
      </c>
      <c r="E45">
        <f>IFERROR([1]!s_stm07_is($A45,"W70752487",TEXT($B$1,"yyyy/mm/dd"),1),"")</f>
        <v>1469841000</v>
      </c>
      <c r="F45">
        <f>IFERROR([1]!s_stm07_is_103($A45,TEXT($B$1,"yyyy/mm/dd"),1),"")</f>
        <v>0</v>
      </c>
      <c r="G45">
        <f>IFERROR([1]!s_stm07_is_104($A45,TEXT($B$1,"yyyy/mm/dd"),1),"")</f>
        <v>0</v>
      </c>
      <c r="H45">
        <f>IFERROR([1]!s_stm07_is_105($A45,TEXT($B$1,"yyyy/mm/dd"),1),"")</f>
        <v>0</v>
      </c>
      <c r="I45">
        <f>IFERROR([1]!s_stm07_is($A45,"W72946623",TEXT($B$1,"yyyy/mm/dd"),1),"")</f>
        <v>3204987000</v>
      </c>
      <c r="J45">
        <f>IFERROR([1]!s_stm07_is($A45,"W30028333",TEXT($B$1,"yyyy/mm/dd"),1),"")</f>
        <v>2535047000</v>
      </c>
      <c r="K45">
        <f>IFERROR([1]!s_stm07_cs($A45,"W77130581",TEXT($B$1,"yyyy/mm/dd"),1),"")</f>
        <v>0</v>
      </c>
      <c r="L45">
        <f>IFERROR([1]!s_stm07_cs($A45,"W77745895",TEXT($B$1,"yyyy/mm/dd"),1),"")</f>
        <v>0</v>
      </c>
      <c r="M45">
        <f>IFERROR([1]!S_FA_EPS_basic2($A45,$B$1,"Cur=CNY"),"")</f>
        <v>2.2269999999999999</v>
      </c>
      <c r="N45">
        <f>IFERROR([1]!hks_fa_arturndays($A45,TEXT($B$1,"yyyy/mm/dd")),"")</f>
        <v>35.691299999999998</v>
      </c>
      <c r="O45">
        <f>IFERROR([1]!hks_fa_apturndays($A45,TEXT($B$1,"yyyy/mm/dd")),"")</f>
        <v>72.499726298803097</v>
      </c>
      <c r="P45">
        <f>IFERROR([1]!hks_fa_invturndays($A45,TEXT($B$1,"yyyy/mm/dd")),"")</f>
        <v>109.219987257668</v>
      </c>
    </row>
    <row r="46" spans="1:16">
      <c r="A46" t="s">
        <v>1859</v>
      </c>
      <c r="B46">
        <f>IFERROR([1]!s_stm07_is($A46,"W70156729",TEXT($B$1,"yyyy/mm/dd"),1),"")</f>
        <v>294916000000</v>
      </c>
      <c r="C46">
        <f>IFERROR([1]!s_stm07_is($A46,"W75682424",TEXT($B$1,"yyyy/mm/dd"),1),"")</f>
        <v>206720000000</v>
      </c>
      <c r="D46">
        <f>IFERROR([1]!s_stm07_is($A46,"W76031679",TEXT($B$1,"yyyy/mm/dd"),1),"")</f>
        <v>527000000</v>
      </c>
      <c r="E46">
        <f>IFERROR([1]!s_stm07_is($A46,"W70752487",TEXT($B$1,"yyyy/mm/dd"),1),"")</f>
        <v>11380000000</v>
      </c>
      <c r="F46">
        <f>IFERROR([1]!s_stm07_is_103($A46,TEXT($B$1,"yyyy/mm/dd"),1),"")</f>
        <v>2854000000</v>
      </c>
      <c r="G46">
        <f>IFERROR([1]!s_stm07_is_104($A46,TEXT($B$1,"yyyy/mm/dd"),1),"")</f>
        <v>2385000000</v>
      </c>
      <c r="H46">
        <f>IFERROR([1]!s_stm07_is_105($A46,TEXT($B$1,"yyyy/mm/dd"),1),"")</f>
        <v>2270000000</v>
      </c>
      <c r="I46">
        <f>IFERROR([1]!s_stm07_is($A46,"W72946623",TEXT($B$1,"yyyy/mm/dd"),1),"")</f>
        <v>81062000000</v>
      </c>
      <c r="J46">
        <f>IFERROR([1]!s_stm07_is($A46,"W30028333",TEXT($B$1,"yyyy/mm/dd"),1),"")</f>
        <v>54218000000</v>
      </c>
      <c r="K46">
        <f>IFERROR([1]!s_stm07_cs($A46,"W77130581",TEXT($B$1,"yyyy/mm/dd"),1),"")</f>
        <v>75059000000</v>
      </c>
      <c r="L46">
        <f>IFERROR([1]!s_stm07_cs($A46,"W77745895",TEXT($B$1,"yyyy/mm/dd"),1),"")</f>
        <v>48398000000</v>
      </c>
      <c r="M46">
        <f>IFERROR([1]!S_FA_EPS_basic2($A46,$B$1,"Cur=CNY"),"")</f>
        <v>2.7290000000000001</v>
      </c>
      <c r="N46">
        <f>IFERROR([1]!hks_fa_arturndays($A46,TEXT($B$1,"yyyy/mm/dd")),"")</f>
        <v>20.962299999999999</v>
      </c>
      <c r="O46">
        <f>IFERROR([1]!hks_fa_apturndays($A46,TEXT($B$1,"yyyy/mm/dd")),"")</f>
        <v>69.413893188854502</v>
      </c>
      <c r="P46">
        <f>IFERROR([1]!hks_fa_invturndays($A46,TEXT($B$1,"yyyy/mm/dd")),"")</f>
        <v>21.186939428894298</v>
      </c>
    </row>
    <row r="47" spans="1:16">
      <c r="A47" t="s">
        <v>1860</v>
      </c>
      <c r="B47">
        <f>IFERROR([1]!s_stm07_is($A47,"W70156729",TEXT($B$1,"yyyy/mm/dd"),1),"")</f>
        <v>26005980000</v>
      </c>
      <c r="C47">
        <f>IFERROR([1]!s_stm07_is($A47,"W75682424",TEXT($B$1,"yyyy/mm/dd"),1),"")</f>
        <v>8947477000</v>
      </c>
      <c r="D47">
        <f>IFERROR([1]!s_stm07_is($A47,"W76031679",TEXT($B$1,"yyyy/mm/dd"),1),"")</f>
        <v>6463271000</v>
      </c>
      <c r="E47">
        <f>IFERROR([1]!s_stm07_is($A47,"W70752487",TEXT($B$1,"yyyy/mm/dd"),1),"")</f>
        <v>825460000</v>
      </c>
      <c r="F47">
        <f>IFERROR([1]!s_stm07_is_103($A47,TEXT($B$1,"yyyy/mm/dd"),1),"")</f>
        <v>0</v>
      </c>
      <c r="G47">
        <f>IFERROR([1]!s_stm07_is_104($A47,TEXT($B$1,"yyyy/mm/dd"),1),"")</f>
        <v>0</v>
      </c>
      <c r="H47">
        <f>IFERROR([1]!s_stm07_is_105($A47,TEXT($B$1,"yyyy/mm/dd"),1),"")</f>
        <v>0</v>
      </c>
      <c r="I47">
        <f>IFERROR([1]!s_stm07_is($A47,"W72946623",TEXT($B$1,"yyyy/mm/dd"),1),"")</f>
        <v>4808117000</v>
      </c>
      <c r="J47">
        <f>IFERROR([1]!s_stm07_is($A47,"W30028333",TEXT($B$1,"yyyy/mm/dd"),1),"")</f>
        <v>3882108000</v>
      </c>
      <c r="K47">
        <f>IFERROR([1]!s_stm07_cs($A47,"W77130581",TEXT($B$1,"yyyy/mm/dd"),1),"")</f>
        <v>0</v>
      </c>
      <c r="L47">
        <f>IFERROR([1]!s_stm07_cs($A47,"W77745895",TEXT($B$1,"yyyy/mm/dd"),1),"")</f>
        <v>0</v>
      </c>
      <c r="M47">
        <f>IFERROR([1]!S_FA_EPS_basic2($A47,$B$1,"Cur=CNY"),"")</f>
        <v>0.33979999999999999</v>
      </c>
      <c r="N47">
        <f>IFERROR([1]!hks_fa_arturndays($A47,TEXT($B$1,"yyyy/mm/dd")),"")</f>
        <v>124.00109999999999</v>
      </c>
      <c r="O47">
        <f>IFERROR([1]!hks_fa_apturndays($A47,TEXT($B$1,"yyyy/mm/dd")),"")</f>
        <v>112.428681291944</v>
      </c>
      <c r="P47">
        <f>IFERROR([1]!hks_fa_invturndays($A47,TEXT($B$1,"yyyy/mm/dd")),"")</f>
        <v>125.143393471686</v>
      </c>
    </row>
    <row r="48" spans="1:16">
      <c r="A48" t="s">
        <v>1861</v>
      </c>
      <c r="B48">
        <f>IFERROR([1]!s_stm07_is($A48,"W70156729",TEXT($B$1,"yyyy/mm/dd"),1),"")</f>
        <v>575167877000</v>
      </c>
      <c r="C48">
        <f>IFERROR([1]!s_stm07_is($A48,"W75682424",TEXT($B$1,"yyyy/mm/dd"),1),"")</f>
        <v>533495864000</v>
      </c>
      <c r="D48">
        <f>IFERROR([1]!s_stm07_is($A48,"W76031679",TEXT($B$1,"yyyy/mm/dd"),1),"")</f>
        <v>16181314000</v>
      </c>
      <c r="E48">
        <f>IFERROR([1]!s_stm07_is($A48,"W70752487",TEXT($B$1,"yyyy/mm/dd"),1),"")</f>
        <v>7837628000</v>
      </c>
      <c r="F48">
        <f>IFERROR([1]!s_stm07_is_103($A48,TEXT($B$1,"yyyy/mm/dd"),1),"")</f>
        <v>246538022.03999999</v>
      </c>
      <c r="G48">
        <f>IFERROR([1]!s_stm07_is_104($A48,TEXT($B$1,"yyyy/mm/dd"),1),"")</f>
        <v>2294907290.8899999</v>
      </c>
      <c r="H48">
        <f>IFERROR([1]!s_stm07_is_105($A48,TEXT($B$1,"yyyy/mm/dd"),1),"")</f>
        <v>457190628.16000003</v>
      </c>
      <c r="I48">
        <f>IFERROR([1]!s_stm07_is($A48,"W72946623",TEXT($B$1,"yyyy/mm/dd"),1),"")</f>
        <v>14799627000</v>
      </c>
      <c r="J48">
        <f>IFERROR([1]!s_stm07_is($A48,"W30028333",TEXT($B$1,"yyyy/mm/dd"),1),"")</f>
        <v>7155094000</v>
      </c>
      <c r="K48">
        <f>IFERROR([1]!s_stm07_cs($A48,"W77130581",TEXT($B$1,"yyyy/mm/dd"),1),"")</f>
        <v>14138206143.5</v>
      </c>
      <c r="L48">
        <f>IFERROR([1]!s_stm07_cs($A48,"W77745895",TEXT($B$1,"yyyy/mm/dd"),1),"")</f>
        <v>1617346171.3499999</v>
      </c>
      <c r="M48">
        <f>IFERROR([1]!S_FA_EPS_basic2($A48,$B$1,"Cur=CNY"),"")</f>
        <v>2.29</v>
      </c>
      <c r="N48">
        <f>IFERROR([1]!hks_fa_arturndays($A48,TEXT($B$1,"yyyy/mm/dd")),"")</f>
        <v>127.02</v>
      </c>
      <c r="O48">
        <f>IFERROR([1]!hks_fa_apturndays($A48,TEXT($B$1,"yyyy/mm/dd")),"")</f>
        <v>101.677226311168</v>
      </c>
      <c r="P48">
        <f>IFERROR([1]!hks_fa_invturndays($A48,TEXT($B$1,"yyyy/mm/dd")),"")</f>
        <v>42.408821034775201</v>
      </c>
    </row>
    <row r="49" spans="1:16">
      <c r="A49" t="s">
        <v>1862</v>
      </c>
      <c r="B49">
        <f>IFERROR([1]!s_stm07_is($A49,"W70156729",TEXT($B$1,"yyyy/mm/dd"),1),"")</f>
        <v>281437885000</v>
      </c>
      <c r="C49">
        <f>IFERROR([1]!s_stm07_is($A49,"W75682424",TEXT($B$1,"yyyy/mm/dd"),1),"")</f>
        <v>221693502000</v>
      </c>
      <c r="D49">
        <f>IFERROR([1]!s_stm07_is($A49,"W76031679",TEXT($B$1,"yyyy/mm/dd"),1),"")</f>
        <v>9333881000</v>
      </c>
      <c r="E49">
        <f>IFERROR([1]!s_stm07_is($A49,"W70752487",TEXT($B$1,"yyyy/mm/dd"),1),"")</f>
        <v>5194615000</v>
      </c>
      <c r="F49">
        <f>IFERROR([1]!s_stm07_is_103($A49,TEXT($B$1,"yyyy/mm/dd"),1),"")</f>
        <v>0</v>
      </c>
      <c r="G49">
        <f>IFERROR([1]!s_stm07_is_104($A49,TEXT($B$1,"yyyy/mm/dd"),1),"")</f>
        <v>0</v>
      </c>
      <c r="H49">
        <f>IFERROR([1]!s_stm07_is_105($A49,TEXT($B$1,"yyyy/mm/dd"),1),"")</f>
        <v>0</v>
      </c>
      <c r="I49">
        <f>IFERROR([1]!s_stm07_is($A49,"W72946623",TEXT($B$1,"yyyy/mm/dd"),1),"")</f>
        <v>53352506000</v>
      </c>
      <c r="J49">
        <f>IFERROR([1]!s_stm07_is($A49,"W30028333",TEXT($B$1,"yyyy/mm/dd"),1),"")</f>
        <v>25417534000</v>
      </c>
      <c r="K49">
        <f>IFERROR([1]!s_stm07_cs($A49,"W77130581",TEXT($B$1,"yyyy/mm/dd"),1),"")</f>
        <v>0</v>
      </c>
      <c r="L49">
        <f>IFERROR([1]!s_stm07_cs($A49,"W77745895",TEXT($B$1,"yyyy/mm/dd"),1),"")</f>
        <v>0</v>
      </c>
      <c r="M49">
        <f>IFERROR([1]!S_FA_EPS_basic2($A49,$B$1,"Cur=CNY"),"")</f>
        <v>3.56</v>
      </c>
      <c r="N49">
        <f>IFERROR([1]!hks_fa_arturndays($A49,TEXT($B$1,"yyyy/mm/dd")),"")</f>
        <v>4.3699000000000003</v>
      </c>
      <c r="O49">
        <f>IFERROR([1]!hks_fa_apturndays($A49,TEXT($B$1,"yyyy/mm/dd")),"")</f>
        <v>105.02413183044</v>
      </c>
      <c r="P49">
        <f>IFERROR([1]!hks_fa_invturndays($A49,TEXT($B$1,"yyyy/mm/dd")),"")</f>
        <v>681.43100511073305</v>
      </c>
    </row>
    <row r="50" spans="1:16">
      <c r="A50" t="s">
        <v>1863</v>
      </c>
      <c r="B50">
        <f>IFERROR([1]!s_stm07_is($A50,"W70156729",TEXT($B$1,"yyyy/mm/dd"),1),"")</f>
        <v>57935000000</v>
      </c>
      <c r="C50">
        <f>IFERROR([1]!s_stm07_is($A50,"W75682424",TEXT($B$1,"yyyy/mm/dd"),1),"")</f>
        <v>32377000000</v>
      </c>
      <c r="D50">
        <f>IFERROR([1]!s_stm07_is($A50,"W76031679",TEXT($B$1,"yyyy/mm/dd"),1),"")</f>
        <v>0</v>
      </c>
      <c r="E50">
        <f>IFERROR([1]!s_stm07_is($A50,"W70752487",TEXT($B$1,"yyyy/mm/dd"),1),"")</f>
        <v>0</v>
      </c>
      <c r="F50">
        <f>IFERROR([1]!s_stm07_is_103($A50,TEXT($B$1,"yyyy/mm/dd"),1),"")</f>
        <v>0</v>
      </c>
      <c r="G50">
        <f>IFERROR([1]!s_stm07_is_104($A50,TEXT($B$1,"yyyy/mm/dd"),1),"")</f>
        <v>0</v>
      </c>
      <c r="H50">
        <f>IFERROR([1]!s_stm07_is_105($A50,TEXT($B$1,"yyyy/mm/dd"),1),"")</f>
        <v>0</v>
      </c>
      <c r="I50">
        <f>IFERROR([1]!s_stm07_is($A50,"W72946623",TEXT($B$1,"yyyy/mm/dd"),1),"")</f>
        <v>14555000000</v>
      </c>
      <c r="J50">
        <f>IFERROR([1]!s_stm07_is($A50,"W30028333",TEXT($B$1,"yyyy/mm/dd"),1),"")</f>
        <v>10847000000</v>
      </c>
      <c r="K50">
        <f>IFERROR([1]!s_stm07_cs($A50,"W77130581",TEXT($B$1,"yyyy/mm/dd"),1),"")</f>
        <v>0</v>
      </c>
      <c r="L50">
        <f>IFERROR([1]!s_stm07_cs($A50,"W77745895",TEXT($B$1,"yyyy/mm/dd"),1),"")</f>
        <v>0</v>
      </c>
      <c r="M50">
        <f>IFERROR([1]!S_FA_EPS_basic2($A50,$B$1,"Cur=CNY"),"")</f>
        <v>2.799982</v>
      </c>
      <c r="N50">
        <f>IFERROR([1]!hks_fa_arturndays($A50,TEXT($B$1,"yyyy/mm/dd")),"")</f>
        <v>12.8689</v>
      </c>
      <c r="O50">
        <f>IFERROR([1]!hks_fa_apturndays($A50,TEXT($B$1,"yyyy/mm/dd")),"")</f>
        <v>40.706674491151098</v>
      </c>
      <c r="P50">
        <f>IFERROR([1]!hks_fa_invturndays($A50,TEXT($B$1,"yyyy/mm/dd")),"")</f>
        <v>0</v>
      </c>
    </row>
    <row r="51" spans="1:16">
      <c r="A51" t="s">
        <v>1864</v>
      </c>
      <c r="B51">
        <f>IFERROR([1]!s_stm07_is($A51,"W70156729",TEXT($B$1,"yyyy/mm/dd"),1),"")</f>
        <v>31834488000</v>
      </c>
      <c r="C51">
        <f>IFERROR([1]!s_stm07_is($A51,"W75682424",TEXT($B$1,"yyyy/mm/dd"),1),"")</f>
        <v>5707740000</v>
      </c>
      <c r="D51">
        <f>IFERROR([1]!s_stm07_is($A51,"W76031679",TEXT($B$1,"yyyy/mm/dd"),1),"")</f>
        <v>10993276000</v>
      </c>
      <c r="E51">
        <f>IFERROR([1]!s_stm07_is($A51,"W70752487",TEXT($B$1,"yyyy/mm/dd"),1),"")</f>
        <v>2143529000</v>
      </c>
      <c r="F51">
        <f>IFERROR([1]!s_stm07_is_103($A51,TEXT($B$1,"yyyy/mm/dd"),1),"")</f>
        <v>0</v>
      </c>
      <c r="G51">
        <f>IFERROR([1]!s_stm07_is_104($A51,TEXT($B$1,"yyyy/mm/dd"),1),"")</f>
        <v>0</v>
      </c>
      <c r="H51">
        <f>IFERROR([1]!s_stm07_is_105($A51,TEXT($B$1,"yyyy/mm/dd"),1),"")</f>
        <v>0</v>
      </c>
      <c r="I51">
        <f>IFERROR([1]!s_stm07_is($A51,"W72946623",TEXT($B$1,"yyyy/mm/dd"),1),"")</f>
        <v>6943396000</v>
      </c>
      <c r="J51">
        <f>IFERROR([1]!s_stm07_is($A51,"W30028333",TEXT($B$1,"yyyy/mm/dd"),1),"")</f>
        <v>2343348000</v>
      </c>
      <c r="K51">
        <f>IFERROR([1]!s_stm07_cs($A51,"W77130581",TEXT($B$1,"yyyy/mm/dd"),1),"")</f>
        <v>0</v>
      </c>
      <c r="L51">
        <f>IFERROR([1]!s_stm07_cs($A51,"W77745895",TEXT($B$1,"yyyy/mm/dd"),1),"")</f>
        <v>0</v>
      </c>
      <c r="M51">
        <f>IFERROR([1]!S_FA_EPS_basic2($A51,$B$1,"Cur=CNY"),"")</f>
        <v>0.13020000000000001</v>
      </c>
      <c r="N51">
        <f>IFERROR([1]!hks_fa_arturndays($A51,TEXT($B$1,"yyyy/mm/dd")),"")</f>
        <v>63.503300000000003</v>
      </c>
      <c r="O51">
        <f>IFERROR([1]!hks_fa_apturndays($A51,TEXT($B$1,"yyyy/mm/dd")),"")</f>
        <v>94.442777701857494</v>
      </c>
      <c r="P51">
        <f>IFERROR([1]!hks_fa_invturndays($A51,TEXT($B$1,"yyyy/mm/dd")),"")</f>
        <v>146.00908500973401</v>
      </c>
    </row>
    <row r="52" spans="1:16">
      <c r="A52" t="s">
        <v>1865</v>
      </c>
      <c r="B52">
        <f>IFERROR([1]!s_stm07_is($A52,"W70156729",TEXT($B$1,"yyyy/mm/dd"),1),"")</f>
        <v>18021618000</v>
      </c>
      <c r="C52">
        <f>IFERROR([1]!s_stm07_is($A52,"W75682424",TEXT($B$1,"yyyy/mm/dd"),1),"")</f>
        <v>11616048000</v>
      </c>
      <c r="D52">
        <f>IFERROR([1]!s_stm07_is($A52,"W76031679",TEXT($B$1,"yyyy/mm/dd"),1),"")</f>
        <v>0</v>
      </c>
      <c r="E52">
        <f>IFERROR([1]!s_stm07_is($A52,"W70752487",TEXT($B$1,"yyyy/mm/dd"),1),"")</f>
        <v>1062738000</v>
      </c>
      <c r="F52">
        <f>IFERROR([1]!s_stm07_is_103($A52,TEXT($B$1,"yyyy/mm/dd"),1),"")</f>
        <v>0</v>
      </c>
      <c r="G52">
        <f>IFERROR([1]!s_stm07_is_104($A52,TEXT($B$1,"yyyy/mm/dd"),1),"")</f>
        <v>0</v>
      </c>
      <c r="H52">
        <f>IFERROR([1]!s_stm07_is_105($A52,TEXT($B$1,"yyyy/mm/dd"),1),"")</f>
        <v>0</v>
      </c>
      <c r="I52">
        <f>IFERROR([1]!s_stm07_is($A52,"W72946623",TEXT($B$1,"yyyy/mm/dd"),1),"")</f>
        <v>5353360000</v>
      </c>
      <c r="J52">
        <f>IFERROR([1]!s_stm07_is($A52,"W30028333",TEXT($B$1,"yyyy/mm/dd"),1),"")</f>
        <v>3969023000</v>
      </c>
      <c r="K52">
        <f>IFERROR([1]!s_stm07_cs($A52,"W77130581",TEXT($B$1,"yyyy/mm/dd"),1),"")</f>
        <v>0</v>
      </c>
      <c r="L52">
        <f>IFERROR([1]!s_stm07_cs($A52,"W77745895",TEXT($B$1,"yyyy/mm/dd"),1),"")</f>
        <v>0</v>
      </c>
      <c r="M52">
        <f>IFERROR([1]!S_FA_EPS_basic2($A52,$B$1,"Cur=CNY"),"")</f>
        <v>1.7390000000000001</v>
      </c>
      <c r="N52">
        <f>IFERROR([1]!hks_fa_arturndays($A52,TEXT($B$1,"yyyy/mm/dd")),"")</f>
        <v>50.954700000000003</v>
      </c>
      <c r="O52">
        <f>IFERROR([1]!hks_fa_apturndays($A52,TEXT($B$1,"yyyy/mm/dd")),"")</f>
        <v>59.0785575266218</v>
      </c>
      <c r="P52">
        <f>IFERROR([1]!hks_fa_invturndays($A52,TEXT($B$1,"yyyy/mm/dd")),"")</f>
        <v>7.55940431893967</v>
      </c>
    </row>
    <row r="53" spans="1:16">
      <c r="A53" t="s">
        <v>1866</v>
      </c>
      <c r="B53">
        <f>IFERROR([1]!s_stm07_is($A53,"W70156729",TEXT($B$1,"yyyy/mm/dd"),1),"")</f>
        <v>803964958000</v>
      </c>
      <c r="C53">
        <f>IFERROR([1]!s_stm07_is($A53,"W75682424",TEXT($B$1,"yyyy/mm/dd"),1),"")</f>
        <v>661305161000</v>
      </c>
      <c r="D53">
        <f>IFERROR([1]!s_stm07_is($A53,"W76031679",TEXT($B$1,"yyyy/mm/dd"),1),"")</f>
        <v>26184568000</v>
      </c>
      <c r="E53">
        <f>IFERROR([1]!s_stm07_is($A53,"W70752487",TEXT($B$1,"yyyy/mm/dd"),1),"")</f>
        <v>20199944000</v>
      </c>
      <c r="F53">
        <f>IFERROR([1]!s_stm07_is_103($A53,TEXT($B$1,"yyyy/mm/dd"),1),"")</f>
        <v>57978105000</v>
      </c>
      <c r="G53">
        <f>IFERROR([1]!s_stm07_is_104($A53,TEXT($B$1,"yyyy/mm/dd"),1),"")</f>
        <v>2551657000</v>
      </c>
      <c r="H53">
        <f>IFERROR([1]!s_stm07_is_105($A53,TEXT($B$1,"yyyy/mm/dd"),1),"")</f>
        <v>2436953000</v>
      </c>
      <c r="I53">
        <f>IFERROR([1]!s_stm07_is($A53,"W72946623",TEXT($B$1,"yyyy/mm/dd"),1),"")</f>
        <v>39753049000</v>
      </c>
      <c r="J53">
        <f>IFERROR([1]!s_stm07_is($A53,"W30028333",TEXT($B$1,"yyyy/mm/dd"),1),"")</f>
        <v>32619022000</v>
      </c>
      <c r="K53">
        <f>IFERROR([1]!s_stm07_cs($A53,"W77130581",TEXT($B$1,"yyyy/mm/dd"),1),"")</f>
        <v>59135544000</v>
      </c>
      <c r="L53">
        <f>IFERROR([1]!s_stm07_cs($A53,"W77745895",TEXT($B$1,"yyyy/mm/dd"),1),"")</f>
        <v>156807853000</v>
      </c>
      <c r="M53">
        <f>IFERROR([1]!S_FA_EPS_basic2($A53,$B$1,"Cur=CNY"),"")</f>
        <v>3.58</v>
      </c>
      <c r="N53">
        <f>IFERROR([1]!hks_fa_arturndays($A53,TEXT($B$1,"yyyy/mm/dd")),"")</f>
        <v>25.8005</v>
      </c>
      <c r="O53">
        <f>IFERROR([1]!hks_fa_apturndays($A53,TEXT($B$1,"yyyy/mm/dd")),"")</f>
        <v>123.365228114408</v>
      </c>
      <c r="P53">
        <f>IFERROR([1]!hks_fa_invturndays($A53,TEXT($B$1,"yyyy/mm/dd")),"")</f>
        <v>69.260071568740599</v>
      </c>
    </row>
    <row r="54" spans="1:16">
      <c r="A54" t="s">
        <v>1867</v>
      </c>
      <c r="B54">
        <f>IFERROR([1]!s_stm07_is($A54,"W70156729",TEXT($B$1,"yyyy/mm/dd"),1),"")</f>
        <v>584296000000</v>
      </c>
      <c r="C54">
        <f>IFERROR([1]!s_stm07_is($A54,"W75682424",TEXT($B$1,"yyyy/mm/dd"),1),"")</f>
        <v>0</v>
      </c>
      <c r="D54">
        <f>IFERROR([1]!s_stm07_is($A54,"W76031679",TEXT($B$1,"yyyy/mm/dd"),1),"")</f>
        <v>0</v>
      </c>
      <c r="E54">
        <f>IFERROR([1]!s_stm07_is($A54,"W70752487",TEXT($B$1,"yyyy/mm/dd"),1),"")</f>
        <v>0</v>
      </c>
      <c r="F54">
        <f>IFERROR([1]!s_stm07_is_103($A54,TEXT($B$1,"yyyy/mm/dd"),1),"")</f>
        <v>0</v>
      </c>
      <c r="G54">
        <f>IFERROR([1]!s_stm07_is_104($A54,TEXT($B$1,"yyyy/mm/dd"),1),"")</f>
        <v>0</v>
      </c>
      <c r="H54">
        <f>IFERROR([1]!s_stm07_is_105($A54,TEXT($B$1,"yyyy/mm/dd"),1),"")</f>
        <v>0</v>
      </c>
      <c r="I54">
        <f>IFERROR([1]!s_stm07_is($A54,"W72946623",TEXT($B$1,"yyyy/mm/dd"),1),"")</f>
        <v>323689000000</v>
      </c>
      <c r="J54">
        <f>IFERROR([1]!s_stm07_is($A54,"W30028333",TEXT($B$1,"yyyy/mm/dd"),1),"")</f>
        <v>291041000000</v>
      </c>
      <c r="K54">
        <f>IFERROR([1]!s_stm07_cs($A54,"W77130581",TEXT($B$1,"yyyy/mm/dd"),1),"")</f>
        <v>2112907000000</v>
      </c>
      <c r="L54">
        <f>IFERROR([1]!s_stm07_cs($A54,"W77745895",TEXT($B$1,"yyyy/mm/dd"),1),"")</f>
        <v>27348000000</v>
      </c>
      <c r="M54">
        <f>IFERROR([1]!S_FA_EPS_basic2($A54,$B$1,"Cur=CNY"),"")</f>
        <v>0.78</v>
      </c>
      <c r="N54">
        <f>IFERROR([1]!hks_fa_arturndays($A54,TEXT($B$1,"yyyy/mm/dd")),"")</f>
        <v>0</v>
      </c>
      <c r="O54">
        <f>IFERROR([1]!hks_fa_apturndays($A54,TEXT($B$1,"yyyy/mm/dd")),"")</f>
        <v>0</v>
      </c>
      <c r="P54">
        <f>IFERROR([1]!hks_fa_invturndays($A54,TEXT($B$1,"yyyy/mm/dd")),"")</f>
        <v>0</v>
      </c>
    </row>
    <row r="55" spans="1:16">
      <c r="A55" t="s">
        <v>1868</v>
      </c>
      <c r="B55">
        <f>IFERROR([1]!s_stm07_is($A55,"W70156729",TEXT($B$1,"yyyy/mm/dd"),1),"")</f>
        <v>42388000000</v>
      </c>
      <c r="C55">
        <f>IFERROR([1]!s_stm07_is($A55,"W75682424",TEXT($B$1,"yyyy/mm/dd"),1),"")</f>
        <v>0</v>
      </c>
      <c r="D55">
        <f>IFERROR([1]!s_stm07_is($A55,"W76031679",TEXT($B$1,"yyyy/mm/dd"),1),"")</f>
        <v>0</v>
      </c>
      <c r="E55">
        <f>IFERROR([1]!s_stm07_is($A55,"W70752487",TEXT($B$1,"yyyy/mm/dd"),1),"")</f>
        <v>0</v>
      </c>
      <c r="F55">
        <f>IFERROR([1]!s_stm07_is_103($A55,TEXT($B$1,"yyyy/mm/dd"),1),"")</f>
        <v>0</v>
      </c>
      <c r="G55">
        <f>IFERROR([1]!s_stm07_is_104($A55,TEXT($B$1,"yyyy/mm/dd"),1),"")</f>
        <v>0</v>
      </c>
      <c r="H55">
        <f>IFERROR([1]!s_stm07_is_105($A55,TEXT($B$1,"yyyy/mm/dd"),1),"")</f>
        <v>0</v>
      </c>
      <c r="I55">
        <f>IFERROR([1]!s_stm07_is($A55,"W72946623",TEXT($B$1,"yyyy/mm/dd"),1),"")</f>
        <v>7471000000</v>
      </c>
      <c r="J55">
        <f>IFERROR([1]!s_stm07_is($A55,"W30028333",TEXT($B$1,"yyyy/mm/dd"),1),"")</f>
        <v>6234000000</v>
      </c>
      <c r="K55">
        <f>IFERROR([1]!s_stm07_cs($A55,"W77130581",TEXT($B$1,"yyyy/mm/dd"),1),"")</f>
        <v>0</v>
      </c>
      <c r="L55">
        <f>IFERROR([1]!s_stm07_cs($A55,"W77745895",TEXT($B$1,"yyyy/mm/dd"),1),"")</f>
        <v>0</v>
      </c>
      <c r="M55">
        <f>IFERROR([1]!S_FA_EPS_basic2($A55,$B$1,"Cur=CNY"),"")</f>
        <v>4.146992</v>
      </c>
      <c r="N55">
        <f>IFERROR([1]!hks_fa_arturndays($A55,TEXT($B$1,"yyyy/mm/dd")),"")</f>
        <v>0</v>
      </c>
      <c r="O55">
        <f>IFERROR([1]!hks_fa_apturndays($A55,TEXT($B$1,"yyyy/mm/dd")),"")</f>
        <v>0</v>
      </c>
      <c r="P55">
        <f>IFERROR([1]!hks_fa_invturndays($A55,TEXT($B$1,"yyyy/mm/dd")),"")</f>
        <v>0</v>
      </c>
    </row>
    <row r="56" spans="1:16">
      <c r="A56" t="s">
        <v>1869</v>
      </c>
      <c r="B56">
        <f>IFERROR([1]!s_stm07_is($A56,"W70156729",TEXT($B$1,"yyyy/mm/dd"),1),"")</f>
        <v>2402064000</v>
      </c>
      <c r="C56">
        <f>IFERROR([1]!s_stm07_is($A56,"W75682424",TEXT($B$1,"yyyy/mm/dd"),1),"")</f>
        <v>2119138000</v>
      </c>
      <c r="D56">
        <f>IFERROR([1]!s_stm07_is($A56,"W76031679",TEXT($B$1,"yyyy/mm/dd"),1),"")</f>
        <v>10967000</v>
      </c>
      <c r="E56">
        <f>IFERROR([1]!s_stm07_is($A56,"W70752487",TEXT($B$1,"yyyy/mm/dd"),1),"")</f>
        <v>414658000</v>
      </c>
      <c r="F56">
        <f>IFERROR([1]!s_stm07_is_103($A56,TEXT($B$1,"yyyy/mm/dd"),1),"")</f>
        <v>1971217660.49</v>
      </c>
      <c r="G56">
        <f>IFERROR([1]!s_stm07_is_104($A56,TEXT($B$1,"yyyy/mm/dd"),1),"")</f>
        <v>488221890.69</v>
      </c>
      <c r="H56">
        <f>IFERROR([1]!s_stm07_is_105($A56,TEXT($B$1,"yyyy/mm/dd"),1),"")</f>
        <v>427677492.47000003</v>
      </c>
      <c r="I56">
        <f>IFERROR([1]!s_stm07_is($A56,"W72946623",TEXT($B$1,"yyyy/mm/dd"),1),"")</f>
        <v>-88529000</v>
      </c>
      <c r="J56">
        <f>IFERROR([1]!s_stm07_is($A56,"W30028333",TEXT($B$1,"yyyy/mm/dd"),1),"")</f>
        <v>54881000</v>
      </c>
      <c r="K56">
        <f>IFERROR([1]!s_stm07_cs($A56,"W77130581",TEXT($B$1,"yyyy/mm/dd"),1),"")</f>
        <v>5065421315.3500004</v>
      </c>
      <c r="L56">
        <f>IFERROR([1]!s_stm07_cs($A56,"W77745895",TEXT($B$1,"yyyy/mm/dd"),1),"")</f>
        <v>12931401008.84</v>
      </c>
      <c r="M56">
        <f>IFERROR([1]!S_FA_EPS_basic2($A56,$B$1,"Cur=CNY"),"")</f>
        <v>0.2249216</v>
      </c>
      <c r="N56">
        <f>IFERROR([1]!hks_fa_arturndays($A56,TEXT($B$1,"yyyy/mm/dd")),"")</f>
        <v>41.403100000000002</v>
      </c>
      <c r="O56">
        <f>IFERROR([1]!hks_fa_apturndays($A56,TEXT($B$1,"yyyy/mm/dd")),"")</f>
        <v>53.405469582443402</v>
      </c>
      <c r="P56">
        <f>IFERROR([1]!hks_fa_invturndays($A56,TEXT($B$1,"yyyy/mm/dd")),"")</f>
        <v>123.064301097323</v>
      </c>
    </row>
    <row r="57" spans="1:16">
      <c r="A57" t="s">
        <v>1870</v>
      </c>
      <c r="B57">
        <f>IFERROR([1]!s_stm07_is($A57,"W70156729",TEXT($B$1,"yyyy/mm/dd"),1),"")</f>
        <v>162353725000</v>
      </c>
      <c r="C57">
        <f>IFERROR([1]!s_stm07_is($A57,"W75682424",TEXT($B$1,"yyyy/mm/dd"),1),"")</f>
        <v>120848476000</v>
      </c>
      <c r="D57">
        <f>IFERROR([1]!s_stm07_is($A57,"W76031679",TEXT($B$1,"yyyy/mm/dd"),1),"")</f>
        <v>743466000</v>
      </c>
      <c r="E57">
        <f>IFERROR([1]!s_stm07_is($A57,"W70752487",TEXT($B$1,"yyyy/mm/dd"),1),"")</f>
        <v>4274597000</v>
      </c>
      <c r="F57">
        <f>IFERROR([1]!s_stm07_is_103($A57,TEXT($B$1,"yyyy/mm/dd"),1),"")</f>
        <v>0</v>
      </c>
      <c r="G57">
        <f>IFERROR([1]!s_stm07_is_104($A57,TEXT($B$1,"yyyy/mm/dd"),1),"")</f>
        <v>0</v>
      </c>
      <c r="H57">
        <f>IFERROR([1]!s_stm07_is_105($A57,TEXT($B$1,"yyyy/mm/dd"),1),"")</f>
        <v>0</v>
      </c>
      <c r="I57">
        <f>IFERROR([1]!s_stm07_is($A57,"W72946623",TEXT($B$1,"yyyy/mm/dd"),1),"")</f>
        <v>33046377000</v>
      </c>
      <c r="J57">
        <f>IFERROR([1]!s_stm07_is($A57,"W30028333",TEXT($B$1,"yyyy/mm/dd"),1),"")</f>
        <v>22636105000</v>
      </c>
      <c r="K57">
        <f>IFERROR([1]!s_stm07_cs($A57,"W77130581",TEXT($B$1,"yyyy/mm/dd"),1),"")</f>
        <v>0</v>
      </c>
      <c r="L57">
        <f>IFERROR([1]!s_stm07_cs($A57,"W77745895",TEXT($B$1,"yyyy/mm/dd"),1),"")</f>
        <v>0</v>
      </c>
      <c r="M57">
        <f>IFERROR([1]!S_FA_EPS_basic2($A57,$B$1,"Cur=CNY"),"")</f>
        <v>2.3841999999999999</v>
      </c>
      <c r="N57">
        <f>IFERROR([1]!hks_fa_arturndays($A57,TEXT($B$1,"yyyy/mm/dd")),"")</f>
        <v>28.4008</v>
      </c>
      <c r="O57">
        <f>IFERROR([1]!hks_fa_apturndays($A57,TEXT($B$1,"yyyy/mm/dd")),"")</f>
        <v>38.9039107121218</v>
      </c>
      <c r="P57">
        <f>IFERROR([1]!hks_fa_invturndays($A57,TEXT($B$1,"yyyy/mm/dd")),"")</f>
        <v>110.18946466285099</v>
      </c>
    </row>
    <row r="58" spans="1:16">
      <c r="A58" t="s">
        <v>1871</v>
      </c>
      <c r="B58">
        <f>IFERROR([1]!s_stm07_is($A58,"W70156729",TEXT($B$1,"yyyy/mm/dd"),1),"")</f>
        <v>651775000000</v>
      </c>
      <c r="C58">
        <f>IFERROR([1]!s_stm07_is($A58,"W75682424",TEXT($B$1,"yyyy/mm/dd"),1),"")</f>
        <v>0</v>
      </c>
      <c r="D58">
        <f>IFERROR([1]!s_stm07_is($A58,"W76031679",TEXT($B$1,"yyyy/mm/dd"),1),"")</f>
        <v>0</v>
      </c>
      <c r="E58">
        <f>IFERROR([1]!s_stm07_is($A58,"W70752487",TEXT($B$1,"yyyy/mm/dd"),1),"")</f>
        <v>0</v>
      </c>
      <c r="F58">
        <f>IFERROR([1]!s_stm07_is_103($A58,TEXT($B$1,"yyyy/mm/dd"),1),"")</f>
        <v>0</v>
      </c>
      <c r="G58">
        <f>IFERROR([1]!s_stm07_is_104($A58,TEXT($B$1,"yyyy/mm/dd"),1),"")</f>
        <v>0</v>
      </c>
      <c r="H58">
        <f>IFERROR([1]!s_stm07_is_105($A58,TEXT($B$1,"yyyy/mm/dd"),1),"")</f>
        <v>0</v>
      </c>
      <c r="I58">
        <f>IFERROR([1]!s_stm07_is($A58,"W72946623",TEXT($B$1,"yyyy/mm/dd"),1),"")</f>
        <v>424435000000</v>
      </c>
      <c r="J58">
        <f>IFERROR([1]!s_stm07_is($A58,"W30028333",TEXT($B$1,"yyyy/mm/dd"),1),"")</f>
        <v>368562000000</v>
      </c>
      <c r="K58">
        <f>IFERROR([1]!s_stm07_cs($A58,"W77130581",TEXT($B$1,"yyyy/mm/dd"),1),"")</f>
        <v>1890530000000</v>
      </c>
      <c r="L58">
        <f>IFERROR([1]!s_stm07_cs($A58,"W77745895",TEXT($B$1,"yyyy/mm/dd"),1),"")</f>
        <v>38239000000</v>
      </c>
      <c r="M58">
        <f>IFERROR([1]!S_FA_EPS_basic2($A58,$B$1,"Cur=CNY"),"")</f>
        <v>1</v>
      </c>
      <c r="N58">
        <f>IFERROR([1]!hks_fa_arturndays($A58,TEXT($B$1,"yyyy/mm/dd")),"")</f>
        <v>0</v>
      </c>
      <c r="O58">
        <f>IFERROR([1]!hks_fa_apturndays($A58,TEXT($B$1,"yyyy/mm/dd")),"")</f>
        <v>0</v>
      </c>
      <c r="P58">
        <f>IFERROR([1]!hks_fa_invturndays($A58,TEXT($B$1,"yyyy/mm/dd")),"")</f>
        <v>0</v>
      </c>
    </row>
    <row r="59" spans="1:16">
      <c r="A59" t="s">
        <v>1872</v>
      </c>
      <c r="B59">
        <f>IFERROR([1]!s_stm07_is($A59,"W70156729",TEXT($B$1,"yyyy/mm/dd"),1),"")</f>
        <v>323432000000</v>
      </c>
      <c r="C59">
        <f>IFERROR([1]!s_stm07_is($A59,"W75682424",TEXT($B$1,"yyyy/mm/dd"),1),"")</f>
        <v>0</v>
      </c>
      <c r="D59">
        <f>IFERROR([1]!s_stm07_is($A59,"W76031679",TEXT($B$1,"yyyy/mm/dd"),1),"")</f>
        <v>0</v>
      </c>
      <c r="E59">
        <f>IFERROR([1]!s_stm07_is($A59,"W70752487",TEXT($B$1,"yyyy/mm/dd"),1),"")</f>
        <v>0</v>
      </c>
      <c r="F59">
        <f>IFERROR([1]!s_stm07_is_103($A59,TEXT($B$1,"yyyy/mm/dd"),1),"")</f>
        <v>0</v>
      </c>
      <c r="G59">
        <f>IFERROR([1]!s_stm07_is_104($A59,TEXT($B$1,"yyyy/mm/dd"),1),"")</f>
        <v>0</v>
      </c>
      <c r="H59">
        <f>IFERROR([1]!s_stm07_is_105($A59,TEXT($B$1,"yyyy/mm/dd"),1),"")</f>
        <v>0</v>
      </c>
      <c r="I59">
        <f>IFERROR([1]!s_stm07_is($A59,"W72946623",TEXT($B$1,"yyyy/mm/dd"),1),"")</f>
        <v>98221000000</v>
      </c>
      <c r="J59">
        <f>IFERROR([1]!s_stm07_is($A59,"W30028333",TEXT($B$1,"yyyy/mm/dd"),1),"")</f>
        <v>87404000000</v>
      </c>
      <c r="K59">
        <f>IFERROR([1]!s_stm07_cs($A59,"W77130581",TEXT($B$1,"yyyy/mm/dd"),1),"")</f>
        <v>412059000000</v>
      </c>
      <c r="L59">
        <f>IFERROR([1]!s_stm07_cs($A59,"W77745895",TEXT($B$1,"yyyy/mm/dd"),1),"")</f>
        <v>13759000000</v>
      </c>
      <c r="M59">
        <f>IFERROR([1]!S_FA_EPS_basic2($A59,$B$1,"Cur=CNY"),"")</f>
        <v>0.73</v>
      </c>
      <c r="N59">
        <f>IFERROR([1]!hks_fa_arturndays($A59,TEXT($B$1,"yyyy/mm/dd")),"")</f>
        <v>0</v>
      </c>
      <c r="O59">
        <f>IFERROR([1]!hks_fa_apturndays($A59,TEXT($B$1,"yyyy/mm/dd")),"")</f>
        <v>0</v>
      </c>
      <c r="P59">
        <f>IFERROR([1]!hks_fa_invturndays($A59,TEXT($B$1,"yyyy/mm/dd")),"")</f>
        <v>0</v>
      </c>
    </row>
    <row r="60" spans="1:16">
      <c r="A60" t="s">
        <v>1873</v>
      </c>
      <c r="B60">
        <f>IFERROR([1]!s_stm07_is($A60,"W70156729",TEXT($B$1,"yyyy/mm/dd"),1),"")</f>
        <v>32902000000</v>
      </c>
      <c r="C60">
        <f>IFERROR([1]!s_stm07_is($A60,"W75682424",TEXT($B$1,"yyyy/mm/dd"),1),"")</f>
        <v>18367000000</v>
      </c>
      <c r="D60">
        <f>IFERROR([1]!s_stm07_is($A60,"W76031679",TEXT($B$1,"yyyy/mm/dd"),1),"")</f>
        <v>941000000</v>
      </c>
      <c r="E60">
        <f>IFERROR([1]!s_stm07_is($A60,"W70752487",TEXT($B$1,"yyyy/mm/dd"),1),"")</f>
        <v>3916000000</v>
      </c>
      <c r="F60">
        <f>IFERROR([1]!s_stm07_is_103($A60,TEXT($B$1,"yyyy/mm/dd"),1),"")</f>
        <v>0</v>
      </c>
      <c r="G60">
        <f>IFERROR([1]!s_stm07_is_104($A60,TEXT($B$1,"yyyy/mm/dd"),1),"")</f>
        <v>0</v>
      </c>
      <c r="H60">
        <f>IFERROR([1]!s_stm07_is_105($A60,TEXT($B$1,"yyyy/mm/dd"),1),"")</f>
        <v>0</v>
      </c>
      <c r="I60">
        <f>IFERROR([1]!s_stm07_is($A60,"W72946623",TEXT($B$1,"yyyy/mm/dd"),1),"")</f>
        <v>13277000000</v>
      </c>
      <c r="J60">
        <f>IFERROR([1]!s_stm07_is($A60,"W30028333",TEXT($B$1,"yyyy/mm/dd"),1),"")</f>
        <v>11056000000</v>
      </c>
      <c r="K60">
        <f>IFERROR([1]!s_stm07_cs($A60,"W77130581",TEXT($B$1,"yyyy/mm/dd"),1),"")</f>
        <v>0</v>
      </c>
      <c r="L60">
        <f>IFERROR([1]!s_stm07_cs($A60,"W77745895",TEXT($B$1,"yyyy/mm/dd"),1),"")</f>
        <v>0</v>
      </c>
      <c r="M60">
        <f>IFERROR([1]!S_FA_EPS_basic2($A60,$B$1,"Cur=CNY"),"")</f>
        <v>3.6</v>
      </c>
      <c r="N60">
        <f>IFERROR([1]!hks_fa_arturndays($A60,TEXT($B$1,"yyyy/mm/dd")),"")</f>
        <v>41.2333</v>
      </c>
      <c r="O60">
        <f>IFERROR([1]!hks_fa_apturndays($A60,TEXT($B$1,"yyyy/mm/dd")),"")</f>
        <v>150.10943540044599</v>
      </c>
      <c r="P60">
        <f>IFERROR([1]!hks_fa_invturndays($A60,TEXT($B$1,"yyyy/mm/dd")),"")</f>
        <v>0.62721179269674598</v>
      </c>
    </row>
    <row r="61" spans="1:16">
      <c r="A61" t="s">
        <v>1874</v>
      </c>
      <c r="B61">
        <f>IFERROR([1]!s_stm07_is($A61,"W70156729",TEXT($B$1,"yyyy/mm/dd"),1),"")</f>
        <v>13041523000</v>
      </c>
      <c r="C61">
        <f>IFERROR([1]!s_stm07_is($A61,"W75682424",TEXT($B$1,"yyyy/mm/dd"),1),"")</f>
        <v>1756019000</v>
      </c>
      <c r="D61">
        <f>IFERROR([1]!s_stm07_is($A61,"W76031679",TEXT($B$1,"yyyy/mm/dd"),1),"")</f>
        <v>5712907000</v>
      </c>
      <c r="E61">
        <f>IFERROR([1]!s_stm07_is($A61,"W70752487",TEXT($B$1,"yyyy/mm/dd"),1),"")</f>
        <v>926984000</v>
      </c>
      <c r="F61">
        <f>IFERROR([1]!s_stm07_is_103($A61,TEXT($B$1,"yyyy/mm/dd"),1),"")</f>
        <v>0</v>
      </c>
      <c r="G61">
        <f>IFERROR([1]!s_stm07_is_104($A61,TEXT($B$1,"yyyy/mm/dd"),1),"")</f>
        <v>0</v>
      </c>
      <c r="H61">
        <f>IFERROR([1]!s_stm07_is_105($A61,TEXT($B$1,"yyyy/mm/dd"),1),"")</f>
        <v>0</v>
      </c>
      <c r="I61">
        <f>IFERROR([1]!s_stm07_is($A61,"W72946623",TEXT($B$1,"yyyy/mm/dd"),1),"")</f>
        <v>838924000</v>
      </c>
      <c r="J61">
        <f>IFERROR([1]!s_stm07_is($A61,"W30028333",TEXT($B$1,"yyyy/mm/dd"),1),"")</f>
        <v>813565000</v>
      </c>
      <c r="K61">
        <f>IFERROR([1]!s_stm07_cs($A61,"W77130581",TEXT($B$1,"yyyy/mm/dd"),1),"")</f>
        <v>0</v>
      </c>
      <c r="L61">
        <f>IFERROR([1]!s_stm07_cs($A61,"W77745895",TEXT($B$1,"yyyy/mm/dd"),1),"")</f>
        <v>0</v>
      </c>
      <c r="M61">
        <f>IFERROR([1]!S_FA_EPS_basic2($A61,$B$1,"Cur=CNY"),"")</f>
        <v>0.48</v>
      </c>
      <c r="N61">
        <f>IFERROR([1]!hks_fa_arturndays($A61,TEXT($B$1,"yyyy/mm/dd")),"")</f>
        <v>40.001800000000003</v>
      </c>
      <c r="O61">
        <f>IFERROR([1]!hks_fa_apturndays($A61,TEXT($B$1,"yyyy/mm/dd")),"")</f>
        <v>87.361173199150997</v>
      </c>
      <c r="P61">
        <f>IFERROR([1]!hks_fa_invturndays($A61,TEXT($B$1,"yyyy/mm/dd")),"")</f>
        <v>217.70682148040601</v>
      </c>
    </row>
    <row r="62" spans="1:16">
      <c r="A62" t="s">
        <v>1875</v>
      </c>
      <c r="B62">
        <f>IFERROR([1]!s_stm07_is($A62,"W70156729",TEXT($B$1,"yyyy/mm/dd"),1),"")</f>
        <v>457286687000</v>
      </c>
      <c r="C62">
        <f>IFERROR([1]!s_stm07_is($A62,"W75682424",TEXT($B$1,"yyyy/mm/dd"),1),"")</f>
        <v>355480840000</v>
      </c>
      <c r="D62">
        <f>IFERROR([1]!s_stm07_is($A62,"W76031679",TEXT($B$1,"yyyy/mm/dd"),1),"")</f>
        <v>33214338000</v>
      </c>
      <c r="E62">
        <f>IFERROR([1]!s_stm07_is($A62,"W70752487",TEXT($B$1,"yyyy/mm/dd"),1),"")</f>
        <v>6653026000</v>
      </c>
      <c r="F62">
        <f>IFERROR([1]!s_stm07_is_103($A62,TEXT($B$1,"yyyy/mm/dd"),1),"")</f>
        <v>0</v>
      </c>
      <c r="G62">
        <f>IFERROR([1]!s_stm07_is_104($A62,TEXT($B$1,"yyyy/mm/dd"),1),"")</f>
        <v>0</v>
      </c>
      <c r="H62">
        <f>IFERROR([1]!s_stm07_is_105($A62,TEXT($B$1,"yyyy/mm/dd"),1),"")</f>
        <v>0</v>
      </c>
      <c r="I62">
        <f>IFERROR([1]!s_stm07_is($A62,"W72946623",TEXT($B$1,"yyyy/mm/dd"),1),"")</f>
        <v>49646865000</v>
      </c>
      <c r="J62">
        <f>IFERROR([1]!s_stm07_is($A62,"W30028333",TEXT($B$1,"yyyy/mm/dd"),1),"")</f>
        <v>41643389000</v>
      </c>
      <c r="K62">
        <f>IFERROR([1]!s_stm07_cs($A62,"W77130581",TEXT($B$1,"yyyy/mm/dd"),1),"")</f>
        <v>0</v>
      </c>
      <c r="L62">
        <f>IFERROR([1]!s_stm07_cs($A62,"W77745895",TEXT($B$1,"yyyy/mm/dd"),1),"")</f>
        <v>0</v>
      </c>
      <c r="M62">
        <f>IFERROR([1]!S_FA_EPS_basic2($A62,$B$1,"Cur=CNY"),"")</f>
        <v>1.62</v>
      </c>
      <c r="N62">
        <f>IFERROR([1]!hks_fa_arturndays($A62,TEXT($B$1,"yyyy/mm/dd")),"")</f>
        <v>11.741300000000001</v>
      </c>
      <c r="O62">
        <f>IFERROR([1]!hks_fa_apturndays($A62,TEXT($B$1,"yyyy/mm/dd")),"")</f>
        <v>105.81839026823501</v>
      </c>
      <c r="P62">
        <f>IFERROR([1]!hks_fa_invturndays($A62,TEXT($B$1,"yyyy/mm/dd")),"")</f>
        <v>72.661217075386006</v>
      </c>
    </row>
    <row r="63" spans="1:16">
      <c r="A63" t="s">
        <v>1876</v>
      </c>
      <c r="B63">
        <f>IFERROR([1]!s_stm07_is($A63,"W70156729",TEXT($B$1,"yyyy/mm/dd"),1),"")</f>
        <v>5764000000</v>
      </c>
      <c r="C63">
        <f>IFERROR([1]!s_stm07_is($A63,"W75682424",TEXT($B$1,"yyyy/mm/dd"),1),"")</f>
        <v>2877000000</v>
      </c>
      <c r="D63">
        <f>IFERROR([1]!s_stm07_is($A63,"W76031679",TEXT($B$1,"yyyy/mm/dd"),1),"")</f>
        <v>1532000000</v>
      </c>
      <c r="E63">
        <f>IFERROR([1]!s_stm07_is($A63,"W70752487",TEXT($B$1,"yyyy/mm/dd"),1),"")</f>
        <v>454000000</v>
      </c>
      <c r="F63">
        <f>IFERROR([1]!s_stm07_is_103($A63,TEXT($B$1,"yyyy/mm/dd"),1),"")</f>
        <v>0</v>
      </c>
      <c r="G63">
        <f>IFERROR([1]!s_stm07_is_104($A63,TEXT($B$1,"yyyy/mm/dd"),1),"")</f>
        <v>0</v>
      </c>
      <c r="H63">
        <f>IFERROR([1]!s_stm07_is_105($A63,TEXT($B$1,"yyyy/mm/dd"),1),"")</f>
        <v>0</v>
      </c>
      <c r="I63">
        <f>IFERROR([1]!s_stm07_is($A63,"W72946623",TEXT($B$1,"yyyy/mm/dd"),1),"")</f>
        <v>951000000</v>
      </c>
      <c r="J63">
        <f>IFERROR([1]!s_stm07_is($A63,"W30028333",TEXT($B$1,"yyyy/mm/dd"),1),"")</f>
        <v>489000000</v>
      </c>
      <c r="K63">
        <f>IFERROR([1]!s_stm07_cs($A63,"W77130581",TEXT($B$1,"yyyy/mm/dd"),1),"")</f>
        <v>0</v>
      </c>
      <c r="L63">
        <f>IFERROR([1]!s_stm07_cs($A63,"W77745895",TEXT($B$1,"yyyy/mm/dd"),1),"")</f>
        <v>0</v>
      </c>
      <c r="M63">
        <f>IFERROR([1]!S_FA_EPS_basic2($A63,$B$1,"Cur=CNY"),"")</f>
        <v>0.26006560000000001</v>
      </c>
      <c r="N63">
        <f>IFERROR([1]!hks_fa_arturndays($A63,TEXT($B$1,"yyyy/mm/dd")),"")</f>
        <v>22.796600000000002</v>
      </c>
      <c r="O63">
        <f>IFERROR([1]!hks_fa_apturndays($A63,TEXT($B$1,"yyyy/mm/dd")),"")</f>
        <v>200.89676746611099</v>
      </c>
      <c r="P63">
        <f>IFERROR([1]!hks_fa_invturndays($A63,TEXT($B$1,"yyyy/mm/dd")),"")</f>
        <v>44.984255510571302</v>
      </c>
    </row>
    <row r="64" spans="1:16">
      <c r="A64" t="s">
        <v>1877</v>
      </c>
      <c r="B64">
        <f>IFERROR([1]!s_stm07_is($A64,"W70156729",TEXT($B$1,"yyyy/mm/dd"),1),"")</f>
        <v>4573000000</v>
      </c>
      <c r="C64">
        <f>IFERROR([1]!s_stm07_is($A64,"W75682424",TEXT($B$1,"yyyy/mm/dd"),1),"")</f>
        <v>0</v>
      </c>
      <c r="D64">
        <f>IFERROR([1]!s_stm07_is($A64,"W76031679",TEXT($B$1,"yyyy/mm/dd"),1),"")</f>
        <v>0</v>
      </c>
      <c r="E64">
        <f>IFERROR([1]!s_stm07_is($A64,"W70752487",TEXT($B$1,"yyyy/mm/dd"),1),"")</f>
        <v>0</v>
      </c>
      <c r="F64">
        <f>IFERROR([1]!s_stm07_is_103($A64,TEXT($B$1,"yyyy/mm/dd"),1),"")</f>
        <v>0</v>
      </c>
      <c r="G64">
        <f>IFERROR([1]!s_stm07_is_104($A64,TEXT($B$1,"yyyy/mm/dd"),1),"")</f>
        <v>0</v>
      </c>
      <c r="H64">
        <f>IFERROR([1]!s_stm07_is_105($A64,TEXT($B$1,"yyyy/mm/dd"),1),"")</f>
        <v>0</v>
      </c>
      <c r="I64">
        <f>IFERROR([1]!s_stm07_is($A64,"W72946623",TEXT($B$1,"yyyy/mm/dd"),1),"")</f>
        <v>901000000</v>
      </c>
      <c r="J64">
        <f>IFERROR([1]!s_stm07_is($A64,"W30028333",TEXT($B$1,"yyyy/mm/dd"),1),"")</f>
        <v>896000000</v>
      </c>
      <c r="K64">
        <f>IFERROR([1]!s_stm07_cs($A64,"W77130581",TEXT($B$1,"yyyy/mm/dd"),1),"")</f>
        <v>0</v>
      </c>
      <c r="L64">
        <f>IFERROR([1]!s_stm07_cs($A64,"W77745895",TEXT($B$1,"yyyy/mm/dd"),1),"")</f>
        <v>0</v>
      </c>
      <c r="M64">
        <f>IFERROR([1]!S_FA_EPS_basic2($A64,$B$1,"Cur=CNY"),"")</f>
        <v>0.77879103999999999</v>
      </c>
      <c r="N64">
        <f>IFERROR([1]!hks_fa_arturndays($A64,TEXT($B$1,"yyyy/mm/dd")),"")</f>
        <v>19.759499999999999</v>
      </c>
      <c r="O64">
        <f>IFERROR([1]!hks_fa_apturndays($A64,TEXT($B$1,"yyyy/mm/dd")),"")</f>
        <v>0</v>
      </c>
      <c r="P64">
        <f>IFERROR([1]!hks_fa_invturndays($A64,TEXT($B$1,"yyyy/mm/dd")),"")</f>
        <v>0</v>
      </c>
    </row>
    <row r="65" spans="1:16">
      <c r="A65" t="s">
        <v>1878</v>
      </c>
      <c r="B65">
        <f>IFERROR([1]!s_stm07_is($A65,"W70156729",TEXT($B$1,"yyyy/mm/dd"),1),"")</f>
        <v>89656000000</v>
      </c>
      <c r="C65">
        <f>IFERROR([1]!s_stm07_is($A65,"W75682424",TEXT($B$1,"yyyy/mm/dd"),1),"")</f>
        <v>63201200000</v>
      </c>
      <c r="D65">
        <f>IFERROR([1]!s_stm07_is($A65,"W76031679",TEXT($B$1,"yyyy/mm/dd"),1),"")</f>
        <v>8697200000</v>
      </c>
      <c r="E65">
        <f>IFERROR([1]!s_stm07_is($A65,"W70752487",TEXT($B$1,"yyyy/mm/dd"),1),"")</f>
        <v>3793900000</v>
      </c>
      <c r="F65">
        <f>IFERROR([1]!s_stm07_is_103($A65,TEXT($B$1,"yyyy/mm/dd"),1),"")</f>
        <v>0</v>
      </c>
      <c r="G65">
        <f>IFERROR([1]!s_stm07_is_104($A65,TEXT($B$1,"yyyy/mm/dd"),1),"")</f>
        <v>0</v>
      </c>
      <c r="H65">
        <f>IFERROR([1]!s_stm07_is_105($A65,TEXT($B$1,"yyyy/mm/dd"),1),"")</f>
        <v>0</v>
      </c>
      <c r="I65">
        <f>IFERROR([1]!s_stm07_is($A65,"W72946623",TEXT($B$1,"yyyy/mm/dd"),1),"")</f>
        <v>7917300000</v>
      </c>
      <c r="J65">
        <f>IFERROR([1]!s_stm07_is($A65,"W30028333",TEXT($B$1,"yyyy/mm/dd"),1),"")</f>
        <v>5915500000</v>
      </c>
      <c r="K65">
        <f>IFERROR([1]!s_stm07_cs($A65,"W77130581",TEXT($B$1,"yyyy/mm/dd"),1),"")</f>
        <v>0</v>
      </c>
      <c r="L65">
        <f>IFERROR([1]!s_stm07_cs($A65,"W77745895",TEXT($B$1,"yyyy/mm/dd"),1),"")</f>
        <v>0</v>
      </c>
      <c r="M65">
        <f>IFERROR([1]!S_FA_EPS_basic2($A65,$B$1,"Cur=CNY"),"")</f>
        <v>0.54631536000000003</v>
      </c>
      <c r="N65">
        <f>IFERROR([1]!hks_fa_arturndays($A65,TEXT($B$1,"yyyy/mm/dd")),"")</f>
        <v>10.2098</v>
      </c>
      <c r="O65">
        <f>IFERROR([1]!hks_fa_apturndays($A65,TEXT($B$1,"yyyy/mm/dd")),"")</f>
        <v>6.18026240008101</v>
      </c>
      <c r="P65">
        <f>IFERROR([1]!hks_fa_invturndays($A65,TEXT($B$1,"yyyy/mm/dd")),"")</f>
        <v>341.94528875379899</v>
      </c>
    </row>
    <row r="66" spans="1:16">
      <c r="A66" t="s">
        <v>1879</v>
      </c>
      <c r="B66">
        <f>IFERROR([1]!s_stm07_is($A66,"W70156729",TEXT($B$1,"yyyy/mm/dd"),1),"")</f>
        <v>12815000000</v>
      </c>
      <c r="C66">
        <f>IFERROR([1]!s_stm07_is($A66,"W75682424",TEXT($B$1,"yyyy/mm/dd"),1),"")</f>
        <v>2781000000</v>
      </c>
      <c r="D66">
        <f>IFERROR([1]!s_stm07_is($A66,"W76031679",TEXT($B$1,"yyyy/mm/dd"),1),"")</f>
        <v>268000000</v>
      </c>
      <c r="E66">
        <f>IFERROR([1]!s_stm07_is($A66,"W70752487",TEXT($B$1,"yyyy/mm/dd"),1),"")</f>
        <v>182000000</v>
      </c>
      <c r="F66">
        <f>IFERROR([1]!s_stm07_is_103($A66,TEXT($B$1,"yyyy/mm/dd"),1),"")</f>
        <v>0</v>
      </c>
      <c r="G66">
        <f>IFERROR([1]!s_stm07_is_104($A66,TEXT($B$1,"yyyy/mm/dd"),1),"")</f>
        <v>0</v>
      </c>
      <c r="H66">
        <f>IFERROR([1]!s_stm07_is_105($A66,TEXT($B$1,"yyyy/mm/dd"),1),"")</f>
        <v>0</v>
      </c>
      <c r="I66">
        <f>IFERROR([1]!s_stm07_is($A66,"W72946623",TEXT($B$1,"yyyy/mm/dd"),1),"")</f>
        <v>-3092000000</v>
      </c>
      <c r="J66">
        <f>IFERROR([1]!s_stm07_is($A66,"W30028333",TEXT($B$1,"yyyy/mm/dd"),1),"")</f>
        <v>-4257000000</v>
      </c>
      <c r="K66">
        <f>IFERROR([1]!s_stm07_cs($A66,"W77130581",TEXT($B$1,"yyyy/mm/dd"),1),"")</f>
        <v>0</v>
      </c>
      <c r="L66">
        <f>IFERROR([1]!s_stm07_cs($A66,"W77745895",TEXT($B$1,"yyyy/mm/dd"),1),"")</f>
        <v>0</v>
      </c>
      <c r="M66">
        <f>IFERROR([1]!S_FA_EPS_basic2($A66,$B$1,"Cur=CNY"),"")</f>
        <v>-1.264508</v>
      </c>
      <c r="N66">
        <f>IFERROR([1]!hks_fa_arturndays($A66,TEXT($B$1,"yyyy/mm/dd")),"")</f>
        <v>5.8010000000000002</v>
      </c>
      <c r="O66">
        <f>IFERROR([1]!hks_fa_apturndays($A66,TEXT($B$1,"yyyy/mm/dd")),"")</f>
        <v>14.6278317152104</v>
      </c>
      <c r="P66">
        <f>IFERROR([1]!hks_fa_invturndays($A66,TEXT($B$1,"yyyy/mm/dd")),"")</f>
        <v>112.36305752364299</v>
      </c>
    </row>
    <row r="67" spans="1:16">
      <c r="A67" t="s">
        <v>1880</v>
      </c>
      <c r="B67">
        <f>IFERROR([1]!s_stm07_is($A67,"W70156729",TEXT($B$1,"yyyy/mm/dd"),1),"")</f>
        <v>112312511000</v>
      </c>
      <c r="C67">
        <f>IFERROR([1]!s_stm07_is($A67,"W75682424",TEXT($B$1,"yyyy/mm/dd"),1),"")</f>
        <v>91327453000</v>
      </c>
      <c r="D67">
        <f>IFERROR([1]!s_stm07_is($A67,"W76031679",TEXT($B$1,"yyyy/mm/dd"),1),"")</f>
        <v>0</v>
      </c>
      <c r="E67">
        <f>IFERROR([1]!s_stm07_is($A67,"W70752487",TEXT($B$1,"yyyy/mm/dd"),1),"")</f>
        <v>0</v>
      </c>
      <c r="F67">
        <f>IFERROR([1]!s_stm07_is_103($A67,TEXT($B$1,"yyyy/mm/dd"),1),"")</f>
        <v>0</v>
      </c>
      <c r="G67">
        <f>IFERROR([1]!s_stm07_is_104($A67,TEXT($B$1,"yyyy/mm/dd"),1),"")</f>
        <v>0</v>
      </c>
      <c r="H67">
        <f>IFERROR([1]!s_stm07_is_105($A67,TEXT($B$1,"yyyy/mm/dd"),1),"")</f>
        <v>0</v>
      </c>
      <c r="I67">
        <f>IFERROR([1]!s_stm07_is($A67,"W72946623",TEXT($B$1,"yyyy/mm/dd"),1),"")</f>
        <v>1297135000</v>
      </c>
      <c r="J67">
        <f>IFERROR([1]!s_stm07_is($A67,"W30028333",TEXT($B$1,"yyyy/mm/dd"),1),"")</f>
        <v>1124438000</v>
      </c>
      <c r="K67">
        <f>IFERROR([1]!s_stm07_cs($A67,"W77130581",TEXT($B$1,"yyyy/mm/dd"),1),"")</f>
        <v>0</v>
      </c>
      <c r="L67">
        <f>IFERROR([1]!s_stm07_cs($A67,"W77745895",TEXT($B$1,"yyyy/mm/dd"),1),"")</f>
        <v>0</v>
      </c>
      <c r="M67">
        <f>IFERROR([1]!S_FA_EPS_basic2($A67,$B$1,"Cur=CNY"),"")</f>
        <v>0.56000000000000005</v>
      </c>
      <c r="N67">
        <f>IFERROR([1]!hks_fa_arturndays($A67,TEXT($B$1,"yyyy/mm/dd")),"")</f>
        <v>0.40860000000000002</v>
      </c>
      <c r="O67">
        <f>IFERROR([1]!hks_fa_apturndays($A67,TEXT($B$1,"yyyy/mm/dd")),"")</f>
        <v>185.613129274502</v>
      </c>
      <c r="P67">
        <f>IFERROR([1]!hks_fa_invturndays($A67,TEXT($B$1,"yyyy/mm/dd")),"")</f>
        <v>33.383718018861799</v>
      </c>
    </row>
    <row r="68" spans="1:16">
      <c r="A68" t="s">
        <v>1881</v>
      </c>
      <c r="B68">
        <f>IFERROR([1]!s_stm07_is($A68,"W70156729",TEXT($B$1,"yyyy/mm/dd"),1),"")</f>
        <v>80219000000</v>
      </c>
      <c r="C68">
        <f>IFERROR([1]!s_stm07_is($A68,"W75682424",TEXT($B$1,"yyyy/mm/dd"),1),"")</f>
        <v>30485000000</v>
      </c>
      <c r="D68">
        <f>IFERROR([1]!s_stm07_is($A68,"W76031679",TEXT($B$1,"yyyy/mm/dd"),1),"")</f>
        <v>28456000000</v>
      </c>
      <c r="E68">
        <f>IFERROR([1]!s_stm07_is($A68,"W70752487",TEXT($B$1,"yyyy/mm/dd"),1),"")</f>
        <v>5186000000</v>
      </c>
      <c r="F68">
        <f>IFERROR([1]!s_stm07_is_103($A68,TEXT($B$1,"yyyy/mm/dd"),1),"")</f>
        <v>0</v>
      </c>
      <c r="G68">
        <f>IFERROR([1]!s_stm07_is_104($A68,TEXT($B$1,"yyyy/mm/dd"),1),"")</f>
        <v>0</v>
      </c>
      <c r="H68">
        <f>IFERROR([1]!s_stm07_is_105($A68,TEXT($B$1,"yyyy/mm/dd"),1),"")</f>
        <v>0</v>
      </c>
      <c r="I68">
        <f>IFERROR([1]!s_stm07_is($A68,"W72946623",TEXT($B$1,"yyyy/mm/dd"),1),"")</f>
        <v>21446000000</v>
      </c>
      <c r="J68">
        <f>IFERROR([1]!s_stm07_is($A68,"W30028333",TEXT($B$1,"yyyy/mm/dd"),1),"")</f>
        <v>13588000000</v>
      </c>
      <c r="K68">
        <f>IFERROR([1]!s_stm07_cs($A68,"W77130581",TEXT($B$1,"yyyy/mm/dd"),1),"")</f>
        <v>0</v>
      </c>
      <c r="L68">
        <f>IFERROR([1]!s_stm07_cs($A68,"W77745895",TEXT($B$1,"yyyy/mm/dd"),1),"")</f>
        <v>0</v>
      </c>
      <c r="M68">
        <f>IFERROR([1]!S_FA_EPS_basic2($A68,$B$1,"Cur=CNY"),"")</f>
        <v>4.8899999999999997</v>
      </c>
      <c r="N68">
        <f>IFERROR([1]!hks_fa_arturndays($A68,TEXT($B$1,"yyyy/mm/dd")),"")</f>
        <v>20.372</v>
      </c>
      <c r="O68">
        <f>IFERROR([1]!hks_fa_apturndays($A68,TEXT($B$1,"yyyy/mm/dd")),"")</f>
        <v>50.129571920616698</v>
      </c>
      <c r="P68">
        <f>IFERROR([1]!hks_fa_invturndays($A68,TEXT($B$1,"yyyy/mm/dd")),"")</f>
        <v>135.28240201420499</v>
      </c>
    </row>
    <row r="69" spans="1:16">
      <c r="A69" t="s">
        <v>1882</v>
      </c>
      <c r="B69">
        <f>IFERROR([1]!s_stm07_is($A69,"W70156729",TEXT($B$1,"yyyy/mm/dd"),1),"")</f>
        <v>49098667000</v>
      </c>
      <c r="C69">
        <f>IFERROR([1]!s_stm07_is($A69,"W75682424",TEXT($B$1,"yyyy/mm/dd"),1),"")</f>
        <v>36827226000</v>
      </c>
      <c r="D69">
        <f>IFERROR([1]!s_stm07_is($A69,"W76031679",TEXT($B$1,"yyyy/mm/dd"),1),"")</f>
        <v>0</v>
      </c>
      <c r="E69">
        <f>IFERROR([1]!s_stm07_is($A69,"W70752487",TEXT($B$1,"yyyy/mm/dd"),1),"")</f>
        <v>0</v>
      </c>
      <c r="F69">
        <f>IFERROR([1]!s_stm07_is_103($A69,TEXT($B$1,"yyyy/mm/dd"),1),"")</f>
        <v>0</v>
      </c>
      <c r="G69">
        <f>IFERROR([1]!s_stm07_is_104($A69,TEXT($B$1,"yyyy/mm/dd"),1),"")</f>
        <v>0</v>
      </c>
      <c r="H69">
        <f>IFERROR([1]!s_stm07_is_105($A69,TEXT($B$1,"yyyy/mm/dd"),1),"")</f>
        <v>0</v>
      </c>
      <c r="I69">
        <f>IFERROR([1]!s_stm07_is($A69,"W72946623",TEXT($B$1,"yyyy/mm/dd"),1),"")</f>
        <v>11140897000</v>
      </c>
      <c r="J69">
        <f>IFERROR([1]!s_stm07_is($A69,"W30028333",TEXT($B$1,"yyyy/mm/dd"),1),"")</f>
        <v>9080651000</v>
      </c>
      <c r="K69">
        <f>IFERROR([1]!s_stm07_cs($A69,"W77130581",TEXT($B$1,"yyyy/mm/dd"),1),"")</f>
        <v>0</v>
      </c>
      <c r="L69">
        <f>IFERROR([1]!s_stm07_cs($A69,"W77745895",TEXT($B$1,"yyyy/mm/dd"),1),"")</f>
        <v>0</v>
      </c>
      <c r="M69">
        <f>IFERROR([1]!S_FA_EPS_basic2($A69,$B$1,"Cur=CNY"),"")</f>
        <v>11.38</v>
      </c>
      <c r="N69">
        <f>IFERROR([1]!hks_fa_arturndays($A69,TEXT($B$1,"yyyy/mm/dd")),"")</f>
        <v>10.232699999999999</v>
      </c>
      <c r="O69">
        <f>IFERROR([1]!hks_fa_apturndays($A69,TEXT($B$1,"yyyy/mm/dd")),"")</f>
        <v>24.636998724802101</v>
      </c>
      <c r="P69">
        <f>IFERROR([1]!hks_fa_invturndays($A69,TEXT($B$1,"yyyy/mm/dd")),"")</f>
        <v>0.387187992353898</v>
      </c>
    </row>
    <row r="70" spans="1:16">
      <c r="A70" t="s">
        <v>1883</v>
      </c>
      <c r="B70">
        <f>IFERROR([1]!s_stm07_is($A70,"W70156729",TEXT($B$1,"yyyy/mm/dd"),1),"")</f>
        <v>21790018000</v>
      </c>
      <c r="C70">
        <f>IFERROR([1]!s_stm07_is($A70,"W75682424",TEXT($B$1,"yyyy/mm/dd"),1),"")</f>
        <v>11771506000</v>
      </c>
      <c r="D70">
        <f>IFERROR([1]!s_stm07_is($A70,"W76031679",TEXT($B$1,"yyyy/mm/dd"),1),"")</f>
        <v>608816000</v>
      </c>
      <c r="E70">
        <f>IFERROR([1]!s_stm07_is($A70,"W70752487",TEXT($B$1,"yyyy/mm/dd"),1),"")</f>
        <v>1704490000</v>
      </c>
      <c r="F70">
        <f>IFERROR([1]!s_stm07_is_103($A70,TEXT($B$1,"yyyy/mm/dd"),1),"")</f>
        <v>0</v>
      </c>
      <c r="G70">
        <f>IFERROR([1]!s_stm07_is_104($A70,TEXT($B$1,"yyyy/mm/dd"),1),"")</f>
        <v>0</v>
      </c>
      <c r="H70">
        <f>IFERROR([1]!s_stm07_is_105($A70,TEXT($B$1,"yyyy/mm/dd"),1),"")</f>
        <v>0</v>
      </c>
      <c r="I70">
        <f>IFERROR([1]!s_stm07_is($A70,"W72946623",TEXT($B$1,"yyyy/mm/dd"),1),"")</f>
        <v>7256907000</v>
      </c>
      <c r="J70">
        <f>IFERROR([1]!s_stm07_is($A70,"W30028333",TEXT($B$1,"yyyy/mm/dd"),1),"")</f>
        <v>4908343000</v>
      </c>
      <c r="K70">
        <f>IFERROR([1]!s_stm07_cs($A70,"W77130581",TEXT($B$1,"yyyy/mm/dd"),1),"")</f>
        <v>0</v>
      </c>
      <c r="L70">
        <f>IFERROR([1]!s_stm07_cs($A70,"W77745895",TEXT($B$1,"yyyy/mm/dd"),1),"")</f>
        <v>0</v>
      </c>
      <c r="M70">
        <f>IFERROR([1]!S_FA_EPS_basic2($A70,$B$1,"Cur=CNY"),"")</f>
        <v>1.22</v>
      </c>
      <c r="N70">
        <f>IFERROR([1]!hks_fa_arturndays($A70,TEXT($B$1,"yyyy/mm/dd")),"")</f>
        <v>109.1504</v>
      </c>
      <c r="O70">
        <f>IFERROR([1]!hks_fa_apturndays($A70,TEXT($B$1,"yyyy/mm/dd")),"")</f>
        <v>28.1156446762207</v>
      </c>
      <c r="P70">
        <f>IFERROR([1]!hks_fa_invturndays($A70,TEXT($B$1,"yyyy/mm/dd")),"")</f>
        <v>44.3890950789756</v>
      </c>
    </row>
    <row r="71" spans="1:16">
      <c r="A71" t="s">
        <v>1884</v>
      </c>
      <c r="B71">
        <f>IFERROR([1]!s_stm07_is($A71,"W70156729",TEXT($B$1,"yyyy/mm/dd"),1),"")</f>
        <v>30993732000</v>
      </c>
      <c r="C71">
        <f>IFERROR([1]!s_stm07_is($A71,"W75682424",TEXT($B$1,"yyyy/mm/dd"),1),"")</f>
        <v>22828372000</v>
      </c>
      <c r="D71">
        <f>IFERROR([1]!s_stm07_is($A71,"W76031679",TEXT($B$1,"yyyy/mm/dd"),1),"")</f>
        <v>250272000</v>
      </c>
      <c r="E71">
        <f>IFERROR([1]!s_stm07_is($A71,"W70752487",TEXT($B$1,"yyyy/mm/dd"),1),"")</f>
        <v>2095323000</v>
      </c>
      <c r="F71">
        <f>IFERROR([1]!s_stm07_is_103($A71,TEXT($B$1,"yyyy/mm/dd"),1),"")</f>
        <v>0</v>
      </c>
      <c r="G71">
        <f>IFERROR([1]!s_stm07_is_104($A71,TEXT($B$1,"yyyy/mm/dd"),1),"")</f>
        <v>0</v>
      </c>
      <c r="H71">
        <f>IFERROR([1]!s_stm07_is_105($A71,TEXT($B$1,"yyyy/mm/dd"),1),"")</f>
        <v>0</v>
      </c>
      <c r="I71">
        <f>IFERROR([1]!s_stm07_is($A71,"W72946623",TEXT($B$1,"yyyy/mm/dd"),1),"")</f>
        <v>6665775000</v>
      </c>
      <c r="J71">
        <f>IFERROR([1]!s_stm07_is($A71,"W30028333",TEXT($B$1,"yyyy/mm/dd"),1),"")</f>
        <v>5825262000</v>
      </c>
      <c r="K71">
        <f>IFERROR([1]!s_stm07_cs($A71,"W77130581",TEXT($B$1,"yyyy/mm/dd"),1),"")</f>
        <v>0</v>
      </c>
      <c r="L71">
        <f>IFERROR([1]!s_stm07_cs($A71,"W77745895",TEXT($B$1,"yyyy/mm/dd"),1),"")</f>
        <v>0</v>
      </c>
      <c r="M71">
        <f>IFERROR([1]!S_FA_EPS_basic2($A71,$B$1,"Cur=CNY"),"")</f>
        <v>3.88</v>
      </c>
      <c r="N71">
        <f>IFERROR([1]!hks_fa_arturndays($A71,TEXT($B$1,"yyyy/mm/dd")),"")</f>
        <v>76.082599999999999</v>
      </c>
      <c r="O71">
        <f>IFERROR([1]!hks_fa_apturndays($A71,TEXT($B$1,"yyyy/mm/dd")),"")</f>
        <v>22.6736142200591</v>
      </c>
      <c r="P71">
        <f>IFERROR([1]!hks_fa_invturndays($A71,TEXT($B$1,"yyyy/mm/dd")),"")</f>
        <v>107.193901858028</v>
      </c>
    </row>
    <row r="72" spans="1:16">
      <c r="A72" t="s">
        <v>1885</v>
      </c>
      <c r="B72">
        <f>IFERROR([1]!s_stm07_is($A72,"W70156729",TEXT($B$1,"yyyy/mm/dd"),1),"")</f>
        <v>1139229000000</v>
      </c>
      <c r="C72">
        <f>IFERROR([1]!s_stm07_is($A72,"W75682424",TEXT($B$1,"yyyy/mm/dd"),1),"")</f>
        <v>0</v>
      </c>
      <c r="D72">
        <f>IFERROR([1]!s_stm07_is($A72,"W76031679",TEXT($B$1,"yyyy/mm/dd"),1),"")</f>
        <v>0</v>
      </c>
      <c r="E72">
        <f>IFERROR([1]!s_stm07_is($A72,"W70752487",TEXT($B$1,"yyyy/mm/dd"),1),"")</f>
        <v>0</v>
      </c>
      <c r="F72">
        <f>IFERROR([1]!s_stm07_is_103($A72,TEXT($B$1,"yyyy/mm/dd"),1),"")</f>
        <v>0</v>
      </c>
      <c r="G72">
        <f>IFERROR([1]!s_stm07_is_104($A72,TEXT($B$1,"yyyy/mm/dd"),1),"")</f>
        <v>0</v>
      </c>
      <c r="H72">
        <f>IFERROR([1]!s_stm07_is_105($A72,TEXT($B$1,"yyyy/mm/dd"),1),"")</f>
        <v>0</v>
      </c>
      <c r="I72">
        <f>IFERROR([1]!s_stm07_is($A72,"W72946623",TEXT($B$1,"yyyy/mm/dd"),1),"")</f>
        <v>185590000000</v>
      </c>
      <c r="J72">
        <f>IFERROR([1]!s_stm07_is($A72,"W30028333",TEXT($B$1,"yyyy/mm/dd"),1),"")</f>
        <v>134778000000</v>
      </c>
      <c r="K72">
        <f>IFERROR([1]!s_stm07_cs($A72,"W77130581",TEXT($B$1,"yyyy/mm/dd"),1),"")</f>
        <v>658632000000</v>
      </c>
      <c r="L72">
        <f>IFERROR([1]!s_stm07_cs($A72,"W77745895",TEXT($B$1,"yyyy/mm/dd"),1),"")</f>
        <v>8355000000</v>
      </c>
      <c r="M72">
        <f>IFERROR([1]!S_FA_EPS_basic2($A72,$B$1,"Cur=CNY"),"")</f>
        <v>7.68</v>
      </c>
      <c r="N72">
        <f>IFERROR([1]!hks_fa_arturndays($A72,TEXT($B$1,"yyyy/mm/dd")),"")</f>
        <v>0</v>
      </c>
      <c r="O72">
        <f>IFERROR([1]!hks_fa_apturndays($A72,TEXT($B$1,"yyyy/mm/dd")),"")</f>
        <v>0</v>
      </c>
      <c r="P72">
        <f>IFERROR([1]!hks_fa_invturndays($A72,TEXT($B$1,"yyyy/mm/dd")),"")</f>
        <v>0</v>
      </c>
    </row>
    <row r="73" spans="1:16">
      <c r="A73" t="s">
        <v>1886</v>
      </c>
      <c r="B73">
        <f>IFERROR([1]!s_stm07_is($A73,"W70156729",TEXT($B$1,"yyyy/mm/dd"),1),"")</f>
        <v>82244944000</v>
      </c>
      <c r="C73">
        <f>IFERROR([1]!s_stm07_is($A73,"W75682424",TEXT($B$1,"yyyy/mm/dd"),1),"")</f>
        <v>49436501000</v>
      </c>
      <c r="D73">
        <f>IFERROR([1]!s_stm07_is($A73,"W76031679",TEXT($B$1,"yyyy/mm/dd"),1),"")</f>
        <v>21612213000</v>
      </c>
      <c r="E73">
        <f>IFERROR([1]!s_stm07_is($A73,"W70752487",TEXT($B$1,"yyyy/mm/dd"),1),"")</f>
        <v>4149524000</v>
      </c>
      <c r="F73">
        <f>IFERROR([1]!s_stm07_is_103($A73,TEXT($B$1,"yyyy/mm/dd"),1),"")</f>
        <v>0</v>
      </c>
      <c r="G73">
        <f>IFERROR([1]!s_stm07_is_104($A73,TEXT($B$1,"yyyy/mm/dd"),1),"")</f>
        <v>0</v>
      </c>
      <c r="H73">
        <f>IFERROR([1]!s_stm07_is_105($A73,TEXT($B$1,"yyyy/mm/dd"),1),"")</f>
        <v>0</v>
      </c>
      <c r="I73">
        <f>IFERROR([1]!s_stm07_is($A73,"W72946623",TEXT($B$1,"yyyy/mm/dd"),1),"")</f>
        <v>2908538000</v>
      </c>
      <c r="J73">
        <f>IFERROR([1]!s_stm07_is($A73,"W30028333",TEXT($B$1,"yyyy/mm/dd"),1),"")</f>
        <v>1545350000</v>
      </c>
      <c r="K73">
        <f>IFERROR([1]!s_stm07_cs($A73,"W77130581",TEXT($B$1,"yyyy/mm/dd"),1),"")</f>
        <v>0</v>
      </c>
      <c r="L73">
        <f>IFERROR([1]!s_stm07_cs($A73,"W77745895",TEXT($B$1,"yyyy/mm/dd"),1),"")</f>
        <v>0</v>
      </c>
      <c r="M73">
        <f>IFERROR([1]!S_FA_EPS_basic2($A73,$B$1,"Cur=CNY"),"")</f>
        <v>0.39600000000000002</v>
      </c>
      <c r="N73">
        <f>IFERROR([1]!hks_fa_arturndays($A73,TEXT($B$1,"yyyy/mm/dd")),"")</f>
        <v>12.455299999999999</v>
      </c>
      <c r="O73">
        <f>IFERROR([1]!hks_fa_apturndays($A73,TEXT($B$1,"yyyy/mm/dd")),"")</f>
        <v>60.3218613712164</v>
      </c>
      <c r="P73">
        <f>IFERROR([1]!hks_fa_invturndays($A73,TEXT($B$1,"yyyy/mm/dd")),"")</f>
        <v>35.445979342870899</v>
      </c>
    </row>
    <row r="74" spans="1:16">
      <c r="A74" t="s">
        <v>1887</v>
      </c>
      <c r="B74">
        <f>IFERROR([1]!s_stm07_is($A74,"W70156729",TEXT($B$1,"yyyy/mm/dd"),1),"")</f>
        <v>544141000000</v>
      </c>
      <c r="C74">
        <f>IFERROR([1]!s_stm07_is($A74,"W75682424",TEXT($B$1,"yyyy/mm/dd"),1),"")</f>
        <v>0</v>
      </c>
      <c r="D74">
        <f>IFERROR([1]!s_stm07_is($A74,"W76031679",TEXT($B$1,"yyyy/mm/dd"),1),"")</f>
        <v>0</v>
      </c>
      <c r="E74">
        <f>IFERROR([1]!s_stm07_is($A74,"W70752487",TEXT($B$1,"yyyy/mm/dd"),1),"")</f>
        <v>0</v>
      </c>
      <c r="F74">
        <f>IFERROR([1]!s_stm07_is_103($A74,TEXT($B$1,"yyyy/mm/dd"),1),"")</f>
        <v>0</v>
      </c>
      <c r="G74">
        <f>IFERROR([1]!s_stm07_is_104($A74,TEXT($B$1,"yyyy/mm/dd"),1),"")</f>
        <v>0</v>
      </c>
      <c r="H74">
        <f>IFERROR([1]!s_stm07_is_105($A74,TEXT($B$1,"yyyy/mm/dd"),1),"")</f>
        <v>0</v>
      </c>
      <c r="I74">
        <f>IFERROR([1]!s_stm07_is($A74,"W72946623",TEXT($B$1,"yyyy/mm/dd"),1),"")</f>
        <v>47701000000</v>
      </c>
      <c r="J74">
        <f>IFERROR([1]!s_stm07_is($A74,"W30028333",TEXT($B$1,"yyyy/mm/dd"),1),"")</f>
        <v>40370000000</v>
      </c>
      <c r="K74">
        <f>IFERROR([1]!s_stm07_cs($A74,"W77130581",TEXT($B$1,"yyyy/mm/dd"),1),"")</f>
        <v>43048000000</v>
      </c>
      <c r="L74">
        <f>IFERROR([1]!s_stm07_cs($A74,"W77745895",TEXT($B$1,"yyyy/mm/dd"),1),"")</f>
        <v>3442000000</v>
      </c>
      <c r="M74">
        <f>IFERROR([1]!S_FA_EPS_basic2($A74,$B$1,"Cur=CNY"),"")</f>
        <v>1.8149999999999999</v>
      </c>
      <c r="N74">
        <f>IFERROR([1]!hks_fa_arturndays($A74,TEXT($B$1,"yyyy/mm/dd")),"")</f>
        <v>0</v>
      </c>
      <c r="O74">
        <f>IFERROR([1]!hks_fa_apturndays($A74,TEXT($B$1,"yyyy/mm/dd")),"")</f>
        <v>0</v>
      </c>
      <c r="P74">
        <f>IFERROR([1]!hks_fa_invturndays($A74,TEXT($B$1,"yyyy/mm/dd")),"")</f>
        <v>0</v>
      </c>
    </row>
    <row r="75" spans="1:16">
      <c r="A75" t="s">
        <v>1888</v>
      </c>
      <c r="B75">
        <f>IFERROR([1]!s_stm07_is($A75,"W70156729",TEXT($B$1,"yyyy/mm/dd"),1),"")</f>
        <v>29598417000</v>
      </c>
      <c r="C75">
        <f>IFERROR([1]!s_stm07_is($A75,"W75682424",TEXT($B$1,"yyyy/mm/dd"),1),"")</f>
        <v>15109580000</v>
      </c>
      <c r="D75">
        <f>IFERROR([1]!s_stm07_is($A75,"W76031679",TEXT($B$1,"yyyy/mm/dd"),1),"")</f>
        <v>9189675000</v>
      </c>
      <c r="E75">
        <f>IFERROR([1]!s_stm07_is($A75,"W70752487",TEXT($B$1,"yyyy/mm/dd"),1),"")</f>
        <v>1630412000</v>
      </c>
      <c r="F75">
        <f>IFERROR([1]!s_stm07_is_103($A75,TEXT($B$1,"yyyy/mm/dd"),1),"")</f>
        <v>0</v>
      </c>
      <c r="G75">
        <f>IFERROR([1]!s_stm07_is_104($A75,TEXT($B$1,"yyyy/mm/dd"),1),"")</f>
        <v>0</v>
      </c>
      <c r="H75">
        <f>IFERROR([1]!s_stm07_is_105($A75,TEXT($B$1,"yyyy/mm/dd"),1),"")</f>
        <v>0</v>
      </c>
      <c r="I75">
        <f>IFERROR([1]!s_stm07_is($A75,"W72946623",TEXT($B$1,"yyyy/mm/dd"),1),"")</f>
        <v>4189223000</v>
      </c>
      <c r="J75">
        <f>IFERROR([1]!s_stm07_is($A75,"W30028333",TEXT($B$1,"yyyy/mm/dd"),1),"")</f>
        <v>2935743000</v>
      </c>
      <c r="K75">
        <f>IFERROR([1]!s_stm07_cs($A75,"W77130581",TEXT($B$1,"yyyy/mm/dd"),1),"")</f>
        <v>0</v>
      </c>
      <c r="L75">
        <f>IFERROR([1]!s_stm07_cs($A75,"W77745895",TEXT($B$1,"yyyy/mm/dd"),1),"")</f>
        <v>0</v>
      </c>
      <c r="M75">
        <f>IFERROR([1]!S_FA_EPS_basic2($A75,$B$1,"Cur=CNY"),"")</f>
        <v>1.1391</v>
      </c>
      <c r="N75">
        <f>IFERROR([1]!hks_fa_arturndays($A75,TEXT($B$1,"yyyy/mm/dd")),"")</f>
        <v>14.554500000000001</v>
      </c>
      <c r="O75">
        <f>IFERROR([1]!hks_fa_apturndays($A75,TEXT($B$1,"yyyy/mm/dd")),"")</f>
        <v>42.014978576505797</v>
      </c>
      <c r="P75">
        <f>IFERROR([1]!hks_fa_invturndays($A75,TEXT($B$1,"yyyy/mm/dd")),"")</f>
        <v>63.043973171287</v>
      </c>
    </row>
    <row r="76" spans="1:16">
      <c r="A76" t="s">
        <v>1889</v>
      </c>
      <c r="B76">
        <f>IFERROR([1]!s_stm07_is($A76,"W70156729",TEXT($B$1,"yyyy/mm/dd"),1),"")</f>
        <v>45456166000</v>
      </c>
      <c r="C76">
        <f>IFERROR([1]!s_stm07_is($A76,"W75682424",TEXT($B$1,"yyyy/mm/dd"),1),"")</f>
        <v>24077056000</v>
      </c>
      <c r="D76">
        <f>IFERROR([1]!s_stm07_is($A76,"W76031679",TEXT($B$1,"yyyy/mm/dd"),1),"")</f>
        <v>806867000</v>
      </c>
      <c r="E76">
        <f>IFERROR([1]!s_stm07_is($A76,"W70752487",TEXT($B$1,"yyyy/mm/dd"),1),"")</f>
        <v>2804976000</v>
      </c>
      <c r="F76">
        <f>IFERROR([1]!s_stm07_is_103($A76,TEXT($B$1,"yyyy/mm/dd"),1),"")</f>
        <v>1119452992.76</v>
      </c>
      <c r="G76">
        <f>IFERROR([1]!s_stm07_is_104($A76,TEXT($B$1,"yyyy/mm/dd"),1),"")</f>
        <v>268379352.78</v>
      </c>
      <c r="H76">
        <f>IFERROR([1]!s_stm07_is_105($A76,TEXT($B$1,"yyyy/mm/dd"),1),"")</f>
        <v>938021864.11000001</v>
      </c>
      <c r="I76">
        <f>IFERROR([1]!s_stm07_is($A76,"W72946623",TEXT($B$1,"yyyy/mm/dd"),1),"")</f>
        <v>23950987000</v>
      </c>
      <c r="J76">
        <f>IFERROR([1]!s_stm07_is($A76,"W30028333",TEXT($B$1,"yyyy/mm/dd"),1),"")</f>
        <v>19194927000</v>
      </c>
      <c r="K76">
        <f>IFERROR([1]!s_stm07_cs($A76,"W77130581",TEXT($B$1,"yyyy/mm/dd"),1),"")</f>
        <v>17203161622</v>
      </c>
      <c r="L76">
        <f>IFERROR([1]!s_stm07_cs($A76,"W77745895",TEXT($B$1,"yyyy/mm/dd"),1),"")</f>
        <v>5538150829.9399996</v>
      </c>
      <c r="M76">
        <f>IFERROR([1]!S_FA_EPS_basic2($A76,$B$1,"Cur=CNY"),"")</f>
        <v>6.72</v>
      </c>
      <c r="N76">
        <f>IFERROR([1]!hks_fa_arturndays($A76,TEXT($B$1,"yyyy/mm/dd")),"")</f>
        <v>59.773899999999998</v>
      </c>
      <c r="O76">
        <f>IFERROR([1]!hks_fa_apturndays($A76,TEXT($B$1,"yyyy/mm/dd")),"")</f>
        <v>31.2568147866583</v>
      </c>
      <c r="P76">
        <f>IFERROR([1]!hks_fa_invturndays($A76,TEXT($B$1,"yyyy/mm/dd")),"")</f>
        <v>78.160620074252606</v>
      </c>
    </row>
    <row r="77" spans="1:16">
      <c r="A77" t="s">
        <v>1890</v>
      </c>
      <c r="B77">
        <f>IFERROR([1]!s_stm07_is($A77,"W70156729",TEXT($B$1,"yyyy/mm/dd"),1),"")</f>
        <v>43229126000</v>
      </c>
      <c r="C77">
        <f>IFERROR([1]!s_stm07_is($A77,"W75682424",TEXT($B$1,"yyyy/mm/dd"),1),"")</f>
        <v>34713238000</v>
      </c>
      <c r="D77">
        <f>IFERROR([1]!s_stm07_is($A77,"W76031679",TEXT($B$1,"yyyy/mm/dd"),1),"")</f>
        <v>342945000</v>
      </c>
      <c r="E77">
        <f>IFERROR([1]!s_stm07_is($A77,"W70752487",TEXT($B$1,"yyyy/mm/dd"),1),"")</f>
        <v>1419957000</v>
      </c>
      <c r="F77">
        <f>IFERROR([1]!s_stm07_is_103($A77,TEXT($B$1,"yyyy/mm/dd"),1),"")</f>
        <v>0</v>
      </c>
      <c r="G77">
        <f>IFERROR([1]!s_stm07_is_104($A77,TEXT($B$1,"yyyy/mm/dd"),1),"")</f>
        <v>0</v>
      </c>
      <c r="H77">
        <f>IFERROR([1]!s_stm07_is_105($A77,TEXT($B$1,"yyyy/mm/dd"),1),"")</f>
        <v>0</v>
      </c>
      <c r="I77">
        <f>IFERROR([1]!s_stm07_is($A77,"W72946623",TEXT($B$1,"yyyy/mm/dd"),1),"")</f>
        <v>5415953000</v>
      </c>
      <c r="J77">
        <f>IFERROR([1]!s_stm07_is($A77,"W30028333",TEXT($B$1,"yyyy/mm/dd"),1),"")</f>
        <v>4639107000</v>
      </c>
      <c r="K77">
        <f>IFERROR([1]!s_stm07_cs($A77,"W77130581",TEXT($B$1,"yyyy/mm/dd"),1),"")</f>
        <v>0</v>
      </c>
      <c r="L77">
        <f>IFERROR([1]!s_stm07_cs($A77,"W77745895",TEXT($B$1,"yyyy/mm/dd"),1),"")</f>
        <v>0</v>
      </c>
      <c r="M77">
        <f>IFERROR([1]!S_FA_EPS_basic2($A77,$B$1,"Cur=CNY"),"")</f>
        <v>4.2655000000000003</v>
      </c>
      <c r="N77">
        <f>IFERROR([1]!hks_fa_arturndays($A77,TEXT($B$1,"yyyy/mm/dd")),"")</f>
        <v>80.989900000000006</v>
      </c>
      <c r="O77">
        <f>IFERROR([1]!hks_fa_apturndays($A77,TEXT($B$1,"yyyy/mm/dd")),"")</f>
        <v>188.54799946925101</v>
      </c>
      <c r="P77">
        <f>IFERROR([1]!hks_fa_invturndays($A77,TEXT($B$1,"yyyy/mm/dd")),"")</f>
        <v>67.667900979304903</v>
      </c>
    </row>
    <row r="78" spans="1:16">
      <c r="A78" t="s">
        <v>1891</v>
      </c>
      <c r="B78">
        <f>IFERROR([1]!s_stm07_is($A78,"W70156729",TEXT($B$1,"yyyy/mm/dd"),1),"")</f>
        <v>68725000000</v>
      </c>
      <c r="C78">
        <f>IFERROR([1]!s_stm07_is($A78,"W75682424",TEXT($B$1,"yyyy/mm/dd"),1),"")</f>
        <v>0</v>
      </c>
      <c r="D78">
        <f>IFERROR([1]!s_stm07_is($A78,"W76031679",TEXT($B$1,"yyyy/mm/dd"),1),"")</f>
        <v>0</v>
      </c>
      <c r="E78">
        <f>IFERROR([1]!s_stm07_is($A78,"W70752487",TEXT($B$1,"yyyy/mm/dd"),1),"")</f>
        <v>0</v>
      </c>
      <c r="F78">
        <f>IFERROR([1]!s_stm07_is_103($A78,TEXT($B$1,"yyyy/mm/dd"),1),"")</f>
        <v>0</v>
      </c>
      <c r="G78">
        <f>IFERROR([1]!s_stm07_is_104($A78,TEXT($B$1,"yyyy/mm/dd"),1),"")</f>
        <v>0</v>
      </c>
      <c r="H78">
        <f>IFERROR([1]!s_stm07_is_105($A78,TEXT($B$1,"yyyy/mm/dd"),1),"")</f>
        <v>0</v>
      </c>
      <c r="I78">
        <f>IFERROR([1]!s_stm07_is($A78,"W72946623",TEXT($B$1,"yyyy/mm/dd"),1),"")</f>
        <v>48574000000</v>
      </c>
      <c r="J78">
        <f>IFERROR([1]!s_stm07_is($A78,"W30028333",TEXT($B$1,"yyyy/mm/dd"),1),"")</f>
        <v>40121000000</v>
      </c>
      <c r="K78">
        <f>IFERROR([1]!s_stm07_cs($A78,"W77130581",TEXT($B$1,"yyyy/mm/dd"),1),"")</f>
        <v>0</v>
      </c>
      <c r="L78">
        <f>IFERROR([1]!s_stm07_cs($A78,"W77745895",TEXT($B$1,"yyyy/mm/dd"),1),"")</f>
        <v>0</v>
      </c>
      <c r="M78">
        <f>IFERROR([1]!S_FA_EPS_basic2($A78,$B$1,"Cur=CNY"),"")</f>
        <v>3.4274489340000001</v>
      </c>
      <c r="N78">
        <f>IFERROR([1]!hks_fa_arturndays($A78,TEXT($B$1,"yyyy/mm/dd")),"")</f>
        <v>0</v>
      </c>
      <c r="O78">
        <f>IFERROR([1]!hks_fa_apturndays($A78,TEXT($B$1,"yyyy/mm/dd")),"")</f>
        <v>0</v>
      </c>
      <c r="P78">
        <f>IFERROR([1]!hks_fa_invturndays($A78,TEXT($B$1,"yyyy/mm/dd")),"")</f>
        <v>0</v>
      </c>
    </row>
    <row r="79" spans="1:16">
      <c r="A79" t="s">
        <v>1892</v>
      </c>
      <c r="B79">
        <f>IFERROR([1]!s_stm07_is($A79,"W70156729",TEXT($B$1,"yyyy/mm/dd"),1),"")</f>
        <v>94580205000</v>
      </c>
      <c r="C79">
        <f>IFERROR([1]!s_stm07_is($A79,"W75682424",TEXT($B$1,"yyyy/mm/dd"),1),"")</f>
        <v>74368128000</v>
      </c>
      <c r="D79">
        <f>IFERROR([1]!s_stm07_is($A79,"W76031679",TEXT($B$1,"yyyy/mm/dd"),1),"")</f>
        <v>7328909000</v>
      </c>
      <c r="E79">
        <f>IFERROR([1]!s_stm07_is($A79,"W70752487",TEXT($B$1,"yyyy/mm/dd"),1),"")</f>
        <v>0</v>
      </c>
      <c r="F79">
        <f>IFERROR([1]!s_stm07_is_103($A79,TEXT($B$1,"yyyy/mm/dd"),1),"")</f>
        <v>0</v>
      </c>
      <c r="G79">
        <f>IFERROR([1]!s_stm07_is_104($A79,TEXT($B$1,"yyyy/mm/dd"),1),"")</f>
        <v>0</v>
      </c>
      <c r="H79">
        <f>IFERROR([1]!s_stm07_is_105($A79,TEXT($B$1,"yyyy/mm/dd"),1),"")</f>
        <v>0</v>
      </c>
      <c r="I79">
        <f>IFERROR([1]!s_stm07_is($A79,"W72946623",TEXT($B$1,"yyyy/mm/dd"),1),"")</f>
        <v>4677103000</v>
      </c>
      <c r="J79">
        <f>IFERROR([1]!s_stm07_is($A79,"W30028333",TEXT($B$1,"yyyy/mm/dd"),1),"")</f>
        <v>2993975000</v>
      </c>
      <c r="K79">
        <f>IFERROR([1]!s_stm07_cs($A79,"W77130581",TEXT($B$1,"yyyy/mm/dd"),1),"")</f>
        <v>0</v>
      </c>
      <c r="L79">
        <f>IFERROR([1]!s_stm07_cs($A79,"W77745895",TEXT($B$1,"yyyy/mm/dd"),1),"")</f>
        <v>0</v>
      </c>
      <c r="M79">
        <f>IFERROR([1]!S_FA_EPS_basic2($A79,$B$1,"Cur=CNY"),"")</f>
        <v>0.9</v>
      </c>
      <c r="N79">
        <f>IFERROR([1]!hks_fa_arturndays($A79,TEXT($B$1,"yyyy/mm/dd")),"")</f>
        <v>17.956099999999999</v>
      </c>
      <c r="O79">
        <f>IFERROR([1]!hks_fa_apturndays($A79,TEXT($B$1,"yyyy/mm/dd")),"")</f>
        <v>37.6244032927654</v>
      </c>
      <c r="P79">
        <f>IFERROR([1]!hks_fa_invturndays($A79,TEXT($B$1,"yyyy/mm/dd")),"")</f>
        <v>0</v>
      </c>
    </row>
    <row r="80" spans="1:16">
      <c r="A80" t="s">
        <v>1893</v>
      </c>
      <c r="B80">
        <f>IFERROR([1]!s_stm07_is($A80,"W70156729",TEXT($B$1,"yyyy/mm/dd"),1),"")</f>
        <v>217146986000</v>
      </c>
      <c r="C80">
        <f>IFERROR([1]!s_stm07_is($A80,"W75682424",TEXT($B$1,"yyyy/mm/dd"),1),"")</f>
        <v>197379017000</v>
      </c>
      <c r="D80">
        <f>IFERROR([1]!s_stm07_is($A80,"W76031679",TEXT($B$1,"yyyy/mm/dd"),1),"")</f>
        <v>6359181000</v>
      </c>
      <c r="E80">
        <f>IFERROR([1]!s_stm07_is($A80,"W70752487",TEXT($B$1,"yyyy/mm/dd"),1),"")</f>
        <v>3897660000</v>
      </c>
      <c r="F80">
        <f>IFERROR([1]!s_stm07_is_103($A80,TEXT($B$1,"yyyy/mm/dd"),1),"")</f>
        <v>0</v>
      </c>
      <c r="G80">
        <f>IFERROR([1]!s_stm07_is_104($A80,TEXT($B$1,"yyyy/mm/dd"),1),"")</f>
        <v>0</v>
      </c>
      <c r="H80">
        <f>IFERROR([1]!s_stm07_is_105($A80,TEXT($B$1,"yyyy/mm/dd"),1),"")</f>
        <v>0</v>
      </c>
      <c r="I80">
        <f>IFERROR([1]!s_stm07_is($A80,"W72946623",TEXT($B$1,"yyyy/mm/dd"),1),"")</f>
        <v>7332295000</v>
      </c>
      <c r="J80">
        <f>IFERROR([1]!s_stm07_is($A80,"W30028333",TEXT($B$1,"yyyy/mm/dd"),1),"")</f>
        <v>6646683000</v>
      </c>
      <c r="K80">
        <f>IFERROR([1]!s_stm07_cs($A80,"W77130581",TEXT($B$1,"yyyy/mm/dd"),1),"")</f>
        <v>0</v>
      </c>
      <c r="L80">
        <f>IFERROR([1]!s_stm07_cs($A80,"W77745895",TEXT($B$1,"yyyy/mm/dd"),1),"")</f>
        <v>0</v>
      </c>
      <c r="M80">
        <f>IFERROR([1]!S_FA_EPS_basic2($A80,$B$1,"Cur=CNY"),"")</f>
        <v>1.06</v>
      </c>
      <c r="N80">
        <f>IFERROR([1]!hks_fa_arturndays($A80,TEXT($B$1,"yyyy/mm/dd")),"")</f>
        <v>29.5046</v>
      </c>
      <c r="O80">
        <f>IFERROR([1]!hks_fa_apturndays($A80,TEXT($B$1,"yyyy/mm/dd")),"")</f>
        <v>17.5382320401363</v>
      </c>
      <c r="P80">
        <f>IFERROR([1]!hks_fa_invturndays($A80,TEXT($B$1,"yyyy/mm/dd")),"")</f>
        <v>1.3977016349614899</v>
      </c>
    </row>
    <row r="81" spans="1:16">
      <c r="A81" t="s">
        <v>1894</v>
      </c>
      <c r="B81">
        <f>IFERROR([1]!s_stm07_is($A81,"W70156729",TEXT($B$1,"yyyy/mm/dd"),1),"")</f>
        <v>606356000000</v>
      </c>
      <c r="C81">
        <f>IFERROR([1]!s_stm07_is($A81,"W75682424",TEXT($B$1,"yyyy/mm/dd"),1),"")</f>
        <v>0</v>
      </c>
      <c r="D81">
        <f>IFERROR([1]!s_stm07_is($A81,"W76031679",TEXT($B$1,"yyyy/mm/dd"),1),"")</f>
        <v>0</v>
      </c>
      <c r="E81">
        <f>IFERROR([1]!s_stm07_is($A81,"W70752487",TEXT($B$1,"yyyy/mm/dd"),1),"")</f>
        <v>0</v>
      </c>
      <c r="F81">
        <f>IFERROR([1]!s_stm07_is_103($A81,TEXT($B$1,"yyyy/mm/dd"),1),"")</f>
        <v>0</v>
      </c>
      <c r="G81">
        <f>IFERROR([1]!s_stm07_is_104($A81,TEXT($B$1,"yyyy/mm/dd"),1),"")</f>
        <v>0</v>
      </c>
      <c r="H81">
        <f>IFERROR([1]!s_stm07_is_105($A81,TEXT($B$1,"yyyy/mm/dd"),1),"")</f>
        <v>0</v>
      </c>
      <c r="I81">
        <f>IFERROR([1]!s_stm07_is($A81,"W72946623",TEXT($B$1,"yyyy/mm/dd"),1),"")</f>
        <v>181629000000</v>
      </c>
      <c r="J81">
        <f>IFERROR([1]!s_stm07_is($A81,"W30028333",TEXT($B$1,"yyyy/mm/dd"),1),"")</f>
        <v>154078000000</v>
      </c>
      <c r="K81">
        <f>IFERROR([1]!s_stm07_cs($A81,"W77130581",TEXT($B$1,"yyyy/mm/dd"),1),"")</f>
        <v>459925000000</v>
      </c>
      <c r="L81">
        <f>IFERROR([1]!s_stm07_cs($A81,"W77745895",TEXT($B$1,"yyyy/mm/dd"),1),"")</f>
        <v>3056000000</v>
      </c>
      <c r="M81">
        <f>IFERROR([1]!S_FA_EPS_basic2($A81,$B$1,"Cur=CNY"),"")</f>
        <v>5.45</v>
      </c>
      <c r="N81">
        <f>IFERROR([1]!hks_fa_arturndays($A81,TEXT($B$1,"yyyy/mm/dd")),"")</f>
        <v>0</v>
      </c>
      <c r="O81">
        <f>IFERROR([1]!hks_fa_apturndays($A81,TEXT($B$1,"yyyy/mm/dd")),"")</f>
        <v>0</v>
      </c>
      <c r="P81">
        <f>IFERROR([1]!hks_fa_invturndays($A81,TEXT($B$1,"yyyy/mm/dd")),"")</f>
        <v>0</v>
      </c>
    </row>
    <row r="82" spans="1:16">
      <c r="A82" t="s">
        <v>1895</v>
      </c>
      <c r="B82">
        <f>IFERROR([1]!s_stm07_is($A82,"W70156729",TEXT($B$1,"yyyy/mm/dd"),1),"")</f>
        <v>111905000000</v>
      </c>
      <c r="C82">
        <f>IFERROR([1]!s_stm07_is($A82,"W75682424",TEXT($B$1,"yyyy/mm/dd"),1),"")</f>
        <v>98613000000</v>
      </c>
      <c r="D82">
        <f>IFERROR([1]!s_stm07_is($A82,"W76031679",TEXT($B$1,"yyyy/mm/dd"),1),"")</f>
        <v>1386000000</v>
      </c>
      <c r="E82">
        <f>IFERROR([1]!s_stm07_is($A82,"W70752487",TEXT($B$1,"yyyy/mm/dd"),1),"")</f>
        <v>3792000000</v>
      </c>
      <c r="F82">
        <f>IFERROR([1]!s_stm07_is_103($A82,TEXT($B$1,"yyyy/mm/dd"),1),"")</f>
        <v>0</v>
      </c>
      <c r="G82">
        <f>IFERROR([1]!s_stm07_is_104($A82,TEXT($B$1,"yyyy/mm/dd"),1),"")</f>
        <v>0</v>
      </c>
      <c r="H82">
        <f>IFERROR([1]!s_stm07_is_105($A82,TEXT($B$1,"yyyy/mm/dd"),1),"")</f>
        <v>0</v>
      </c>
      <c r="I82">
        <f>IFERROR([1]!s_stm07_is($A82,"W72946623",TEXT($B$1,"yyyy/mm/dd"),1),"")</f>
        <v>8614000000</v>
      </c>
      <c r="J82">
        <f>IFERROR([1]!s_stm07_is($A82,"W30028333",TEXT($B$1,"yyyy/mm/dd"),1),"")</f>
        <v>5904000000</v>
      </c>
      <c r="K82">
        <f>IFERROR([1]!s_stm07_cs($A82,"W77130581",TEXT($B$1,"yyyy/mm/dd"),1),"")</f>
        <v>0</v>
      </c>
      <c r="L82">
        <f>IFERROR([1]!s_stm07_cs($A82,"W77745895",TEXT($B$1,"yyyy/mm/dd"),1),"")</f>
        <v>0</v>
      </c>
      <c r="M82">
        <f>IFERROR([1]!S_FA_EPS_basic2($A82,$B$1,"Cur=CNY"),"")</f>
        <v>5.31</v>
      </c>
      <c r="N82">
        <f>IFERROR([1]!hks_fa_arturndays($A82,TEXT($B$1,"yyyy/mm/dd")),"")</f>
        <v>12.6976</v>
      </c>
      <c r="O82">
        <f>IFERROR([1]!hks_fa_apturndays($A82,TEXT($B$1,"yyyy/mm/dd")),"")</f>
        <v>23.289221502236</v>
      </c>
      <c r="P82">
        <f>IFERROR([1]!hks_fa_invturndays($A82,TEXT($B$1,"yyyy/mm/dd")),"")</f>
        <v>5.6639574070403</v>
      </c>
    </row>
    <row r="83" spans="1:16">
      <c r="A83" t="s">
        <v>1896</v>
      </c>
      <c r="B83">
        <f>IFERROR([1]!s_stm07_is($A83,"W70156729",TEXT($B$1,"yyyy/mm/dd"),1),"")</f>
        <v>349079082852</v>
      </c>
      <c r="C83">
        <f>IFERROR([1]!s_stm07_is($A83,"W75682424",TEXT($B$1,"yyyy/mm/dd"),1),"")</f>
        <v>252288843039</v>
      </c>
      <c r="D83">
        <f>IFERROR([1]!s_stm07_is($A83,"W76031679",TEXT($B$1,"yyyy/mm/dd"),1),"")</f>
        <v>849939455</v>
      </c>
      <c r="E83">
        <f>IFERROR([1]!s_stm07_is($A83,"W70752487",TEXT($B$1,"yyyy/mm/dd"),1),"")</f>
        <v>11159456237</v>
      </c>
      <c r="F83">
        <f>IFERROR([1]!s_stm07_is_103($A83,TEXT($B$1,"yyyy/mm/dd"),1),"")</f>
        <v>1714881582</v>
      </c>
      <c r="G83">
        <f>IFERROR([1]!s_stm07_is_104($A83,TEXT($B$1,"yyyy/mm/dd"),1),"")</f>
        <v>3932640491</v>
      </c>
      <c r="H83">
        <f>IFERROR([1]!s_stm07_is_105($A83,TEXT($B$1,"yyyy/mm/dd"),1),"")</f>
        <v>2616011605</v>
      </c>
      <c r="I83">
        <f>IFERROR([1]!s_stm07_is($A83,"W72946623",TEXT($B$1,"yyyy/mm/dd"),1),"")</f>
        <v>80752523141</v>
      </c>
      <c r="J83">
        <f>IFERROR([1]!s_stm07_is($A83,"W30028333",TEXT($B$1,"yyyy/mm/dd"),1),"")</f>
        <v>51777327785</v>
      </c>
      <c r="K83">
        <f>IFERROR([1]!s_stm07_cs($A83,"W77130581",TEXT($B$1,"yyyy/mm/dd"),1),"")</f>
        <v>75429516296</v>
      </c>
      <c r="L83">
        <f>IFERROR([1]!s_stm07_cs($A83,"W77745895",TEXT($B$1,"yyyy/mm/dd"),1),"")</f>
        <v>30982297763</v>
      </c>
      <c r="M83">
        <f>IFERROR([1]!S_FA_EPS_basic2($A83,$B$1,"Cur=CNY"),"")</f>
        <v>1.95</v>
      </c>
      <c r="N83">
        <f>IFERROR([1]!hks_fa_arturndays($A83,TEXT($B$1,"yyyy/mm/dd")),"")</f>
        <v>10.3569</v>
      </c>
      <c r="O83">
        <f>IFERROR([1]!hks_fa_apturndays($A83,TEXT($B$1,"yyyy/mm/dd")),"")</f>
        <v>34.492157493761198</v>
      </c>
      <c r="P83">
        <f>IFERROR([1]!hks_fa_invturndays($A83,TEXT($B$1,"yyyy/mm/dd")),"")</f>
        <v>52.029888280267699</v>
      </c>
    </row>
    <row r="84" spans="1:16">
      <c r="A84" t="s">
        <v>1897</v>
      </c>
      <c r="B84">
        <f>IFERROR([1]!s_stm07_is($A84,"W70156729",TEXT($B$1,"yyyy/mm/dd"),1),"")</f>
        <v>210332000000</v>
      </c>
      <c r="C84">
        <f>IFERROR([1]!s_stm07_is($A84,"W75682424",TEXT($B$1,"yyyy/mm/dd"),1),"")</f>
        <v>0</v>
      </c>
      <c r="D84">
        <f>IFERROR([1]!s_stm07_is($A84,"W76031679",TEXT($B$1,"yyyy/mm/dd"),1),"")</f>
        <v>0</v>
      </c>
      <c r="E84">
        <f>IFERROR([1]!s_stm07_is($A84,"W70752487",TEXT($B$1,"yyyy/mm/dd"),1),"")</f>
        <v>0</v>
      </c>
      <c r="F84">
        <f>IFERROR([1]!s_stm07_is_103($A84,TEXT($B$1,"yyyy/mm/dd"),1),"")</f>
        <v>0</v>
      </c>
      <c r="G84">
        <f>IFERROR([1]!s_stm07_is_104($A84,TEXT($B$1,"yyyy/mm/dd"),1),"")</f>
        <v>0</v>
      </c>
      <c r="H84">
        <f>IFERROR([1]!s_stm07_is_105($A84,TEXT($B$1,"yyyy/mm/dd"),1),"")</f>
        <v>0</v>
      </c>
      <c r="I84">
        <f>IFERROR([1]!s_stm07_is($A84,"W72946623",TEXT($B$1,"yyyy/mm/dd"),1),"")</f>
        <v>103763000000</v>
      </c>
      <c r="J84">
        <f>IFERROR([1]!s_stm07_is($A84,"W30028333",TEXT($B$1,"yyyy/mm/dd"),1),"")</f>
        <v>95622000000</v>
      </c>
      <c r="K84">
        <f>IFERROR([1]!s_stm07_cs($A84,"W77130581",TEXT($B$1,"yyyy/mm/dd"),1),"")</f>
        <v>132441000000</v>
      </c>
      <c r="L84">
        <f>IFERROR([1]!s_stm07_cs($A84,"W77745895",TEXT($B$1,"yyyy/mm/dd"),1),"")</f>
        <v>43197000000</v>
      </c>
      <c r="M84">
        <f>IFERROR([1]!S_FA_EPS_basic2($A84,$B$1,"Cur=CNY"),"")</f>
        <v>1.08</v>
      </c>
      <c r="N84">
        <f>IFERROR([1]!hks_fa_arturndays($A84,TEXT($B$1,"yyyy/mm/dd")),"")</f>
        <v>0</v>
      </c>
      <c r="O84">
        <f>IFERROR([1]!hks_fa_apturndays($A84,TEXT($B$1,"yyyy/mm/dd")),"")</f>
        <v>0</v>
      </c>
      <c r="P84">
        <f>IFERROR([1]!hks_fa_invturndays($A84,TEXT($B$1,"yyyy/mm/dd")),"")</f>
        <v>0</v>
      </c>
    </row>
    <row r="85" spans="1:16">
      <c r="A85" t="s">
        <v>1898</v>
      </c>
      <c r="B85">
        <f>IFERROR([1]!s_stm07_is($A85,"W70156729",TEXT($B$1,"yyyy/mm/dd"),1),"")</f>
        <v>364854746000</v>
      </c>
      <c r="C85">
        <f>IFERROR([1]!s_stm07_is($A85,"W75682424",TEXT($B$1,"yyyy/mm/dd"),1),"")</f>
        <v>253846120000</v>
      </c>
      <c r="D85">
        <f>IFERROR([1]!s_stm07_is($A85,"W76031679",TEXT($B$1,"yyyy/mm/dd"),1),"")</f>
        <v>102934044000</v>
      </c>
      <c r="E85">
        <f>IFERROR([1]!s_stm07_is($A85,"W70752487",TEXT($B$1,"yyyy/mm/dd"),1),"")</f>
        <v>11916432000</v>
      </c>
      <c r="F85">
        <f>IFERROR([1]!s_stm07_is_103($A85,TEXT($B$1,"yyyy/mm/dd"),1),"")</f>
        <v>0</v>
      </c>
      <c r="G85">
        <f>IFERROR([1]!s_stm07_is_104($A85,TEXT($B$1,"yyyy/mm/dd"),1),"")</f>
        <v>0</v>
      </c>
      <c r="H85">
        <f>IFERROR([1]!s_stm07_is_105($A85,TEXT($B$1,"yyyy/mm/dd"),1),"")</f>
        <v>0</v>
      </c>
      <c r="I85">
        <f>IFERROR([1]!s_stm07_is($A85,"W72946623",TEXT($B$1,"yyyy/mm/dd"),1),"")</f>
        <v>-24837512000</v>
      </c>
      <c r="J85">
        <f>IFERROR([1]!s_stm07_is($A85,"W30028333",TEXT($B$1,"yyyy/mm/dd"),1),"")</f>
        <v>-23355015000</v>
      </c>
      <c r="K85">
        <f>IFERROR([1]!s_stm07_cs($A85,"W77130581",TEXT($B$1,"yyyy/mm/dd"),1),"")</f>
        <v>0</v>
      </c>
      <c r="L85">
        <f>IFERROR([1]!s_stm07_cs($A85,"W77745895",TEXT($B$1,"yyyy/mm/dd"),1),"")</f>
        <v>0</v>
      </c>
      <c r="M85">
        <f>IFERROR([1]!S_FA_EPS_basic2($A85,$B$1,"Cur=CNY"),"")</f>
        <v>-3.84</v>
      </c>
      <c r="N85">
        <f>IFERROR([1]!hks_fa_arturndays($A85,TEXT($B$1,"yyyy/mm/dd")),"")</f>
        <v>2.9481000000000002</v>
      </c>
      <c r="O85">
        <f>IFERROR([1]!hks_fa_apturndays($A85,TEXT($B$1,"yyyy/mm/dd")),"")</f>
        <v>61.8635561575651</v>
      </c>
      <c r="P85">
        <f>IFERROR([1]!hks_fa_invturndays($A85,TEXT($B$1,"yyyy/mm/dd")),"")</f>
        <v>3.3658260204529999</v>
      </c>
    </row>
    <row r="86" spans="1:16">
      <c r="A86" t="s">
        <v>1899</v>
      </c>
      <c r="B86">
        <f>IFERROR([1]!s_stm07_is($A86,"W70156729",TEXT($B$1,"yyyy/mm/dd"),1),"")</f>
        <v>15028324000</v>
      </c>
      <c r="C86">
        <f>IFERROR([1]!s_stm07_is($A86,"W75682424",TEXT($B$1,"yyyy/mm/dd"),1),"")</f>
        <v>1497867000</v>
      </c>
      <c r="D86">
        <f>IFERROR([1]!s_stm07_is($A86,"W76031679",TEXT($B$1,"yyyy/mm/dd"),1),"")</f>
        <v>4063790000</v>
      </c>
      <c r="E86">
        <f>IFERROR([1]!s_stm07_is($A86,"W70752487",TEXT($B$1,"yyyy/mm/dd"),1),"")</f>
        <v>671716000</v>
      </c>
      <c r="F86">
        <f>IFERROR([1]!s_stm07_is_103($A86,TEXT($B$1,"yyyy/mm/dd"),1),"")</f>
        <v>0</v>
      </c>
      <c r="G86">
        <f>IFERROR([1]!s_stm07_is_104($A86,TEXT($B$1,"yyyy/mm/dd"),1),"")</f>
        <v>0</v>
      </c>
      <c r="H86">
        <f>IFERROR([1]!s_stm07_is_105($A86,TEXT($B$1,"yyyy/mm/dd"),1),"")</f>
        <v>0</v>
      </c>
      <c r="I86">
        <f>IFERROR([1]!s_stm07_is($A86,"W72946623",TEXT($B$1,"yyyy/mm/dd"),1),"")</f>
        <v>6550581000</v>
      </c>
      <c r="J86">
        <f>IFERROR([1]!s_stm07_is($A86,"W30028333",TEXT($B$1,"yyyy/mm/dd"),1),"")</f>
        <v>5555461000</v>
      </c>
      <c r="K86">
        <f>IFERROR([1]!s_stm07_cs($A86,"W77130581",TEXT($B$1,"yyyy/mm/dd"),1),"")</f>
        <v>0</v>
      </c>
      <c r="L86">
        <f>IFERROR([1]!s_stm07_cs($A86,"W77745895",TEXT($B$1,"yyyy/mm/dd"),1),"")</f>
        <v>0</v>
      </c>
      <c r="M86">
        <f>IFERROR([1]!S_FA_EPS_basic2($A86,$B$1,"Cur=CNY"),"")</f>
        <v>0.93</v>
      </c>
      <c r="N86">
        <f>IFERROR([1]!hks_fa_arturndays($A86,TEXT($B$1,"yyyy/mm/dd")),"")</f>
        <v>74.622200000000007</v>
      </c>
      <c r="O86">
        <f>IFERROR([1]!hks_fa_apturndays($A86,TEXT($B$1,"yyyy/mm/dd")),"")</f>
        <v>66.354155609276404</v>
      </c>
      <c r="P86">
        <f>IFERROR([1]!hks_fa_invturndays($A86,TEXT($B$1,"yyyy/mm/dd")),"")</f>
        <v>151.432297143819</v>
      </c>
    </row>
    <row r="87" spans="1:16">
      <c r="A87" t="s">
        <v>1900</v>
      </c>
      <c r="B87">
        <f>IFERROR([1]!s_stm07_is($A87,"W70156729",TEXT($B$1,"yyyy/mm/dd"),1),"")</f>
        <v>423701834000</v>
      </c>
      <c r="C87">
        <f>IFERROR([1]!s_stm07_is($A87,"W75682424",TEXT($B$1,"yyyy/mm/dd"),1),"")</f>
        <v>312383297000</v>
      </c>
      <c r="D87">
        <f>IFERROR([1]!s_stm07_is($A87,"W76031679",TEXT($B$1,"yyyy/mm/dd"),1),"")</f>
        <v>3735118000</v>
      </c>
      <c r="E87">
        <f>IFERROR([1]!s_stm07_is($A87,"W70752487",TEXT($B$1,"yyyy/mm/dd"),1),"")</f>
        <v>11666741000</v>
      </c>
      <c r="F87">
        <f>IFERROR([1]!s_stm07_is_103($A87,TEXT($B$1,"yyyy/mm/dd"),1),"")</f>
        <v>22146581000</v>
      </c>
      <c r="G87">
        <f>IFERROR([1]!s_stm07_is_104($A87,TEXT($B$1,"yyyy/mm/dd"),1),"")</f>
        <v>2734017000</v>
      </c>
      <c r="H87">
        <f>IFERROR([1]!s_stm07_is_105($A87,TEXT($B$1,"yyyy/mm/dd"),1),"")</f>
        <v>10594657000</v>
      </c>
      <c r="I87">
        <f>IFERROR([1]!s_stm07_is($A87,"W72946623",TEXT($B$1,"yyyy/mm/dd"),1),"")</f>
        <v>89526545000</v>
      </c>
      <c r="J87">
        <f>IFERROR([1]!s_stm07_is($A87,"W30028333",TEXT($B$1,"yyyy/mm/dd"),1),"")</f>
        <v>72201282000</v>
      </c>
      <c r="K87">
        <f>IFERROR([1]!s_stm07_cs($A87,"W77130581",TEXT($B$1,"yyyy/mm/dd"),1),"")</f>
        <v>133219982000</v>
      </c>
      <c r="L87">
        <f>IFERROR([1]!s_stm07_cs($A87,"W77745895",TEXT($B$1,"yyyy/mm/dd"),1),"")</f>
        <v>42344558000</v>
      </c>
      <c r="M87">
        <f>IFERROR([1]!S_FA_EPS_basic2($A87,$B$1,"Cur=CNY"),"")</f>
        <v>16.14</v>
      </c>
      <c r="N87">
        <f>IFERROR([1]!hks_fa_arturndays($A87,TEXT($B$1,"yyyy/mm/dd")),"")</f>
        <v>78.700599999999994</v>
      </c>
      <c r="O87">
        <f>IFERROR([1]!hks_fa_apturndays($A87,TEXT($B$1,"yyyy/mm/dd")),"")</f>
        <v>255.31083404885101</v>
      </c>
      <c r="P87">
        <f>IFERROR([1]!hks_fa_invturndays($A87,TEXT($B$1,"yyyy/mm/dd")),"")</f>
        <v>88.945990018283396</v>
      </c>
    </row>
    <row r="88" spans="1:16">
      <c r="A88" t="s">
        <v>1901</v>
      </c>
      <c r="B88">
        <f>IFERROR([1]!s_stm07_is($A88,"W70156729",TEXT($B$1,"yyyy/mm/dd"),1),"")</f>
        <v>9682881000</v>
      </c>
      <c r="C88">
        <f>IFERROR([1]!s_stm07_is($A88,"W75682424",TEXT($B$1,"yyyy/mm/dd"),1),"")</f>
        <v>1819046000</v>
      </c>
      <c r="D88">
        <f>IFERROR([1]!s_stm07_is($A88,"W76031679",TEXT($B$1,"yyyy/mm/dd"),1),"")</f>
        <v>1790947000</v>
      </c>
      <c r="E88">
        <f>IFERROR([1]!s_stm07_is($A88,"W70752487",TEXT($B$1,"yyyy/mm/dd"),1),"")</f>
        <v>714239000</v>
      </c>
      <c r="F88">
        <f>IFERROR([1]!s_stm07_is_103($A88,TEXT($B$1,"yyyy/mm/dd"),1),"")</f>
        <v>0</v>
      </c>
      <c r="G88">
        <f>IFERROR([1]!s_stm07_is_104($A88,TEXT($B$1,"yyyy/mm/dd"),1),"")</f>
        <v>0</v>
      </c>
      <c r="H88">
        <f>IFERROR([1]!s_stm07_is_105($A88,TEXT($B$1,"yyyy/mm/dd"),1),"")</f>
        <v>0</v>
      </c>
      <c r="I88">
        <f>IFERROR([1]!s_stm07_is($A88,"W72946623",TEXT($B$1,"yyyy/mm/dd"),1),"")</f>
        <v>3313688000</v>
      </c>
      <c r="J88">
        <f>IFERROR([1]!s_stm07_is($A88,"W30028333",TEXT($B$1,"yyyy/mm/dd"),1),"")</f>
        <v>2004388000</v>
      </c>
      <c r="K88">
        <f>IFERROR([1]!s_stm07_cs($A88,"W77130581",TEXT($B$1,"yyyy/mm/dd"),1),"")</f>
        <v>0</v>
      </c>
      <c r="L88">
        <f>IFERROR([1]!s_stm07_cs($A88,"W77745895",TEXT($B$1,"yyyy/mm/dd"),1),"")</f>
        <v>0</v>
      </c>
      <c r="M88">
        <f>IFERROR([1]!S_FA_EPS_basic2($A88,$B$1,"Cur=CNY"),"")</f>
        <v>1.46</v>
      </c>
      <c r="N88">
        <f>IFERROR([1]!hks_fa_arturndays($A88,TEXT($B$1,"yyyy/mm/dd")),"")</f>
        <v>27.6279</v>
      </c>
      <c r="O88">
        <f>IFERROR([1]!hks_fa_apturndays($A88,TEXT($B$1,"yyyy/mm/dd")),"")</f>
        <v>101.069373726668</v>
      </c>
      <c r="P88">
        <f>IFERROR([1]!hks_fa_invturndays($A88,TEXT($B$1,"yyyy/mm/dd")),"")</f>
        <v>2.38278674852863</v>
      </c>
    </row>
    <row r="89" spans="1:16">
      <c r="A89" t="s">
        <v>1902</v>
      </c>
      <c r="B89">
        <f>IFERROR([1]!s_stm07_is($A89,"W70156729",TEXT($B$1,"yyyy/mm/dd"),1),"")</f>
        <v>289218000000</v>
      </c>
      <c r="C89">
        <f>IFERROR([1]!s_stm07_is($A89,"W75682424",TEXT($B$1,"yyyy/mm/dd"),1),"")</f>
        <v>0</v>
      </c>
      <c r="D89">
        <f>IFERROR([1]!s_stm07_is($A89,"W76031679",TEXT($B$1,"yyyy/mm/dd"),1),"")</f>
        <v>0</v>
      </c>
      <c r="E89">
        <f>IFERROR([1]!s_stm07_is($A89,"W70752487",TEXT($B$1,"yyyy/mm/dd"),1),"")</f>
        <v>0</v>
      </c>
      <c r="F89">
        <f>IFERROR([1]!s_stm07_is_103($A89,TEXT($B$1,"yyyy/mm/dd"),1),"")</f>
        <v>0</v>
      </c>
      <c r="G89">
        <f>IFERROR([1]!s_stm07_is_104($A89,TEXT($B$1,"yyyy/mm/dd"),1),"")</f>
        <v>0</v>
      </c>
      <c r="H89">
        <f>IFERROR([1]!s_stm07_is_105($A89,TEXT($B$1,"yyyy/mm/dd"),1),"")</f>
        <v>0</v>
      </c>
      <c r="I89">
        <f>IFERROR([1]!s_stm07_is($A89,"W72946623",TEXT($B$1,"yyyy/mm/dd"),1),"")</f>
        <v>178993000000</v>
      </c>
      <c r="J89">
        <f>IFERROR([1]!s_stm07_is($A89,"W30028333",TEXT($B$1,"yyyy/mm/dd"),1),"")</f>
        <v>150181000000</v>
      </c>
      <c r="K89">
        <f>IFERROR([1]!s_stm07_cs($A89,"W77130581",TEXT($B$1,"yyyy/mm/dd"),1),"")</f>
        <v>451457000000</v>
      </c>
      <c r="L89">
        <f>IFERROR([1]!s_stm07_cs($A89,"W77745895",TEXT($B$1,"yyyy/mm/dd"),1),"")</f>
        <v>28141000000</v>
      </c>
      <c r="M89">
        <f>IFERROR([1]!S_FA_EPS_basic2($A89,$B$1,"Cur=CNY"),"")</f>
        <v>5.7</v>
      </c>
      <c r="N89">
        <f>IFERROR([1]!hks_fa_arturndays($A89,TEXT($B$1,"yyyy/mm/dd")),"")</f>
        <v>0</v>
      </c>
      <c r="O89">
        <f>IFERROR([1]!hks_fa_apturndays($A89,TEXT($B$1,"yyyy/mm/dd")),"")</f>
        <v>0</v>
      </c>
      <c r="P89">
        <f>IFERROR([1]!hks_fa_invturndays($A89,TEXT($B$1,"yyyy/mm/dd")),"")</f>
        <v>0</v>
      </c>
    </row>
    <row r="90" spans="1:16">
      <c r="A90" t="s">
        <v>1903</v>
      </c>
      <c r="B90">
        <f>IFERROR([1]!s_stm07_is($A90,"W70156729",TEXT($B$1,"yyyy/mm/dd"),1),"")</f>
        <v>552681000000</v>
      </c>
      <c r="C90">
        <f>IFERROR([1]!s_stm07_is($A90,"W75682424",TEXT($B$1,"yyyy/mm/dd"),1),"")</f>
        <v>0</v>
      </c>
      <c r="D90">
        <f>IFERROR([1]!s_stm07_is($A90,"W76031679",TEXT($B$1,"yyyy/mm/dd"),1),"")</f>
        <v>0</v>
      </c>
      <c r="E90">
        <f>IFERROR([1]!s_stm07_is($A90,"W70752487",TEXT($B$1,"yyyy/mm/dd"),1),"")</f>
        <v>0</v>
      </c>
      <c r="F90">
        <f>IFERROR([1]!s_stm07_is_103($A90,TEXT($B$1,"yyyy/mm/dd"),1),"")</f>
        <v>0</v>
      </c>
      <c r="G90">
        <f>IFERROR([1]!s_stm07_is_104($A90,TEXT($B$1,"yyyy/mm/dd"),1),"")</f>
        <v>0</v>
      </c>
      <c r="H90">
        <f>IFERROR([1]!s_stm07_is_105($A90,TEXT($B$1,"yyyy/mm/dd"),1),"")</f>
        <v>0</v>
      </c>
      <c r="I90">
        <f>IFERROR([1]!s_stm07_is($A90,"W72946623",TEXT($B$1,"yyyy/mm/dd"),1),"")</f>
        <v>301288000000</v>
      </c>
      <c r="J90">
        <f>IFERROR([1]!s_stm07_is($A90,"W30028333",TEXT($B$1,"yyyy/mm/dd"),1),"")</f>
        <v>243021000000</v>
      </c>
      <c r="K90">
        <f>IFERROR([1]!s_stm07_cs($A90,"W77130581",TEXT($B$1,"yyyy/mm/dd"),1),"")</f>
        <v>812030000000</v>
      </c>
      <c r="L90">
        <f>IFERROR([1]!s_stm07_cs($A90,"W77745895",TEXT($B$1,"yyyy/mm/dd"),1),"")</f>
        <v>51273000000</v>
      </c>
      <c r="M90">
        <f>IFERROR([1]!S_FA_EPS_basic2($A90,$B$1,"Cur=CNY"),"")</f>
        <v>0.74</v>
      </c>
      <c r="N90">
        <f>IFERROR([1]!hks_fa_arturndays($A90,TEXT($B$1,"yyyy/mm/dd")),"")</f>
        <v>0</v>
      </c>
      <c r="O90">
        <f>IFERROR([1]!hks_fa_apturndays($A90,TEXT($B$1,"yyyy/mm/dd")),"")</f>
        <v>0</v>
      </c>
      <c r="P90">
        <f>IFERROR([1]!hks_fa_invturndays($A90,TEXT($B$1,"yyyy/mm/dd")),"")</f>
        <v>0</v>
      </c>
    </row>
    <row r="91" spans="1:16">
      <c r="A91" t="s">
        <v>1904</v>
      </c>
      <c r="B91">
        <f>IFERROR([1]!s_stm07_is($A91,"W70156729",TEXT($B$1,"yyyy/mm/dd"),1),"")</f>
        <v>206683649050.42999</v>
      </c>
      <c r="C91">
        <f>IFERROR([1]!s_stm07_is($A91,"W75682424",TEXT($B$1,"yyyy/mm/dd"),1),"")</f>
        <v>157229379805.35999</v>
      </c>
      <c r="D91">
        <f>IFERROR([1]!s_stm07_is($A91,"W76031679",TEXT($B$1,"yyyy/mm/dd"),1),"")</f>
        <v>104846109.61</v>
      </c>
      <c r="E91">
        <f>IFERROR([1]!s_stm07_is($A91,"W70752487",TEXT($B$1,"yyyy/mm/dd"),1),"")</f>
        <v>2806497917.0500002</v>
      </c>
      <c r="F91">
        <f>IFERROR([1]!s_stm07_is_103($A91,TEXT($B$1,"yyyy/mm/dd"),1),"")</f>
        <v>431679424.54000002</v>
      </c>
      <c r="G91">
        <f>IFERROR([1]!s_stm07_is_104($A91,TEXT($B$1,"yyyy/mm/dd"),1),"")</f>
        <v>2630714020.6399999</v>
      </c>
      <c r="H91">
        <f>IFERROR([1]!s_stm07_is_105($A91,TEXT($B$1,"yyyy/mm/dd"),1),"")</f>
        <v>1644470637.1400001</v>
      </c>
      <c r="I91">
        <f>IFERROR([1]!s_stm07_is($A91,"W72946623",TEXT($B$1,"yyyy/mm/dd"),1),"")</f>
        <v>35161390554.309998</v>
      </c>
      <c r="J91">
        <f>IFERROR([1]!s_stm07_is($A91,"W30028333",TEXT($B$1,"yyyy/mm/dd"),1),"")</f>
        <v>20338750797.529999</v>
      </c>
      <c r="K91">
        <f>IFERROR([1]!s_stm07_cs($A91,"W77130581",TEXT($B$1,"yyyy/mm/dd"),1),"")</f>
        <v>20843060708.779999</v>
      </c>
      <c r="L91">
        <f>IFERROR([1]!s_stm07_cs($A91,"W77745895",TEXT($B$1,"yyyy/mm/dd"),1),"")</f>
        <v>7583479880.5799999</v>
      </c>
      <c r="M91">
        <f>IFERROR([1]!S_FA_EPS_basic2($A91,$B$1,"Cur=CNY"),"")</f>
        <v>0.95</v>
      </c>
      <c r="N91">
        <f>IFERROR([1]!hks_fa_arturndays($A91,TEXT($B$1,"yyyy/mm/dd")),"")</f>
        <v>1.7397</v>
      </c>
      <c r="O91">
        <f>IFERROR([1]!hks_fa_apturndays($A91,TEXT($B$1,"yyyy/mm/dd")),"")</f>
        <v>12.624324523853</v>
      </c>
      <c r="P91">
        <f>IFERROR([1]!hks_fa_invturndays($A91,TEXT($B$1,"yyyy/mm/dd")),"")</f>
        <v>80.6867337561916</v>
      </c>
    </row>
    <row r="92" spans="1:16">
      <c r="A92" t="s">
        <v>1905</v>
      </c>
      <c r="B92">
        <f>IFERROR([1]!s_stm07_is($A92,"W70156729",TEXT($B$1,"yyyy/mm/dd"),1),"")</f>
        <v>5343033000</v>
      </c>
      <c r="C92">
        <f>IFERROR([1]!s_stm07_is($A92,"W75682424",TEXT($B$1,"yyyy/mm/dd"),1),"")</f>
        <v>668540000</v>
      </c>
      <c r="D92">
        <f>IFERROR([1]!s_stm07_is($A92,"W76031679",TEXT($B$1,"yyyy/mm/dd"),1),"")</f>
        <v>0</v>
      </c>
      <c r="E92">
        <f>IFERROR([1]!s_stm07_is($A92,"W70752487",TEXT($B$1,"yyyy/mm/dd"),1),"")</f>
        <v>2081489000</v>
      </c>
      <c r="F92">
        <f>IFERROR([1]!s_stm07_is_103($A92,TEXT($B$1,"yyyy/mm/dd"),1),"")</f>
        <v>15507524000</v>
      </c>
      <c r="G92">
        <f>IFERROR([1]!s_stm07_is_104($A92,TEXT($B$1,"yyyy/mm/dd"),1),"")</f>
        <v>427272000</v>
      </c>
      <c r="H92">
        <f>IFERROR([1]!s_stm07_is_105($A92,TEXT($B$1,"yyyy/mm/dd"),1),"")</f>
        <v>136930000</v>
      </c>
      <c r="I92">
        <f>IFERROR([1]!s_stm07_is($A92,"W72946623",TEXT($B$1,"yyyy/mm/dd"),1),"")</f>
        <v>416854000</v>
      </c>
      <c r="J92">
        <f>IFERROR([1]!s_stm07_is($A92,"W30028333",TEXT($B$1,"yyyy/mm/dd"),1),"")</f>
        <v>286933000</v>
      </c>
      <c r="K92">
        <f>IFERROR([1]!s_stm07_cs($A92,"W77130581",TEXT($B$1,"yyyy/mm/dd"),1),"")</f>
        <v>13713064000</v>
      </c>
      <c r="L92">
        <f>IFERROR([1]!s_stm07_cs($A92,"W77745895",TEXT($B$1,"yyyy/mm/dd"),1),"")</f>
        <v>1436647000</v>
      </c>
      <c r="M92">
        <f>IFERROR([1]!S_FA_EPS_basic2($A92,$B$1,"Cur=CNY"),"")</f>
        <v>18.485744</v>
      </c>
      <c r="N92">
        <f>IFERROR([1]!hks_fa_arturndays($A92,TEXT($B$1,"yyyy/mm/dd")),"")</f>
        <v>51.926299999999998</v>
      </c>
      <c r="O92">
        <f>IFERROR([1]!hks_fa_apturndays($A92,TEXT($B$1,"yyyy/mm/dd")),"")</f>
        <v>238.01980434977699</v>
      </c>
      <c r="P92">
        <f>IFERROR([1]!hks_fa_invturndays($A92,TEXT($B$1,"yyyy/mm/dd")),"")</f>
        <v>297.02970297029702</v>
      </c>
    </row>
    <row r="93" spans="1:16">
      <c r="A93" t="s">
        <v>1906</v>
      </c>
      <c r="B93">
        <f>IFERROR([1]!s_stm07_is($A93,"W70156729",TEXT($B$1,"yyyy/mm/dd"),1),"")</f>
        <v>27303184000</v>
      </c>
      <c r="C93">
        <f>IFERROR([1]!s_stm07_is($A93,"W75682424",TEXT($B$1,"yyyy/mm/dd"),1),"")</f>
        <v>17029455000</v>
      </c>
      <c r="D93">
        <f>IFERROR([1]!s_stm07_is($A93,"W76031679",TEXT($B$1,"yyyy/mm/dd"),1),"")</f>
        <v>3156312000</v>
      </c>
      <c r="E93">
        <f>IFERROR([1]!s_stm07_is($A93,"W70752487",TEXT($B$1,"yyyy/mm/dd"),1),"")</f>
        <v>543107000</v>
      </c>
      <c r="F93">
        <f>IFERROR([1]!s_stm07_is_103($A93,TEXT($B$1,"yyyy/mm/dd"),1),"")</f>
        <v>0</v>
      </c>
      <c r="G93">
        <f>IFERROR([1]!s_stm07_is_104($A93,TEXT($B$1,"yyyy/mm/dd"),1),"")</f>
        <v>0</v>
      </c>
      <c r="H93">
        <f>IFERROR([1]!s_stm07_is_105($A93,TEXT($B$1,"yyyy/mm/dd"),1),"")</f>
        <v>0</v>
      </c>
      <c r="I93">
        <f>IFERROR([1]!s_stm07_is($A93,"W72946623",TEXT($B$1,"yyyy/mm/dd"),1),"")</f>
        <v>6383974000</v>
      </c>
      <c r="J93">
        <f>IFERROR([1]!s_stm07_is($A93,"W30028333",TEXT($B$1,"yyyy/mm/dd"),1),"")</f>
        <v>4867936000</v>
      </c>
      <c r="K93">
        <f>IFERROR([1]!s_stm07_cs($A93,"W77130581",TEXT($B$1,"yyyy/mm/dd"),1),"")</f>
        <v>0</v>
      </c>
      <c r="L93">
        <f>IFERROR([1]!s_stm07_cs($A93,"W77745895",TEXT($B$1,"yyyy/mm/dd"),1),"")</f>
        <v>0</v>
      </c>
      <c r="M93">
        <f>IFERROR([1]!S_FA_EPS_basic2($A93,$B$1,"Cur=CNY"),"")</f>
        <v>28.35</v>
      </c>
      <c r="N93">
        <f>IFERROR([1]!hks_fa_arturndays($A93,TEXT($B$1,"yyyy/mm/dd")),"")</f>
        <v>13.722200000000001</v>
      </c>
      <c r="O93">
        <f>IFERROR([1]!hks_fa_apturndays($A93,TEXT($B$1,"yyyy/mm/dd")),"")</f>
        <v>9.1335007491431792</v>
      </c>
      <c r="P93">
        <f>IFERROR([1]!hks_fa_invturndays($A93,TEXT($B$1,"yyyy/mm/dd")),"")</f>
        <v>212.791110060291</v>
      </c>
    </row>
    <row r="94" spans="1:16">
      <c r="A94" t="s">
        <v>1907</v>
      </c>
      <c r="B94">
        <f>IFERROR([1]!s_stm07_is($A94,"W70156729",TEXT($B$1,"yyyy/mm/dd"),1),"")</f>
        <v>73441487000</v>
      </c>
      <c r="C94">
        <f>IFERROR([1]!s_stm07_is($A94,"W75682424",TEXT($B$1,"yyyy/mm/dd"),1),"")</f>
        <v>55242325000</v>
      </c>
      <c r="D94">
        <f>IFERROR([1]!s_stm07_is($A94,"W76031679",TEXT($B$1,"yyyy/mm/dd"),1),"")</f>
        <v>3842618000</v>
      </c>
      <c r="E94">
        <f>IFERROR([1]!s_stm07_is($A94,"W70752487",TEXT($B$1,"yyyy/mm/dd"),1),"")</f>
        <v>1162659000</v>
      </c>
      <c r="F94">
        <f>IFERROR([1]!s_stm07_is_103($A94,TEXT($B$1,"yyyy/mm/dd"),1),"")</f>
        <v>0</v>
      </c>
      <c r="G94">
        <f>IFERROR([1]!s_stm07_is_104($A94,TEXT($B$1,"yyyy/mm/dd"),1),"")</f>
        <v>0</v>
      </c>
      <c r="H94">
        <f>IFERROR([1]!s_stm07_is_105($A94,TEXT($B$1,"yyyy/mm/dd"),1),"")</f>
        <v>0</v>
      </c>
      <c r="I94">
        <f>IFERROR([1]!s_stm07_is($A94,"W72946623",TEXT($B$1,"yyyy/mm/dd"),1),"")</f>
        <v>6029995000</v>
      </c>
      <c r="J94">
        <f>IFERROR([1]!s_stm07_is($A94,"W30028333",TEXT($B$1,"yyyy/mm/dd"),1),"")</f>
        <v>5375405000</v>
      </c>
      <c r="K94">
        <f>IFERROR([1]!s_stm07_cs($A94,"W77130581",TEXT($B$1,"yyyy/mm/dd"),1),"")</f>
        <v>0</v>
      </c>
      <c r="L94">
        <f>IFERROR([1]!s_stm07_cs($A94,"W77745895",TEXT($B$1,"yyyy/mm/dd"),1),"")</f>
        <v>0</v>
      </c>
      <c r="M94">
        <f>IFERROR([1]!S_FA_EPS_basic2($A94,$B$1,"Cur=CNY"),"")</f>
        <v>1.7</v>
      </c>
      <c r="N94">
        <f>IFERROR([1]!hks_fa_arturndays($A94,TEXT($B$1,"yyyy/mm/dd")),"")</f>
        <v>2.4207000000000001</v>
      </c>
      <c r="O94">
        <f>IFERROR([1]!hks_fa_apturndays($A94,TEXT($B$1,"yyyy/mm/dd")),"")</f>
        <v>77.004626796573106</v>
      </c>
      <c r="P94">
        <f>IFERROR([1]!hks_fa_invturndays($A94,TEXT($B$1,"yyyy/mm/dd")),"")</f>
        <v>41.384067134153398</v>
      </c>
    </row>
    <row r="95" spans="1:16">
      <c r="A95" t="s">
        <v>1908</v>
      </c>
      <c r="B95">
        <f>IFERROR([1]!s_stm07_is($A95,"W70156729",TEXT($B$1,"yyyy/mm/dd"),1),"")</f>
        <v>302329000000</v>
      </c>
      <c r="C95">
        <f>IFERROR([1]!s_stm07_is($A95,"W75682424",TEXT($B$1,"yyyy/mm/dd"),1),"")</f>
        <v>223374000000</v>
      </c>
      <c r="D95">
        <f>IFERROR([1]!s_stm07_is($A95,"W76031679",TEXT($B$1,"yyyy/mm/dd"),1),"")</f>
        <v>33878000000</v>
      </c>
      <c r="E95">
        <f>IFERROR([1]!s_stm07_is($A95,"W70752487",TEXT($B$1,"yyyy/mm/dd"),1),"")</f>
        <v>25545000000</v>
      </c>
      <c r="F95">
        <f>IFERROR([1]!s_stm07_is_103($A95,TEXT($B$1,"yyyy/mm/dd"),1),"")</f>
        <v>10095934065.450001</v>
      </c>
      <c r="G95">
        <f>IFERROR([1]!s_stm07_is_104($A95,TEXT($B$1,"yyyy/mm/dd"),1),"")</f>
        <v>2679484195.3499999</v>
      </c>
      <c r="H95">
        <f>IFERROR([1]!s_stm07_is_105($A95,TEXT($B$1,"yyyy/mm/dd"),1),"")</f>
        <v>1719937738.8599999</v>
      </c>
      <c r="I95">
        <f>IFERROR([1]!s_stm07_is($A95,"W72946623",TEXT($B$1,"yyyy/mm/dd"),1),"")</f>
        <v>23479000000</v>
      </c>
      <c r="J95">
        <f>IFERROR([1]!s_stm07_is($A95,"W30028333",TEXT($B$1,"yyyy/mm/dd"),1),"")</f>
        <v>19553000000</v>
      </c>
      <c r="K95">
        <f>IFERROR([1]!s_stm07_cs($A95,"W77130581",TEXT($B$1,"yyyy/mm/dd"),1),"")</f>
        <v>26002941969.919998</v>
      </c>
      <c r="L95">
        <f>IFERROR([1]!s_stm07_cs($A95,"W77745895",TEXT($B$1,"yyyy/mm/dd"),1),"")</f>
        <v>8851563940.8899994</v>
      </c>
      <c r="M95">
        <f>IFERROR([1]!S_FA_EPS_basic2($A95,$B$1,"Cur=CNY"),"")</f>
        <v>2.12</v>
      </c>
      <c r="N95">
        <f>IFERROR([1]!hks_fa_arturndays($A95,TEXT($B$1,"yyyy/mm/dd")),"")</f>
        <v>42.950699999999998</v>
      </c>
      <c r="O95">
        <f>IFERROR([1]!hks_fa_apturndays($A95,TEXT($B$1,"yyyy/mm/dd")),"")</f>
        <v>123.41346799538</v>
      </c>
      <c r="P95">
        <f>IFERROR([1]!hks_fa_invturndays($A95,TEXT($B$1,"yyyy/mm/dd")),"")</f>
        <v>72.436065111974102</v>
      </c>
    </row>
    <row r="96" spans="1:16">
      <c r="A96" t="s">
        <v>1909</v>
      </c>
      <c r="B96">
        <f>IFERROR([1]!s_stm07_is($A96,"W70156729",TEXT($B$1,"yyyy/mm/dd"),1),"")</f>
        <v>43225355000</v>
      </c>
      <c r="C96">
        <f>IFERROR([1]!s_stm07_is($A96,"W75682424",TEXT($B$1,"yyyy/mm/dd"),1),"")</f>
        <v>0</v>
      </c>
      <c r="D96">
        <f>IFERROR([1]!s_stm07_is($A96,"W76031679",TEXT($B$1,"yyyy/mm/dd"),1),"")</f>
        <v>0</v>
      </c>
      <c r="E96">
        <f>IFERROR([1]!s_stm07_is($A96,"W70752487",TEXT($B$1,"yyyy/mm/dd"),1),"")</f>
        <v>0</v>
      </c>
      <c r="F96">
        <f>IFERROR([1]!s_stm07_is_103($A96,TEXT($B$1,"yyyy/mm/dd"),1),"")</f>
        <v>0</v>
      </c>
      <c r="G96">
        <f>IFERROR([1]!s_stm07_is_104($A96,TEXT($B$1,"yyyy/mm/dd"),1),"")</f>
        <v>0</v>
      </c>
      <c r="H96">
        <f>IFERROR([1]!s_stm07_is_105($A96,TEXT($B$1,"yyyy/mm/dd"),1),"")</f>
        <v>0</v>
      </c>
      <c r="I96">
        <f>IFERROR([1]!s_stm07_is($A96,"W72946623",TEXT($B$1,"yyyy/mm/dd"),1),"")</f>
        <v>5811695000</v>
      </c>
      <c r="J96">
        <f>IFERROR([1]!s_stm07_is($A96,"W30028333",TEXT($B$1,"yyyy/mm/dd"),1),"")</f>
        <v>4049824000</v>
      </c>
      <c r="K96">
        <f>IFERROR([1]!s_stm07_cs($A96,"W77130581",TEXT($B$1,"yyyy/mm/dd"),1),"")</f>
        <v>0</v>
      </c>
      <c r="L96">
        <f>IFERROR([1]!s_stm07_cs($A96,"W77745895",TEXT($B$1,"yyyy/mm/dd"),1),"")</f>
        <v>0</v>
      </c>
      <c r="M96">
        <f>IFERROR([1]!S_FA_EPS_basic2($A96,$B$1,"Cur=CNY"),"")</f>
        <v>0.75</v>
      </c>
      <c r="N96">
        <f>IFERROR([1]!hks_fa_arturndays($A96,TEXT($B$1,"yyyy/mm/dd")),"")</f>
        <v>5.6138000000000003</v>
      </c>
      <c r="O96">
        <f>IFERROR([1]!hks_fa_apturndays($A96,TEXT($B$1,"yyyy/mm/dd")),"")</f>
        <v>0</v>
      </c>
      <c r="P96">
        <f>IFERROR([1]!hks_fa_invturndays($A96,TEXT($B$1,"yyyy/mm/dd")),"")</f>
        <v>0</v>
      </c>
    </row>
    <row r="97" spans="1:16">
      <c r="A97" t="s">
        <v>1910</v>
      </c>
      <c r="B97">
        <f>IFERROR([1]!s_stm07_is($A97,"W70156729",TEXT($B$1,"yyyy/mm/dd"),1),"")</f>
        <v>1309085000000</v>
      </c>
      <c r="C97">
        <f>IFERROR([1]!s_stm07_is($A97,"W75682424",TEXT($B$1,"yyyy/mm/dd"),1),"")</f>
        <v>1099057000000</v>
      </c>
      <c r="D97">
        <f>IFERROR([1]!s_stm07_is($A97,"W76031679",TEXT($B$1,"yyyy/mm/dd"),1),"")</f>
        <v>83953000000</v>
      </c>
      <c r="E97">
        <f>IFERROR([1]!s_stm07_is($A97,"W70752487",TEXT($B$1,"yyyy/mm/dd"),1),"")</f>
        <v>11980000000</v>
      </c>
      <c r="F97">
        <f>IFERROR([1]!s_stm07_is_103($A97,TEXT($B$1,"yyyy/mm/dd"),1),"")</f>
        <v>0</v>
      </c>
      <c r="G97">
        <f>IFERROR([1]!s_stm07_is_104($A97,TEXT($B$1,"yyyy/mm/dd"),1),"")</f>
        <v>0</v>
      </c>
      <c r="H97">
        <f>IFERROR([1]!s_stm07_is_105($A97,TEXT($B$1,"yyyy/mm/dd"),1),"")</f>
        <v>0</v>
      </c>
      <c r="I97">
        <f>IFERROR([1]!s_stm07_is($A97,"W72946623",TEXT($B$1,"yyyy/mm/dd"),1),"")</f>
        <v>25323000000</v>
      </c>
      <c r="J97">
        <f>IFERROR([1]!s_stm07_is($A97,"W30028333",TEXT($B$1,"yyyy/mm/dd"),1),"")</f>
        <v>19631000000</v>
      </c>
      <c r="K97">
        <f>IFERROR([1]!s_stm07_cs($A97,"W77130581",TEXT($B$1,"yyyy/mm/dd"),1),"")</f>
        <v>0</v>
      </c>
      <c r="L97">
        <f>IFERROR([1]!s_stm07_cs($A97,"W77745895",TEXT($B$1,"yyyy/mm/dd"),1),"")</f>
        <v>0</v>
      </c>
      <c r="M97">
        <f>IFERROR([1]!S_FA_EPS_basic2($A97,$B$1,"Cur=CNY"),"")</f>
        <v>6.89</v>
      </c>
      <c r="N97">
        <f>IFERROR([1]!hks_fa_arturndays($A97,TEXT($B$1,"yyyy/mm/dd")),"")</f>
        <v>7.2778</v>
      </c>
      <c r="O97">
        <f>IFERROR([1]!hks_fa_apturndays($A97,TEXT($B$1,"yyyy/mm/dd")),"")</f>
        <v>62.438090108156402</v>
      </c>
      <c r="P97">
        <f>IFERROR([1]!hks_fa_invturndays($A97,TEXT($B$1,"yyyy/mm/dd")),"")</f>
        <v>30.258457659172102</v>
      </c>
    </row>
    <row r="98" spans="1:16">
      <c r="A98" t="s">
        <v>1911</v>
      </c>
      <c r="B98">
        <f>IFERROR([1]!s_stm07_is($A98,"W70156729",TEXT($B$1,"yyyy/mm/dd"),1),"")</f>
        <v>30347766000</v>
      </c>
      <c r="C98">
        <f>IFERROR([1]!s_stm07_is($A98,"W75682424",TEXT($B$1,"yyyy/mm/dd"),1),"")</f>
        <v>19233654000</v>
      </c>
      <c r="D98">
        <f>IFERROR([1]!s_stm07_is($A98,"W76031679",TEXT($B$1,"yyyy/mm/dd"),1),"")</f>
        <v>4394107000</v>
      </c>
      <c r="E98">
        <f>IFERROR([1]!s_stm07_is($A98,"W70752487",TEXT($B$1,"yyyy/mm/dd"),1),"")</f>
        <v>0</v>
      </c>
      <c r="F98">
        <f>IFERROR([1]!s_stm07_is_103($A98,TEXT($B$1,"yyyy/mm/dd"),1),"")</f>
        <v>0</v>
      </c>
      <c r="G98">
        <f>IFERROR([1]!s_stm07_is_104($A98,TEXT($B$1,"yyyy/mm/dd"),1),"")</f>
        <v>0</v>
      </c>
      <c r="H98">
        <f>IFERROR([1]!s_stm07_is_105($A98,TEXT($B$1,"yyyy/mm/dd"),1),"")</f>
        <v>0</v>
      </c>
      <c r="I98">
        <f>IFERROR([1]!s_stm07_is($A98,"W72946623",TEXT($B$1,"yyyy/mm/dd"),1),"")</f>
        <v>1208086000</v>
      </c>
      <c r="J98">
        <f>IFERROR([1]!s_stm07_is($A98,"W30028333",TEXT($B$1,"yyyy/mm/dd"),1),"")</f>
        <v>1193531000</v>
      </c>
      <c r="K98">
        <f>IFERROR([1]!s_stm07_cs($A98,"W77130581",TEXT($B$1,"yyyy/mm/dd"),1),"")</f>
        <v>0</v>
      </c>
      <c r="L98">
        <f>IFERROR([1]!s_stm07_cs($A98,"W77745895",TEXT($B$1,"yyyy/mm/dd"),1),"")</f>
        <v>0</v>
      </c>
      <c r="M98">
        <f>IFERROR([1]!S_FA_EPS_basic2($A98,$B$1,"Cur=CNY"),"")</f>
        <v>2.85</v>
      </c>
      <c r="N98">
        <f>IFERROR([1]!hks_fa_arturndays($A98,TEXT($B$1,"yyyy/mm/dd")),"")</f>
        <v>14.798999999999999</v>
      </c>
      <c r="O98">
        <f>IFERROR([1]!hks_fa_apturndays($A98,TEXT($B$1,"yyyy/mm/dd")),"")</f>
        <v>96.382599998939398</v>
      </c>
      <c r="P98">
        <f>IFERROR([1]!hks_fa_invturndays($A98,TEXT($B$1,"yyyy/mm/dd")),"")</f>
        <v>0</v>
      </c>
    </row>
    <row r="99" spans="1:16">
      <c r="A99" t="s">
        <v>1912</v>
      </c>
      <c r="B99">
        <f>IFERROR([1]!s_stm07_is($A99,"W70156729",TEXT($B$1,"yyyy/mm/dd"),1),"")</f>
        <v>52552910000</v>
      </c>
      <c r="C99">
        <f>IFERROR([1]!s_stm07_is($A99,"W75682424",TEXT($B$1,"yyyy/mm/dd"),1),"")</f>
        <v>20744806000</v>
      </c>
      <c r="D99">
        <f>IFERROR([1]!s_stm07_is($A99,"W76031679",TEXT($B$1,"yyyy/mm/dd"),1),"")</f>
        <v>9800460000</v>
      </c>
      <c r="E99">
        <f>IFERROR([1]!s_stm07_is($A99,"W70752487",TEXT($B$1,"yyyy/mm/dd"),1),"")</f>
        <v>2452127000</v>
      </c>
      <c r="F99">
        <f>IFERROR([1]!s_stm07_is_103($A99,TEXT($B$1,"yyyy/mm/dd"),1),"")</f>
        <v>0</v>
      </c>
      <c r="G99">
        <f>IFERROR([1]!s_stm07_is_104($A99,TEXT($B$1,"yyyy/mm/dd"),1),"")</f>
        <v>0</v>
      </c>
      <c r="H99">
        <f>IFERROR([1]!s_stm07_is_105($A99,TEXT($B$1,"yyyy/mm/dd"),1),"")</f>
        <v>0</v>
      </c>
      <c r="I99">
        <f>IFERROR([1]!s_stm07_is($A99,"W72946623",TEXT($B$1,"yyyy/mm/dd"),1),"")</f>
        <v>20917593000</v>
      </c>
      <c r="J99">
        <f>IFERROR([1]!s_stm07_is($A99,"W30028333",TEXT($B$1,"yyyy/mm/dd"),1),"")</f>
        <v>15868274000</v>
      </c>
      <c r="K99">
        <f>IFERROR([1]!s_stm07_cs($A99,"W77130581",TEXT($B$1,"yyyy/mm/dd"),1),"")</f>
        <v>0</v>
      </c>
      <c r="L99">
        <f>IFERROR([1]!s_stm07_cs($A99,"W77745895",TEXT($B$1,"yyyy/mm/dd"),1),"")</f>
        <v>0</v>
      </c>
      <c r="M99">
        <f>IFERROR([1]!S_FA_EPS_basic2($A99,$B$1,"Cur=CNY"),"")</f>
        <v>1.411</v>
      </c>
      <c r="N99">
        <f>IFERROR([1]!hks_fa_arturndays($A99,TEXT($B$1,"yyyy/mm/dd")),"")</f>
        <v>4.04</v>
      </c>
      <c r="O99">
        <f>IFERROR([1]!hks_fa_apturndays($A99,TEXT($B$1,"yyyy/mm/dd")),"")</f>
        <v>27.363639843149201</v>
      </c>
      <c r="P99">
        <f>IFERROR([1]!hks_fa_invturndays($A99,TEXT($B$1,"yyyy/mm/dd")),"")</f>
        <v>94.226037795110699</v>
      </c>
    </row>
    <row r="100" spans="1:16">
      <c r="A100" t="s">
        <v>1913</v>
      </c>
      <c r="B100">
        <f>IFERROR([1]!s_stm07_is($A100,"W70156729",TEXT($B$1,"yyyy/mm/dd"),1),"")</f>
        <v>3758268000</v>
      </c>
      <c r="C100">
        <f>IFERROR([1]!s_stm07_is($A100,"W75682424",TEXT($B$1,"yyyy/mm/dd"),1),"")</f>
        <v>1332588000</v>
      </c>
      <c r="D100">
        <f>IFERROR([1]!s_stm07_is($A100,"W76031679",TEXT($B$1,"yyyy/mm/dd"),1),"")</f>
        <v>631924000</v>
      </c>
      <c r="E100">
        <f>IFERROR([1]!s_stm07_is($A100,"W70752487",TEXT($B$1,"yyyy/mm/dd"),1),"")</f>
        <v>725964000</v>
      </c>
      <c r="F100">
        <f>IFERROR([1]!s_stm07_is_103($A100,TEXT($B$1,"yyyy/mm/dd"),1),"")</f>
        <v>0</v>
      </c>
      <c r="G100">
        <f>IFERROR([1]!s_stm07_is_104($A100,TEXT($B$1,"yyyy/mm/dd"),1),"")</f>
        <v>0</v>
      </c>
      <c r="H100">
        <f>IFERROR([1]!s_stm07_is_105($A100,TEXT($B$1,"yyyy/mm/dd"),1),"")</f>
        <v>0</v>
      </c>
      <c r="I100">
        <f>IFERROR([1]!s_stm07_is($A100,"W72946623",TEXT($B$1,"yyyy/mm/dd"),1),"")</f>
        <v>-10466047000</v>
      </c>
      <c r="J100">
        <f>IFERROR([1]!s_stm07_is($A100,"W30028333",TEXT($B$1,"yyyy/mm/dd"),1),"")</f>
        <v>-10469012000</v>
      </c>
      <c r="K100">
        <f>IFERROR([1]!s_stm07_cs($A100,"W77130581",TEXT($B$1,"yyyy/mm/dd"),1),"")</f>
        <v>0</v>
      </c>
      <c r="L100">
        <f>IFERROR([1]!s_stm07_cs($A100,"W77745895",TEXT($B$1,"yyyy/mm/dd"),1),"")</f>
        <v>0</v>
      </c>
      <c r="M100">
        <f>IFERROR([1]!S_FA_EPS_basic2($A100,$B$1,"Cur=CNY"),"")</f>
        <v>-0.81</v>
      </c>
      <c r="N100">
        <f>IFERROR([1]!hks_fa_arturndays($A100,TEXT($B$1,"yyyy/mm/dd")),"")</f>
        <v>116.8073</v>
      </c>
      <c r="O100">
        <f>IFERROR([1]!hks_fa_apturndays($A100,TEXT($B$1,"yyyy/mm/dd")),"")</f>
        <v>33.626101991013002</v>
      </c>
      <c r="P100">
        <f>IFERROR([1]!hks_fa_invturndays($A100,TEXT($B$1,"yyyy/mm/dd")),"")</f>
        <v>223.505308251071</v>
      </c>
    </row>
    <row r="101" spans="1:16">
      <c r="A101" t="s">
        <v>1914</v>
      </c>
      <c r="B101">
        <f>IFERROR([1]!s_stm07_is($A101,"W70156729",TEXT($B$1,"yyyy/mm/dd"),1),"")</f>
        <v>64731860000</v>
      </c>
      <c r="C101">
        <f>IFERROR([1]!s_stm07_is($A101,"W75682424",TEXT($B$1,"yyyy/mm/dd"),1),"")</f>
        <v>55319907000</v>
      </c>
      <c r="D101">
        <f>IFERROR([1]!s_stm07_is($A101,"W76031679",TEXT($B$1,"yyyy/mm/dd"),1),"")</f>
        <v>3654178000</v>
      </c>
      <c r="E101">
        <f>IFERROR([1]!s_stm07_is($A101,"W70752487",TEXT($B$1,"yyyy/mm/dd"),1),"")</f>
        <v>1941164000</v>
      </c>
      <c r="F101">
        <f>IFERROR([1]!s_stm07_is_103($A101,TEXT($B$1,"yyyy/mm/dd"),1),"")</f>
        <v>0</v>
      </c>
      <c r="G101">
        <f>IFERROR([1]!s_stm07_is_104($A101,TEXT($B$1,"yyyy/mm/dd"),1),"")</f>
        <v>0</v>
      </c>
      <c r="H101">
        <f>IFERROR([1]!s_stm07_is_105($A101,TEXT($B$1,"yyyy/mm/dd"),1),"")</f>
        <v>0</v>
      </c>
      <c r="I101">
        <f>IFERROR([1]!s_stm07_is($A101,"W72946623",TEXT($B$1,"yyyy/mm/dd"),1),"")</f>
        <v>538392000</v>
      </c>
      <c r="J101">
        <f>IFERROR([1]!s_stm07_is($A101,"W30028333",TEXT($B$1,"yyyy/mm/dd"),1),"")</f>
        <v>538392000</v>
      </c>
      <c r="K101">
        <f>IFERROR([1]!s_stm07_cs($A101,"W77130581",TEXT($B$1,"yyyy/mm/dd"),1),"")</f>
        <v>0</v>
      </c>
      <c r="L101">
        <f>IFERROR([1]!s_stm07_cs($A101,"W77745895",TEXT($B$1,"yyyy/mm/dd"),1),"")</f>
        <v>0</v>
      </c>
      <c r="M101">
        <f>IFERROR([1]!S_FA_EPS_basic2($A101,$B$1,"Cur=CNY"),"")</f>
        <v>0.39</v>
      </c>
      <c r="N101">
        <f>IFERROR([1]!hks_fa_arturndays($A101,TEXT($B$1,"yyyy/mm/dd")),"")</f>
        <v>19.9968</v>
      </c>
      <c r="O101">
        <f>IFERROR([1]!hks_fa_apturndays($A101,TEXT($B$1,"yyyy/mm/dd")),"")</f>
        <v>169.20390918227699</v>
      </c>
      <c r="P101">
        <f>IFERROR([1]!hks_fa_invturndays($A101,TEXT($B$1,"yyyy/mm/dd")),"")</f>
        <v>21.381100295178001</v>
      </c>
    </row>
    <row r="102" spans="1:16">
      <c r="A102" t="s">
        <v>1915</v>
      </c>
      <c r="B102">
        <f>IFERROR([1]!s_stm07_is($A102,"W70156729",TEXT($B$1,"yyyy/mm/dd"),1),"")</f>
        <v>87487510000</v>
      </c>
      <c r="C102">
        <f>IFERROR([1]!s_stm07_is($A102,"W75682424",TEXT($B$1,"yyyy/mm/dd"),1),"")</f>
        <v>75571805000</v>
      </c>
      <c r="D102">
        <f>IFERROR([1]!s_stm07_is($A102,"W76031679",TEXT($B$1,"yyyy/mm/dd"),1),"")</f>
        <v>0</v>
      </c>
      <c r="E102">
        <f>IFERROR([1]!s_stm07_is($A102,"W70752487",TEXT($B$1,"yyyy/mm/dd"),1),"")</f>
        <v>0</v>
      </c>
      <c r="F102">
        <f>IFERROR([1]!s_stm07_is_103($A102,TEXT($B$1,"yyyy/mm/dd"),1),"")</f>
        <v>0</v>
      </c>
      <c r="G102">
        <f>IFERROR([1]!s_stm07_is_104($A102,TEXT($B$1,"yyyy/mm/dd"),1),"")</f>
        <v>0</v>
      </c>
      <c r="H102">
        <f>IFERROR([1]!s_stm07_is_105($A102,TEXT($B$1,"yyyy/mm/dd"),1),"")</f>
        <v>0</v>
      </c>
      <c r="I102">
        <f>IFERROR([1]!s_stm07_is($A102,"W72946623",TEXT($B$1,"yyyy/mm/dd"),1),"")</f>
        <v>-14820719000</v>
      </c>
      <c r="J102">
        <f>IFERROR([1]!s_stm07_is($A102,"W30028333",TEXT($B$1,"yyyy/mm/dd"),1),"")</f>
        <v>-15570678000</v>
      </c>
      <c r="K102">
        <f>IFERROR([1]!s_stm07_cs($A102,"W77130581",TEXT($B$1,"yyyy/mm/dd"),1),"")</f>
        <v>0</v>
      </c>
      <c r="L102">
        <f>IFERROR([1]!s_stm07_cs($A102,"W77745895",TEXT($B$1,"yyyy/mm/dd"),1),"")</f>
        <v>0</v>
      </c>
      <c r="M102">
        <f>IFERROR([1]!S_FA_EPS_basic2($A102,$B$1,"Cur=CNY"),"")</f>
        <v>-6.85</v>
      </c>
      <c r="N102">
        <f>IFERROR([1]!hks_fa_arturndays($A102,TEXT($B$1,"yyyy/mm/dd")),"")</f>
        <v>6.3178000000000001</v>
      </c>
      <c r="O102">
        <f>IFERROR([1]!hks_fa_apturndays($A102,TEXT($B$1,"yyyy/mm/dd")),"")</f>
        <v>208.88026612570701</v>
      </c>
      <c r="P102">
        <f>IFERROR([1]!hks_fa_invturndays($A102,TEXT($B$1,"yyyy/mm/dd")),"")</f>
        <v>37.199690002583303</v>
      </c>
    </row>
    <row r="103" spans="1:16">
      <c r="A103" t="s">
        <v>1916</v>
      </c>
      <c r="B103">
        <f>IFERROR([1]!s_stm07_is($A103,"W70156729",TEXT($B$1,"yyyy/mm/dd"),1),"")</f>
        <v>76719742000</v>
      </c>
      <c r="C103">
        <f>IFERROR([1]!s_stm07_is($A103,"W75682424",TEXT($B$1,"yyyy/mm/dd"),1),"")</f>
        <v>62246823000</v>
      </c>
      <c r="D103">
        <f>IFERROR([1]!s_stm07_is($A103,"W76031679",TEXT($B$1,"yyyy/mm/dd"),1),"")</f>
        <v>0</v>
      </c>
      <c r="E103">
        <f>IFERROR([1]!s_stm07_is($A103,"W70752487",TEXT($B$1,"yyyy/mm/dd"),1),"")</f>
        <v>0</v>
      </c>
      <c r="F103">
        <f>IFERROR([1]!s_stm07_is_103($A103,TEXT($B$1,"yyyy/mm/dd"),1),"")</f>
        <v>0</v>
      </c>
      <c r="G103">
        <f>IFERROR([1]!s_stm07_is_104($A103,TEXT($B$1,"yyyy/mm/dd"),1),"")</f>
        <v>0</v>
      </c>
      <c r="H103">
        <f>IFERROR([1]!s_stm07_is_105($A103,TEXT($B$1,"yyyy/mm/dd"),1),"")</f>
        <v>0</v>
      </c>
      <c r="I103">
        <f>IFERROR([1]!s_stm07_is($A103,"W72946623",TEXT($B$1,"yyyy/mm/dd"),1),"")</f>
        <v>-1156803000</v>
      </c>
      <c r="J103">
        <f>IFERROR([1]!s_stm07_is($A103,"W30028333",TEXT($B$1,"yyyy/mm/dd"),1),"")</f>
        <v>-1139460000</v>
      </c>
      <c r="K103">
        <f>IFERROR([1]!s_stm07_cs($A103,"W77130581",TEXT($B$1,"yyyy/mm/dd"),1),"")</f>
        <v>0</v>
      </c>
      <c r="L103">
        <f>IFERROR([1]!s_stm07_cs($A103,"W77745895",TEXT($B$1,"yyyy/mm/dd"),1),"")</f>
        <v>0</v>
      </c>
      <c r="M103">
        <f>IFERROR([1]!S_FA_EPS_basic2($A103,$B$1,"Cur=CNY"),"")</f>
        <v>-0.6</v>
      </c>
      <c r="N103">
        <f>IFERROR([1]!hks_fa_arturndays($A103,TEXT($B$1,"yyyy/mm/dd")),"")</f>
        <v>10.432499999999999</v>
      </c>
      <c r="O103">
        <f>IFERROR([1]!hks_fa_apturndays($A103,TEXT($B$1,"yyyy/mm/dd")),"")</f>
        <v>174.208061992176</v>
      </c>
      <c r="P103">
        <f>IFERROR([1]!hks_fa_invturndays($A103,TEXT($B$1,"yyyy/mm/dd")),"")</f>
        <v>46.1041954817888</v>
      </c>
    </row>
    <row r="104" spans="1:16">
      <c r="A104" t="s">
        <v>1917</v>
      </c>
      <c r="B104">
        <f>IFERROR([1]!s_stm07_is($A104,"W70156729",TEXT($B$1,"yyyy/mm/dd"),1),"")</f>
        <v>129079000000</v>
      </c>
      <c r="C104">
        <f>IFERROR([1]!s_stm07_is($A104,"W75682424",TEXT($B$1,"yyyy/mm/dd"),1),"")</f>
        <v>72436000000</v>
      </c>
      <c r="D104">
        <f>IFERROR([1]!s_stm07_is($A104,"W76031679",TEXT($B$1,"yyyy/mm/dd"),1),"")</f>
        <v>0</v>
      </c>
      <c r="E104">
        <f>IFERROR([1]!s_stm07_is($A104,"W70752487",TEXT($B$1,"yyyy/mm/dd"),1),"")</f>
        <v>0</v>
      </c>
      <c r="F104">
        <f>IFERROR([1]!s_stm07_is_103($A104,TEXT($B$1,"yyyy/mm/dd"),1),"")</f>
        <v>0</v>
      </c>
      <c r="G104">
        <f>IFERROR([1]!s_stm07_is_104($A104,TEXT($B$1,"yyyy/mm/dd"),1),"")</f>
        <v>0</v>
      </c>
      <c r="H104">
        <f>IFERROR([1]!s_stm07_is_105($A104,TEXT($B$1,"yyyy/mm/dd"),1),"")</f>
        <v>0</v>
      </c>
      <c r="I104">
        <f>IFERROR([1]!s_stm07_is($A104,"W72946623",TEXT($B$1,"yyyy/mm/dd"),1),"")</f>
        <v>6716000000</v>
      </c>
      <c r="J104">
        <f>IFERROR([1]!s_stm07_is($A104,"W30028333",TEXT($B$1,"yyyy/mm/dd"),1),"")</f>
        <v>5589000000</v>
      </c>
      <c r="K104">
        <f>IFERROR([1]!s_stm07_cs($A104,"W77130581",TEXT($B$1,"yyyy/mm/dd"),1),"")</f>
        <v>0</v>
      </c>
      <c r="L104">
        <f>IFERROR([1]!s_stm07_cs($A104,"W77745895",TEXT($B$1,"yyyy/mm/dd"),1),"")</f>
        <v>0</v>
      </c>
      <c r="M104">
        <f>IFERROR([1]!S_FA_EPS_basic2($A104,$B$1,"Cur=CNY"),"")</f>
        <v>1.71</v>
      </c>
      <c r="N104">
        <f>IFERROR([1]!hks_fa_arturndays($A104,TEXT($B$1,"yyyy/mm/dd")),"")</f>
        <v>32.179299999999998</v>
      </c>
      <c r="O104">
        <f>IFERROR([1]!hks_fa_apturndays($A104,TEXT($B$1,"yyyy/mm/dd")),"")</f>
        <v>230.901761555028</v>
      </c>
      <c r="P104">
        <f>IFERROR([1]!hks_fa_invturndays($A104,TEXT($B$1,"yyyy/mm/dd")),"")</f>
        <v>0</v>
      </c>
    </row>
    <row r="105" spans="1:16">
      <c r="A105" t="s">
        <v>1918</v>
      </c>
      <c r="B105">
        <f>IFERROR([1]!s_stm07_is($A105,"W70156729",TEXT($B$1,"yyyy/mm/dd"),1),"")</f>
        <v>4900262000</v>
      </c>
      <c r="C105">
        <f>IFERROR([1]!s_stm07_is($A105,"W75682424",TEXT($B$1,"yyyy/mm/dd"),1),"")</f>
        <v>2183291000</v>
      </c>
      <c r="D105">
        <f>IFERROR([1]!s_stm07_is($A105,"W76031679",TEXT($B$1,"yyyy/mm/dd"),1),"")</f>
        <v>783959000</v>
      </c>
      <c r="E105">
        <f>IFERROR([1]!s_stm07_is($A105,"W70752487",TEXT($B$1,"yyyy/mm/dd"),1),"")</f>
        <v>1444463000</v>
      </c>
      <c r="F105">
        <f>IFERROR([1]!s_stm07_is_103($A105,TEXT($B$1,"yyyy/mm/dd"),1),"")</f>
        <v>0</v>
      </c>
      <c r="G105">
        <f>IFERROR([1]!s_stm07_is_104($A105,TEXT($B$1,"yyyy/mm/dd"),1),"")</f>
        <v>0</v>
      </c>
      <c r="H105">
        <f>IFERROR([1]!s_stm07_is_105($A105,TEXT($B$1,"yyyy/mm/dd"),1),"")</f>
        <v>0</v>
      </c>
      <c r="I105">
        <f>IFERROR([1]!s_stm07_is($A105,"W72946623",TEXT($B$1,"yyyy/mm/dd"),1),"")</f>
        <v>522127000</v>
      </c>
      <c r="J105">
        <f>IFERROR([1]!s_stm07_is($A105,"W30028333",TEXT($B$1,"yyyy/mm/dd"),1),"")</f>
        <v>371716000</v>
      </c>
      <c r="K105">
        <f>IFERROR([1]!s_stm07_cs($A105,"W77130581",TEXT($B$1,"yyyy/mm/dd"),1),"")</f>
        <v>0</v>
      </c>
      <c r="L105">
        <f>IFERROR([1]!s_stm07_cs($A105,"W77745895",TEXT($B$1,"yyyy/mm/dd"),1),"")</f>
        <v>0</v>
      </c>
      <c r="M105">
        <f>IFERROR([1]!S_FA_EPS_basic2($A105,$B$1,"Cur=CNY"),"")</f>
        <v>1.652504</v>
      </c>
      <c r="N105">
        <f>IFERROR([1]!hks_fa_arturndays($A105,TEXT($B$1,"yyyy/mm/dd")),"")</f>
        <v>2.3258000000000001</v>
      </c>
      <c r="O105">
        <f>IFERROR([1]!hks_fa_apturndays($A105,TEXT($B$1,"yyyy/mm/dd")),"")</f>
        <v>15.348251790530901</v>
      </c>
      <c r="P105">
        <f>IFERROR([1]!hks_fa_invturndays($A105,TEXT($B$1,"yyyy/mm/dd")),"")</f>
        <v>14.3197521091802</v>
      </c>
    </row>
    <row r="106" spans="1:16">
      <c r="A106" t="s">
        <v>1919</v>
      </c>
      <c r="B106">
        <f>IFERROR([1]!s_stm07_is($A106,"W70156729",TEXT($B$1,"yyyy/mm/dd"),1),"")</f>
        <v>62409000000</v>
      </c>
      <c r="C106">
        <f>IFERROR([1]!s_stm07_is($A106,"W75682424",TEXT($B$1,"yyyy/mm/dd"),1),"")</f>
        <v>12122000000</v>
      </c>
      <c r="D106">
        <f>IFERROR([1]!s_stm07_is($A106,"W76031679",TEXT($B$1,"yyyy/mm/dd"),1),"")</f>
        <v>14904000000</v>
      </c>
      <c r="E106">
        <f>IFERROR([1]!s_stm07_is($A106,"W70752487",TEXT($B$1,"yyyy/mm/dd"),1),"")</f>
        <v>4474000000</v>
      </c>
      <c r="F106">
        <f>IFERROR([1]!s_stm07_is_103($A106,TEXT($B$1,"yyyy/mm/dd"),1),"")</f>
        <v>0</v>
      </c>
      <c r="G106">
        <f>IFERROR([1]!s_stm07_is_104($A106,TEXT($B$1,"yyyy/mm/dd"),1),"")</f>
        <v>0</v>
      </c>
      <c r="H106">
        <f>IFERROR([1]!s_stm07_is_105($A106,TEXT($B$1,"yyyy/mm/dd"),1),"")</f>
        <v>0</v>
      </c>
      <c r="I106">
        <f>IFERROR([1]!s_stm07_is($A106,"W72946623",TEXT($B$1,"yyyy/mm/dd"),1),"")</f>
        <v>38848000000</v>
      </c>
      <c r="J106">
        <f>IFERROR([1]!s_stm07_is($A106,"W30028333",TEXT($B$1,"yyyy/mm/dd"),1),"")</f>
        <v>33294000000</v>
      </c>
      <c r="K106">
        <f>IFERROR([1]!s_stm07_cs($A106,"W77130581",TEXT($B$1,"yyyy/mm/dd"),1),"")</f>
        <v>0</v>
      </c>
      <c r="L106">
        <f>IFERROR([1]!s_stm07_cs($A106,"W77745895",TEXT($B$1,"yyyy/mm/dd"),1),"")</f>
        <v>0</v>
      </c>
      <c r="M106">
        <f>IFERROR([1]!S_FA_EPS_basic2($A106,$B$1,"Cur=CNY"),"")</f>
        <v>50.62</v>
      </c>
      <c r="N106">
        <f>IFERROR([1]!hks_fa_arturndays($A106,TEXT($B$1,"yyyy/mm/dd")),"")</f>
        <v>79.8917</v>
      </c>
      <c r="O106">
        <f>IFERROR([1]!hks_fa_apturndays($A106,TEXT($B$1,"yyyy/mm/dd")),"")</f>
        <v>530.52631578947398</v>
      </c>
      <c r="P106">
        <f>IFERROR([1]!hks_fa_invturndays($A106,TEXT($B$1,"yyyy/mm/dd")),"")</f>
        <v>0</v>
      </c>
    </row>
    <row r="107" spans="1:16">
      <c r="A107" t="s">
        <v>1920</v>
      </c>
      <c r="B107">
        <f>IFERROR([1]!s_stm07_is($A107,"W70156729",TEXT($B$1,"yyyy/mm/dd"),1),"")</f>
        <v>11797000000</v>
      </c>
      <c r="C107">
        <f>IFERROR([1]!s_stm07_is($A107,"W75682424",TEXT($B$1,"yyyy/mm/dd"),1),"")</f>
        <v>9236000000</v>
      </c>
      <c r="D107">
        <f>IFERROR([1]!s_stm07_is($A107,"W76031679",TEXT($B$1,"yyyy/mm/dd"),1),"")</f>
        <v>0</v>
      </c>
      <c r="E107">
        <f>IFERROR([1]!s_stm07_is($A107,"W70752487",TEXT($B$1,"yyyy/mm/dd"),1),"")</f>
        <v>581000000</v>
      </c>
      <c r="F107">
        <f>IFERROR([1]!s_stm07_is_103($A107,TEXT($B$1,"yyyy/mm/dd"),1),"")</f>
        <v>0</v>
      </c>
      <c r="G107">
        <f>IFERROR([1]!s_stm07_is_104($A107,TEXT($B$1,"yyyy/mm/dd"),1),"")</f>
        <v>0</v>
      </c>
      <c r="H107">
        <f>IFERROR([1]!s_stm07_is_105($A107,TEXT($B$1,"yyyy/mm/dd"),1),"")</f>
        <v>0</v>
      </c>
      <c r="I107">
        <f>IFERROR([1]!s_stm07_is($A107,"W72946623",TEXT($B$1,"yyyy/mm/dd"),1),"")</f>
        <v>1373000000</v>
      </c>
      <c r="J107">
        <f>IFERROR([1]!s_stm07_is($A107,"W30028333",TEXT($B$1,"yyyy/mm/dd"),1),"")</f>
        <v>929000000</v>
      </c>
      <c r="K107">
        <f>IFERROR([1]!s_stm07_cs($A107,"W77130581",TEXT($B$1,"yyyy/mm/dd"),1),"")</f>
        <v>0</v>
      </c>
      <c r="L107">
        <f>IFERROR([1]!s_stm07_cs($A107,"W77745895",TEXT($B$1,"yyyy/mm/dd"),1),"")</f>
        <v>0</v>
      </c>
      <c r="M107">
        <f>IFERROR([1]!S_FA_EPS_basic2($A107,$B$1,"Cur=CNY"),"")</f>
        <v>17.712575999999999</v>
      </c>
      <c r="N107">
        <f>IFERROR([1]!hks_fa_arturndays($A107,TEXT($B$1,"yyyy/mm/dd")),"")</f>
        <v>2.6549</v>
      </c>
      <c r="O107">
        <f>IFERROR([1]!hks_fa_apturndays($A107,TEXT($B$1,"yyyy/mm/dd")),"")</f>
        <v>57.063663923776502</v>
      </c>
      <c r="P107">
        <f>IFERROR([1]!hks_fa_invturndays($A107,TEXT($B$1,"yyyy/mm/dd")),"")</f>
        <v>16.429203822528098</v>
      </c>
    </row>
    <row r="108" spans="1:16">
      <c r="A108" t="s">
        <v>1921</v>
      </c>
      <c r="B108">
        <f>IFERROR([1]!s_stm07_is($A108,"W70156729",TEXT($B$1,"yyyy/mm/dd"),1),"")</f>
        <v>996347000000</v>
      </c>
      <c r="C108">
        <f>IFERROR([1]!s_stm07_is($A108,"W75682424",TEXT($B$1,"yyyy/mm/dd"),1),"")</f>
        <v>598285000000</v>
      </c>
      <c r="D108">
        <f>IFERROR([1]!s_stm07_is($A108,"W76031679",TEXT($B$1,"yyyy/mm/dd"),1),"")</f>
        <v>144021000000</v>
      </c>
      <c r="E108">
        <f>IFERROR([1]!s_stm07_is($A108,"W70752487",TEXT($B$1,"yyyy/mm/dd"),1),"")</f>
        <v>44239000000</v>
      </c>
      <c r="F108">
        <f>IFERROR([1]!s_stm07_is_103($A108,TEXT($B$1,"yyyy/mm/dd"),1),"")</f>
        <v>0</v>
      </c>
      <c r="G108">
        <f>IFERROR([1]!s_stm07_is_104($A108,TEXT($B$1,"yyyy/mm/dd"),1),"")</f>
        <v>0</v>
      </c>
      <c r="H108">
        <f>IFERROR([1]!s_stm07_is_105($A108,TEXT($B$1,"yyyy/mm/dd"),1),"")</f>
        <v>0</v>
      </c>
      <c r="I108">
        <f>IFERROR([1]!s_stm07_is($A108,"W72946623",TEXT($B$1,"yyyy/mm/dd"),1),"")</f>
        <v>161421000000</v>
      </c>
      <c r="J108">
        <f>IFERROR([1]!s_stm07_is($A108,"W30028333",TEXT($B$1,"yyyy/mm/dd"),1),"")</f>
        <v>130109000000</v>
      </c>
      <c r="K108">
        <f>IFERROR([1]!s_stm07_cs($A108,"W77130581",TEXT($B$1,"yyyy/mm/dd"),1),"")</f>
        <v>0</v>
      </c>
      <c r="L108">
        <f>IFERROR([1]!s_stm07_cs($A108,"W77745895",TEXT($B$1,"yyyy/mm/dd"),1),"")</f>
        <v>0</v>
      </c>
      <c r="M108">
        <f>IFERROR([1]!S_FA_EPS_basic2($A108,$B$1,"Cur=CNY"),"")</f>
        <v>6.89</v>
      </c>
      <c r="N108">
        <f>IFERROR([1]!hks_fa_arturndays($A108,TEXT($B$1,"yyyy/mm/dd")),"")</f>
        <v>11.1753</v>
      </c>
      <c r="O108">
        <f>IFERROR([1]!hks_fa_apturndays($A108,TEXT($B$1,"yyyy/mm/dd")),"")</f>
        <v>0</v>
      </c>
      <c r="P108">
        <f>IFERROR([1]!hks_fa_invturndays($A108,TEXT($B$1,"yyyy/mm/dd")),"")</f>
        <v>13.3422281521014</v>
      </c>
    </row>
    <row r="109" spans="1:16">
      <c r="A109" t="s">
        <v>1922</v>
      </c>
      <c r="B109">
        <f>IFERROR([1]!s_stm07_is($A109,"W70156729",TEXT($B$1,"yyyy/mm/dd"),1),"")</f>
        <v>37120052000</v>
      </c>
      <c r="C109">
        <f>IFERROR([1]!s_stm07_is($A109,"W75682424",TEXT($B$1,"yyyy/mm/dd"),1),"")</f>
        <v>10355136000</v>
      </c>
      <c r="D109">
        <f>IFERROR([1]!s_stm07_is($A109,"W76031679",TEXT($B$1,"yyyy/mm/dd"),1),"")</f>
        <v>8082433000</v>
      </c>
      <c r="E109">
        <f>IFERROR([1]!s_stm07_is($A109,"W70752487",TEXT($B$1,"yyyy/mm/dd"),1),"")</f>
        <v>1770114000</v>
      </c>
      <c r="F109">
        <f>IFERROR([1]!s_stm07_is_103($A109,TEXT($B$1,"yyyy/mm/dd"),1),"")</f>
        <v>0</v>
      </c>
      <c r="G109">
        <f>IFERROR([1]!s_stm07_is_104($A109,TEXT($B$1,"yyyy/mm/dd"),1),"")</f>
        <v>0</v>
      </c>
      <c r="H109">
        <f>IFERROR([1]!s_stm07_is_105($A109,TEXT($B$1,"yyyy/mm/dd"),1),"")</f>
        <v>0</v>
      </c>
      <c r="I109">
        <f>IFERROR([1]!s_stm07_is($A109,"W72946623",TEXT($B$1,"yyyy/mm/dd"),1),"")</f>
        <v>17036622000</v>
      </c>
      <c r="J109">
        <f>IFERROR([1]!s_stm07_is($A109,"W30028333",TEXT($B$1,"yyyy/mm/dd"),1),"")</f>
        <v>12775689000</v>
      </c>
      <c r="K109">
        <f>IFERROR([1]!s_stm07_cs($A109,"W77130581",TEXT($B$1,"yyyy/mm/dd"),1),"")</f>
        <v>0</v>
      </c>
      <c r="L109">
        <f>IFERROR([1]!s_stm07_cs($A109,"W77745895",TEXT($B$1,"yyyy/mm/dd"),1),"")</f>
        <v>0</v>
      </c>
      <c r="M109">
        <f>IFERROR([1]!S_FA_EPS_basic2($A109,$B$1,"Cur=CNY"),"")</f>
        <v>9.61</v>
      </c>
      <c r="N109">
        <f>IFERROR([1]!hks_fa_arturndays($A109,TEXT($B$1,"yyyy/mm/dd")),"")</f>
        <v>6.7836999999999996</v>
      </c>
      <c r="O109">
        <f>IFERROR([1]!hks_fa_apturndays($A109,TEXT($B$1,"yyyy/mm/dd")),"")</f>
        <v>49.859171332950098</v>
      </c>
      <c r="P109">
        <f>IFERROR([1]!hks_fa_invturndays($A109,TEXT($B$1,"yyyy/mm/dd")),"")</f>
        <v>121.633949386762</v>
      </c>
    </row>
    <row r="110" spans="1:16">
      <c r="A110" t="s">
        <v>1923</v>
      </c>
      <c r="B110">
        <f>IFERROR([1]!s_stm07_is($A110,"W70156729",TEXT($B$1,"yyyy/mm/dd"),1),"")</f>
        <v>112625807000</v>
      </c>
      <c r="C110">
        <f>IFERROR([1]!s_stm07_is($A110,"W75682424",TEXT($B$1,"yyyy/mm/dd"),1),"")</f>
        <v>40223939000</v>
      </c>
      <c r="D110">
        <f>IFERROR([1]!s_stm07_is($A110,"W76031679",TEXT($B$1,"yyyy/mm/dd"),1),"")</f>
        <v>14619702000</v>
      </c>
      <c r="E110">
        <f>IFERROR([1]!s_stm07_is($A110,"W70752487",TEXT($B$1,"yyyy/mm/dd"),1),"")</f>
        <v>4228189000</v>
      </c>
      <c r="F110">
        <f>IFERROR([1]!s_stm07_is_103($A110,TEXT($B$1,"yyyy/mm/dd"),1),"")</f>
        <v>0</v>
      </c>
      <c r="G110">
        <f>IFERROR([1]!s_stm07_is_104($A110,TEXT($B$1,"yyyy/mm/dd"),1),"")</f>
        <v>0</v>
      </c>
      <c r="H110">
        <f>IFERROR([1]!s_stm07_is_105($A110,TEXT($B$1,"yyyy/mm/dd"),1),"")</f>
        <v>0</v>
      </c>
      <c r="I110">
        <f>IFERROR([1]!s_stm07_is($A110,"W72946623",TEXT($B$1,"yyyy/mm/dd"),1),"")</f>
        <v>40830470000</v>
      </c>
      <c r="J110">
        <f>IFERROR([1]!s_stm07_is($A110,"W30028333",TEXT($B$1,"yyyy/mm/dd"),1),"")</f>
        <v>33759800000</v>
      </c>
      <c r="K110">
        <f>IFERROR([1]!s_stm07_cs($A110,"W77130581",TEXT($B$1,"yyyy/mm/dd"),1),"")</f>
        <v>0</v>
      </c>
      <c r="L110">
        <f>IFERROR([1]!s_stm07_cs($A110,"W77745895",TEXT($B$1,"yyyy/mm/dd"),1),"")</f>
        <v>0</v>
      </c>
      <c r="M110">
        <f>IFERROR([1]!S_FA_EPS_basic2($A110,$B$1,"Cur=CNY"),"")</f>
        <v>10.59</v>
      </c>
      <c r="N110">
        <f>IFERROR([1]!hks_fa_arturndays($A110,TEXT($B$1,"yyyy/mm/dd")),"")</f>
        <v>17.5913</v>
      </c>
      <c r="O110">
        <f>IFERROR([1]!hks_fa_apturndays($A110,TEXT($B$1,"yyyy/mm/dd")),"")</f>
        <v>6.1025435624293296</v>
      </c>
      <c r="P110">
        <f>IFERROR([1]!hks_fa_invturndays($A110,TEXT($B$1,"yyyy/mm/dd")),"")</f>
        <v>5.6417047351141303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</vt:lpstr>
      <vt:lpstr>hk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</dc:creator>
  <cp:lastModifiedBy>Elsie</cp:lastModifiedBy>
  <dcterms:created xsi:type="dcterms:W3CDTF">2026-06-03T07:46:08Z</dcterms:created>
  <dcterms:modified xsi:type="dcterms:W3CDTF">2026-06-03T07:46:30Z</dcterms:modified>
</cp:coreProperties>
</file>